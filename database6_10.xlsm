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1585" windowHeight="6165" firstSheet="7" activeTab="7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1" l="1"/>
  <c r="B4" i="11"/>
  <c r="C4" i="11"/>
  <c r="D4" i="11" s="1"/>
  <c r="A5" i="11"/>
  <c r="B5" i="11"/>
  <c r="C5" i="11"/>
  <c r="D5" i="11"/>
  <c r="A6" i="11"/>
  <c r="B6" i="11"/>
  <c r="C6" i="11"/>
  <c r="D6" i="11" s="1"/>
  <c r="A7" i="11"/>
  <c r="B7" i="11"/>
  <c r="C7" i="11"/>
  <c r="D7" i="11" s="1"/>
  <c r="A8" i="11"/>
  <c r="B8" i="11"/>
  <c r="C8" i="11"/>
  <c r="D8" i="11" s="1"/>
  <c r="A9" i="11"/>
  <c r="B9" i="11"/>
  <c r="C9" i="11"/>
  <c r="D9" i="11"/>
  <c r="A10" i="11"/>
  <c r="B10" i="11"/>
  <c r="C10" i="11"/>
  <c r="D10" i="11" s="1"/>
  <c r="A11" i="11"/>
  <c r="B11" i="11"/>
  <c r="C11" i="11"/>
  <c r="D11" i="11" s="1"/>
  <c r="A12" i="11"/>
  <c r="B12" i="11"/>
  <c r="C12" i="11"/>
  <c r="D12" i="11" s="1"/>
  <c r="A13" i="11"/>
  <c r="B13" i="11"/>
  <c r="C13" i="11"/>
  <c r="D13" i="11" s="1"/>
  <c r="A14" i="11"/>
  <c r="B14" i="11"/>
  <c r="C14" i="11"/>
  <c r="D14" i="11" s="1"/>
  <c r="A15" i="11"/>
  <c r="B15" i="11"/>
  <c r="C15" i="11"/>
  <c r="D15" i="11"/>
  <c r="A16" i="11"/>
  <c r="B16" i="11"/>
  <c r="C16" i="11"/>
  <c r="D16" i="11" s="1"/>
  <c r="A17" i="11"/>
  <c r="B17" i="11"/>
  <c r="C17" i="11"/>
  <c r="D17" i="11" s="1"/>
  <c r="A18" i="11"/>
  <c r="B18" i="11"/>
  <c r="C18" i="11"/>
  <c r="D18" i="11" s="1"/>
  <c r="A19" i="11"/>
  <c r="B19" i="11"/>
  <c r="C19" i="11"/>
  <c r="D19" i="11"/>
  <c r="A20" i="11"/>
  <c r="B20" i="11"/>
  <c r="C20" i="11"/>
  <c r="D20" i="11" s="1"/>
  <c r="A21" i="11"/>
  <c r="B21" i="11"/>
  <c r="C21" i="11"/>
  <c r="D21" i="11" s="1"/>
  <c r="A22" i="11"/>
  <c r="B22" i="11"/>
  <c r="C22" i="11"/>
  <c r="D22" i="11" s="1"/>
  <c r="A23" i="11"/>
  <c r="B23" i="11"/>
  <c r="C23" i="11"/>
  <c r="D23" i="11" s="1"/>
  <c r="A24" i="11"/>
  <c r="B24" i="11"/>
  <c r="C24" i="11"/>
  <c r="D24" i="11" s="1"/>
  <c r="A25" i="11"/>
  <c r="B25" i="11"/>
  <c r="C25" i="11"/>
  <c r="D25" i="11"/>
  <c r="A26" i="11"/>
  <c r="B26" i="11"/>
  <c r="C26" i="11"/>
  <c r="D26" i="11" s="1"/>
  <c r="A27" i="11"/>
  <c r="B27" i="11"/>
  <c r="C27" i="11"/>
  <c r="D27" i="11" s="1"/>
  <c r="A28" i="11"/>
  <c r="B28" i="11"/>
  <c r="C28" i="11"/>
  <c r="D28" i="11" s="1"/>
  <c r="A29" i="11"/>
  <c r="B29" i="11"/>
  <c r="C29" i="11"/>
  <c r="D29" i="11" s="1"/>
  <c r="A30" i="11"/>
  <c r="B30" i="11"/>
  <c r="C30" i="11"/>
  <c r="D30" i="11" s="1"/>
  <c r="A31" i="11"/>
  <c r="B31" i="11"/>
  <c r="C31" i="11"/>
  <c r="D31" i="11"/>
  <c r="A32" i="11"/>
  <c r="B32" i="11"/>
  <c r="C32" i="11"/>
  <c r="D32" i="11" s="1"/>
  <c r="A33" i="11"/>
  <c r="B33" i="11"/>
  <c r="C33" i="11"/>
  <c r="D33" i="11" s="1"/>
  <c r="A34" i="11"/>
  <c r="B34" i="11"/>
  <c r="C34" i="11"/>
  <c r="D34" i="11" s="1"/>
  <c r="A35" i="11"/>
  <c r="B35" i="11"/>
  <c r="C35" i="11"/>
  <c r="D35" i="11"/>
  <c r="A36" i="11"/>
  <c r="B36" i="11"/>
  <c r="C36" i="11"/>
  <c r="D36" i="11" s="1"/>
  <c r="A37" i="11"/>
  <c r="B37" i="11"/>
  <c r="C37" i="11"/>
  <c r="D37" i="11"/>
  <c r="A38" i="11"/>
  <c r="B38" i="11"/>
  <c r="C38" i="11"/>
  <c r="D38" i="11" s="1"/>
  <c r="A39" i="11"/>
  <c r="B39" i="11"/>
  <c r="C39" i="11"/>
  <c r="D39" i="11" s="1"/>
  <c r="A40" i="11"/>
  <c r="B40" i="11"/>
  <c r="C40" i="11"/>
  <c r="D40" i="11" s="1"/>
  <c r="A41" i="11"/>
  <c r="B41" i="11"/>
  <c r="C41" i="11"/>
  <c r="D41" i="11"/>
  <c r="A42" i="11"/>
  <c r="B42" i="11"/>
  <c r="C42" i="11"/>
  <c r="D42" i="11" s="1"/>
  <c r="A43" i="11"/>
  <c r="B43" i="11"/>
  <c r="C43" i="11"/>
  <c r="D43" i="11" s="1"/>
  <c r="A44" i="11"/>
  <c r="B44" i="11"/>
  <c r="C44" i="11"/>
  <c r="D44" i="11" s="1"/>
  <c r="A45" i="11"/>
  <c r="B45" i="11"/>
  <c r="C45" i="11"/>
  <c r="D45" i="11" s="1"/>
  <c r="A46" i="11"/>
  <c r="B46" i="11"/>
  <c r="C46" i="11"/>
  <c r="D46" i="11" s="1"/>
  <c r="A47" i="11"/>
  <c r="B47" i="11"/>
  <c r="C47" i="11"/>
  <c r="D47" i="11"/>
  <c r="A48" i="11"/>
  <c r="B48" i="11"/>
  <c r="C48" i="11"/>
  <c r="D48" i="11" s="1"/>
  <c r="A49" i="11"/>
  <c r="B49" i="11"/>
  <c r="C49" i="11"/>
  <c r="D49" i="11" s="1"/>
  <c r="A50" i="11"/>
  <c r="B50" i="11"/>
  <c r="C50" i="11"/>
  <c r="D50" i="11" s="1"/>
  <c r="A51" i="11"/>
  <c r="B51" i="11"/>
  <c r="C51" i="11"/>
  <c r="D51" i="11"/>
  <c r="A52" i="11"/>
  <c r="B52" i="11"/>
  <c r="C52" i="11"/>
  <c r="D52" i="11" s="1"/>
  <c r="A53" i="11"/>
  <c r="B53" i="11"/>
  <c r="C53" i="11"/>
  <c r="D53" i="11"/>
  <c r="A54" i="11"/>
  <c r="B54" i="11"/>
  <c r="C54" i="11"/>
  <c r="D54" i="11" s="1"/>
  <c r="A55" i="11"/>
  <c r="B55" i="11"/>
  <c r="C55" i="11"/>
  <c r="D55" i="11" s="1"/>
  <c r="A56" i="11"/>
  <c r="B56" i="11"/>
  <c r="C56" i="11"/>
  <c r="D56" i="11" s="1"/>
  <c r="A57" i="11"/>
  <c r="B57" i="11"/>
  <c r="C57" i="11"/>
  <c r="D57" i="11" s="1"/>
  <c r="A58" i="11"/>
  <c r="B58" i="11"/>
  <c r="C58" i="11"/>
  <c r="D58" i="11" s="1"/>
  <c r="A59" i="11"/>
  <c r="B59" i="11"/>
  <c r="C59" i="11"/>
  <c r="D59" i="11"/>
  <c r="A60" i="11"/>
  <c r="B60" i="11"/>
  <c r="C60" i="11"/>
  <c r="D60" i="11" s="1"/>
  <c r="A61" i="11"/>
  <c r="B61" i="11"/>
  <c r="C61" i="11"/>
  <c r="D61" i="11" s="1"/>
  <c r="A62" i="11"/>
  <c r="B62" i="11"/>
  <c r="C62" i="11"/>
  <c r="D62" i="11" s="1"/>
  <c r="A63" i="11"/>
  <c r="B63" i="11"/>
  <c r="C63" i="11"/>
  <c r="D63" i="11"/>
  <c r="A64" i="11"/>
  <c r="B64" i="11"/>
  <c r="C64" i="11"/>
  <c r="D64" i="11" s="1"/>
  <c r="A65" i="11"/>
  <c r="B65" i="11"/>
  <c r="C65" i="11"/>
  <c r="D65" i="11" s="1"/>
  <c r="A66" i="11"/>
  <c r="B66" i="11"/>
  <c r="C66" i="11"/>
  <c r="D66" i="11" s="1"/>
  <c r="A67" i="11"/>
  <c r="B67" i="11"/>
  <c r="C67" i="11"/>
  <c r="D67" i="11"/>
  <c r="A68" i="11"/>
  <c r="B68" i="11"/>
  <c r="C68" i="11"/>
  <c r="D68" i="11" s="1"/>
  <c r="A69" i="11"/>
  <c r="B69" i="11"/>
  <c r="C69" i="11"/>
  <c r="D69" i="11"/>
  <c r="A70" i="11"/>
  <c r="B70" i="11"/>
  <c r="C70" i="11"/>
  <c r="D70" i="11" s="1"/>
  <c r="A71" i="11"/>
  <c r="B71" i="11"/>
  <c r="C71" i="11"/>
  <c r="D71" i="11" s="1"/>
  <c r="A72" i="11"/>
  <c r="B72" i="11"/>
  <c r="C72" i="11"/>
  <c r="D72" i="11" s="1"/>
  <c r="A73" i="11"/>
  <c r="B73" i="11"/>
  <c r="C73" i="11"/>
  <c r="D73" i="11" s="1"/>
  <c r="A74" i="11"/>
  <c r="B74" i="11"/>
  <c r="C74" i="11"/>
  <c r="D74" i="11" s="1"/>
  <c r="A75" i="11"/>
  <c r="B75" i="11"/>
  <c r="C75" i="11"/>
  <c r="D75" i="11"/>
  <c r="A76" i="11"/>
  <c r="B76" i="11"/>
  <c r="C76" i="11"/>
  <c r="D76" i="11" s="1"/>
  <c r="A77" i="11"/>
  <c r="B77" i="11"/>
  <c r="C77" i="11"/>
  <c r="D77" i="11" s="1"/>
  <c r="A78" i="11"/>
  <c r="B78" i="11"/>
  <c r="C78" i="11"/>
  <c r="D78" i="11" s="1"/>
  <c r="A79" i="11"/>
  <c r="B79" i="11"/>
  <c r="C79" i="11"/>
  <c r="D79" i="11"/>
  <c r="A80" i="11"/>
  <c r="B80" i="11"/>
  <c r="C80" i="11"/>
  <c r="D80" i="11" s="1"/>
  <c r="A81" i="11"/>
  <c r="B81" i="11"/>
  <c r="C81" i="11"/>
  <c r="D81" i="11" s="1"/>
  <c r="A82" i="11"/>
  <c r="B82" i="11"/>
  <c r="C82" i="11"/>
  <c r="D82" i="11" s="1"/>
  <c r="A83" i="11"/>
  <c r="B83" i="11"/>
  <c r="C83" i="11"/>
  <c r="D83" i="11"/>
  <c r="A84" i="11"/>
  <c r="B84" i="11"/>
  <c r="C84" i="11"/>
  <c r="D84" i="11" s="1"/>
  <c r="A85" i="11"/>
  <c r="B85" i="11"/>
  <c r="C85" i="11"/>
  <c r="D85" i="11"/>
  <c r="A86" i="11"/>
  <c r="B86" i="11"/>
  <c r="C86" i="11"/>
  <c r="D86" i="11" s="1"/>
  <c r="A87" i="11"/>
  <c r="B87" i="11"/>
  <c r="C87" i="11"/>
  <c r="D87" i="11" s="1"/>
  <c r="A88" i="11"/>
  <c r="B88" i="11"/>
  <c r="C88" i="11"/>
  <c r="D88" i="11" s="1"/>
  <c r="A89" i="11"/>
  <c r="B89" i="11"/>
  <c r="C89" i="11"/>
  <c r="D89" i="11" s="1"/>
  <c r="A90" i="11"/>
  <c r="B90" i="11"/>
  <c r="C90" i="11"/>
  <c r="D90" i="11" s="1"/>
  <c r="A91" i="11"/>
  <c r="B91" i="11"/>
  <c r="C91" i="11"/>
  <c r="D91" i="11"/>
  <c r="A92" i="11"/>
  <c r="B92" i="11"/>
  <c r="C92" i="11"/>
  <c r="D92" i="11" s="1"/>
  <c r="A93" i="11"/>
  <c r="B93" i="11"/>
  <c r="C93" i="11"/>
  <c r="D93" i="11" s="1"/>
  <c r="A94" i="11"/>
  <c r="B94" i="11"/>
  <c r="C94" i="11"/>
  <c r="D94" i="11" s="1"/>
  <c r="A95" i="11"/>
  <c r="B95" i="11"/>
  <c r="C95" i="11"/>
  <c r="D95" i="11"/>
  <c r="A96" i="11"/>
  <c r="B96" i="11"/>
  <c r="C96" i="11"/>
  <c r="D96" i="11" s="1"/>
  <c r="A97" i="11"/>
  <c r="B97" i="11"/>
  <c r="C97" i="11"/>
  <c r="D97" i="11" s="1"/>
  <c r="A98" i="11"/>
  <c r="B98" i="11"/>
  <c r="C98" i="11"/>
  <c r="D98" i="11" s="1"/>
  <c r="A99" i="11"/>
  <c r="B99" i="11"/>
  <c r="C99" i="11"/>
  <c r="D99" i="11"/>
  <c r="A100" i="11"/>
  <c r="B100" i="11"/>
  <c r="C100" i="11"/>
  <c r="D100" i="11" s="1"/>
  <c r="A101" i="11"/>
  <c r="B101" i="11"/>
  <c r="C101" i="11"/>
  <c r="D101" i="11"/>
  <c r="A102" i="11"/>
  <c r="B102" i="11"/>
  <c r="C102" i="11"/>
  <c r="D102" i="11" s="1"/>
  <c r="A103" i="11"/>
  <c r="B103" i="11"/>
  <c r="C103" i="11"/>
  <c r="D103" i="11" s="1"/>
  <c r="A104" i="11"/>
  <c r="B104" i="11"/>
  <c r="C104" i="11"/>
  <c r="D104" i="11" s="1"/>
  <c r="A105" i="11"/>
  <c r="B105" i="11"/>
  <c r="C105" i="11"/>
  <c r="D105" i="11" s="1"/>
  <c r="A106" i="11"/>
  <c r="B106" i="11"/>
  <c r="C106" i="11"/>
  <c r="D106" i="11" s="1"/>
  <c r="A107" i="11"/>
  <c r="B107" i="11"/>
  <c r="C107" i="11"/>
  <c r="D107" i="11"/>
  <c r="A108" i="11"/>
  <c r="B108" i="11"/>
  <c r="C108" i="11"/>
  <c r="D108" i="11" s="1"/>
  <c r="A109" i="11"/>
  <c r="B109" i="11"/>
  <c r="C109" i="11"/>
  <c r="D109" i="11" s="1"/>
  <c r="A110" i="11"/>
  <c r="B110" i="11"/>
  <c r="C110" i="11"/>
  <c r="D110" i="11" s="1"/>
  <c r="A111" i="11"/>
  <c r="B111" i="11"/>
  <c r="C111" i="11"/>
  <c r="D111" i="11"/>
  <c r="A112" i="11"/>
  <c r="B112" i="11"/>
  <c r="C112" i="11"/>
  <c r="D112" i="11" s="1"/>
  <c r="A113" i="11"/>
  <c r="B113" i="11"/>
  <c r="C113" i="11"/>
  <c r="D113" i="11" s="1"/>
  <c r="A114" i="11"/>
  <c r="B114" i="11"/>
  <c r="C114" i="11"/>
  <c r="D114" i="11" s="1"/>
  <c r="A115" i="11"/>
  <c r="B115" i="11"/>
  <c r="C115" i="11"/>
  <c r="D115" i="11"/>
  <c r="A116" i="11"/>
  <c r="B116" i="11"/>
  <c r="C116" i="11"/>
  <c r="D116" i="11" s="1"/>
  <c r="A117" i="11"/>
  <c r="B117" i="11"/>
  <c r="C117" i="11"/>
  <c r="D117" i="11"/>
  <c r="A118" i="11"/>
  <c r="B118" i="11"/>
  <c r="C118" i="11"/>
  <c r="D118" i="11" s="1"/>
  <c r="A119" i="11"/>
  <c r="B119" i="11"/>
  <c r="C119" i="11"/>
  <c r="D119" i="11" s="1"/>
  <c r="A120" i="11"/>
  <c r="B120" i="11"/>
  <c r="C120" i="11"/>
  <c r="D120" i="11" s="1"/>
  <c r="A121" i="11"/>
  <c r="B121" i="11"/>
  <c r="C121" i="11"/>
  <c r="D121" i="11" s="1"/>
  <c r="A122" i="11"/>
  <c r="B122" i="11"/>
  <c r="C122" i="11"/>
  <c r="D122" i="11" s="1"/>
  <c r="A123" i="11"/>
  <c r="B123" i="11"/>
  <c r="C123" i="11"/>
  <c r="D123" i="11"/>
  <c r="A124" i="11"/>
  <c r="B124" i="11"/>
  <c r="C124" i="11"/>
  <c r="D124" i="11" s="1"/>
  <c r="A125" i="11"/>
  <c r="B125" i="11"/>
  <c r="C125" i="11"/>
  <c r="D125" i="11" s="1"/>
  <c r="A126" i="11"/>
  <c r="B126" i="11"/>
  <c r="C126" i="11"/>
  <c r="D126" i="11" s="1"/>
  <c r="A127" i="11"/>
  <c r="B127" i="11"/>
  <c r="C127" i="11"/>
  <c r="D127" i="11"/>
  <c r="A128" i="11"/>
  <c r="B128" i="11"/>
  <c r="C128" i="11"/>
  <c r="D128" i="11" s="1"/>
  <c r="A129" i="11"/>
  <c r="B129" i="11"/>
  <c r="C129" i="11"/>
  <c r="D129" i="11" s="1"/>
  <c r="A130" i="11"/>
  <c r="B130" i="11"/>
  <c r="C130" i="11"/>
  <c r="D130" i="11" s="1"/>
  <c r="A131" i="11"/>
  <c r="B131" i="11"/>
  <c r="C131" i="11"/>
  <c r="D131" i="11"/>
  <c r="A132" i="11"/>
  <c r="B132" i="11"/>
  <c r="C132" i="11"/>
  <c r="D132" i="11" s="1"/>
  <c r="A133" i="11"/>
  <c r="B133" i="11"/>
  <c r="C133" i="11"/>
  <c r="D133" i="11"/>
  <c r="A134" i="11"/>
  <c r="B134" i="11"/>
  <c r="C134" i="11"/>
  <c r="D134" i="11" s="1"/>
  <c r="A135" i="11"/>
  <c r="B135" i="11"/>
  <c r="C135" i="11"/>
  <c r="D135" i="11" s="1"/>
  <c r="A136" i="11"/>
  <c r="B136" i="11"/>
  <c r="C136" i="11"/>
  <c r="D136" i="11" s="1"/>
  <c r="A137" i="11"/>
  <c r="B137" i="11"/>
  <c r="C137" i="11"/>
  <c r="D137" i="11" s="1"/>
  <c r="A138" i="11"/>
  <c r="B138" i="11"/>
  <c r="C138" i="11"/>
  <c r="D138" i="11" s="1"/>
  <c r="A139" i="11"/>
  <c r="B139" i="11"/>
  <c r="C139" i="11"/>
  <c r="D139" i="11"/>
  <c r="A140" i="11"/>
  <c r="B140" i="11"/>
  <c r="C140" i="11"/>
  <c r="D140" i="11" s="1"/>
  <c r="A141" i="11"/>
  <c r="B141" i="11"/>
  <c r="C141" i="11"/>
  <c r="D141" i="11" s="1"/>
  <c r="A142" i="11"/>
  <c r="B142" i="11"/>
  <c r="C142" i="11"/>
  <c r="D142" i="11" s="1"/>
  <c r="A143" i="11"/>
  <c r="B143" i="11"/>
  <c r="C143" i="11"/>
  <c r="D143" i="11"/>
  <c r="A144" i="11"/>
  <c r="B144" i="11"/>
  <c r="C144" i="11"/>
  <c r="D144" i="11" s="1"/>
  <c r="A145" i="11"/>
  <c r="B145" i="11"/>
  <c r="C145" i="11"/>
  <c r="D145" i="11" s="1"/>
  <c r="A146" i="11"/>
  <c r="B146" i="11"/>
  <c r="C146" i="11"/>
  <c r="D146" i="11" s="1"/>
  <c r="A147" i="11"/>
  <c r="B147" i="11"/>
  <c r="C147" i="11"/>
  <c r="D147" i="11"/>
  <c r="A148" i="11"/>
  <c r="B148" i="11"/>
  <c r="C148" i="11"/>
  <c r="D148" i="11" s="1"/>
  <c r="A149" i="11"/>
  <c r="B149" i="11"/>
  <c r="C149" i="11"/>
  <c r="D149" i="11"/>
  <c r="A150" i="11"/>
  <c r="B150" i="11"/>
  <c r="C150" i="11"/>
  <c r="D150" i="11" s="1"/>
  <c r="A151" i="11"/>
  <c r="B151" i="11"/>
  <c r="C151" i="11"/>
  <c r="D151" i="11" s="1"/>
  <c r="A152" i="11"/>
  <c r="B152" i="11"/>
  <c r="C152" i="11"/>
  <c r="D152" i="11" s="1"/>
  <c r="A153" i="11"/>
  <c r="B153" i="11"/>
  <c r="C153" i="11"/>
  <c r="D153" i="11" s="1"/>
  <c r="A154" i="11"/>
  <c r="B154" i="11"/>
  <c r="C154" i="11"/>
  <c r="D154" i="11" s="1"/>
  <c r="A155" i="11"/>
  <c r="B155" i="11"/>
  <c r="C155" i="11"/>
  <c r="D155" i="11"/>
  <c r="A156" i="11"/>
  <c r="B156" i="11"/>
  <c r="C156" i="11"/>
  <c r="D156" i="11" s="1"/>
  <c r="A157" i="11"/>
  <c r="B157" i="11"/>
  <c r="C157" i="11"/>
  <c r="D157" i="11" s="1"/>
  <c r="A158" i="11"/>
  <c r="B158" i="11"/>
  <c r="C158" i="11"/>
  <c r="D158" i="11" s="1"/>
  <c r="A159" i="11"/>
  <c r="B159" i="11"/>
  <c r="C159" i="11"/>
  <c r="D159" i="11"/>
  <c r="A160" i="11"/>
  <c r="B160" i="11"/>
  <c r="C160" i="11"/>
  <c r="D160" i="11" s="1"/>
  <c r="A161" i="11"/>
  <c r="B161" i="11"/>
  <c r="C161" i="11"/>
  <c r="D161" i="11" s="1"/>
  <c r="A162" i="11"/>
  <c r="B162" i="11"/>
  <c r="C162" i="11"/>
  <c r="D162" i="11" s="1"/>
  <c r="A163" i="11"/>
  <c r="B163" i="11"/>
  <c r="C163" i="11"/>
  <c r="D163" i="11"/>
  <c r="A164" i="11"/>
  <c r="B164" i="11"/>
  <c r="C164" i="11"/>
  <c r="D164" i="11" s="1"/>
  <c r="A165" i="11"/>
  <c r="B165" i="11"/>
  <c r="C165" i="11"/>
  <c r="D165" i="11"/>
  <c r="A166" i="11"/>
  <c r="B166" i="11"/>
  <c r="C166" i="11"/>
  <c r="D166" i="11" s="1"/>
  <c r="A167" i="11"/>
  <c r="B167" i="11"/>
  <c r="C167" i="11"/>
  <c r="D167" i="11" s="1"/>
  <c r="A168" i="11"/>
  <c r="B168" i="11"/>
  <c r="C168" i="11"/>
  <c r="D168" i="11" s="1"/>
  <c r="A169" i="11"/>
  <c r="B169" i="11"/>
  <c r="C169" i="11"/>
  <c r="D169" i="11" s="1"/>
  <c r="A170" i="11"/>
  <c r="B170" i="11"/>
  <c r="C170" i="11"/>
  <c r="D170" i="11" s="1"/>
  <c r="A171" i="11"/>
  <c r="B171" i="11"/>
  <c r="C171" i="11"/>
  <c r="D171" i="11"/>
  <c r="A172" i="11"/>
  <c r="B172" i="11"/>
  <c r="C172" i="11"/>
  <c r="D172" i="11" s="1"/>
  <c r="A173" i="11"/>
  <c r="B173" i="11"/>
  <c r="C173" i="11"/>
  <c r="D173" i="11" s="1"/>
  <c r="A174" i="11"/>
  <c r="B174" i="11"/>
  <c r="C174" i="11"/>
  <c r="D174" i="11"/>
  <c r="A175" i="11"/>
  <c r="B175" i="11"/>
  <c r="C175" i="11"/>
  <c r="D175" i="11" s="1"/>
  <c r="A176" i="11"/>
  <c r="B176" i="11"/>
  <c r="C176" i="11"/>
  <c r="D176" i="11" s="1"/>
  <c r="A177" i="11"/>
  <c r="B177" i="11"/>
  <c r="C177" i="11"/>
  <c r="D177" i="11" s="1"/>
  <c r="A178" i="11"/>
  <c r="B178" i="11"/>
  <c r="C178" i="11"/>
  <c r="D178" i="11" s="1"/>
  <c r="A179" i="11"/>
  <c r="B179" i="11"/>
  <c r="C179" i="11"/>
  <c r="D179" i="11" s="1"/>
  <c r="A180" i="11"/>
  <c r="B180" i="11"/>
  <c r="C180" i="11"/>
  <c r="D180" i="11" s="1"/>
  <c r="A181" i="11"/>
  <c r="B181" i="11"/>
  <c r="C181" i="11"/>
  <c r="D181" i="11" s="1"/>
  <c r="A182" i="11"/>
  <c r="B182" i="11"/>
  <c r="C182" i="11"/>
  <c r="D182" i="11" s="1"/>
  <c r="A183" i="11"/>
  <c r="B183" i="11"/>
  <c r="C183" i="11"/>
  <c r="D183" i="11" s="1"/>
  <c r="A184" i="11"/>
  <c r="B184" i="11"/>
  <c r="C184" i="11"/>
  <c r="D184" i="11" s="1"/>
  <c r="A185" i="11"/>
  <c r="B185" i="11"/>
  <c r="C185" i="11"/>
  <c r="D185" i="11" s="1"/>
  <c r="A186" i="11"/>
  <c r="B186" i="11"/>
  <c r="C186" i="11"/>
  <c r="D186" i="11" s="1"/>
  <c r="A187" i="11"/>
  <c r="B187" i="11"/>
  <c r="C187" i="11"/>
  <c r="D187" i="11" s="1"/>
  <c r="A188" i="11"/>
  <c r="B188" i="11"/>
  <c r="C188" i="11"/>
  <c r="D188" i="11" s="1"/>
  <c r="A189" i="11"/>
  <c r="B189" i="11"/>
  <c r="C189" i="11"/>
  <c r="D189" i="11" s="1"/>
  <c r="A190" i="11"/>
  <c r="B190" i="11"/>
  <c r="C190" i="11"/>
  <c r="D190" i="11" s="1"/>
  <c r="A191" i="11"/>
  <c r="B191" i="11"/>
  <c r="C191" i="11"/>
  <c r="D191" i="11" s="1"/>
  <c r="A192" i="11"/>
  <c r="B192" i="11"/>
  <c r="C192" i="11"/>
  <c r="D192" i="11" s="1"/>
  <c r="A193" i="11"/>
  <c r="B193" i="11"/>
  <c r="C193" i="11"/>
  <c r="D193" i="11" s="1"/>
  <c r="A194" i="11"/>
  <c r="B194" i="11"/>
  <c r="C194" i="11"/>
  <c r="D194" i="11" s="1"/>
  <c r="A195" i="11"/>
  <c r="B195" i="11"/>
  <c r="C195" i="11"/>
  <c r="D195" i="11" s="1"/>
  <c r="A196" i="11"/>
  <c r="B196" i="11"/>
  <c r="C196" i="11"/>
  <c r="D196" i="11" s="1"/>
  <c r="A197" i="11"/>
  <c r="B197" i="11"/>
  <c r="C197" i="11"/>
  <c r="D197" i="11" s="1"/>
  <c r="A198" i="11"/>
  <c r="B198" i="11"/>
  <c r="C198" i="11"/>
  <c r="D198" i="11" s="1"/>
  <c r="A199" i="11"/>
  <c r="B199" i="11"/>
  <c r="C199" i="11"/>
  <c r="D199" i="11" s="1"/>
  <c r="A200" i="11"/>
  <c r="B200" i="11"/>
  <c r="C200" i="11"/>
  <c r="D200" i="11" s="1"/>
  <c r="A201" i="11"/>
  <c r="B201" i="11"/>
  <c r="C201" i="11"/>
  <c r="D201" i="11" s="1"/>
  <c r="A202" i="11"/>
  <c r="B202" i="11"/>
  <c r="C202" i="11"/>
  <c r="D202" i="11" s="1"/>
  <c r="A203" i="11"/>
  <c r="B203" i="11"/>
  <c r="C203" i="11"/>
  <c r="D203" i="11" s="1"/>
  <c r="A204" i="11"/>
  <c r="B204" i="11"/>
  <c r="C204" i="11"/>
  <c r="D204" i="11" s="1"/>
  <c r="A205" i="11"/>
  <c r="B205" i="11"/>
  <c r="C205" i="11"/>
  <c r="D205" i="11" s="1"/>
  <c r="A206" i="11"/>
  <c r="B206" i="11"/>
  <c r="C206" i="11"/>
  <c r="D206" i="11" s="1"/>
  <c r="A207" i="11"/>
  <c r="B207" i="11"/>
  <c r="C207" i="11"/>
  <c r="D207" i="11" s="1"/>
  <c r="A208" i="11"/>
  <c r="B208" i="11"/>
  <c r="C208" i="11"/>
  <c r="D208" i="11" s="1"/>
  <c r="A209" i="11"/>
  <c r="B209" i="11"/>
  <c r="C209" i="11"/>
  <c r="D209" i="11" s="1"/>
  <c r="A210" i="11"/>
  <c r="B210" i="11"/>
  <c r="C210" i="11"/>
  <c r="D210" i="11" s="1"/>
  <c r="A211" i="11"/>
  <c r="B211" i="11"/>
  <c r="C211" i="11"/>
  <c r="D211" i="11" s="1"/>
  <c r="A212" i="11"/>
  <c r="B212" i="11"/>
  <c r="C212" i="11"/>
  <c r="D212" i="11" s="1"/>
  <c r="A213" i="11"/>
  <c r="B213" i="11"/>
  <c r="C213" i="11"/>
  <c r="D213" i="11" s="1"/>
  <c r="A214" i="11"/>
  <c r="B214" i="11"/>
  <c r="C214" i="11"/>
  <c r="D214" i="11" s="1"/>
  <c r="A215" i="11"/>
  <c r="B215" i="11"/>
  <c r="C215" i="11"/>
  <c r="D215" i="11" s="1"/>
  <c r="A216" i="11"/>
  <c r="B216" i="11"/>
  <c r="C216" i="11"/>
  <c r="D216" i="11" s="1"/>
  <c r="A217" i="11"/>
  <c r="B217" i="11"/>
  <c r="C217" i="11"/>
  <c r="D217" i="11" s="1"/>
  <c r="A218" i="11"/>
  <c r="B218" i="11"/>
  <c r="C218" i="11"/>
  <c r="D218" i="11" s="1"/>
  <c r="A219" i="11"/>
  <c r="B219" i="11"/>
  <c r="C219" i="11"/>
  <c r="D219" i="11" s="1"/>
  <c r="A220" i="11"/>
  <c r="B220" i="11"/>
  <c r="C220" i="11"/>
  <c r="D220" i="11" s="1"/>
  <c r="A221" i="11"/>
  <c r="B221" i="11"/>
  <c r="C221" i="11"/>
  <c r="D221" i="11" s="1"/>
  <c r="A222" i="11"/>
  <c r="B222" i="11"/>
  <c r="C222" i="11"/>
  <c r="D222" i="11" s="1"/>
  <c r="A223" i="11"/>
  <c r="B223" i="11"/>
  <c r="C223" i="11"/>
  <c r="D223" i="11" s="1"/>
  <c r="A224" i="11"/>
  <c r="B224" i="11"/>
  <c r="C224" i="11"/>
  <c r="D224" i="11" s="1"/>
  <c r="A225" i="11"/>
  <c r="B225" i="11"/>
  <c r="C225" i="11"/>
  <c r="D225" i="11" s="1"/>
  <c r="A226" i="11"/>
  <c r="B226" i="11"/>
  <c r="C226" i="11"/>
  <c r="D226" i="11" s="1"/>
  <c r="A227" i="11"/>
  <c r="B227" i="11"/>
  <c r="C227" i="11"/>
  <c r="D227" i="11" s="1"/>
  <c r="A228" i="11"/>
  <c r="B228" i="11"/>
  <c r="C228" i="11"/>
  <c r="D228" i="11" s="1"/>
  <c r="A229" i="11"/>
  <c r="B229" i="11"/>
  <c r="C229" i="11"/>
  <c r="D229" i="11" s="1"/>
  <c r="A230" i="11"/>
  <c r="B230" i="11"/>
  <c r="C230" i="11"/>
  <c r="D230" i="11" s="1"/>
  <c r="A231" i="11"/>
  <c r="B231" i="11"/>
  <c r="C231" i="11"/>
  <c r="D231" i="11" s="1"/>
  <c r="A232" i="11"/>
  <c r="B232" i="11"/>
  <c r="C232" i="11"/>
  <c r="D232" i="11" s="1"/>
  <c r="A233" i="11"/>
  <c r="B233" i="11"/>
  <c r="C233" i="11"/>
  <c r="D233" i="11" s="1"/>
  <c r="A234" i="11"/>
  <c r="B234" i="11"/>
  <c r="C234" i="11"/>
  <c r="D234" i="11" s="1"/>
  <c r="A235" i="11"/>
  <c r="B235" i="11"/>
  <c r="C235" i="11"/>
  <c r="D235" i="11" s="1"/>
  <c r="A236" i="11"/>
  <c r="B236" i="11"/>
  <c r="C236" i="11"/>
  <c r="D236" i="11" s="1"/>
  <c r="A237" i="11"/>
  <c r="B237" i="11"/>
  <c r="C237" i="11"/>
  <c r="D237" i="11" s="1"/>
  <c r="A238" i="11"/>
  <c r="B238" i="11"/>
  <c r="C238" i="11"/>
  <c r="D238" i="11" s="1"/>
  <c r="A239" i="11"/>
  <c r="B239" i="11"/>
  <c r="C239" i="11"/>
  <c r="D239" i="11" s="1"/>
  <c r="A240" i="11"/>
  <c r="B240" i="11"/>
  <c r="C240" i="11"/>
  <c r="D240" i="11" s="1"/>
  <c r="A241" i="11"/>
  <c r="B241" i="11"/>
  <c r="C241" i="11"/>
  <c r="D241" i="11" s="1"/>
  <c r="A242" i="11"/>
  <c r="B242" i="11"/>
  <c r="C242" i="11"/>
  <c r="D242" i="11" s="1"/>
  <c r="A243" i="11"/>
  <c r="B243" i="11"/>
  <c r="C243" i="11"/>
  <c r="D243" i="11" s="1"/>
  <c r="A244" i="11"/>
  <c r="B244" i="11"/>
  <c r="C244" i="11"/>
  <c r="D244" i="11" s="1"/>
  <c r="A245" i="11"/>
  <c r="B245" i="11"/>
  <c r="C245" i="11"/>
  <c r="D245" i="11" s="1"/>
  <c r="A246" i="11"/>
  <c r="B246" i="11"/>
  <c r="C246" i="11"/>
  <c r="D246" i="11" s="1"/>
  <c r="A247" i="11"/>
  <c r="B247" i="11"/>
  <c r="C247" i="11"/>
  <c r="D247" i="11" s="1"/>
  <c r="A248" i="11"/>
  <c r="B248" i="11"/>
  <c r="C248" i="11"/>
  <c r="D248" i="11" s="1"/>
  <c r="A249" i="11"/>
  <c r="B249" i="11"/>
  <c r="C249" i="11"/>
  <c r="D249" i="11" s="1"/>
  <c r="A250" i="11"/>
  <c r="B250" i="11"/>
  <c r="C250" i="11"/>
  <c r="D250" i="11" s="1"/>
  <c r="A251" i="11"/>
  <c r="B251" i="11"/>
  <c r="C251" i="11"/>
  <c r="D251" i="11" s="1"/>
  <c r="A252" i="11"/>
  <c r="B252" i="11"/>
  <c r="C252" i="11"/>
  <c r="D252" i="11" s="1"/>
  <c r="A253" i="11"/>
  <c r="B253" i="11"/>
  <c r="C253" i="11"/>
  <c r="D253" i="11" s="1"/>
  <c r="A254" i="11"/>
  <c r="B254" i="11"/>
  <c r="C254" i="11"/>
  <c r="D254" i="11" s="1"/>
  <c r="A255" i="11"/>
  <c r="B255" i="11"/>
  <c r="C255" i="11"/>
  <c r="D255" i="11" s="1"/>
  <c r="A256" i="11"/>
  <c r="B256" i="11"/>
  <c r="C256" i="11"/>
  <c r="D256" i="11" s="1"/>
  <c r="A257" i="11"/>
  <c r="B257" i="11"/>
  <c r="C257" i="11"/>
  <c r="D257" i="11" s="1"/>
  <c r="A258" i="11"/>
  <c r="B258" i="11"/>
  <c r="C258" i="11"/>
  <c r="D258" i="11" s="1"/>
  <c r="A259" i="11"/>
  <c r="B259" i="11"/>
  <c r="C259" i="11"/>
  <c r="D259" i="11" s="1"/>
  <c r="A260" i="11"/>
  <c r="B260" i="11"/>
  <c r="C260" i="11"/>
  <c r="D260" i="11" s="1"/>
  <c r="A261" i="11"/>
  <c r="B261" i="11"/>
  <c r="C261" i="11"/>
  <c r="D261" i="11" s="1"/>
  <c r="A262" i="11"/>
  <c r="B262" i="11"/>
  <c r="C262" i="11"/>
  <c r="D262" i="11" s="1"/>
  <c r="A263" i="11"/>
  <c r="B263" i="11"/>
  <c r="C263" i="11"/>
  <c r="D263" i="11" s="1"/>
  <c r="A264" i="11"/>
  <c r="B264" i="11"/>
  <c r="C264" i="11"/>
  <c r="D264" i="11" s="1"/>
  <c r="A265" i="11"/>
  <c r="B265" i="11"/>
  <c r="C265" i="11"/>
  <c r="D265" i="11" s="1"/>
  <c r="A266" i="11"/>
  <c r="B266" i="11"/>
  <c r="C266" i="11"/>
  <c r="D266" i="11" s="1"/>
  <c r="A267" i="11"/>
  <c r="B267" i="11"/>
  <c r="C267" i="11"/>
  <c r="D267" i="11" s="1"/>
  <c r="A268" i="11"/>
  <c r="B268" i="11"/>
  <c r="C268" i="11"/>
  <c r="D268" i="11" s="1"/>
  <c r="A269" i="11"/>
  <c r="B269" i="11"/>
  <c r="C269" i="11"/>
  <c r="D269" i="11" s="1"/>
  <c r="A270" i="11"/>
  <c r="B270" i="11"/>
  <c r="C270" i="11"/>
  <c r="D270" i="11" s="1"/>
  <c r="A271" i="11"/>
  <c r="B271" i="11"/>
  <c r="C271" i="11"/>
  <c r="D271" i="11" s="1"/>
  <c r="A272" i="11"/>
  <c r="B272" i="11"/>
  <c r="C272" i="11"/>
  <c r="D272" i="11" s="1"/>
  <c r="A273" i="11"/>
  <c r="B273" i="11"/>
  <c r="C273" i="11"/>
  <c r="D273" i="11" s="1"/>
  <c r="A274" i="11"/>
  <c r="B274" i="11"/>
  <c r="C274" i="11"/>
  <c r="D274" i="11" s="1"/>
  <c r="A275" i="11"/>
  <c r="B275" i="11"/>
  <c r="C275" i="11"/>
  <c r="D275" i="11" s="1"/>
  <c r="A276" i="11"/>
  <c r="B276" i="11"/>
  <c r="C276" i="11"/>
  <c r="D276" i="11" s="1"/>
  <c r="A277" i="11"/>
  <c r="B277" i="11"/>
  <c r="C277" i="11"/>
  <c r="D277" i="11" s="1"/>
  <c r="A278" i="11"/>
  <c r="B278" i="11"/>
  <c r="C278" i="11"/>
  <c r="D278" i="11" s="1"/>
  <c r="A279" i="11"/>
  <c r="B279" i="11"/>
  <c r="C279" i="11"/>
  <c r="D279" i="11" s="1"/>
  <c r="A280" i="11"/>
  <c r="B280" i="11"/>
  <c r="C280" i="11"/>
  <c r="D280" i="11" s="1"/>
  <c r="A281" i="11"/>
  <c r="B281" i="11"/>
  <c r="C281" i="11"/>
  <c r="D281" i="11" s="1"/>
  <c r="A282" i="11"/>
  <c r="B282" i="11"/>
  <c r="C282" i="11"/>
  <c r="D282" i="11" s="1"/>
  <c r="A283" i="11"/>
  <c r="B283" i="11"/>
  <c r="C283" i="11"/>
  <c r="D283" i="11" s="1"/>
  <c r="A284" i="11"/>
  <c r="B284" i="11"/>
  <c r="C284" i="11"/>
  <c r="D284" i="11" s="1"/>
  <c r="A285" i="11"/>
  <c r="B285" i="11"/>
  <c r="C285" i="11"/>
  <c r="D285" i="11" s="1"/>
  <c r="A286" i="11"/>
  <c r="B286" i="11"/>
  <c r="C286" i="11"/>
  <c r="D286" i="11" s="1"/>
  <c r="A287" i="11"/>
  <c r="B287" i="11"/>
  <c r="C287" i="11"/>
  <c r="D287" i="11" s="1"/>
  <c r="A288" i="11"/>
  <c r="B288" i="11"/>
  <c r="C288" i="11"/>
  <c r="D288" i="11" s="1"/>
  <c r="A289" i="11"/>
  <c r="B289" i="11"/>
  <c r="C289" i="11"/>
  <c r="D289" i="11" s="1"/>
  <c r="A290" i="11"/>
  <c r="B290" i="11"/>
  <c r="C290" i="11"/>
  <c r="D290" i="11" s="1"/>
  <c r="A291" i="11"/>
  <c r="B291" i="11"/>
  <c r="C291" i="11"/>
  <c r="D291" i="11" s="1"/>
  <c r="A292" i="11"/>
  <c r="B292" i="11"/>
  <c r="C292" i="11"/>
  <c r="D292" i="11" s="1"/>
  <c r="A293" i="11"/>
  <c r="B293" i="11"/>
  <c r="C293" i="11"/>
  <c r="D293" i="11" s="1"/>
  <c r="A294" i="11"/>
  <c r="B294" i="11"/>
  <c r="C294" i="11"/>
  <c r="D294" i="11" s="1"/>
  <c r="A295" i="11"/>
  <c r="B295" i="11"/>
  <c r="C295" i="11"/>
  <c r="D295" i="11" s="1"/>
  <c r="A296" i="11"/>
  <c r="B296" i="11"/>
  <c r="C296" i="11"/>
  <c r="D296" i="11" s="1"/>
  <c r="A297" i="11"/>
  <c r="B297" i="11"/>
  <c r="C297" i="11"/>
  <c r="D297" i="11" s="1"/>
  <c r="A298" i="11"/>
  <c r="B298" i="11"/>
  <c r="C298" i="11"/>
  <c r="D298" i="11" s="1"/>
  <c r="A299" i="11"/>
  <c r="B299" i="11"/>
  <c r="C299" i="11"/>
  <c r="D299" i="11" s="1"/>
  <c r="A300" i="11"/>
  <c r="B300" i="11"/>
  <c r="C300" i="11"/>
  <c r="D300" i="11" s="1"/>
  <c r="A301" i="11"/>
  <c r="B301" i="11"/>
  <c r="C301" i="11"/>
  <c r="D301" i="11" s="1"/>
  <c r="A302" i="11"/>
  <c r="B302" i="11"/>
  <c r="C302" i="11"/>
  <c r="D302" i="11" s="1"/>
  <c r="A303" i="11"/>
  <c r="B303" i="11"/>
  <c r="C303" i="11"/>
  <c r="D303" i="11" s="1"/>
  <c r="A304" i="11"/>
  <c r="B304" i="11"/>
  <c r="C304" i="11"/>
  <c r="D304" i="11" s="1"/>
  <c r="A305" i="11"/>
  <c r="B305" i="11"/>
  <c r="C305" i="11"/>
  <c r="D305" i="11" s="1"/>
  <c r="A306" i="11"/>
  <c r="B306" i="11"/>
  <c r="C306" i="11"/>
  <c r="D306" i="11" s="1"/>
  <c r="A307" i="11"/>
  <c r="B307" i="11"/>
  <c r="C307" i="11"/>
  <c r="D307" i="11" s="1"/>
  <c r="A308" i="11"/>
  <c r="B308" i="11"/>
  <c r="C308" i="11"/>
  <c r="D308" i="11" s="1"/>
  <c r="A309" i="11"/>
  <c r="B309" i="11"/>
  <c r="C309" i="11"/>
  <c r="D309" i="11" s="1"/>
  <c r="A310" i="11"/>
  <c r="B310" i="11"/>
  <c r="C310" i="11"/>
  <c r="D310" i="11" s="1"/>
  <c r="A311" i="11"/>
  <c r="B311" i="11"/>
  <c r="C311" i="11"/>
  <c r="D311" i="11" s="1"/>
  <c r="A312" i="11"/>
  <c r="B312" i="11"/>
  <c r="C312" i="11"/>
  <c r="D312" i="11" s="1"/>
  <c r="A313" i="11"/>
  <c r="B313" i="11"/>
  <c r="C313" i="11"/>
  <c r="D313" i="11" s="1"/>
  <c r="A314" i="11"/>
  <c r="B314" i="11"/>
  <c r="C314" i="11"/>
  <c r="D314" i="11" s="1"/>
  <c r="A315" i="11"/>
  <c r="B315" i="11"/>
  <c r="C315" i="11"/>
  <c r="D315" i="11" s="1"/>
  <c r="A316" i="11"/>
  <c r="B316" i="11"/>
  <c r="C316" i="11"/>
  <c r="D316" i="11" s="1"/>
  <c r="A317" i="11"/>
  <c r="B317" i="11"/>
  <c r="C317" i="11"/>
  <c r="D317" i="11" s="1"/>
  <c r="A318" i="11"/>
  <c r="B318" i="11"/>
  <c r="C318" i="11"/>
  <c r="D318" i="11" s="1"/>
  <c r="A319" i="11"/>
  <c r="B319" i="11"/>
  <c r="C319" i="11"/>
  <c r="D319" i="11" s="1"/>
  <c r="A320" i="11"/>
  <c r="B320" i="11"/>
  <c r="C320" i="11"/>
  <c r="D320" i="11" s="1"/>
  <c r="A321" i="11"/>
  <c r="B321" i="11"/>
  <c r="C321" i="11"/>
  <c r="D321" i="11" s="1"/>
  <c r="A322" i="11"/>
  <c r="B322" i="11"/>
  <c r="C322" i="11"/>
  <c r="D322" i="11" s="1"/>
  <c r="A323" i="11"/>
  <c r="B323" i="11"/>
  <c r="C323" i="11"/>
  <c r="D323" i="11" s="1"/>
  <c r="A324" i="11"/>
  <c r="B324" i="11"/>
  <c r="C324" i="11"/>
  <c r="D324" i="11"/>
  <c r="A325" i="11"/>
  <c r="B325" i="11"/>
  <c r="C325" i="11"/>
  <c r="D325" i="11" s="1"/>
  <c r="A326" i="11"/>
  <c r="B326" i="11"/>
  <c r="C326" i="11"/>
  <c r="D326" i="11" s="1"/>
  <c r="A327" i="11"/>
  <c r="B327" i="11"/>
  <c r="C327" i="11"/>
  <c r="D327" i="11" s="1"/>
  <c r="A328" i="11"/>
  <c r="B328" i="11"/>
  <c r="C328" i="11"/>
  <c r="D328" i="11"/>
  <c r="A329" i="11"/>
  <c r="B329" i="11"/>
  <c r="C329" i="11"/>
  <c r="D329" i="11" s="1"/>
  <c r="A330" i="11"/>
  <c r="B330" i="11"/>
  <c r="C330" i="11"/>
  <c r="D330" i="11" s="1"/>
  <c r="A331" i="11"/>
  <c r="B331" i="11"/>
  <c r="C331" i="11"/>
  <c r="D331" i="11" s="1"/>
  <c r="A332" i="11"/>
  <c r="B332" i="11"/>
  <c r="C332" i="11"/>
  <c r="D332" i="11" s="1"/>
  <c r="A333" i="11"/>
  <c r="B333" i="11"/>
  <c r="C333" i="11"/>
  <c r="D333" i="11" s="1"/>
  <c r="A334" i="11"/>
  <c r="B334" i="11"/>
  <c r="C334" i="11"/>
  <c r="D334" i="11" s="1"/>
  <c r="A335" i="11"/>
  <c r="B335" i="11"/>
  <c r="C335" i="11"/>
  <c r="D335" i="11" s="1"/>
  <c r="A336" i="11"/>
  <c r="B336" i="11"/>
  <c r="C336" i="11"/>
  <c r="D336" i="11"/>
  <c r="A337" i="11"/>
  <c r="B337" i="11"/>
  <c r="C337" i="11"/>
  <c r="D337" i="11" s="1"/>
  <c r="A338" i="11"/>
  <c r="C338" i="11" s="1"/>
  <c r="D338" i="11" s="1"/>
  <c r="B338" i="11"/>
  <c r="A339" i="11"/>
  <c r="B339" i="11"/>
  <c r="C339" i="11"/>
  <c r="D339" i="11" s="1"/>
  <c r="A340" i="11"/>
  <c r="B340" i="11"/>
  <c r="C340" i="11"/>
  <c r="D340" i="11" s="1"/>
  <c r="A341" i="11"/>
  <c r="B341" i="11"/>
  <c r="C341" i="11"/>
  <c r="D341" i="11" s="1"/>
  <c r="A342" i="11"/>
  <c r="B342" i="11"/>
  <c r="C342" i="11"/>
  <c r="D342" i="11" s="1"/>
  <c r="A343" i="11"/>
  <c r="B343" i="11"/>
  <c r="C343" i="11"/>
  <c r="D343" i="11" s="1"/>
  <c r="A344" i="11"/>
  <c r="C344" i="11" s="1"/>
  <c r="D344" i="11" s="1"/>
  <c r="B344" i="11"/>
  <c r="A345" i="11"/>
  <c r="B345" i="11"/>
  <c r="C345" i="11"/>
  <c r="D345" i="11" s="1"/>
  <c r="A346" i="11"/>
  <c r="C346" i="11" s="1"/>
  <c r="D346" i="11" s="1"/>
  <c r="B346" i="11"/>
  <c r="A347" i="11"/>
  <c r="B347" i="11"/>
  <c r="C347" i="11"/>
  <c r="D347" i="11" s="1"/>
  <c r="A348" i="11"/>
  <c r="B348" i="11"/>
  <c r="C348" i="11"/>
  <c r="D348" i="11" s="1"/>
  <c r="A349" i="11"/>
  <c r="B349" i="11"/>
  <c r="C349" i="11"/>
  <c r="D349" i="11" s="1"/>
  <c r="A350" i="11"/>
  <c r="B350" i="11"/>
  <c r="C350" i="11"/>
  <c r="D350" i="11" s="1"/>
  <c r="A351" i="11"/>
  <c r="B351" i="11"/>
  <c r="C351" i="11"/>
  <c r="D351" i="11" s="1"/>
  <c r="A352" i="11"/>
  <c r="B352" i="11"/>
  <c r="C352" i="11"/>
  <c r="D352" i="11"/>
  <c r="A353" i="11"/>
  <c r="B353" i="11"/>
  <c r="C353" i="11"/>
  <c r="D353" i="11" s="1"/>
  <c r="A354" i="11"/>
  <c r="B354" i="11"/>
  <c r="C354" i="11"/>
  <c r="D354" i="11" s="1"/>
  <c r="A355" i="11"/>
  <c r="B355" i="11"/>
  <c r="C355" i="11"/>
  <c r="D355" i="11" s="1"/>
  <c r="A356" i="11"/>
  <c r="C356" i="11" s="1"/>
  <c r="D356" i="11" s="1"/>
  <c r="B356" i="11"/>
  <c r="A357" i="11"/>
  <c r="B357" i="11"/>
  <c r="C357" i="11"/>
  <c r="D357" i="11" s="1"/>
  <c r="A358" i="11"/>
  <c r="B358" i="11"/>
  <c r="C358" i="11"/>
  <c r="D358" i="11" s="1"/>
  <c r="A359" i="11"/>
  <c r="B359" i="11"/>
  <c r="C359" i="11"/>
  <c r="D359" i="11" s="1"/>
  <c r="A360" i="11"/>
  <c r="C360" i="11" s="1"/>
  <c r="D360" i="11" s="1"/>
  <c r="B360" i="11"/>
  <c r="A361" i="11"/>
  <c r="B361" i="11"/>
  <c r="C361" i="11"/>
  <c r="D361" i="11" s="1"/>
  <c r="A362" i="11"/>
  <c r="C362" i="11" s="1"/>
  <c r="D362" i="11" s="1"/>
  <c r="B362" i="11"/>
  <c r="A363" i="11"/>
  <c r="B363" i="11"/>
  <c r="C363" i="11"/>
  <c r="D363" i="11" s="1"/>
  <c r="A364" i="11"/>
  <c r="B364" i="11"/>
  <c r="C364" i="11"/>
  <c r="D364" i="11" s="1"/>
  <c r="A365" i="11"/>
  <c r="B365" i="11"/>
  <c r="C365" i="11"/>
  <c r="D365" i="11" s="1"/>
  <c r="A366" i="11"/>
  <c r="B366" i="11"/>
  <c r="C366" i="11"/>
  <c r="D366" i="11" s="1"/>
  <c r="A367" i="11"/>
  <c r="B367" i="11"/>
  <c r="C367" i="11"/>
  <c r="D367" i="11" s="1"/>
  <c r="A368" i="11"/>
  <c r="B368" i="11"/>
  <c r="C368" i="11"/>
  <c r="D368" i="11"/>
  <c r="A369" i="11"/>
  <c r="B369" i="11"/>
  <c r="C369" i="11"/>
  <c r="D369" i="11" s="1"/>
  <c r="A370" i="11"/>
  <c r="B370" i="11"/>
  <c r="C370" i="11"/>
  <c r="D370" i="11" s="1"/>
  <c r="A371" i="11"/>
  <c r="B371" i="11"/>
  <c r="C371" i="11"/>
  <c r="D371" i="11" s="1"/>
  <c r="A372" i="11"/>
  <c r="C372" i="11" s="1"/>
  <c r="D372" i="11" s="1"/>
  <c r="B372" i="11"/>
  <c r="A373" i="11"/>
  <c r="B373" i="11"/>
  <c r="C373" i="11"/>
  <c r="D373" i="11" s="1"/>
  <c r="A374" i="11"/>
  <c r="B374" i="11"/>
  <c r="C374" i="11"/>
  <c r="D374" i="11" s="1"/>
  <c r="A375" i="11"/>
  <c r="B375" i="11"/>
  <c r="C375" i="11"/>
  <c r="D375" i="11" s="1"/>
  <c r="A376" i="11"/>
  <c r="B376" i="11"/>
  <c r="C376" i="11"/>
  <c r="D376" i="11" s="1"/>
  <c r="A377" i="11"/>
  <c r="B377" i="11"/>
  <c r="C377" i="11"/>
  <c r="D377" i="11" s="1"/>
  <c r="A378" i="11"/>
  <c r="C378" i="11" s="1"/>
  <c r="D378" i="11" s="1"/>
  <c r="B378" i="11"/>
  <c r="A379" i="11"/>
  <c r="B379" i="11"/>
  <c r="C379" i="11"/>
  <c r="D379" i="11" s="1"/>
  <c r="A380" i="11"/>
  <c r="B380" i="11"/>
  <c r="C380" i="11"/>
  <c r="D380" i="11" s="1"/>
  <c r="A381" i="11"/>
  <c r="B381" i="11"/>
  <c r="C381" i="11"/>
  <c r="D381" i="11" s="1"/>
  <c r="A382" i="11"/>
  <c r="B382" i="11"/>
  <c r="C382" i="11"/>
  <c r="D382" i="11" s="1"/>
  <c r="A383" i="11"/>
  <c r="B383" i="11"/>
  <c r="C383" i="11"/>
  <c r="D383" i="11" s="1"/>
  <c r="A384" i="11"/>
  <c r="B384" i="11"/>
  <c r="C384" i="11"/>
  <c r="D384" i="11"/>
  <c r="A385" i="11"/>
  <c r="B385" i="11"/>
  <c r="C385" i="11"/>
  <c r="D385" i="11" s="1"/>
  <c r="A386" i="11"/>
  <c r="B386" i="11"/>
  <c r="C386" i="11"/>
  <c r="D386" i="11" s="1"/>
  <c r="A387" i="11"/>
  <c r="B387" i="11"/>
  <c r="C387" i="11"/>
  <c r="D387" i="11" s="1"/>
  <c r="A388" i="11"/>
  <c r="C388" i="11" s="1"/>
  <c r="D388" i="11" s="1"/>
  <c r="B388" i="11"/>
  <c r="A389" i="11"/>
  <c r="B389" i="11"/>
  <c r="C389" i="11"/>
  <c r="D389" i="11" s="1"/>
  <c r="A390" i="11"/>
  <c r="B390" i="11"/>
  <c r="C390" i="11"/>
  <c r="D390" i="11" s="1"/>
  <c r="A391" i="11"/>
  <c r="B391" i="11"/>
  <c r="C391" i="11"/>
  <c r="D391" i="11" s="1"/>
  <c r="A392" i="11"/>
  <c r="B392" i="11"/>
  <c r="C392" i="11"/>
  <c r="D392" i="11" s="1"/>
  <c r="A393" i="11"/>
  <c r="B393" i="11"/>
  <c r="C393" i="11"/>
  <c r="D393" i="11" s="1"/>
  <c r="A394" i="11"/>
  <c r="C394" i="11" s="1"/>
  <c r="D394" i="11" s="1"/>
  <c r="B394" i="11"/>
  <c r="A395" i="11"/>
  <c r="B395" i="11"/>
  <c r="C395" i="11"/>
  <c r="D395" i="11" s="1"/>
  <c r="A396" i="11"/>
  <c r="C396" i="11" s="1"/>
  <c r="D396" i="11" s="1"/>
  <c r="B396" i="11"/>
  <c r="A397" i="11"/>
  <c r="B397" i="11"/>
  <c r="C397" i="11"/>
  <c r="D397" i="11" s="1"/>
  <c r="A398" i="11"/>
  <c r="B398" i="11"/>
  <c r="C398" i="11"/>
  <c r="D398" i="11" s="1"/>
  <c r="A399" i="11"/>
  <c r="B399" i="11"/>
  <c r="C399" i="11"/>
  <c r="D399" i="11" s="1"/>
  <c r="A400" i="11"/>
  <c r="B400" i="11"/>
  <c r="C400" i="11"/>
  <c r="D400" i="11"/>
  <c r="A401" i="11"/>
  <c r="B401" i="11"/>
  <c r="C401" i="11"/>
  <c r="D401" i="11" s="1"/>
  <c r="A402" i="11"/>
  <c r="B402" i="11"/>
  <c r="C402" i="11"/>
  <c r="D402" i="11" s="1"/>
  <c r="A403" i="11"/>
  <c r="B403" i="11"/>
  <c r="C403" i="11"/>
  <c r="D403" i="11" s="1"/>
  <c r="A404" i="11"/>
  <c r="C404" i="11" s="1"/>
  <c r="D404" i="11" s="1"/>
  <c r="B404" i="11"/>
  <c r="A405" i="11"/>
  <c r="B405" i="11"/>
  <c r="C405" i="11"/>
  <c r="D405" i="11" s="1"/>
  <c r="A406" i="11"/>
  <c r="B406" i="11"/>
  <c r="C406" i="11"/>
  <c r="D406" i="11" s="1"/>
  <c r="A407" i="11"/>
  <c r="B407" i="11"/>
  <c r="C407" i="11"/>
  <c r="D407" i="11" s="1"/>
  <c r="A408" i="11"/>
  <c r="B408" i="11"/>
  <c r="C408" i="11"/>
  <c r="D408" i="11" s="1"/>
  <c r="A409" i="11"/>
  <c r="B409" i="11"/>
  <c r="C409" i="11"/>
  <c r="D409" i="11" s="1"/>
  <c r="A410" i="11"/>
  <c r="C410" i="11" s="1"/>
  <c r="D410" i="11" s="1"/>
  <c r="B410" i="11"/>
  <c r="A411" i="11"/>
  <c r="B411" i="11"/>
  <c r="C411" i="11"/>
  <c r="D411" i="11" s="1"/>
  <c r="A412" i="11"/>
  <c r="B412" i="11"/>
  <c r="C412" i="11"/>
  <c r="D412" i="11" s="1"/>
  <c r="A413" i="11"/>
  <c r="B413" i="11"/>
  <c r="C413" i="11"/>
  <c r="D413" i="11" s="1"/>
  <c r="A414" i="11"/>
  <c r="B414" i="11"/>
  <c r="C414" i="11"/>
  <c r="D414" i="11" s="1"/>
  <c r="A415" i="11"/>
  <c r="B415" i="11"/>
  <c r="C415" i="11"/>
  <c r="D415" i="11" s="1"/>
  <c r="A416" i="11"/>
  <c r="B416" i="11"/>
  <c r="C416" i="11"/>
  <c r="D416" i="11"/>
  <c r="A417" i="11"/>
  <c r="B417" i="11"/>
  <c r="C417" i="11"/>
  <c r="D417" i="11" s="1"/>
  <c r="A418" i="11"/>
  <c r="B418" i="11"/>
  <c r="C418" i="11"/>
  <c r="D418" i="11" s="1"/>
  <c r="A419" i="11"/>
  <c r="B419" i="11"/>
  <c r="C419" i="11"/>
  <c r="D419" i="11" s="1"/>
  <c r="A420" i="11"/>
  <c r="C420" i="11" s="1"/>
  <c r="D420" i="11" s="1"/>
  <c r="B420" i="11"/>
  <c r="A421" i="11"/>
  <c r="B421" i="11"/>
  <c r="C421" i="11"/>
  <c r="D421" i="11" s="1"/>
  <c r="A422" i="11"/>
  <c r="B422" i="11"/>
  <c r="C422" i="11"/>
  <c r="D422" i="11" s="1"/>
  <c r="A423" i="11"/>
  <c r="B423" i="11"/>
  <c r="C423" i="11"/>
  <c r="D423" i="11" s="1"/>
  <c r="A424" i="11"/>
  <c r="B424" i="11"/>
  <c r="C424" i="11"/>
  <c r="D424" i="11" s="1"/>
  <c r="A425" i="11"/>
  <c r="B425" i="11"/>
  <c r="C425" i="11"/>
  <c r="D425" i="11" s="1"/>
  <c r="A426" i="11"/>
  <c r="C426" i="11" s="1"/>
  <c r="D426" i="11" s="1"/>
  <c r="B426" i="11"/>
  <c r="A427" i="11"/>
  <c r="B427" i="11"/>
  <c r="C427" i="11"/>
  <c r="D427" i="11" s="1"/>
  <c r="A428" i="11"/>
  <c r="B428" i="11"/>
  <c r="C428" i="11"/>
  <c r="D428" i="11" s="1"/>
  <c r="A429" i="11"/>
  <c r="B429" i="11"/>
  <c r="C429" i="11"/>
  <c r="D429" i="11" s="1"/>
  <c r="A430" i="11"/>
  <c r="B430" i="11"/>
  <c r="C430" i="11"/>
  <c r="D430" i="11" s="1"/>
  <c r="A431" i="11"/>
  <c r="B431" i="11"/>
  <c r="C431" i="11"/>
  <c r="D431" i="11" s="1"/>
  <c r="A432" i="11"/>
  <c r="B432" i="11"/>
  <c r="C432" i="11"/>
  <c r="D432" i="11"/>
  <c r="A433" i="11"/>
  <c r="B433" i="11"/>
  <c r="C433" i="11"/>
  <c r="D433" i="11" s="1"/>
  <c r="A434" i="11"/>
  <c r="B434" i="11"/>
  <c r="C434" i="11"/>
  <c r="D434" i="11" s="1"/>
  <c r="A435" i="11"/>
  <c r="B435" i="11"/>
  <c r="C435" i="11"/>
  <c r="D435" i="11" s="1"/>
  <c r="A436" i="11"/>
  <c r="C436" i="11" s="1"/>
  <c r="D436" i="11" s="1"/>
  <c r="B436" i="11"/>
  <c r="A437" i="11"/>
  <c r="B437" i="11"/>
  <c r="C437" i="11"/>
  <c r="D437" i="11" s="1"/>
  <c r="A438" i="11"/>
  <c r="B438" i="11"/>
  <c r="C438" i="11"/>
  <c r="D438" i="11" s="1"/>
  <c r="A439" i="11"/>
  <c r="B439" i="11"/>
  <c r="C439" i="11"/>
  <c r="D439" i="11" s="1"/>
  <c r="A440" i="11"/>
  <c r="B440" i="11"/>
  <c r="C440" i="11"/>
  <c r="D440" i="11" s="1"/>
  <c r="A441" i="11"/>
  <c r="B441" i="11"/>
  <c r="C441" i="11"/>
  <c r="D441" i="11" s="1"/>
  <c r="A442" i="11"/>
  <c r="C442" i="11" s="1"/>
  <c r="D442" i="11" s="1"/>
  <c r="B442" i="11"/>
  <c r="A443" i="11"/>
  <c r="B443" i="11"/>
  <c r="C443" i="11"/>
  <c r="D443" i="11" s="1"/>
  <c r="A444" i="11"/>
  <c r="B444" i="11"/>
  <c r="C444" i="11"/>
  <c r="D444" i="11" s="1"/>
  <c r="A445" i="11"/>
  <c r="B445" i="11"/>
  <c r="C445" i="11"/>
  <c r="D445" i="11" s="1"/>
  <c r="A446" i="11"/>
  <c r="B446" i="11"/>
  <c r="C446" i="11"/>
  <c r="D446" i="11" s="1"/>
  <c r="A447" i="11"/>
  <c r="B447" i="11"/>
  <c r="C447" i="11"/>
  <c r="D447" i="11" s="1"/>
  <c r="A448" i="11"/>
  <c r="B448" i="11"/>
  <c r="C448" i="11"/>
  <c r="D448" i="11"/>
  <c r="A449" i="11"/>
  <c r="B449" i="11"/>
  <c r="C449" i="11"/>
  <c r="D449" i="11" s="1"/>
  <c r="A450" i="11"/>
  <c r="B450" i="11"/>
  <c r="C450" i="11"/>
  <c r="D450" i="11" s="1"/>
  <c r="A451" i="11"/>
  <c r="B451" i="11"/>
  <c r="C451" i="11"/>
  <c r="D451" i="11" s="1"/>
  <c r="A452" i="11"/>
  <c r="C452" i="11" s="1"/>
  <c r="D452" i="11" s="1"/>
  <c r="B452" i="11"/>
  <c r="A453" i="11"/>
  <c r="B453" i="11"/>
  <c r="C453" i="11"/>
  <c r="D453" i="11" s="1"/>
  <c r="A454" i="11"/>
  <c r="B454" i="11"/>
  <c r="C454" i="11"/>
  <c r="D454" i="11" s="1"/>
  <c r="A455" i="11"/>
  <c r="B455" i="11"/>
  <c r="C455" i="11"/>
  <c r="D455" i="11" s="1"/>
  <c r="A456" i="11"/>
  <c r="B456" i="11"/>
  <c r="C456" i="11"/>
  <c r="D456" i="11" s="1"/>
  <c r="A457" i="11"/>
  <c r="B457" i="11"/>
  <c r="C457" i="11"/>
  <c r="D457" i="11" s="1"/>
  <c r="A458" i="11"/>
  <c r="C458" i="11" s="1"/>
  <c r="D458" i="11" s="1"/>
  <c r="B458" i="11"/>
  <c r="A459" i="11"/>
  <c r="B459" i="11"/>
  <c r="C459" i="11"/>
  <c r="D459" i="11" s="1"/>
  <c r="A460" i="11"/>
  <c r="B460" i="11"/>
  <c r="C460" i="11"/>
  <c r="D460" i="11" s="1"/>
  <c r="A461" i="11"/>
  <c r="B461" i="11"/>
  <c r="C461" i="11"/>
  <c r="D461" i="11" s="1"/>
  <c r="A462" i="11"/>
  <c r="B462" i="11"/>
  <c r="C462" i="11"/>
  <c r="D462" i="11" s="1"/>
  <c r="A463" i="11"/>
  <c r="B463" i="11"/>
  <c r="C463" i="11"/>
  <c r="D463" i="11" s="1"/>
  <c r="A464" i="11"/>
  <c r="B464" i="11"/>
  <c r="C464" i="11"/>
  <c r="D464" i="11"/>
  <c r="A465" i="11"/>
  <c r="B465" i="11"/>
  <c r="C465" i="11"/>
  <c r="D465" i="11" s="1"/>
  <c r="A466" i="11"/>
  <c r="B466" i="11"/>
  <c r="C466" i="11"/>
  <c r="D466" i="11" s="1"/>
  <c r="A467" i="11"/>
  <c r="B467" i="11"/>
  <c r="C467" i="11"/>
  <c r="D467" i="11" s="1"/>
  <c r="A468" i="11"/>
  <c r="C468" i="11" s="1"/>
  <c r="D468" i="11" s="1"/>
  <c r="B468" i="11"/>
  <c r="A469" i="11"/>
  <c r="B469" i="11"/>
  <c r="C469" i="11"/>
  <c r="D469" i="11" s="1"/>
  <c r="A470" i="11"/>
  <c r="B470" i="11"/>
  <c r="C470" i="11"/>
  <c r="D470" i="11" s="1"/>
  <c r="A471" i="11"/>
  <c r="B471" i="11"/>
  <c r="C471" i="11"/>
  <c r="D471" i="11" s="1"/>
  <c r="A472" i="11"/>
  <c r="B472" i="11"/>
  <c r="C472" i="11"/>
  <c r="D472" i="11" s="1"/>
  <c r="A473" i="11"/>
  <c r="B473" i="11"/>
  <c r="C473" i="11"/>
  <c r="D473" i="11" s="1"/>
  <c r="A474" i="11"/>
  <c r="C474" i="11" s="1"/>
  <c r="D474" i="11" s="1"/>
  <c r="B474" i="11"/>
  <c r="A475" i="11"/>
  <c r="B475" i="11"/>
  <c r="C475" i="11"/>
  <c r="D475" i="11" s="1"/>
  <c r="A476" i="11"/>
  <c r="B476" i="11"/>
  <c r="C476" i="11"/>
  <c r="D476" i="11" s="1"/>
  <c r="A477" i="11"/>
  <c r="B477" i="11"/>
  <c r="C477" i="11"/>
  <c r="D477" i="11" s="1"/>
  <c r="A478" i="11"/>
  <c r="B478" i="11"/>
  <c r="C478" i="11"/>
  <c r="D478" i="11" s="1"/>
  <c r="A479" i="11"/>
  <c r="B479" i="11"/>
  <c r="C479" i="11"/>
  <c r="D479" i="11" s="1"/>
  <c r="A480" i="11"/>
  <c r="B480" i="11"/>
  <c r="C480" i="11"/>
  <c r="D480" i="11"/>
  <c r="A481" i="11"/>
  <c r="B481" i="11"/>
  <c r="C481" i="11"/>
  <c r="D481" i="11" s="1"/>
  <c r="A482" i="11"/>
  <c r="B482" i="11"/>
  <c r="C482" i="11"/>
  <c r="D482" i="11" s="1"/>
  <c r="A483" i="11"/>
  <c r="B483" i="11"/>
  <c r="C483" i="11"/>
  <c r="D483" i="11" s="1"/>
  <c r="A484" i="11"/>
  <c r="C484" i="11" s="1"/>
  <c r="D484" i="11" s="1"/>
  <c r="B484" i="11"/>
  <c r="A485" i="11"/>
  <c r="B485" i="11"/>
  <c r="C485" i="11"/>
  <c r="D485" i="11" s="1"/>
  <c r="A486" i="11"/>
  <c r="B486" i="11"/>
  <c r="C486" i="11"/>
  <c r="D486" i="11" s="1"/>
  <c r="A487" i="11"/>
  <c r="B487" i="11"/>
  <c r="C487" i="11"/>
  <c r="D487" i="11" s="1"/>
  <c r="A488" i="11"/>
  <c r="B488" i="11"/>
  <c r="C488" i="11"/>
  <c r="D488" i="11" s="1"/>
  <c r="A489" i="11"/>
  <c r="B489" i="11"/>
  <c r="C489" i="11"/>
  <c r="D489" i="11" s="1"/>
  <c r="A490" i="11"/>
  <c r="C490" i="11" s="1"/>
  <c r="D490" i="11" s="1"/>
  <c r="B490" i="11"/>
  <c r="A491" i="11"/>
  <c r="B491" i="11"/>
  <c r="C491" i="11"/>
  <c r="D491" i="11" s="1"/>
  <c r="A492" i="11"/>
  <c r="B492" i="11"/>
  <c r="C492" i="11"/>
  <c r="D492" i="11" s="1"/>
  <c r="A493" i="11"/>
  <c r="B493" i="11"/>
  <c r="C493" i="11"/>
  <c r="D493" i="11" s="1"/>
  <c r="A494" i="11"/>
  <c r="B494" i="11"/>
  <c r="C494" i="11"/>
  <c r="D494" i="11" s="1"/>
  <c r="A495" i="11"/>
  <c r="B495" i="11"/>
  <c r="C495" i="11"/>
  <c r="D495" i="11" s="1"/>
  <c r="A496" i="11"/>
  <c r="B496" i="11"/>
  <c r="C496" i="11"/>
  <c r="D496" i="11"/>
  <c r="A497" i="11"/>
  <c r="B497" i="11"/>
  <c r="C497" i="11"/>
  <c r="D497" i="11" s="1"/>
  <c r="A498" i="11"/>
  <c r="B498" i="11"/>
  <c r="C498" i="11"/>
  <c r="D498" i="11" s="1"/>
  <c r="A499" i="11"/>
  <c r="B499" i="11"/>
  <c r="C499" i="11"/>
  <c r="D499" i="11" s="1"/>
  <c r="A500" i="11"/>
  <c r="C500" i="11" s="1"/>
  <c r="D500" i="11" s="1"/>
  <c r="B500" i="11"/>
  <c r="A501" i="11"/>
  <c r="B501" i="11"/>
  <c r="C501" i="11"/>
  <c r="D501" i="11" s="1"/>
  <c r="A502" i="11"/>
  <c r="B502" i="11"/>
  <c r="C502" i="11"/>
  <c r="D502" i="11" s="1"/>
  <c r="A503" i="11"/>
  <c r="B503" i="11"/>
  <c r="C503" i="11"/>
  <c r="D503" i="11" s="1"/>
  <c r="A504" i="11"/>
  <c r="B504" i="11"/>
  <c r="C504" i="11"/>
  <c r="D504" i="11" s="1"/>
  <c r="A505" i="11"/>
  <c r="B505" i="11"/>
  <c r="C505" i="11"/>
  <c r="D505" i="11" s="1"/>
  <c r="A506" i="11"/>
  <c r="C506" i="11" s="1"/>
  <c r="D506" i="11" s="1"/>
  <c r="B506" i="11"/>
  <c r="A507" i="11"/>
  <c r="B507" i="11"/>
  <c r="C507" i="11"/>
  <c r="D507" i="11" s="1"/>
  <c r="A508" i="11"/>
  <c r="B508" i="11"/>
  <c r="C508" i="11"/>
  <c r="D508" i="11" s="1"/>
  <c r="A509" i="11"/>
  <c r="B509" i="11"/>
  <c r="C509" i="11"/>
  <c r="D509" i="11" s="1"/>
  <c r="A510" i="11"/>
  <c r="B510" i="11"/>
  <c r="C510" i="11"/>
  <c r="D510" i="11" s="1"/>
  <c r="A511" i="11"/>
  <c r="B511" i="11"/>
  <c r="C511" i="11"/>
  <c r="D511" i="11" s="1"/>
  <c r="A512" i="11"/>
  <c r="B512" i="11"/>
  <c r="C512" i="11"/>
  <c r="D512" i="11"/>
  <c r="A513" i="11"/>
  <c r="B513" i="11"/>
  <c r="C513" i="11"/>
  <c r="D513" i="11" s="1"/>
  <c r="A514" i="11"/>
  <c r="B514" i="11"/>
  <c r="C514" i="11"/>
  <c r="D514" i="11" s="1"/>
  <c r="A515" i="11"/>
  <c r="B515" i="11"/>
  <c r="C515" i="11"/>
  <c r="D515" i="11" s="1"/>
  <c r="A516" i="11"/>
  <c r="C516" i="11" s="1"/>
  <c r="D516" i="11" s="1"/>
  <c r="B516" i="11"/>
  <c r="A517" i="11"/>
  <c r="B517" i="11"/>
  <c r="C517" i="11"/>
  <c r="D517" i="11" s="1"/>
  <c r="A518" i="11"/>
  <c r="B518" i="11"/>
  <c r="C518" i="11"/>
  <c r="D518" i="11" s="1"/>
  <c r="A519" i="11"/>
  <c r="B519" i="11"/>
  <c r="C519" i="11"/>
  <c r="D519" i="11" s="1"/>
  <c r="A520" i="11"/>
  <c r="B520" i="11"/>
  <c r="C520" i="11"/>
  <c r="D520" i="11" s="1"/>
  <c r="A521" i="11"/>
  <c r="B521" i="11"/>
  <c r="C521" i="11"/>
  <c r="D521" i="11" s="1"/>
  <c r="A522" i="11"/>
  <c r="C522" i="11" s="1"/>
  <c r="D522" i="11" s="1"/>
  <c r="B522" i="11"/>
  <c r="A523" i="11"/>
  <c r="B523" i="11"/>
  <c r="C523" i="11"/>
  <c r="D523" i="11" s="1"/>
  <c r="A524" i="11"/>
  <c r="B524" i="11"/>
  <c r="C524" i="11"/>
  <c r="D524" i="11" s="1"/>
  <c r="A525" i="11"/>
  <c r="B525" i="11"/>
  <c r="C525" i="11"/>
  <c r="D525" i="11" s="1"/>
  <c r="A526" i="11"/>
  <c r="B526" i="11"/>
  <c r="C526" i="11"/>
  <c r="D526" i="11" s="1"/>
  <c r="A527" i="11"/>
  <c r="B527" i="11"/>
  <c r="C527" i="11"/>
  <c r="D527" i="11" s="1"/>
  <c r="A528" i="11"/>
  <c r="B528" i="11"/>
  <c r="C528" i="11"/>
  <c r="D528" i="11"/>
  <c r="A529" i="11"/>
  <c r="B529" i="11"/>
  <c r="C529" i="11"/>
  <c r="D529" i="11" s="1"/>
  <c r="A530" i="11"/>
  <c r="B530" i="11"/>
  <c r="C530" i="11"/>
  <c r="D530" i="11" s="1"/>
  <c r="A531" i="11"/>
  <c r="B531" i="11"/>
  <c r="C531" i="11"/>
  <c r="D531" i="11" s="1"/>
  <c r="A532" i="11"/>
  <c r="C532" i="11" s="1"/>
  <c r="D532" i="11" s="1"/>
  <c r="B532" i="11"/>
  <c r="A533" i="11"/>
  <c r="B533" i="11"/>
  <c r="C533" i="11"/>
  <c r="D533" i="11" s="1"/>
  <c r="A534" i="11"/>
  <c r="B534" i="11"/>
  <c r="C534" i="11"/>
  <c r="D534" i="11" s="1"/>
  <c r="A535" i="11"/>
  <c r="B535" i="11"/>
  <c r="C535" i="11"/>
  <c r="D535" i="11" s="1"/>
  <c r="A536" i="11"/>
  <c r="B536" i="11"/>
  <c r="C536" i="11"/>
  <c r="D536" i="11" s="1"/>
  <c r="A537" i="11"/>
  <c r="B537" i="11"/>
  <c r="C537" i="11"/>
  <c r="D537" i="11" s="1"/>
  <c r="A538" i="11"/>
  <c r="C538" i="11" s="1"/>
  <c r="D538" i="11" s="1"/>
  <c r="B538" i="11"/>
  <c r="A539" i="11"/>
  <c r="B539" i="11"/>
  <c r="C539" i="11"/>
  <c r="D539" i="11" s="1"/>
  <c r="A540" i="11"/>
  <c r="B540" i="11"/>
  <c r="C540" i="11"/>
  <c r="D540" i="11" s="1"/>
  <c r="A541" i="11"/>
  <c r="B541" i="11"/>
  <c r="C541" i="11"/>
  <c r="D541" i="11" s="1"/>
  <c r="A542" i="11"/>
  <c r="B542" i="11"/>
  <c r="C542" i="11"/>
  <c r="D542" i="11" s="1"/>
  <c r="A543" i="11"/>
  <c r="B543" i="11"/>
  <c r="C543" i="11"/>
  <c r="D543" i="11" s="1"/>
  <c r="A544" i="11"/>
  <c r="B544" i="11"/>
  <c r="C544" i="11"/>
  <c r="D544" i="11"/>
  <c r="A545" i="11"/>
  <c r="B545" i="11"/>
  <c r="C545" i="11"/>
  <c r="D545" i="11" s="1"/>
  <c r="A546" i="11"/>
  <c r="B546" i="11"/>
  <c r="C546" i="11"/>
  <c r="D546" i="11" s="1"/>
  <c r="A547" i="11"/>
  <c r="B547" i="11"/>
  <c r="C547" i="11"/>
  <c r="D547" i="11" s="1"/>
  <c r="A548" i="11"/>
  <c r="C548" i="11" s="1"/>
  <c r="D548" i="11" s="1"/>
  <c r="B548" i="11"/>
  <c r="A549" i="11"/>
  <c r="B549" i="11"/>
  <c r="C549" i="11"/>
  <c r="D549" i="11" s="1"/>
  <c r="A550" i="11"/>
  <c r="B550" i="11"/>
  <c r="C550" i="11"/>
  <c r="D550" i="11" s="1"/>
  <c r="A551" i="11"/>
  <c r="B551" i="11"/>
  <c r="C551" i="11"/>
  <c r="D551" i="11" s="1"/>
  <c r="A552" i="11"/>
  <c r="B552" i="11"/>
  <c r="C552" i="11"/>
  <c r="D552" i="11" s="1"/>
  <c r="A553" i="11"/>
  <c r="B553" i="11"/>
  <c r="C553" i="11"/>
  <c r="D553" i="11" s="1"/>
  <c r="A554" i="11"/>
  <c r="C554" i="11" s="1"/>
  <c r="D554" i="11" s="1"/>
  <c r="B554" i="11"/>
  <c r="A555" i="11"/>
  <c r="B555" i="11"/>
  <c r="C555" i="11"/>
  <c r="D555" i="11" s="1"/>
  <c r="A556" i="11"/>
  <c r="B556" i="11"/>
  <c r="C556" i="11"/>
  <c r="D556" i="11" s="1"/>
  <c r="A557" i="11"/>
  <c r="B557" i="11"/>
  <c r="C557" i="11"/>
  <c r="D557" i="11" s="1"/>
  <c r="A558" i="11"/>
  <c r="B558" i="11"/>
  <c r="C558" i="11"/>
  <c r="D558" i="11" s="1"/>
  <c r="A559" i="11"/>
  <c r="B559" i="11"/>
  <c r="C559" i="11"/>
  <c r="D559" i="11" s="1"/>
  <c r="A560" i="11"/>
  <c r="B560" i="11"/>
  <c r="C560" i="11"/>
  <c r="D560" i="11"/>
  <c r="A561" i="11"/>
  <c r="B561" i="11"/>
  <c r="C561" i="11"/>
  <c r="D561" i="11" s="1"/>
  <c r="A562" i="11"/>
  <c r="B562" i="11"/>
  <c r="C562" i="11"/>
  <c r="D562" i="11" s="1"/>
  <c r="A563" i="11"/>
  <c r="B563" i="11"/>
  <c r="C563" i="11"/>
  <c r="D563" i="11" s="1"/>
  <c r="A564" i="11"/>
  <c r="C564" i="11" s="1"/>
  <c r="D564" i="11" s="1"/>
  <c r="B564" i="11"/>
  <c r="A565" i="11"/>
  <c r="B565" i="11"/>
  <c r="C565" i="11"/>
  <c r="D565" i="11" s="1"/>
  <c r="A566" i="11"/>
  <c r="B566" i="11"/>
  <c r="C566" i="11"/>
  <c r="D566" i="11" s="1"/>
  <c r="A567" i="11"/>
  <c r="B567" i="11"/>
  <c r="C567" i="11"/>
  <c r="D567" i="11" s="1"/>
  <c r="A568" i="11"/>
  <c r="B568" i="11"/>
  <c r="C568" i="11"/>
  <c r="D568" i="11" s="1"/>
  <c r="A569" i="11"/>
  <c r="B569" i="11"/>
  <c r="C569" i="11"/>
  <c r="D569" i="11" s="1"/>
  <c r="A570" i="11"/>
  <c r="C570" i="11" s="1"/>
  <c r="D570" i="11" s="1"/>
  <c r="B570" i="11"/>
  <c r="A571" i="11"/>
  <c r="B571" i="11"/>
  <c r="C571" i="11"/>
  <c r="D571" i="11" s="1"/>
  <c r="A572" i="11"/>
  <c r="B572" i="11"/>
  <c r="C572" i="11"/>
  <c r="D572" i="11" s="1"/>
  <c r="A573" i="11"/>
  <c r="B573" i="11"/>
  <c r="C573" i="11"/>
  <c r="D573" i="11" s="1"/>
  <c r="A574" i="11"/>
  <c r="B574" i="11"/>
  <c r="C574" i="11"/>
  <c r="D574" i="11" s="1"/>
  <c r="A575" i="11"/>
  <c r="B575" i="11"/>
  <c r="C575" i="11"/>
  <c r="D575" i="11" s="1"/>
  <c r="A576" i="11"/>
  <c r="B576" i="11"/>
  <c r="C576" i="11"/>
  <c r="D576" i="11"/>
  <c r="A577" i="11"/>
  <c r="B577" i="11"/>
  <c r="C577" i="11"/>
  <c r="D577" i="11" s="1"/>
  <c r="A578" i="11"/>
  <c r="B578" i="11"/>
  <c r="C578" i="11"/>
  <c r="D578" i="11" s="1"/>
  <c r="A579" i="11"/>
  <c r="B579" i="11"/>
  <c r="C579" i="11"/>
  <c r="D579" i="11" s="1"/>
  <c r="A580" i="11"/>
  <c r="C580" i="11" s="1"/>
  <c r="D580" i="11" s="1"/>
  <c r="B580" i="11"/>
  <c r="A581" i="11"/>
  <c r="B581" i="11"/>
  <c r="C581" i="11"/>
  <c r="D581" i="11" s="1"/>
  <c r="A582" i="11"/>
  <c r="B582" i="11"/>
  <c r="C582" i="11" s="1"/>
  <c r="D582" i="11" s="1"/>
  <c r="A583" i="11"/>
  <c r="B583" i="11"/>
  <c r="C583" i="11"/>
  <c r="D583" i="11" s="1"/>
  <c r="A584" i="11"/>
  <c r="B584" i="11"/>
  <c r="C584" i="11"/>
  <c r="D584" i="11" s="1"/>
  <c r="A585" i="11"/>
  <c r="B585" i="11"/>
  <c r="C585" i="11"/>
  <c r="D585" i="11" s="1"/>
  <c r="A586" i="11"/>
  <c r="B586" i="11"/>
  <c r="C586" i="11" s="1"/>
  <c r="D586" i="11" s="1"/>
  <c r="A587" i="11"/>
  <c r="B587" i="11"/>
  <c r="C587" i="11"/>
  <c r="D587" i="11" s="1"/>
  <c r="A588" i="11"/>
  <c r="B588" i="11"/>
  <c r="C588" i="11" s="1"/>
  <c r="D588" i="11" s="1"/>
  <c r="A589" i="11"/>
  <c r="B589" i="11"/>
  <c r="C589" i="11"/>
  <c r="D589" i="11" s="1"/>
  <c r="A590" i="11"/>
  <c r="B590" i="11"/>
  <c r="C590" i="11"/>
  <c r="D590" i="11" s="1"/>
  <c r="A591" i="11"/>
  <c r="B591" i="11"/>
  <c r="C591" i="11"/>
  <c r="D591" i="11" s="1"/>
  <c r="A592" i="11"/>
  <c r="B592" i="11"/>
  <c r="C592" i="11" s="1"/>
  <c r="D592" i="11" s="1"/>
  <c r="A593" i="11"/>
  <c r="B593" i="11"/>
  <c r="C593" i="11"/>
  <c r="D593" i="11" s="1"/>
  <c r="A594" i="11"/>
  <c r="B594" i="11"/>
  <c r="C594" i="11"/>
  <c r="D594" i="11" s="1"/>
  <c r="A595" i="11"/>
  <c r="B595" i="11"/>
  <c r="C595" i="11"/>
  <c r="D595" i="11" s="1"/>
  <c r="A596" i="11"/>
  <c r="B596" i="11"/>
  <c r="C596" i="11" s="1"/>
  <c r="D596" i="11" s="1"/>
  <c r="A597" i="11"/>
  <c r="B597" i="11"/>
  <c r="C597" i="11"/>
  <c r="D597" i="11" s="1"/>
  <c r="A598" i="11"/>
  <c r="B598" i="11"/>
  <c r="C598" i="11" s="1"/>
  <c r="D598" i="11" s="1"/>
  <c r="A599" i="11"/>
  <c r="B599" i="11"/>
  <c r="C599" i="11"/>
  <c r="D599" i="11" s="1"/>
  <c r="A600" i="11"/>
  <c r="B600" i="11"/>
  <c r="C600" i="11"/>
  <c r="D600" i="11" s="1"/>
  <c r="A601" i="11"/>
  <c r="B601" i="11"/>
  <c r="C601" i="11"/>
  <c r="D601" i="11" s="1"/>
  <c r="A602" i="11"/>
  <c r="B602" i="11"/>
  <c r="A603" i="11"/>
  <c r="B603" i="11"/>
  <c r="C603" i="11"/>
  <c r="D603" i="11" s="1"/>
  <c r="A604" i="11"/>
  <c r="B604" i="11"/>
  <c r="C604" i="11" s="1"/>
  <c r="D604" i="11" s="1"/>
  <c r="A605" i="11"/>
  <c r="B605" i="11"/>
  <c r="C605" i="11"/>
  <c r="D605" i="11" s="1"/>
  <c r="A606" i="11"/>
  <c r="B606" i="11"/>
  <c r="C606" i="11"/>
  <c r="D606" i="11" s="1"/>
  <c r="A607" i="11"/>
  <c r="B607" i="11"/>
  <c r="C607" i="11"/>
  <c r="D607" i="11" s="1"/>
  <c r="A608" i="11"/>
  <c r="B608" i="11"/>
  <c r="C608" i="11" s="1"/>
  <c r="D608" i="11" s="1"/>
  <c r="A609" i="11"/>
  <c r="B609" i="11"/>
  <c r="C609" i="11"/>
  <c r="D609" i="11" s="1"/>
  <c r="A610" i="11"/>
  <c r="B610" i="11"/>
  <c r="C610" i="11"/>
  <c r="D610" i="11" s="1"/>
  <c r="A611" i="11"/>
  <c r="B611" i="11"/>
  <c r="C611" i="11"/>
  <c r="D611" i="11" s="1"/>
  <c r="A612" i="11"/>
  <c r="B612" i="11"/>
  <c r="C612" i="11" s="1"/>
  <c r="D612" i="11"/>
  <c r="A613" i="11"/>
  <c r="B613" i="11"/>
  <c r="C613" i="11"/>
  <c r="D613" i="11" s="1"/>
  <c r="A614" i="11"/>
  <c r="B614" i="11"/>
  <c r="C614" i="11" s="1"/>
  <c r="D614" i="11" s="1"/>
  <c r="A615" i="11"/>
  <c r="B615" i="11"/>
  <c r="C615" i="11"/>
  <c r="D615" i="11" s="1"/>
  <c r="A616" i="11"/>
  <c r="B616" i="11"/>
  <c r="C616" i="11"/>
  <c r="D616" i="11" s="1"/>
  <c r="A617" i="11"/>
  <c r="B617" i="11"/>
  <c r="C617" i="11"/>
  <c r="D617" i="11" s="1"/>
  <c r="A618" i="11"/>
  <c r="B618" i="11"/>
  <c r="C618" i="11" s="1"/>
  <c r="D618" i="11" s="1"/>
  <c r="A619" i="11"/>
  <c r="B619" i="11"/>
  <c r="C619" i="11"/>
  <c r="D619" i="11" s="1"/>
  <c r="A620" i="11"/>
  <c r="B620" i="11"/>
  <c r="C620" i="11"/>
  <c r="D620" i="11" s="1"/>
  <c r="A621" i="11"/>
  <c r="B621" i="11"/>
  <c r="C621" i="11" s="1"/>
  <c r="D621" i="11" s="1"/>
  <c r="A622" i="11"/>
  <c r="C622" i="11" s="1"/>
  <c r="D622" i="11" s="1"/>
  <c r="B622" i="11"/>
  <c r="A623" i="11"/>
  <c r="B623" i="11"/>
  <c r="C623" i="11" s="1"/>
  <c r="D623" i="11" s="1"/>
  <c r="A624" i="11"/>
  <c r="B624" i="11"/>
  <c r="C624" i="11" s="1"/>
  <c r="D624" i="11"/>
  <c r="A625" i="11"/>
  <c r="B625" i="11"/>
  <c r="C625" i="11"/>
  <c r="D625" i="11" s="1"/>
  <c r="A626" i="11"/>
  <c r="B626" i="11"/>
  <c r="C626" i="11"/>
  <c r="D626" i="11" s="1"/>
  <c r="A627" i="11"/>
  <c r="B627" i="11"/>
  <c r="C627" i="11" s="1"/>
  <c r="D627" i="11" s="1"/>
  <c r="A628" i="11"/>
  <c r="B628" i="11"/>
  <c r="C628" i="11" s="1"/>
  <c r="D628" i="11" s="1"/>
  <c r="A629" i="11"/>
  <c r="B629" i="11"/>
  <c r="C629" i="11" s="1"/>
  <c r="D629" i="11" s="1"/>
  <c r="A630" i="11"/>
  <c r="B630" i="11"/>
  <c r="C630" i="11" s="1"/>
  <c r="D630" i="11" s="1"/>
  <c r="A631" i="11"/>
  <c r="B631" i="11"/>
  <c r="C631" i="11" s="1"/>
  <c r="D631" i="11" s="1"/>
  <c r="A632" i="11"/>
  <c r="B632" i="11"/>
  <c r="C632" i="11"/>
  <c r="D632" i="11" s="1"/>
  <c r="A633" i="11"/>
  <c r="B633" i="11"/>
  <c r="C633" i="11" s="1"/>
  <c r="D633" i="11" s="1"/>
  <c r="A634" i="11"/>
  <c r="B634" i="11"/>
  <c r="A635" i="11"/>
  <c r="B635" i="11"/>
  <c r="C635" i="11"/>
  <c r="D635" i="11" s="1"/>
  <c r="A636" i="11"/>
  <c r="C636" i="11" s="1"/>
  <c r="D636" i="11" s="1"/>
  <c r="B636" i="11"/>
  <c r="A637" i="11"/>
  <c r="B637" i="11"/>
  <c r="C637" i="11" s="1"/>
  <c r="D637" i="11" s="1"/>
  <c r="A638" i="11"/>
  <c r="B638" i="11"/>
  <c r="C638" i="11"/>
  <c r="D638" i="11" s="1"/>
  <c r="A639" i="11"/>
  <c r="B639" i="11"/>
  <c r="C639" i="11" s="1"/>
  <c r="D639" i="11" s="1"/>
  <c r="A640" i="11"/>
  <c r="B640" i="11"/>
  <c r="C640" i="11"/>
  <c r="D640" i="11" s="1"/>
  <c r="A641" i="11"/>
  <c r="B641" i="11"/>
  <c r="C641" i="11"/>
  <c r="D641" i="11" s="1"/>
  <c r="A642" i="11"/>
  <c r="B642" i="11"/>
  <c r="C642" i="11"/>
  <c r="D642" i="11"/>
  <c r="A643" i="11"/>
  <c r="B643" i="11"/>
  <c r="C643" i="11" s="1"/>
  <c r="D643" i="11" s="1"/>
  <c r="A644" i="11"/>
  <c r="B644" i="11"/>
  <c r="A645" i="11"/>
  <c r="B645" i="11"/>
  <c r="C645" i="11"/>
  <c r="D645" i="11" s="1"/>
  <c r="A646" i="11"/>
  <c r="B646" i="11"/>
  <c r="C646" i="11" s="1"/>
  <c r="D646" i="11" s="1"/>
  <c r="A647" i="11"/>
  <c r="B647" i="11"/>
  <c r="C647" i="11"/>
  <c r="D647" i="11" s="1"/>
  <c r="A648" i="11"/>
  <c r="B648" i="11"/>
  <c r="C648" i="11"/>
  <c r="D648" i="11" s="1"/>
  <c r="A649" i="11"/>
  <c r="B649" i="11"/>
  <c r="C649" i="11"/>
  <c r="D649" i="11" s="1"/>
  <c r="A650" i="11"/>
  <c r="B650" i="11"/>
  <c r="A651" i="11"/>
  <c r="B651" i="11"/>
  <c r="C651" i="11"/>
  <c r="D651" i="11" s="1"/>
  <c r="A652" i="11"/>
  <c r="B652" i="11"/>
  <c r="C652" i="11"/>
  <c r="D652" i="11" s="1"/>
  <c r="A653" i="11"/>
  <c r="B653" i="11"/>
  <c r="C653" i="11" s="1"/>
  <c r="D653" i="11" s="1"/>
  <c r="A654" i="11"/>
  <c r="B654" i="11"/>
  <c r="C654" i="11"/>
  <c r="D654" i="11" s="1"/>
  <c r="A655" i="11"/>
  <c r="B655" i="11"/>
  <c r="C655" i="11" s="1"/>
  <c r="D655" i="11" s="1"/>
  <c r="A656" i="11"/>
  <c r="B656" i="11"/>
  <c r="C656" i="11" s="1"/>
  <c r="D656" i="11" s="1"/>
  <c r="A657" i="11"/>
  <c r="B657" i="11"/>
  <c r="C657" i="11"/>
  <c r="D657" i="11" s="1"/>
  <c r="A658" i="11"/>
  <c r="B658" i="11"/>
  <c r="C658" i="11"/>
  <c r="D658" i="11" s="1"/>
  <c r="A659" i="11"/>
  <c r="B659" i="11"/>
  <c r="C659" i="11" s="1"/>
  <c r="D659" i="11" s="1"/>
  <c r="A660" i="11"/>
  <c r="B660" i="11"/>
  <c r="C660" i="11" s="1"/>
  <c r="D660" i="11" s="1"/>
  <c r="A661" i="11"/>
  <c r="B661" i="11"/>
  <c r="C661" i="11" s="1"/>
  <c r="D661" i="11" s="1"/>
  <c r="A662" i="11"/>
  <c r="B662" i="11"/>
  <c r="C662" i="11"/>
  <c r="D662" i="11" s="1"/>
  <c r="A663" i="11"/>
  <c r="B663" i="11"/>
  <c r="C663" i="11"/>
  <c r="D663" i="11"/>
  <c r="A664" i="11"/>
  <c r="B664" i="11"/>
  <c r="C664" i="11" s="1"/>
  <c r="D664" i="11" s="1"/>
  <c r="A665" i="11"/>
  <c r="B665" i="11"/>
  <c r="C665" i="11" s="1"/>
  <c r="D665" i="11" s="1"/>
  <c r="A666" i="11"/>
  <c r="B666" i="11"/>
  <c r="C666" i="11"/>
  <c r="D666" i="11" s="1"/>
  <c r="A667" i="11"/>
  <c r="B667" i="11"/>
  <c r="C667" i="11"/>
  <c r="D667" i="11" s="1"/>
  <c r="A668" i="11"/>
  <c r="B668" i="11"/>
  <c r="C668" i="11" s="1"/>
  <c r="D668" i="11" s="1"/>
  <c r="A669" i="11"/>
  <c r="B669" i="11"/>
  <c r="C669" i="11"/>
  <c r="D669" i="11"/>
  <c r="A670" i="11"/>
  <c r="B670" i="11"/>
  <c r="C670" i="11"/>
  <c r="D670" i="11" s="1"/>
  <c r="A671" i="11"/>
  <c r="B671" i="11"/>
  <c r="C671" i="11" s="1"/>
  <c r="D671" i="11" s="1"/>
  <c r="A672" i="11"/>
  <c r="B672" i="11"/>
  <c r="C672" i="11"/>
  <c r="D672" i="11" s="1"/>
  <c r="A673" i="11"/>
  <c r="B673" i="11"/>
  <c r="C673" i="11"/>
  <c r="D673" i="11" s="1"/>
  <c r="A674" i="11"/>
  <c r="B674" i="11"/>
  <c r="C674" i="11" s="1"/>
  <c r="D674" i="11" s="1"/>
  <c r="A675" i="11"/>
  <c r="B675" i="11"/>
  <c r="C675" i="11" s="1"/>
  <c r="D675" i="11" s="1"/>
  <c r="A676" i="11"/>
  <c r="B676" i="11"/>
  <c r="C676" i="11"/>
  <c r="D676" i="11" s="1"/>
  <c r="A677" i="11"/>
  <c r="B677" i="11"/>
  <c r="C677" i="11"/>
  <c r="D677" i="11" s="1"/>
  <c r="A678" i="11"/>
  <c r="B678" i="11"/>
  <c r="C678" i="11"/>
  <c r="D678" i="11" s="1"/>
  <c r="A679" i="11"/>
  <c r="B679" i="11"/>
  <c r="C679" i="11"/>
  <c r="D679" i="11"/>
  <c r="A680" i="11"/>
  <c r="B680" i="11"/>
  <c r="C680" i="11" s="1"/>
  <c r="D680" i="11" s="1"/>
  <c r="A681" i="11"/>
  <c r="B681" i="11"/>
  <c r="C681" i="11" s="1"/>
  <c r="D681" i="11" s="1"/>
  <c r="A682" i="11"/>
  <c r="B682" i="11"/>
  <c r="C682" i="11"/>
  <c r="D682" i="11" s="1"/>
  <c r="A683" i="11"/>
  <c r="B683" i="11"/>
  <c r="C683" i="11"/>
  <c r="D683" i="11" s="1"/>
  <c r="A684" i="11"/>
  <c r="B684" i="11"/>
  <c r="C684" i="11" s="1"/>
  <c r="D684" i="11" s="1"/>
  <c r="A685" i="11"/>
  <c r="B685" i="11"/>
  <c r="C685" i="11"/>
  <c r="D685" i="11"/>
  <c r="A686" i="11"/>
  <c r="B686" i="11"/>
  <c r="C686" i="11"/>
  <c r="D686" i="11" s="1"/>
  <c r="A687" i="11"/>
  <c r="B687" i="11"/>
  <c r="C687" i="11" s="1"/>
  <c r="D687" i="11" s="1"/>
  <c r="A688" i="11"/>
  <c r="C688" i="11" s="1"/>
  <c r="D688" i="11" s="1"/>
  <c r="B688" i="11"/>
  <c r="A689" i="11"/>
  <c r="B689" i="11"/>
  <c r="C689" i="11"/>
  <c r="D689" i="11" s="1"/>
  <c r="A690" i="11"/>
  <c r="B690" i="11"/>
  <c r="C690" i="11" s="1"/>
  <c r="D690" i="11" s="1"/>
  <c r="A691" i="11"/>
  <c r="B691" i="11"/>
  <c r="C691" i="11" s="1"/>
  <c r="D691" i="11" s="1"/>
  <c r="A692" i="11"/>
  <c r="B692" i="11"/>
  <c r="C692" i="11"/>
  <c r="D692" i="11" s="1"/>
  <c r="A693" i="11"/>
  <c r="B693" i="11"/>
  <c r="C693" i="11"/>
  <c r="D693" i="11" s="1"/>
  <c r="A694" i="11"/>
  <c r="C694" i="11" s="1"/>
  <c r="D694" i="11" s="1"/>
  <c r="B694" i="11"/>
  <c r="A695" i="11"/>
  <c r="B695" i="11"/>
  <c r="C695" i="11"/>
  <c r="D695" i="11"/>
  <c r="A696" i="11"/>
  <c r="B696" i="11"/>
  <c r="C696" i="11" s="1"/>
  <c r="D696" i="11" s="1"/>
  <c r="A697" i="11"/>
  <c r="B697" i="11"/>
  <c r="C697" i="11" s="1"/>
  <c r="D697" i="11" s="1"/>
  <c r="A698" i="11"/>
  <c r="B698" i="11"/>
  <c r="C698" i="11"/>
  <c r="D698" i="11" s="1"/>
  <c r="A699" i="11"/>
  <c r="B699" i="11"/>
  <c r="C699" i="11"/>
  <c r="D699" i="11" s="1"/>
  <c r="A700" i="11"/>
  <c r="B700" i="11"/>
  <c r="C700" i="11" s="1"/>
  <c r="D700" i="11" s="1"/>
  <c r="A701" i="11"/>
  <c r="B701" i="11"/>
  <c r="C701" i="11"/>
  <c r="D701" i="11"/>
  <c r="A702" i="11"/>
  <c r="B702" i="11"/>
  <c r="C702" i="11"/>
  <c r="D702" i="11" s="1"/>
  <c r="A703" i="11"/>
  <c r="B703" i="11"/>
  <c r="C703" i="11" s="1"/>
  <c r="D703" i="11" s="1"/>
  <c r="A704" i="11"/>
  <c r="C704" i="11" s="1"/>
  <c r="D704" i="11" s="1"/>
  <c r="B704" i="11"/>
  <c r="A705" i="11"/>
  <c r="B705" i="11"/>
  <c r="C705" i="11"/>
  <c r="D705" i="11" s="1"/>
  <c r="A706" i="11"/>
  <c r="B706" i="11"/>
  <c r="C706" i="11" s="1"/>
  <c r="D706" i="11" s="1"/>
  <c r="A707" i="11"/>
  <c r="B707" i="11"/>
  <c r="C707" i="11" s="1"/>
  <c r="D707" i="11" s="1"/>
  <c r="A708" i="11"/>
  <c r="B708" i="11"/>
  <c r="C708" i="11"/>
  <c r="D708" i="11" s="1"/>
  <c r="A709" i="11"/>
  <c r="B709" i="11"/>
  <c r="C709" i="11"/>
  <c r="D709" i="11" s="1"/>
  <c r="A710" i="11"/>
  <c r="C710" i="11" s="1"/>
  <c r="D710" i="11" s="1"/>
  <c r="B710" i="11"/>
  <c r="A711" i="11"/>
  <c r="B711" i="11"/>
  <c r="C711" i="11"/>
  <c r="D711" i="11"/>
  <c r="A712" i="11"/>
  <c r="B712" i="11"/>
  <c r="C712" i="11" s="1"/>
  <c r="D712" i="11" s="1"/>
  <c r="A713" i="11"/>
  <c r="B713" i="11"/>
  <c r="C713" i="11" s="1"/>
  <c r="D713" i="11" s="1"/>
  <c r="A714" i="11"/>
  <c r="B714" i="11"/>
  <c r="C714" i="11"/>
  <c r="D714" i="11" s="1"/>
  <c r="A715" i="11"/>
  <c r="B715" i="11"/>
  <c r="C715" i="11"/>
  <c r="D715" i="11" s="1"/>
  <c r="A716" i="11"/>
  <c r="B716" i="11"/>
  <c r="C716" i="11" s="1"/>
  <c r="D716" i="11" s="1"/>
  <c r="A717" i="11"/>
  <c r="B717" i="11"/>
  <c r="C717" i="11"/>
  <c r="D717" i="11"/>
  <c r="A718" i="11"/>
  <c r="B718" i="11"/>
  <c r="C718" i="11"/>
  <c r="D718" i="11" s="1"/>
  <c r="A719" i="11"/>
  <c r="B719" i="11"/>
  <c r="C719" i="11" s="1"/>
  <c r="D719" i="11" s="1"/>
  <c r="A720" i="11"/>
  <c r="C720" i="11" s="1"/>
  <c r="D720" i="11" s="1"/>
  <c r="B720" i="11"/>
  <c r="A721" i="11"/>
  <c r="B721" i="11"/>
  <c r="C721" i="11"/>
  <c r="D721" i="11" s="1"/>
  <c r="A722" i="11"/>
  <c r="B722" i="11"/>
  <c r="C722" i="11" s="1"/>
  <c r="D722" i="11" s="1"/>
  <c r="A723" i="11"/>
  <c r="B723" i="11"/>
  <c r="C723" i="11" s="1"/>
  <c r="D723" i="11" s="1"/>
  <c r="A724" i="11"/>
  <c r="B724" i="11"/>
  <c r="C724" i="11"/>
  <c r="D724" i="11" s="1"/>
  <c r="A725" i="11"/>
  <c r="B725" i="11"/>
  <c r="C725" i="11"/>
  <c r="D725" i="11" s="1"/>
  <c r="A726" i="11"/>
  <c r="C726" i="11" s="1"/>
  <c r="D726" i="11" s="1"/>
  <c r="B726" i="11"/>
  <c r="A727" i="11"/>
  <c r="B727" i="11"/>
  <c r="C727" i="11"/>
  <c r="D727" i="11"/>
  <c r="A728" i="11"/>
  <c r="B728" i="11"/>
  <c r="C728" i="11" s="1"/>
  <c r="D728" i="11" s="1"/>
  <c r="A729" i="11"/>
  <c r="B729" i="11"/>
  <c r="C729" i="11" s="1"/>
  <c r="D729" i="11" s="1"/>
  <c r="A730" i="11"/>
  <c r="C730" i="11" s="1"/>
  <c r="D730" i="11" s="1"/>
  <c r="B730" i="11"/>
  <c r="A731" i="11"/>
  <c r="B731" i="11"/>
  <c r="C731" i="11"/>
  <c r="D731" i="11" s="1"/>
  <c r="A732" i="11"/>
  <c r="B732" i="11"/>
  <c r="C732" i="11" s="1"/>
  <c r="D732" i="11" s="1"/>
  <c r="A733" i="11"/>
  <c r="B733" i="11"/>
  <c r="C733" i="11"/>
  <c r="D733" i="11"/>
  <c r="A734" i="11"/>
  <c r="B734" i="11"/>
  <c r="C734" i="11"/>
  <c r="D734" i="11" s="1"/>
  <c r="A735" i="11"/>
  <c r="B735" i="11"/>
  <c r="C735" i="11" s="1"/>
  <c r="D735" i="11" s="1"/>
  <c r="A736" i="11"/>
  <c r="C736" i="11" s="1"/>
  <c r="D736" i="11" s="1"/>
  <c r="B736" i="11"/>
  <c r="A737" i="11"/>
  <c r="B737" i="11"/>
  <c r="C737" i="11"/>
  <c r="D737" i="11" s="1"/>
  <c r="A738" i="11"/>
  <c r="B738" i="11"/>
  <c r="C738" i="11" s="1"/>
  <c r="D738" i="11" s="1"/>
  <c r="A739" i="11"/>
  <c r="B739" i="11"/>
  <c r="C739" i="11" s="1"/>
  <c r="D739" i="11" s="1"/>
  <c r="A740" i="11"/>
  <c r="B740" i="11"/>
  <c r="C740" i="11"/>
  <c r="D740" i="11" s="1"/>
  <c r="A741" i="11"/>
  <c r="B741" i="11"/>
  <c r="C741" i="11"/>
  <c r="D741" i="11" s="1"/>
  <c r="A742" i="11"/>
  <c r="B742" i="11"/>
  <c r="C742" i="11"/>
  <c r="D742" i="11" s="1"/>
  <c r="A743" i="11"/>
  <c r="B743" i="11"/>
  <c r="C743" i="11"/>
  <c r="D743" i="11"/>
  <c r="A744" i="11"/>
  <c r="B744" i="11"/>
  <c r="C744" i="11" s="1"/>
  <c r="D744" i="11" s="1"/>
  <c r="A745" i="11"/>
  <c r="B745" i="11"/>
  <c r="C745" i="11"/>
  <c r="D745" i="11"/>
  <c r="A746" i="11"/>
  <c r="B746" i="11"/>
  <c r="C746" i="11" s="1"/>
  <c r="D746" i="11" s="1"/>
  <c r="A747" i="11"/>
  <c r="B747" i="11"/>
  <c r="C747" i="11"/>
  <c r="D747" i="11"/>
  <c r="A748" i="11"/>
  <c r="B748" i="11"/>
  <c r="C748" i="11" s="1"/>
  <c r="D748" i="11" s="1"/>
  <c r="A749" i="11"/>
  <c r="B749" i="11"/>
  <c r="C749" i="11"/>
  <c r="D749" i="11"/>
  <c r="A750" i="11"/>
  <c r="B750" i="11"/>
  <c r="C750" i="11" s="1"/>
  <c r="D750" i="11" s="1"/>
  <c r="A751" i="11"/>
  <c r="B751" i="11"/>
  <c r="C751" i="11"/>
  <c r="D751" i="11"/>
  <c r="A752" i="11"/>
  <c r="B752" i="11"/>
  <c r="C752" i="11" s="1"/>
  <c r="D752" i="11" s="1"/>
  <c r="A753" i="11"/>
  <c r="B753" i="11"/>
  <c r="C753" i="11"/>
  <c r="D753" i="11"/>
  <c r="A754" i="11"/>
  <c r="B754" i="11"/>
  <c r="C754" i="11"/>
  <c r="D754" i="11" s="1"/>
  <c r="A755" i="11"/>
  <c r="B755" i="11"/>
  <c r="C755" i="11"/>
  <c r="D755" i="11"/>
  <c r="A756" i="11"/>
  <c r="B756" i="11"/>
  <c r="C756" i="11"/>
  <c r="D756" i="11" s="1"/>
  <c r="A757" i="11"/>
  <c r="B757" i="11"/>
  <c r="C757" i="11"/>
  <c r="D757" i="11"/>
  <c r="A758" i="11"/>
  <c r="B758" i="11"/>
  <c r="C758" i="11"/>
  <c r="D758" i="11" s="1"/>
  <c r="A759" i="11"/>
  <c r="B759" i="11"/>
  <c r="C759" i="11"/>
  <c r="D759" i="11"/>
  <c r="A760" i="11"/>
  <c r="B760" i="11"/>
  <c r="C760" i="11"/>
  <c r="D760" i="11" s="1"/>
  <c r="A761" i="11"/>
  <c r="B761" i="11"/>
  <c r="C761" i="11"/>
  <c r="D761" i="11" s="1"/>
  <c r="C3" i="11"/>
  <c r="B2" i="11"/>
  <c r="C2" i="11" s="1"/>
  <c r="B3" i="11"/>
  <c r="A2" i="11"/>
  <c r="A3" i="11"/>
  <c r="C650" i="11" l="1"/>
  <c r="D650" i="11" s="1"/>
  <c r="C634" i="11"/>
  <c r="D634" i="11" s="1"/>
  <c r="C644" i="11"/>
  <c r="D644" i="11" s="1"/>
  <c r="C602" i="11"/>
  <c r="D602" i="11" s="1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413" i="2"/>
  <c r="D473" i="2"/>
  <c r="D22" i="2"/>
  <c r="D741" i="2"/>
  <c r="D315" i="2"/>
  <c r="D370" i="2"/>
  <c r="D688" i="2"/>
  <c r="D490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169" i="10"/>
  <c r="B169" i="10"/>
  <c r="A400" i="10"/>
  <c r="B400" i="10"/>
  <c r="D494" i="10"/>
  <c r="D419" i="10"/>
  <c r="D200" i="10"/>
  <c r="D136" i="10"/>
  <c r="D375" i="10"/>
  <c r="D485" i="10"/>
  <c r="D62" i="10"/>
  <c r="D251" i="10"/>
  <c r="D471" i="10"/>
  <c r="D54" i="10"/>
  <c r="D404" i="10"/>
  <c r="D130" i="10"/>
  <c r="D413" i="10"/>
  <c r="D286" i="10"/>
  <c r="D376" i="10"/>
  <c r="D239" i="10"/>
  <c r="D50" i="10"/>
  <c r="D500" i="10"/>
  <c r="D297" i="10"/>
  <c r="D315" i="10"/>
  <c r="D456" i="10"/>
  <c r="D218" i="10"/>
  <c r="D237" i="10"/>
  <c r="D415" i="10"/>
  <c r="D359" i="10"/>
  <c r="D360" i="10"/>
  <c r="D371" i="10"/>
  <c r="D383" i="10"/>
  <c r="D74" i="10"/>
  <c r="D222" i="10"/>
  <c r="D292" i="10"/>
  <c r="D342" i="10"/>
  <c r="D69" i="10"/>
  <c r="D212" i="10"/>
  <c r="D172" i="10"/>
  <c r="D264" i="10"/>
  <c r="D116" i="10"/>
  <c r="D193" i="10"/>
  <c r="D255" i="10"/>
  <c r="D278" i="10"/>
  <c r="D91" i="10"/>
  <c r="D282" i="10"/>
  <c r="D209" i="10"/>
  <c r="D340" i="10"/>
  <c r="D497" i="10"/>
  <c r="D411" i="10"/>
  <c r="D128" i="10"/>
  <c r="D122" i="10"/>
  <c r="D164" i="10"/>
  <c r="D469" i="10"/>
  <c r="D145" i="10"/>
  <c r="D208" i="10"/>
  <c r="D175" i="10"/>
  <c r="D177" i="10"/>
  <c r="D488" i="10"/>
  <c r="D265" i="10"/>
  <c r="D442" i="10"/>
  <c r="D422" i="10"/>
  <c r="D310" i="10"/>
  <c r="D446" i="10"/>
  <c r="D356" i="10"/>
  <c r="D402" i="10"/>
  <c r="D293" i="10"/>
  <c r="D10" i="10"/>
  <c r="D355" i="10"/>
  <c r="D332" i="10"/>
  <c r="D295" i="10"/>
  <c r="D44" i="10"/>
  <c r="D240" i="10"/>
  <c r="D244" i="10"/>
  <c r="D473" i="10"/>
  <c r="D445" i="10"/>
  <c r="D358" i="10"/>
  <c r="D53" i="10"/>
  <c r="D443" i="10"/>
  <c r="D381" i="10"/>
  <c r="D468" i="10"/>
  <c r="D33" i="10"/>
  <c r="D397" i="10"/>
  <c r="D291" i="10"/>
  <c r="D274" i="10"/>
  <c r="D298" i="10"/>
  <c r="D285" i="10"/>
  <c r="D417" i="10"/>
  <c r="D296" i="10"/>
  <c r="D486" i="10"/>
  <c r="D104" i="10"/>
  <c r="D269" i="10"/>
  <c r="D343" i="10"/>
  <c r="D41" i="10"/>
  <c r="D131" i="10"/>
  <c r="D79" i="10"/>
  <c r="D429" i="10"/>
  <c r="D405" i="10"/>
  <c r="D250" i="10"/>
  <c r="D223" i="10"/>
  <c r="D233" i="10"/>
  <c r="D441" i="10"/>
  <c r="D272" i="10"/>
  <c r="D182" i="10"/>
  <c r="D198" i="10"/>
  <c r="D143" i="10"/>
  <c r="D231" i="10"/>
  <c r="D165" i="10"/>
  <c r="D22" i="10"/>
  <c r="D76" i="10"/>
  <c r="D42" i="10"/>
  <c r="D5" i="10"/>
  <c r="D199" i="10"/>
  <c r="D495" i="10"/>
  <c r="D204" i="10"/>
  <c r="D377" i="10"/>
  <c r="D166" i="10"/>
  <c r="D171" i="10"/>
  <c r="D133" i="10"/>
  <c r="D389" i="10"/>
  <c r="D134" i="10"/>
  <c r="D150" i="10"/>
  <c r="D191" i="10"/>
  <c r="D439" i="10"/>
  <c r="D81" i="10"/>
  <c r="D434" i="10"/>
  <c r="D216" i="10"/>
  <c r="D431" i="10"/>
  <c r="D80" i="10"/>
  <c r="D224" i="10"/>
  <c r="D336" i="10"/>
  <c r="D210" i="10"/>
  <c r="D34" i="10"/>
  <c r="D394" i="10"/>
  <c r="D458" i="10"/>
  <c r="D138" i="10"/>
  <c r="D341" i="10"/>
  <c r="D299" i="10"/>
  <c r="D43" i="10"/>
  <c r="D93" i="10"/>
  <c r="D455" i="10"/>
  <c r="D248" i="10"/>
  <c r="D327" i="10"/>
  <c r="D399" i="10"/>
  <c r="D493" i="10"/>
  <c r="D144" i="10"/>
  <c r="D174" i="10"/>
  <c r="D498" i="10"/>
  <c r="D105" i="10"/>
  <c r="D56" i="10"/>
  <c r="D374" i="10"/>
  <c r="D127" i="10"/>
  <c r="D305" i="10"/>
  <c r="D95" i="10"/>
  <c r="D367" i="10"/>
  <c r="D227" i="10"/>
  <c r="D113" i="10"/>
  <c r="D312" i="10"/>
  <c r="D221" i="10"/>
  <c r="D474" i="10"/>
  <c r="D19" i="10"/>
  <c r="D139" i="10"/>
  <c r="D119" i="10"/>
  <c r="D313" i="10"/>
  <c r="D38" i="10"/>
  <c r="D273" i="10"/>
  <c r="D129" i="10"/>
  <c r="D307" i="10"/>
  <c r="D187" i="10"/>
  <c r="D460" i="10"/>
  <c r="D125" i="10"/>
  <c r="D328" i="10"/>
  <c r="D300" i="10"/>
  <c r="D324" i="10"/>
  <c r="D16" i="10"/>
  <c r="D192" i="10"/>
  <c r="D184" i="10"/>
  <c r="D309" i="10"/>
  <c r="D281" i="10"/>
  <c r="D412" i="10"/>
  <c r="D71" i="10"/>
  <c r="D157" i="10"/>
  <c r="D266" i="10"/>
  <c r="D401" i="10"/>
  <c r="D267" i="10"/>
  <c r="D283" i="10"/>
  <c r="D201" i="10"/>
  <c r="D77" i="10"/>
  <c r="D345" i="10"/>
  <c r="D403" i="10"/>
  <c r="D448" i="10"/>
  <c r="D158" i="10"/>
  <c r="D344" i="10"/>
  <c r="D205" i="10"/>
  <c r="D472" i="10"/>
  <c r="D347" i="10"/>
  <c r="D238" i="10"/>
  <c r="D249" i="10"/>
  <c r="D361" i="10"/>
  <c r="D321" i="10"/>
  <c r="D481" i="10"/>
  <c r="D438" i="10"/>
  <c r="D331" i="10"/>
  <c r="D103" i="10"/>
  <c r="D385" i="10"/>
  <c r="D60" i="10"/>
  <c r="D477" i="10"/>
  <c r="D121" i="10"/>
  <c r="D334" i="10"/>
  <c r="D52" i="10"/>
  <c r="D478" i="10"/>
  <c r="D90" i="10"/>
  <c r="D284" i="10"/>
  <c r="D57" i="10"/>
  <c r="D414" i="10"/>
  <c r="D462" i="10"/>
  <c r="D426" i="10"/>
  <c r="D362" i="10"/>
  <c r="D32" i="10"/>
  <c r="D49" i="10"/>
  <c r="D13" i="10"/>
  <c r="D277" i="10"/>
  <c r="D6" i="10"/>
  <c r="D36" i="10"/>
  <c r="D92" i="10"/>
  <c r="D3" i="10"/>
  <c r="D280" i="10"/>
  <c r="D140" i="10"/>
  <c r="D390" i="10"/>
  <c r="D262" i="10"/>
  <c r="D115" i="10"/>
  <c r="D435" i="10"/>
  <c r="D118" i="10"/>
  <c r="D294" i="10"/>
  <c r="D108" i="10"/>
  <c r="D467" i="10"/>
  <c r="D337" i="10"/>
  <c r="D406" i="10"/>
  <c r="D463" i="10"/>
  <c r="D31" i="10"/>
  <c r="D480" i="10"/>
  <c r="D444" i="10"/>
  <c r="D314" i="10"/>
  <c r="D492" i="10"/>
  <c r="D64" i="10"/>
  <c r="D330" i="10"/>
  <c r="D378" i="10"/>
  <c r="D206" i="10"/>
  <c r="D114" i="10"/>
  <c r="D366" i="10"/>
  <c r="D352" i="10"/>
  <c r="D65" i="10"/>
  <c r="D302" i="10"/>
  <c r="D432" i="10"/>
  <c r="D288" i="10"/>
  <c r="D156" i="10"/>
  <c r="D39" i="10"/>
  <c r="D388" i="10"/>
  <c r="D433" i="10"/>
  <c r="D372" i="10"/>
  <c r="D225" i="10"/>
  <c r="D268" i="10"/>
  <c r="D59" i="10"/>
  <c r="D373" i="10"/>
  <c r="D228" i="10"/>
  <c r="D370" i="10"/>
  <c r="D258" i="10"/>
  <c r="D464" i="10"/>
  <c r="D99" i="10"/>
  <c r="D226" i="10"/>
  <c r="D454" i="10"/>
  <c r="D245" i="10"/>
  <c r="D316" i="10"/>
  <c r="D246" i="10"/>
  <c r="D348" i="10"/>
  <c r="D254" i="10"/>
  <c r="D190" i="10"/>
  <c r="D393" i="10"/>
  <c r="D137" i="10"/>
  <c r="D392" i="10"/>
  <c r="D325" i="10"/>
  <c r="D461" i="10"/>
  <c r="D189" i="10"/>
  <c r="D117" i="10"/>
  <c r="D75" i="10"/>
  <c r="D14" i="10"/>
  <c r="D322" i="10"/>
  <c r="D475" i="10"/>
  <c r="D234" i="10"/>
  <c r="D78" i="10"/>
  <c r="D58" i="10"/>
  <c r="D97" i="10"/>
  <c r="D364" i="10"/>
  <c r="D45" i="10"/>
  <c r="D289" i="10"/>
  <c r="D408" i="10"/>
  <c r="D12" i="10"/>
  <c r="D306" i="10"/>
  <c r="D311" i="10"/>
  <c r="D109" i="10"/>
  <c r="D196" i="10"/>
  <c r="D188" i="10"/>
  <c r="D220" i="10"/>
  <c r="D440" i="10"/>
  <c r="D430" i="10"/>
  <c r="D409" i="10"/>
  <c r="D386" i="10"/>
  <c r="D148" i="10"/>
  <c r="D447" i="10"/>
  <c r="D63" i="10"/>
  <c r="D335" i="10"/>
  <c r="D449" i="10"/>
  <c r="D83" i="10"/>
  <c r="D241" i="10"/>
  <c r="D232" i="10"/>
  <c r="D351" i="10"/>
  <c r="D67" i="10"/>
  <c r="D186" i="10"/>
  <c r="D398" i="10"/>
  <c r="D380" i="10"/>
  <c r="D425" i="10"/>
  <c r="D162" i="10"/>
  <c r="D146" i="10"/>
  <c r="D379" i="10"/>
  <c r="D195" i="10"/>
  <c r="D73" i="10"/>
  <c r="D197" i="10"/>
  <c r="D369" i="10"/>
  <c r="D290" i="10"/>
  <c r="D326" i="10"/>
  <c r="D436" i="10"/>
  <c r="D270" i="10"/>
  <c r="D235" i="10"/>
  <c r="D275" i="10"/>
  <c r="D151" i="10"/>
  <c r="D236" i="10"/>
  <c r="D384" i="10"/>
  <c r="D160" i="10"/>
  <c r="D88" i="10"/>
  <c r="D423" i="10"/>
  <c r="D84" i="10"/>
  <c r="D168" i="10"/>
  <c r="D82" i="10"/>
  <c r="D387" i="10"/>
  <c r="D230" i="10"/>
  <c r="D110" i="10"/>
  <c r="D9" i="10"/>
  <c r="D89" i="10"/>
  <c r="D418" i="10"/>
  <c r="D179" i="10"/>
  <c r="D489" i="10"/>
  <c r="D132" i="10"/>
  <c r="D261" i="10"/>
  <c r="D257" i="10"/>
  <c r="D86" i="10"/>
  <c r="D94" i="10"/>
  <c r="D338" i="10"/>
  <c r="D427" i="10"/>
  <c r="D428" i="10"/>
  <c r="D451" i="10"/>
  <c r="D339" i="10"/>
  <c r="D242" i="10"/>
  <c r="D319" i="10"/>
  <c r="D483" i="10"/>
  <c r="D98" i="10"/>
  <c r="D354" i="10"/>
  <c r="D363" i="10"/>
  <c r="D173" i="10"/>
  <c r="D490" i="10"/>
  <c r="D459" i="10"/>
  <c r="D111" i="10"/>
  <c r="D207" i="10"/>
  <c r="D66" i="10"/>
  <c r="D465" i="10"/>
  <c r="D395" i="10"/>
  <c r="D452" i="10"/>
  <c r="D149" i="10"/>
  <c r="D333" i="10"/>
  <c r="D68" i="10"/>
  <c r="D424" i="10"/>
  <c r="D170" i="10"/>
  <c r="D185" i="10"/>
  <c r="D350" i="10"/>
  <c r="D11" i="10"/>
  <c r="D178" i="10"/>
  <c r="D252" i="10"/>
  <c r="D450" i="10"/>
  <c r="D48" i="10"/>
  <c r="D420" i="10"/>
  <c r="D152" i="10"/>
  <c r="D357" i="10"/>
  <c r="D217" i="10"/>
  <c r="D35" i="10"/>
  <c r="D17" i="10"/>
  <c r="D61" i="10"/>
  <c r="D155" i="10"/>
  <c r="D47" i="10"/>
  <c r="D85" i="10"/>
  <c r="D30" i="10"/>
  <c r="D487" i="10"/>
  <c r="D20" i="10"/>
  <c r="D159" i="10"/>
  <c r="D476" i="10"/>
  <c r="D181" i="10"/>
  <c r="D318" i="10"/>
  <c r="D317" i="10"/>
  <c r="D410" i="10"/>
  <c r="D123" i="10"/>
  <c r="D183" i="10"/>
  <c r="D279" i="10"/>
  <c r="D167" i="10"/>
  <c r="D154" i="10"/>
  <c r="D243" i="10"/>
  <c r="D147" i="10"/>
  <c r="D126" i="10"/>
  <c r="D219" i="10"/>
  <c r="D396" i="10"/>
  <c r="D15" i="10"/>
  <c r="D202" i="10"/>
  <c r="D7" i="10"/>
  <c r="D259" i="10"/>
  <c r="D301" i="10"/>
  <c r="D457" i="10"/>
  <c r="D308" i="10"/>
  <c r="D87" i="10"/>
  <c r="D18" i="10"/>
  <c r="D194" i="10"/>
  <c r="D416" i="10"/>
  <c r="D484" i="10"/>
  <c r="D276" i="10"/>
  <c r="D263" i="10"/>
  <c r="D304" i="10"/>
  <c r="D37" i="10"/>
  <c r="D101" i="10"/>
  <c r="D169" i="10"/>
  <c r="D400" i="10"/>
  <c r="D135" i="10"/>
  <c r="D25" i="10"/>
  <c r="D100" i="10"/>
  <c r="D124" i="10"/>
  <c r="D28" i="10"/>
  <c r="D26" i="10"/>
  <c r="D51" i="10"/>
  <c r="D247" i="10"/>
  <c r="D479" i="10"/>
  <c r="D213" i="10"/>
  <c r="D214" i="10"/>
  <c r="D368" i="10"/>
  <c r="D256" i="10"/>
  <c r="D353" i="10"/>
  <c r="D466" i="10"/>
  <c r="D120" i="10"/>
  <c r="D253" i="10"/>
  <c r="D102" i="10"/>
  <c r="D211" i="10"/>
  <c r="D499" i="10"/>
  <c r="D496" i="10"/>
  <c r="D161" i="10"/>
  <c r="D323" i="10"/>
  <c r="D141" i="10"/>
  <c r="D470" i="10"/>
  <c r="D229" i="10"/>
  <c r="D349" i="10"/>
  <c r="D329" i="10"/>
  <c r="D346" i="10"/>
  <c r="D55" i="10"/>
  <c r="D453" i="10"/>
  <c r="D180" i="10"/>
  <c r="D271" i="10"/>
  <c r="D421" i="10"/>
  <c r="D287" i="10"/>
  <c r="D72" i="10"/>
  <c r="D106" i="10"/>
  <c r="D112" i="10"/>
  <c r="D215" i="10"/>
  <c r="D320" i="10"/>
  <c r="D260" i="10"/>
  <c r="D40" i="10"/>
  <c r="D29" i="10"/>
  <c r="D23" i="10"/>
  <c r="D391" i="10"/>
  <c r="D163" i="10"/>
  <c r="D96" i="10"/>
  <c r="D24" i="10"/>
  <c r="D4" i="10"/>
  <c r="D46" i="10"/>
  <c r="D27" i="10"/>
  <c r="D203" i="10"/>
  <c r="D491" i="10"/>
  <c r="D8" i="10"/>
  <c r="D107" i="10"/>
  <c r="D365" i="10"/>
  <c r="D382" i="10"/>
  <c r="D176" i="10"/>
  <c r="D142" i="10"/>
  <c r="D407" i="10"/>
  <c r="D21" i="10"/>
  <c r="D2" i="10"/>
  <c r="D482" i="10"/>
  <c r="D303" i="10"/>
  <c r="D437" i="10"/>
  <c r="D153" i="10"/>
  <c r="D70" i="10"/>
  <c r="B494" i="10"/>
  <c r="B419" i="10"/>
  <c r="B200" i="10"/>
  <c r="B136" i="10"/>
  <c r="B375" i="10"/>
  <c r="B485" i="10"/>
  <c r="B62" i="10"/>
  <c r="B251" i="10"/>
  <c r="B471" i="10"/>
  <c r="B54" i="10"/>
  <c r="B404" i="10"/>
  <c r="B130" i="10"/>
  <c r="B413" i="10"/>
  <c r="B286" i="10"/>
  <c r="B376" i="10"/>
  <c r="B239" i="10"/>
  <c r="B50" i="10"/>
  <c r="B500" i="10"/>
  <c r="B297" i="10"/>
  <c r="B315" i="10"/>
  <c r="B456" i="10"/>
  <c r="B218" i="10"/>
  <c r="B237" i="10"/>
  <c r="B415" i="10"/>
  <c r="B359" i="10"/>
  <c r="B360" i="10"/>
  <c r="B371" i="10"/>
  <c r="B383" i="10"/>
  <c r="B74" i="10"/>
  <c r="B222" i="10"/>
  <c r="B292" i="10"/>
  <c r="B342" i="10"/>
  <c r="B69" i="10"/>
  <c r="B212" i="10"/>
  <c r="B172" i="10"/>
  <c r="B264" i="10"/>
  <c r="B116" i="10"/>
  <c r="B193" i="10"/>
  <c r="B255" i="10"/>
  <c r="B278" i="10"/>
  <c r="B91" i="10"/>
  <c r="B282" i="10"/>
  <c r="B209" i="10"/>
  <c r="B340" i="10"/>
  <c r="B497" i="10"/>
  <c r="B411" i="10"/>
  <c r="B128" i="10"/>
  <c r="B122" i="10"/>
  <c r="B164" i="10"/>
  <c r="B469" i="10"/>
  <c r="B145" i="10"/>
  <c r="B208" i="10"/>
  <c r="B175" i="10"/>
  <c r="B177" i="10"/>
  <c r="B488" i="10"/>
  <c r="B265" i="10"/>
  <c r="B442" i="10"/>
  <c r="B422" i="10"/>
  <c r="B310" i="10"/>
  <c r="B446" i="10"/>
  <c r="B356" i="10"/>
  <c r="B402" i="10"/>
  <c r="B293" i="10"/>
  <c r="B10" i="10"/>
  <c r="B355" i="10"/>
  <c r="B332" i="10"/>
  <c r="B295" i="10"/>
  <c r="B44" i="10"/>
  <c r="B240" i="10"/>
  <c r="B244" i="10"/>
  <c r="B473" i="10"/>
  <c r="B445" i="10"/>
  <c r="B358" i="10"/>
  <c r="B53" i="10"/>
  <c r="B443" i="10"/>
  <c r="B381" i="10"/>
  <c r="B468" i="10"/>
  <c r="B33" i="10"/>
  <c r="B397" i="10"/>
  <c r="B291" i="10"/>
  <c r="B274" i="10"/>
  <c r="B298" i="10"/>
  <c r="B285" i="10"/>
  <c r="B417" i="10"/>
  <c r="B296" i="10"/>
  <c r="B486" i="10"/>
  <c r="B104" i="10"/>
  <c r="B269" i="10"/>
  <c r="B343" i="10"/>
  <c r="B41" i="10"/>
  <c r="B131" i="10"/>
  <c r="B79" i="10"/>
  <c r="B429" i="10"/>
  <c r="B405" i="10"/>
  <c r="B250" i="10"/>
  <c r="B223" i="10"/>
  <c r="B233" i="10"/>
  <c r="B441" i="10"/>
  <c r="B272" i="10"/>
  <c r="B182" i="10"/>
  <c r="B198" i="10"/>
  <c r="B143" i="10"/>
  <c r="B231" i="10"/>
  <c r="B165" i="10"/>
  <c r="B22" i="10"/>
  <c r="B76" i="10"/>
  <c r="B42" i="10"/>
  <c r="B5" i="10"/>
  <c r="B199" i="10"/>
  <c r="B495" i="10"/>
  <c r="B204" i="10"/>
  <c r="B377" i="10"/>
  <c r="B166" i="10"/>
  <c r="B171" i="10"/>
  <c r="B133" i="10"/>
  <c r="B389" i="10"/>
  <c r="B134" i="10"/>
  <c r="B150" i="10"/>
  <c r="B191" i="10"/>
  <c r="B439" i="10"/>
  <c r="B81" i="10"/>
  <c r="B434" i="10"/>
  <c r="B216" i="10"/>
  <c r="B431" i="10"/>
  <c r="B80" i="10"/>
  <c r="B224" i="10"/>
  <c r="B336" i="10"/>
  <c r="B210" i="10"/>
  <c r="B34" i="10"/>
  <c r="B394" i="10"/>
  <c r="B458" i="10"/>
  <c r="B138" i="10"/>
  <c r="B341" i="10"/>
  <c r="B299" i="10"/>
  <c r="B43" i="10"/>
  <c r="B93" i="10"/>
  <c r="B455" i="10"/>
  <c r="B248" i="10"/>
  <c r="B327" i="10"/>
  <c r="B399" i="10"/>
  <c r="B493" i="10"/>
  <c r="B144" i="10"/>
  <c r="B174" i="10"/>
  <c r="B498" i="10"/>
  <c r="B105" i="10"/>
  <c r="B56" i="10"/>
  <c r="B374" i="10"/>
  <c r="B127" i="10"/>
  <c r="B305" i="10"/>
  <c r="B95" i="10"/>
  <c r="B367" i="10"/>
  <c r="B227" i="10"/>
  <c r="B113" i="10"/>
  <c r="B312" i="10"/>
  <c r="B221" i="10"/>
  <c r="B474" i="10"/>
  <c r="B19" i="10"/>
  <c r="B139" i="10"/>
  <c r="B119" i="10"/>
  <c r="B313" i="10"/>
  <c r="B38" i="10"/>
  <c r="B273" i="10"/>
  <c r="B129" i="10"/>
  <c r="B307" i="10"/>
  <c r="B187" i="10"/>
  <c r="B460" i="10"/>
  <c r="B125" i="10"/>
  <c r="B328" i="10"/>
  <c r="B300" i="10"/>
  <c r="B324" i="10"/>
  <c r="B16" i="10"/>
  <c r="B192" i="10"/>
  <c r="B184" i="10"/>
  <c r="B309" i="10"/>
  <c r="B281" i="10"/>
  <c r="B412" i="10"/>
  <c r="B71" i="10"/>
  <c r="B157" i="10"/>
  <c r="B266" i="10"/>
  <c r="B401" i="10"/>
  <c r="B267" i="10"/>
  <c r="B283" i="10"/>
  <c r="B201" i="10"/>
  <c r="B77" i="10"/>
  <c r="B345" i="10"/>
  <c r="B403" i="10"/>
  <c r="B448" i="10"/>
  <c r="B158" i="10"/>
  <c r="B344" i="10"/>
  <c r="B205" i="10"/>
  <c r="B472" i="10"/>
  <c r="B347" i="10"/>
  <c r="B238" i="10"/>
  <c r="B249" i="10"/>
  <c r="B361" i="10"/>
  <c r="B321" i="10"/>
  <c r="B481" i="10"/>
  <c r="B438" i="10"/>
  <c r="B331" i="10"/>
  <c r="B103" i="10"/>
  <c r="B385" i="10"/>
  <c r="B60" i="10"/>
  <c r="B477" i="10"/>
  <c r="B121" i="10"/>
  <c r="B334" i="10"/>
  <c r="B52" i="10"/>
  <c r="B478" i="10"/>
  <c r="B90" i="10"/>
  <c r="B284" i="10"/>
  <c r="B57" i="10"/>
  <c r="B414" i="10"/>
  <c r="B462" i="10"/>
  <c r="B426" i="10"/>
  <c r="B362" i="10"/>
  <c r="B32" i="10"/>
  <c r="B49" i="10"/>
  <c r="B13" i="10"/>
  <c r="B277" i="10"/>
  <c r="B6" i="10"/>
  <c r="B36" i="10"/>
  <c r="B92" i="10"/>
  <c r="B3" i="10"/>
  <c r="B280" i="10"/>
  <c r="B140" i="10"/>
  <c r="B390" i="10"/>
  <c r="B262" i="10"/>
  <c r="B115" i="10"/>
  <c r="B435" i="10"/>
  <c r="B118" i="10"/>
  <c r="B294" i="10"/>
  <c r="B108" i="10"/>
  <c r="B467" i="10"/>
  <c r="B337" i="10"/>
  <c r="B406" i="10"/>
  <c r="B463" i="10"/>
  <c r="B31" i="10"/>
  <c r="B480" i="10"/>
  <c r="B444" i="10"/>
  <c r="B314" i="10"/>
  <c r="B492" i="10"/>
  <c r="B64" i="10"/>
  <c r="B330" i="10"/>
  <c r="B378" i="10"/>
  <c r="B206" i="10"/>
  <c r="B114" i="10"/>
  <c r="B366" i="10"/>
  <c r="B352" i="10"/>
  <c r="B65" i="10"/>
  <c r="B302" i="10"/>
  <c r="B432" i="10"/>
  <c r="B288" i="10"/>
  <c r="B156" i="10"/>
  <c r="B39" i="10"/>
  <c r="B388" i="10"/>
  <c r="B433" i="10"/>
  <c r="B372" i="10"/>
  <c r="B225" i="10"/>
  <c r="B268" i="10"/>
  <c r="B59" i="10"/>
  <c r="B373" i="10"/>
  <c r="B228" i="10"/>
  <c r="B370" i="10"/>
  <c r="B258" i="10"/>
  <c r="B464" i="10"/>
  <c r="B99" i="10"/>
  <c r="B226" i="10"/>
  <c r="B454" i="10"/>
  <c r="B245" i="10"/>
  <c r="B316" i="10"/>
  <c r="B246" i="10"/>
  <c r="B348" i="10"/>
  <c r="B254" i="10"/>
  <c r="B190" i="10"/>
  <c r="B393" i="10"/>
  <c r="B137" i="10"/>
  <c r="B392" i="10"/>
  <c r="B325" i="10"/>
  <c r="B461" i="10"/>
  <c r="B189" i="10"/>
  <c r="B117" i="10"/>
  <c r="B75" i="10"/>
  <c r="B14" i="10"/>
  <c r="B322" i="10"/>
  <c r="B475" i="10"/>
  <c r="B234" i="10"/>
  <c r="B78" i="10"/>
  <c r="B58" i="10"/>
  <c r="B97" i="10"/>
  <c r="B364" i="10"/>
  <c r="B45" i="10"/>
  <c r="B289" i="10"/>
  <c r="B408" i="10"/>
  <c r="B12" i="10"/>
  <c r="B306" i="10"/>
  <c r="B311" i="10"/>
  <c r="B109" i="10"/>
  <c r="B196" i="10"/>
  <c r="B188" i="10"/>
  <c r="B220" i="10"/>
  <c r="B440" i="10"/>
  <c r="B430" i="10"/>
  <c r="B409" i="10"/>
  <c r="B386" i="10"/>
  <c r="B148" i="10"/>
  <c r="B447" i="10"/>
  <c r="B63" i="10"/>
  <c r="B335" i="10"/>
  <c r="B449" i="10"/>
  <c r="B83" i="10"/>
  <c r="B241" i="10"/>
  <c r="B232" i="10"/>
  <c r="B351" i="10"/>
  <c r="B67" i="10"/>
  <c r="B186" i="10"/>
  <c r="B398" i="10"/>
  <c r="B380" i="10"/>
  <c r="B425" i="10"/>
  <c r="B162" i="10"/>
  <c r="B146" i="10"/>
  <c r="B379" i="10"/>
  <c r="B195" i="10"/>
  <c r="B73" i="10"/>
  <c r="B197" i="10"/>
  <c r="B369" i="10"/>
  <c r="B290" i="10"/>
  <c r="B326" i="10"/>
  <c r="B436" i="10"/>
  <c r="B270" i="10"/>
  <c r="B235" i="10"/>
  <c r="B275" i="10"/>
  <c r="B151" i="10"/>
  <c r="B236" i="10"/>
  <c r="B384" i="10"/>
  <c r="B160" i="10"/>
  <c r="B88" i="10"/>
  <c r="B423" i="10"/>
  <c r="B84" i="10"/>
  <c r="B168" i="10"/>
  <c r="B82" i="10"/>
  <c r="B387" i="10"/>
  <c r="B230" i="10"/>
  <c r="B110" i="10"/>
  <c r="B9" i="10"/>
  <c r="B89" i="10"/>
  <c r="B418" i="10"/>
  <c r="B179" i="10"/>
  <c r="B489" i="10"/>
  <c r="B132" i="10"/>
  <c r="B261" i="10"/>
  <c r="B257" i="10"/>
  <c r="B86" i="10"/>
  <c r="B94" i="10"/>
  <c r="B338" i="10"/>
  <c r="B427" i="10"/>
  <c r="B428" i="10"/>
  <c r="B451" i="10"/>
  <c r="B339" i="10"/>
  <c r="B242" i="10"/>
  <c r="B319" i="10"/>
  <c r="B483" i="10"/>
  <c r="B98" i="10"/>
  <c r="B354" i="10"/>
  <c r="B363" i="10"/>
  <c r="B173" i="10"/>
  <c r="B490" i="10"/>
  <c r="B459" i="10"/>
  <c r="B111" i="10"/>
  <c r="B207" i="10"/>
  <c r="B66" i="10"/>
  <c r="B465" i="10"/>
  <c r="B395" i="10"/>
  <c r="B452" i="10"/>
  <c r="B149" i="10"/>
  <c r="B333" i="10"/>
  <c r="B68" i="10"/>
  <c r="B424" i="10"/>
  <c r="B170" i="10"/>
  <c r="B185" i="10"/>
  <c r="B350" i="10"/>
  <c r="B11" i="10"/>
  <c r="B178" i="10"/>
  <c r="B252" i="10"/>
  <c r="B450" i="10"/>
  <c r="B48" i="10"/>
  <c r="B420" i="10"/>
  <c r="B152" i="10"/>
  <c r="B357" i="10"/>
  <c r="B217" i="10"/>
  <c r="B35" i="10"/>
  <c r="B17" i="10"/>
  <c r="B61" i="10"/>
  <c r="B155" i="10"/>
  <c r="B47" i="10"/>
  <c r="B85" i="10"/>
  <c r="B30" i="10"/>
  <c r="B487" i="10"/>
  <c r="B20" i="10"/>
  <c r="B159" i="10"/>
  <c r="B476" i="10"/>
  <c r="B181" i="10"/>
  <c r="B318" i="10"/>
  <c r="B317" i="10"/>
  <c r="B410" i="10"/>
  <c r="B123" i="10"/>
  <c r="B183" i="10"/>
  <c r="B279" i="10"/>
  <c r="B167" i="10"/>
  <c r="B154" i="10"/>
  <c r="B243" i="10"/>
  <c r="B147" i="10"/>
  <c r="B126" i="10"/>
  <c r="B219" i="10"/>
  <c r="B396" i="10"/>
  <c r="B15" i="10"/>
  <c r="B202" i="10"/>
  <c r="B7" i="10"/>
  <c r="B259" i="10"/>
  <c r="B301" i="10"/>
  <c r="B457" i="10"/>
  <c r="B308" i="10"/>
  <c r="B87" i="10"/>
  <c r="B18" i="10"/>
  <c r="B194" i="10"/>
  <c r="B416" i="10"/>
  <c r="B484" i="10"/>
  <c r="B276" i="10"/>
  <c r="B263" i="10"/>
  <c r="B304" i="10"/>
  <c r="B37" i="10"/>
  <c r="B101" i="10"/>
  <c r="B135" i="10"/>
  <c r="B25" i="10"/>
  <c r="B100" i="10"/>
  <c r="B124" i="10"/>
  <c r="B28" i="10"/>
  <c r="B26" i="10"/>
  <c r="B51" i="10"/>
  <c r="B247" i="10"/>
  <c r="B479" i="10"/>
  <c r="B213" i="10"/>
  <c r="B214" i="10"/>
  <c r="B368" i="10"/>
  <c r="B256" i="10"/>
  <c r="B353" i="10"/>
  <c r="B466" i="10"/>
  <c r="B120" i="10"/>
  <c r="B253" i="10"/>
  <c r="B102" i="10"/>
  <c r="B211" i="10"/>
  <c r="B499" i="10"/>
  <c r="B496" i="10"/>
  <c r="B161" i="10"/>
  <c r="B323" i="10"/>
  <c r="B141" i="10"/>
  <c r="B470" i="10"/>
  <c r="B229" i="10"/>
  <c r="B349" i="10"/>
  <c r="B329" i="10"/>
  <c r="B346" i="10"/>
  <c r="B55" i="10"/>
  <c r="B453" i="10"/>
  <c r="B180" i="10"/>
  <c r="B271" i="10"/>
  <c r="B421" i="10"/>
  <c r="B287" i="10"/>
  <c r="B72" i="10"/>
  <c r="B106" i="10"/>
  <c r="B112" i="10"/>
  <c r="B215" i="10"/>
  <c r="B320" i="10"/>
  <c r="B260" i="10"/>
  <c r="B40" i="10"/>
  <c r="B29" i="10"/>
  <c r="B23" i="10"/>
  <c r="B391" i="10"/>
  <c r="B163" i="10"/>
  <c r="B96" i="10"/>
  <c r="B24" i="10"/>
  <c r="B4" i="10"/>
  <c r="B46" i="10"/>
  <c r="B27" i="10"/>
  <c r="B203" i="10"/>
  <c r="B491" i="10"/>
  <c r="B8" i="10"/>
  <c r="B107" i="10"/>
  <c r="B365" i="10"/>
  <c r="B382" i="10"/>
  <c r="B176" i="10"/>
  <c r="B142" i="10"/>
  <c r="B407" i="10"/>
  <c r="B21" i="10"/>
  <c r="B2" i="10"/>
  <c r="B482" i="10"/>
  <c r="B303" i="10"/>
  <c r="B437" i="10"/>
  <c r="B153" i="10"/>
  <c r="B70" i="10"/>
  <c r="A494" i="10"/>
  <c r="A419" i="10"/>
  <c r="A200" i="10"/>
  <c r="A136" i="10"/>
  <c r="A375" i="10"/>
  <c r="A485" i="10"/>
  <c r="A62" i="10"/>
  <c r="A251" i="10"/>
  <c r="A471" i="10"/>
  <c r="A54" i="10"/>
  <c r="A404" i="10"/>
  <c r="A130" i="10"/>
  <c r="A413" i="10"/>
  <c r="A286" i="10"/>
  <c r="A376" i="10"/>
  <c r="A239" i="10"/>
  <c r="A50" i="10"/>
  <c r="A500" i="10"/>
  <c r="A297" i="10"/>
  <c r="A315" i="10"/>
  <c r="A456" i="10"/>
  <c r="A218" i="10"/>
  <c r="A237" i="10"/>
  <c r="A415" i="10"/>
  <c r="A359" i="10"/>
  <c r="A360" i="10"/>
  <c r="A371" i="10"/>
  <c r="A383" i="10"/>
  <c r="A74" i="10"/>
  <c r="A222" i="10"/>
  <c r="A292" i="10"/>
  <c r="A342" i="10"/>
  <c r="A69" i="10"/>
  <c r="A212" i="10"/>
  <c r="A172" i="10"/>
  <c r="A264" i="10"/>
  <c r="A116" i="10"/>
  <c r="A193" i="10"/>
  <c r="A255" i="10"/>
  <c r="A278" i="10"/>
  <c r="A91" i="10"/>
  <c r="A282" i="10"/>
  <c r="A209" i="10"/>
  <c r="A340" i="10"/>
  <c r="A497" i="10"/>
  <c r="A411" i="10"/>
  <c r="A128" i="10"/>
  <c r="A122" i="10"/>
  <c r="A164" i="10"/>
  <c r="A469" i="10"/>
  <c r="A145" i="10"/>
  <c r="A208" i="10"/>
  <c r="A175" i="10"/>
  <c r="A177" i="10"/>
  <c r="A488" i="10"/>
  <c r="A265" i="10"/>
  <c r="A442" i="10"/>
  <c r="A422" i="10"/>
  <c r="A310" i="10"/>
  <c r="A446" i="10"/>
  <c r="A356" i="10"/>
  <c r="A402" i="10"/>
  <c r="A293" i="10"/>
  <c r="A10" i="10"/>
  <c r="A355" i="10"/>
  <c r="A332" i="10"/>
  <c r="A295" i="10"/>
  <c r="A44" i="10"/>
  <c r="A240" i="10"/>
  <c r="A244" i="10"/>
  <c r="A473" i="10"/>
  <c r="A445" i="10"/>
  <c r="A358" i="10"/>
  <c r="A53" i="10"/>
  <c r="A443" i="10"/>
  <c r="A381" i="10"/>
  <c r="A468" i="10"/>
  <c r="A33" i="10"/>
  <c r="A397" i="10"/>
  <c r="A291" i="10"/>
  <c r="A274" i="10"/>
  <c r="A298" i="10"/>
  <c r="A285" i="10"/>
  <c r="A417" i="10"/>
  <c r="A296" i="10"/>
  <c r="A486" i="10"/>
  <c r="A104" i="10"/>
  <c r="A269" i="10"/>
  <c r="A343" i="10"/>
  <c r="A41" i="10"/>
  <c r="A131" i="10"/>
  <c r="A79" i="10"/>
  <c r="A429" i="10"/>
  <c r="A405" i="10"/>
  <c r="A250" i="10"/>
  <c r="A223" i="10"/>
  <c r="A233" i="10"/>
  <c r="A441" i="10"/>
  <c r="A272" i="10"/>
  <c r="A182" i="10"/>
  <c r="A198" i="10"/>
  <c r="A143" i="10"/>
  <c r="A231" i="10"/>
  <c r="A165" i="10"/>
  <c r="A22" i="10"/>
  <c r="A76" i="10"/>
  <c r="A42" i="10"/>
  <c r="A5" i="10"/>
  <c r="A199" i="10"/>
  <c r="A495" i="10"/>
  <c r="A204" i="10"/>
  <c r="A377" i="10"/>
  <c r="A166" i="10"/>
  <c r="A171" i="10"/>
  <c r="A133" i="10"/>
  <c r="A389" i="10"/>
  <c r="A134" i="10"/>
  <c r="A150" i="10"/>
  <c r="A191" i="10"/>
  <c r="A439" i="10"/>
  <c r="A81" i="10"/>
  <c r="A434" i="10"/>
  <c r="A216" i="10"/>
  <c r="A431" i="10"/>
  <c r="A80" i="10"/>
  <c r="A224" i="10"/>
  <c r="A336" i="10"/>
  <c r="A210" i="10"/>
  <c r="A34" i="10"/>
  <c r="A394" i="10"/>
  <c r="A458" i="10"/>
  <c r="A138" i="10"/>
  <c r="A341" i="10"/>
  <c r="A299" i="10"/>
  <c r="A43" i="10"/>
  <c r="A93" i="10"/>
  <c r="A455" i="10"/>
  <c r="A248" i="10"/>
  <c r="A327" i="10"/>
  <c r="A399" i="10"/>
  <c r="A493" i="10"/>
  <c r="A144" i="10"/>
  <c r="A174" i="10"/>
  <c r="A498" i="10"/>
  <c r="A105" i="10"/>
  <c r="A56" i="10"/>
  <c r="A374" i="10"/>
  <c r="A127" i="10"/>
  <c r="A305" i="10"/>
  <c r="A95" i="10"/>
  <c r="A367" i="10"/>
  <c r="A227" i="10"/>
  <c r="A113" i="10"/>
  <c r="A312" i="10"/>
  <c r="A221" i="10"/>
  <c r="A474" i="10"/>
  <c r="A19" i="10"/>
  <c r="A139" i="10"/>
  <c r="A119" i="10"/>
  <c r="A313" i="10"/>
  <c r="A38" i="10"/>
  <c r="A273" i="10"/>
  <c r="A129" i="10"/>
  <c r="A307" i="10"/>
  <c r="A187" i="10"/>
  <c r="A460" i="10"/>
  <c r="A125" i="10"/>
  <c r="A328" i="10"/>
  <c r="A300" i="10"/>
  <c r="A324" i="10"/>
  <c r="A16" i="10"/>
  <c r="A192" i="10"/>
  <c r="A184" i="10"/>
  <c r="A309" i="10"/>
  <c r="A281" i="10"/>
  <c r="A412" i="10"/>
  <c r="A71" i="10"/>
  <c r="A157" i="10"/>
  <c r="A266" i="10"/>
  <c r="A401" i="10"/>
  <c r="A267" i="10"/>
  <c r="A283" i="10"/>
  <c r="A201" i="10"/>
  <c r="A77" i="10"/>
  <c r="A345" i="10"/>
  <c r="A403" i="10"/>
  <c r="A448" i="10"/>
  <c r="A158" i="10"/>
  <c r="A344" i="10"/>
  <c r="A205" i="10"/>
  <c r="A472" i="10"/>
  <c r="A347" i="10"/>
  <c r="A238" i="10"/>
  <c r="A249" i="10"/>
  <c r="A361" i="10"/>
  <c r="A321" i="10"/>
  <c r="A481" i="10"/>
  <c r="A438" i="10"/>
  <c r="A331" i="10"/>
  <c r="A103" i="10"/>
  <c r="A385" i="10"/>
  <c r="A60" i="10"/>
  <c r="A477" i="10"/>
  <c r="A121" i="10"/>
  <c r="A334" i="10"/>
  <c r="A52" i="10"/>
  <c r="A478" i="10"/>
  <c r="A90" i="10"/>
  <c r="A284" i="10"/>
  <c r="A57" i="10"/>
  <c r="A414" i="10"/>
  <c r="A462" i="10"/>
  <c r="A426" i="10"/>
  <c r="A362" i="10"/>
  <c r="A32" i="10"/>
  <c r="A49" i="10"/>
  <c r="A13" i="10"/>
  <c r="A277" i="10"/>
  <c r="A6" i="10"/>
  <c r="A36" i="10"/>
  <c r="A92" i="10"/>
  <c r="A3" i="10"/>
  <c r="A280" i="10"/>
  <c r="A140" i="10"/>
  <c r="A390" i="10"/>
  <c r="A262" i="10"/>
  <c r="A115" i="10"/>
  <c r="A435" i="10"/>
  <c r="A118" i="10"/>
  <c r="A294" i="10"/>
  <c r="A108" i="10"/>
  <c r="A467" i="10"/>
  <c r="A337" i="10"/>
  <c r="A406" i="10"/>
  <c r="A463" i="10"/>
  <c r="A31" i="10"/>
  <c r="A480" i="10"/>
  <c r="A444" i="10"/>
  <c r="A314" i="10"/>
  <c r="A492" i="10"/>
  <c r="A64" i="10"/>
  <c r="A330" i="10"/>
  <c r="A378" i="10"/>
  <c r="A206" i="10"/>
  <c r="A114" i="10"/>
  <c r="A366" i="10"/>
  <c r="A352" i="10"/>
  <c r="A65" i="10"/>
  <c r="A302" i="10"/>
  <c r="A432" i="10"/>
  <c r="A288" i="10"/>
  <c r="A156" i="10"/>
  <c r="A39" i="10"/>
  <c r="A388" i="10"/>
  <c r="A433" i="10"/>
  <c r="A372" i="10"/>
  <c r="A225" i="10"/>
  <c r="A268" i="10"/>
  <c r="A59" i="10"/>
  <c r="A373" i="10"/>
  <c r="A228" i="10"/>
  <c r="A370" i="10"/>
  <c r="A258" i="10"/>
  <c r="A464" i="10"/>
  <c r="A99" i="10"/>
  <c r="A226" i="10"/>
  <c r="A454" i="10"/>
  <c r="A245" i="10"/>
  <c r="A316" i="10"/>
  <c r="A246" i="10"/>
  <c r="A348" i="10"/>
  <c r="A254" i="10"/>
  <c r="A190" i="10"/>
  <c r="A393" i="10"/>
  <c r="A137" i="10"/>
  <c r="A392" i="10"/>
  <c r="A325" i="10"/>
  <c r="A461" i="10"/>
  <c r="A189" i="10"/>
  <c r="A117" i="10"/>
  <c r="A75" i="10"/>
  <c r="A14" i="10"/>
  <c r="A322" i="10"/>
  <c r="A475" i="10"/>
  <c r="A234" i="10"/>
  <c r="A78" i="10"/>
  <c r="A58" i="10"/>
  <c r="A97" i="10"/>
  <c r="A364" i="10"/>
  <c r="A45" i="10"/>
  <c r="A289" i="10"/>
  <c r="A408" i="10"/>
  <c r="A12" i="10"/>
  <c r="A306" i="10"/>
  <c r="A311" i="10"/>
  <c r="A109" i="10"/>
  <c r="A196" i="10"/>
  <c r="A188" i="10"/>
  <c r="A220" i="10"/>
  <c r="A440" i="10"/>
  <c r="A430" i="10"/>
  <c r="A409" i="10"/>
  <c r="A386" i="10"/>
  <c r="A148" i="10"/>
  <c r="A447" i="10"/>
  <c r="A63" i="10"/>
  <c r="A335" i="10"/>
  <c r="A449" i="10"/>
  <c r="A83" i="10"/>
  <c r="A241" i="10"/>
  <c r="A232" i="10"/>
  <c r="A351" i="10"/>
  <c r="A67" i="10"/>
  <c r="A186" i="10"/>
  <c r="A398" i="10"/>
  <c r="A380" i="10"/>
  <c r="A425" i="10"/>
  <c r="A162" i="10"/>
  <c r="A146" i="10"/>
  <c r="A379" i="10"/>
  <c r="A195" i="10"/>
  <c r="A73" i="10"/>
  <c r="A197" i="10"/>
  <c r="A369" i="10"/>
  <c r="A290" i="10"/>
  <c r="A326" i="10"/>
  <c r="A436" i="10"/>
  <c r="A270" i="10"/>
  <c r="A235" i="10"/>
  <c r="A275" i="10"/>
  <c r="A151" i="10"/>
  <c r="A236" i="10"/>
  <c r="A384" i="10"/>
  <c r="A160" i="10"/>
  <c r="A88" i="10"/>
  <c r="A423" i="10"/>
  <c r="A84" i="10"/>
  <c r="A168" i="10"/>
  <c r="A82" i="10"/>
  <c r="A387" i="10"/>
  <c r="A230" i="10"/>
  <c r="A110" i="10"/>
  <c r="A9" i="10"/>
  <c r="A89" i="10"/>
  <c r="A418" i="10"/>
  <c r="A179" i="10"/>
  <c r="A489" i="10"/>
  <c r="A132" i="10"/>
  <c r="A261" i="10"/>
  <c r="A257" i="10"/>
  <c r="A86" i="10"/>
  <c r="A94" i="10"/>
  <c r="A338" i="10"/>
  <c r="A427" i="10"/>
  <c r="A428" i="10"/>
  <c r="A451" i="10"/>
  <c r="A339" i="10"/>
  <c r="A242" i="10"/>
  <c r="A319" i="10"/>
  <c r="A483" i="10"/>
  <c r="A98" i="10"/>
  <c r="A354" i="10"/>
  <c r="A363" i="10"/>
  <c r="A173" i="10"/>
  <c r="A490" i="10"/>
  <c r="A459" i="10"/>
  <c r="A111" i="10"/>
  <c r="A207" i="10"/>
  <c r="A66" i="10"/>
  <c r="A465" i="10"/>
  <c r="A395" i="10"/>
  <c r="A452" i="10"/>
  <c r="A149" i="10"/>
  <c r="A333" i="10"/>
  <c r="A68" i="10"/>
  <c r="A424" i="10"/>
  <c r="A170" i="10"/>
  <c r="A185" i="10"/>
  <c r="A350" i="10"/>
  <c r="A11" i="10"/>
  <c r="A178" i="10"/>
  <c r="A252" i="10"/>
  <c r="A450" i="10"/>
  <c r="A48" i="10"/>
  <c r="A420" i="10"/>
  <c r="A152" i="10"/>
  <c r="A357" i="10"/>
  <c r="A217" i="10"/>
  <c r="A35" i="10"/>
  <c r="A17" i="10"/>
  <c r="A61" i="10"/>
  <c r="A155" i="10"/>
  <c r="A47" i="10"/>
  <c r="A85" i="10"/>
  <c r="A30" i="10"/>
  <c r="A487" i="10"/>
  <c r="A20" i="10"/>
  <c r="A159" i="10"/>
  <c r="A476" i="10"/>
  <c r="A181" i="10"/>
  <c r="A318" i="10"/>
  <c r="A317" i="10"/>
  <c r="A410" i="10"/>
  <c r="A123" i="10"/>
  <c r="A183" i="10"/>
  <c r="A279" i="10"/>
  <c r="A167" i="10"/>
  <c r="A154" i="10"/>
  <c r="A243" i="10"/>
  <c r="A147" i="10"/>
  <c r="A126" i="10"/>
  <c r="A219" i="10"/>
  <c r="A396" i="10"/>
  <c r="A15" i="10"/>
  <c r="A202" i="10"/>
  <c r="A7" i="10"/>
  <c r="A259" i="10"/>
  <c r="A301" i="10"/>
  <c r="A457" i="10"/>
  <c r="A308" i="10"/>
  <c r="A87" i="10"/>
  <c r="A18" i="10"/>
  <c r="A194" i="10"/>
  <c r="A416" i="10"/>
  <c r="A484" i="10"/>
  <c r="A276" i="10"/>
  <c r="A263" i="10"/>
  <c r="A304" i="10"/>
  <c r="A37" i="10"/>
  <c r="A101" i="10"/>
  <c r="A135" i="10"/>
  <c r="A25" i="10"/>
  <c r="A100" i="10"/>
  <c r="A124" i="10"/>
  <c r="A28" i="10"/>
  <c r="A26" i="10"/>
  <c r="A51" i="10"/>
  <c r="A247" i="10"/>
  <c r="A479" i="10"/>
  <c r="A213" i="10"/>
  <c r="A214" i="10"/>
  <c r="A368" i="10"/>
  <c r="A256" i="10"/>
  <c r="A353" i="10"/>
  <c r="A466" i="10"/>
  <c r="A120" i="10"/>
  <c r="A253" i="10"/>
  <c r="A102" i="10"/>
  <c r="A211" i="10"/>
  <c r="A499" i="10"/>
  <c r="A496" i="10"/>
  <c r="A161" i="10"/>
  <c r="A323" i="10"/>
  <c r="A141" i="10"/>
  <c r="A470" i="10"/>
  <c r="A229" i="10"/>
  <c r="A349" i="10"/>
  <c r="A329" i="10"/>
  <c r="A346" i="10"/>
  <c r="A55" i="10"/>
  <c r="A453" i="10"/>
  <c r="A180" i="10"/>
  <c r="A271" i="10"/>
  <c r="A421" i="10"/>
  <c r="A287" i="10"/>
  <c r="A72" i="10"/>
  <c r="A106" i="10"/>
  <c r="A112" i="10"/>
  <c r="A215" i="10"/>
  <c r="A320" i="10"/>
  <c r="A260" i="10"/>
  <c r="A40" i="10"/>
  <c r="A29" i="10"/>
  <c r="A23" i="10"/>
  <c r="A391" i="10"/>
  <c r="A163" i="10"/>
  <c r="A96" i="10"/>
  <c r="A24" i="10"/>
  <c r="A4" i="10"/>
  <c r="A46" i="10"/>
  <c r="A27" i="10"/>
  <c r="A203" i="10"/>
  <c r="A491" i="10"/>
  <c r="A8" i="10"/>
  <c r="A107" i="10"/>
  <c r="A365" i="10"/>
  <c r="A382" i="10"/>
  <c r="A176" i="10"/>
  <c r="A142" i="10"/>
  <c r="A407" i="10"/>
  <c r="A21" i="10"/>
  <c r="A2" i="10"/>
  <c r="A482" i="10"/>
  <c r="A303" i="10"/>
  <c r="A437" i="10"/>
  <c r="A153" i="10"/>
  <c r="A70" i="10"/>
  <c r="D2" i="4"/>
  <c r="F2" i="4"/>
  <c r="H2" i="4" s="1"/>
  <c r="G2" i="4"/>
  <c r="K2" i="4"/>
  <c r="M2" i="4"/>
  <c r="C13" i="4"/>
  <c r="C11" i="4"/>
  <c r="C9" i="4"/>
  <c r="C7" i="4"/>
  <c r="H16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6" i="23" l="1"/>
  <c r="H21" i="23"/>
  <c r="H8" i="23"/>
  <c r="H5" i="23"/>
  <c r="H42" i="23"/>
  <c r="H22" i="23"/>
  <c r="H12" i="23"/>
  <c r="H39" i="23"/>
  <c r="H2" i="23"/>
  <c r="H28" i="23"/>
  <c r="H10" i="23"/>
  <c r="H7" i="23"/>
  <c r="H34" i="23"/>
  <c r="H13" i="23"/>
  <c r="H3" i="23"/>
  <c r="H24" i="23"/>
  <c r="H37" i="23"/>
  <c r="H29" i="23"/>
  <c r="H15" i="23"/>
  <c r="I12" i="4"/>
  <c r="I8" i="4"/>
  <c r="I6" i="4"/>
  <c r="I4" i="4"/>
  <c r="M13" i="4"/>
  <c r="I10" i="4"/>
  <c r="I2" i="4"/>
  <c r="M5" i="4"/>
  <c r="G11" i="4"/>
  <c r="H23" i="23"/>
  <c r="H44" i="23"/>
  <c r="H25" i="23"/>
  <c r="D3" i="4"/>
  <c r="H11" i="23"/>
  <c r="H9" i="23"/>
  <c r="H30" i="23"/>
  <c r="B5" i="4"/>
  <c r="H27" i="23"/>
  <c r="H19" i="23"/>
  <c r="F7" i="4"/>
  <c r="H18" i="23"/>
  <c r="H33" i="23"/>
  <c r="H31" i="23"/>
  <c r="H17" i="23"/>
  <c r="D9" i="4"/>
  <c r="H14" i="23"/>
  <c r="H20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132" i="2"/>
  <c r="D227" i="2"/>
  <c r="D506" i="2"/>
  <c r="D36" i="2"/>
  <c r="D439" i="2"/>
  <c r="D612" i="2"/>
  <c r="D713" i="2"/>
  <c r="D312" i="2"/>
  <c r="D442" i="2"/>
  <c r="D577" i="2"/>
  <c r="D99" i="2"/>
  <c r="D507" i="2"/>
  <c r="D128" i="2"/>
  <c r="D221" i="2"/>
  <c r="D372" i="2"/>
  <c r="D123" i="2"/>
  <c r="D260" i="2"/>
  <c r="D544" i="2"/>
  <c r="D732" i="2"/>
  <c r="D376" i="2"/>
  <c r="D29" i="2"/>
  <c r="D250" i="2"/>
  <c r="D185" i="2"/>
  <c r="D396" i="2"/>
  <c r="D659" i="2"/>
  <c r="D753" i="2"/>
  <c r="D164" i="2"/>
  <c r="D68" i="2"/>
  <c r="D238" i="2"/>
  <c r="D653" i="2"/>
  <c r="D673" i="2"/>
  <c r="D643" i="2"/>
  <c r="D405" i="2"/>
  <c r="D182" i="2"/>
  <c r="D556" i="2"/>
  <c r="D133" i="2"/>
  <c r="D721" i="2"/>
  <c r="D748" i="2"/>
  <c r="D526" i="2"/>
  <c r="D633" i="2"/>
  <c r="D594" i="2"/>
  <c r="D670" i="2"/>
  <c r="D661" i="2"/>
  <c r="D381" i="2"/>
  <c r="D270" i="2"/>
  <c r="D375" i="2"/>
  <c r="D149" i="2"/>
  <c r="D482" i="2"/>
  <c r="D349" i="2"/>
  <c r="D301" i="2"/>
  <c r="D475" i="2"/>
  <c r="D119" i="2"/>
  <c r="D206" i="2"/>
  <c r="D41" i="2"/>
  <c r="D161" i="2"/>
  <c r="D393" i="2"/>
  <c r="D463" i="2"/>
  <c r="D201" i="2"/>
  <c r="D706" i="2"/>
  <c r="D446" i="2"/>
  <c r="D423" i="2"/>
  <c r="D273" i="2"/>
  <c r="D674" i="2"/>
  <c r="D350" i="2"/>
  <c r="D210" i="2"/>
  <c r="D638" i="2"/>
  <c r="D487" i="2"/>
  <c r="D757" i="2"/>
  <c r="D620" i="2"/>
  <c r="D657" i="2"/>
  <c r="D455" i="2"/>
  <c r="D54" i="2"/>
  <c r="D90" i="2"/>
  <c r="D134" i="2"/>
  <c r="D726" i="2"/>
  <c r="D157" i="2"/>
  <c r="D303" i="2"/>
  <c r="D267" i="2"/>
  <c r="D204" i="2"/>
  <c r="D341" i="2"/>
  <c r="D173" i="2"/>
  <c r="D160" i="2"/>
  <c r="D431" i="2"/>
  <c r="D263" i="2"/>
  <c r="D126" i="2"/>
  <c r="D57" i="2"/>
  <c r="D545" i="2"/>
  <c r="D731" i="2"/>
  <c r="D415" i="2"/>
  <c r="D611" i="2"/>
  <c r="D692" i="2"/>
  <c r="D624" i="2"/>
  <c r="D656" i="2"/>
  <c r="D232" i="2"/>
  <c r="D584" i="2"/>
  <c r="D115" i="2"/>
  <c r="D191" i="2"/>
  <c r="D752" i="2"/>
  <c r="D660" i="2"/>
  <c r="D667" i="2"/>
  <c r="D287" i="2"/>
  <c r="D593" i="2"/>
  <c r="D631" i="2"/>
  <c r="D49" i="2"/>
  <c r="D419" i="2"/>
  <c r="D96" i="2"/>
  <c r="D385" i="2"/>
  <c r="D335" i="2"/>
  <c r="D687" i="2"/>
  <c r="D239" i="2"/>
  <c r="D213" i="2"/>
  <c r="D253" i="2"/>
  <c r="D69" i="2"/>
  <c r="D229" i="2"/>
  <c r="D155" i="2"/>
  <c r="D121" i="2"/>
  <c r="D678" i="2"/>
  <c r="D637" i="2"/>
  <c r="D356" i="2"/>
  <c r="D3" i="2"/>
  <c r="D456" i="2"/>
  <c r="D59" i="2"/>
  <c r="D572" i="2"/>
  <c r="D61" i="2"/>
  <c r="D492" i="2"/>
  <c r="D311" i="2"/>
  <c r="D92" i="2"/>
  <c r="D64" i="2"/>
  <c r="D175" i="2"/>
  <c r="D738" i="2"/>
  <c r="D464" i="2"/>
  <c r="D320" i="2"/>
  <c r="D683" i="2"/>
  <c r="D601" i="2"/>
  <c r="D275" i="2"/>
  <c r="D70" i="2"/>
  <c r="D339" i="2"/>
  <c r="D583" i="2"/>
  <c r="D80" i="2"/>
  <c r="D368" i="2"/>
  <c r="D11" i="2"/>
  <c r="D557" i="2"/>
  <c r="D606" i="2"/>
  <c r="D403" i="2"/>
  <c r="D491" i="2"/>
  <c r="D459" i="2"/>
  <c r="D394" i="2"/>
  <c r="D192" i="2"/>
  <c r="D695" i="2"/>
  <c r="D89" i="2"/>
  <c r="D307" i="2"/>
  <c r="D574" i="2"/>
  <c r="D28" i="2"/>
  <c r="D758" i="2"/>
  <c r="D170" i="2"/>
  <c r="D427" i="2"/>
  <c r="D607" i="2"/>
  <c r="D605" i="2"/>
  <c r="D351" i="2"/>
  <c r="D679" i="2"/>
  <c r="D248" i="2"/>
  <c r="D629" i="2"/>
  <c r="D632" i="2"/>
  <c r="D72" i="2"/>
  <c r="D530" i="2"/>
  <c r="D756" i="2"/>
  <c r="D272" i="2"/>
  <c r="D522" i="2"/>
  <c r="D389" i="2"/>
  <c r="D450" i="2"/>
  <c r="D183" i="2"/>
  <c r="D610" i="2"/>
  <c r="D145" i="2"/>
  <c r="D617" i="2"/>
  <c r="D651" i="2"/>
  <c r="D675" i="2"/>
  <c r="D234" i="2"/>
  <c r="D83" i="2"/>
  <c r="D727" i="2"/>
  <c r="D326" i="2"/>
  <c r="D288" i="2"/>
  <c r="D426" i="2"/>
  <c r="D56" i="2"/>
  <c r="D453" i="2"/>
  <c r="D367" i="2"/>
  <c r="D296" i="2"/>
  <c r="D535" i="2"/>
  <c r="D305" i="2"/>
  <c r="D668" i="2"/>
  <c r="D336" i="2"/>
  <c r="D694" i="2"/>
  <c r="D156" i="2"/>
  <c r="D269" i="2"/>
  <c r="D598" i="2"/>
  <c r="D300" i="2"/>
  <c r="D436" i="2"/>
  <c r="D313" i="2"/>
  <c r="D66" i="2"/>
  <c r="D163" i="2"/>
  <c r="D609" i="2"/>
  <c r="D251" i="2"/>
  <c r="D79" i="2"/>
  <c r="D27" i="2"/>
  <c r="D635" i="2"/>
  <c r="D499" i="2"/>
  <c r="D750" i="2"/>
  <c r="D686" i="2"/>
  <c r="D645" i="2"/>
  <c r="D48" i="2"/>
  <c r="D740" i="2"/>
  <c r="D573" i="2"/>
  <c r="D669" i="2"/>
  <c r="D754" i="2"/>
  <c r="D724" i="2"/>
  <c r="D460" i="2"/>
  <c r="D451" i="2"/>
  <c r="D443" i="2"/>
  <c r="D677" i="2"/>
  <c r="D646" i="2"/>
  <c r="D26" i="2"/>
  <c r="D102" i="2"/>
  <c r="D78" i="2"/>
  <c r="D8" i="2"/>
  <c r="D71" i="2"/>
  <c r="D141" i="2"/>
  <c r="D625" i="2"/>
  <c r="D193" i="2"/>
  <c r="D466" i="2"/>
  <c r="D329" i="2"/>
  <c r="D510" i="2"/>
  <c r="D418" i="2"/>
  <c r="D470" i="2"/>
  <c r="D736" i="2"/>
  <c r="D100" i="2"/>
  <c r="D411" i="2"/>
  <c r="D402" i="2"/>
  <c r="D189" i="2"/>
  <c r="D532" i="2"/>
  <c r="D479" i="2"/>
  <c r="D106" i="2"/>
  <c r="D613" i="2"/>
  <c r="D324" i="2"/>
  <c r="D241" i="2"/>
  <c r="D264" i="2"/>
  <c r="D563" i="2"/>
  <c r="D448" i="2"/>
  <c r="D46" i="2"/>
  <c r="D715" i="2"/>
  <c r="D281" i="2"/>
  <c r="D406" i="2"/>
  <c r="D340" i="2"/>
  <c r="D205" i="2"/>
  <c r="D87" i="2"/>
  <c r="D108" i="2"/>
  <c r="D551" i="2"/>
  <c r="D202" i="2"/>
  <c r="D361" i="2"/>
  <c r="D737" i="2"/>
  <c r="D454" i="2"/>
  <c r="D422" i="2"/>
  <c r="D547" i="2"/>
  <c r="D262" i="2"/>
  <c r="D467" i="2"/>
  <c r="D330" i="2"/>
  <c r="D97" i="2"/>
  <c r="D452" i="2"/>
  <c r="D344" i="2"/>
  <c r="D663" i="2"/>
  <c r="D634" i="2"/>
  <c r="D212" i="2"/>
  <c r="D578" i="2"/>
  <c r="D51" i="2"/>
  <c r="D546" i="2"/>
  <c r="D53" i="2"/>
  <c r="D113" i="2"/>
  <c r="D518" i="2"/>
  <c r="D710" i="2"/>
  <c r="D197" i="2"/>
  <c r="D543" i="2"/>
  <c r="D9" i="2"/>
  <c r="D162" i="2"/>
  <c r="D497" i="2"/>
  <c r="D32" i="2"/>
  <c r="D203" i="2"/>
  <c r="D755" i="2"/>
  <c r="D569" i="2"/>
  <c r="D95" i="2"/>
  <c r="D181" i="2"/>
  <c r="D50" i="2"/>
  <c r="D355" i="2"/>
  <c r="D245" i="2"/>
  <c r="D712" i="2"/>
  <c r="D21" i="2"/>
  <c r="D554" i="2"/>
  <c r="D103" i="2"/>
  <c r="D20" i="2"/>
  <c r="D146" i="2"/>
  <c r="D472" i="2"/>
  <c r="D523" i="2"/>
  <c r="D7" i="2"/>
  <c r="D107" i="2"/>
  <c r="D596" i="2"/>
  <c r="D176" i="2"/>
  <c r="D42" i="2"/>
  <c r="D421" i="2"/>
  <c r="D353" i="2"/>
  <c r="D200" i="2"/>
  <c r="D144" i="2"/>
  <c r="D254" i="2"/>
  <c r="D112" i="2"/>
  <c r="D244" i="2"/>
  <c r="D310" i="2"/>
  <c r="D388" i="2"/>
  <c r="D438" i="2"/>
  <c r="D703" i="2"/>
  <c r="D698" i="2"/>
  <c r="D247" i="2"/>
  <c r="D111" i="2"/>
  <c r="D317" i="2"/>
  <c r="D502" i="2"/>
  <c r="D47" i="2"/>
  <c r="D407" i="2"/>
  <c r="D85" i="2"/>
  <c r="D494" i="2"/>
  <c r="D409" i="2"/>
  <c r="D534" i="2"/>
  <c r="D483" i="2"/>
  <c r="D39" i="2"/>
  <c r="D437" i="2"/>
  <c r="D581" i="2"/>
  <c r="D5" i="2"/>
  <c r="D580" i="2"/>
  <c r="D179" i="2"/>
  <c r="D416" i="2"/>
  <c r="D641" i="2"/>
  <c r="D500" i="2"/>
  <c r="D722" i="2"/>
  <c r="D302" i="2"/>
  <c r="D266" i="2"/>
  <c r="D249" i="2"/>
  <c r="D284" i="2"/>
  <c r="D648" i="2"/>
  <c r="D627" i="2"/>
  <c r="D590" i="2"/>
  <c r="D276" i="2"/>
  <c r="D110" i="2"/>
  <c r="D169" i="2"/>
  <c r="D233" i="2"/>
  <c r="D67" i="2"/>
  <c r="D255" i="2"/>
  <c r="D465" i="2"/>
  <c r="D65" i="2"/>
  <c r="D73" i="2"/>
  <c r="D6" i="2"/>
  <c r="D322" i="2"/>
  <c r="D88" i="2"/>
  <c r="D440" i="2"/>
  <c r="D521" i="2"/>
  <c r="D180" i="2"/>
  <c r="D395" i="2"/>
  <c r="D449" i="2"/>
  <c r="D538" i="2"/>
  <c r="D568" i="2"/>
  <c r="D716" i="2"/>
  <c r="D195" i="2"/>
  <c r="D74" i="2"/>
  <c r="D224" i="2"/>
  <c r="D373" i="2"/>
  <c r="D216" i="2"/>
  <c r="D228" i="2"/>
  <c r="D378" i="2"/>
  <c r="D723" i="2"/>
  <c r="D608" i="2"/>
  <c r="D319" i="2"/>
  <c r="D749" i="2"/>
  <c r="D536" i="2"/>
  <c r="D165" i="2"/>
  <c r="D127" i="2"/>
  <c r="D528" i="2"/>
  <c r="D291" i="2"/>
  <c r="D230" i="2"/>
  <c r="D286" i="2"/>
  <c r="D428" i="2"/>
  <c r="D707" i="2"/>
  <c r="D321" i="2"/>
  <c r="D671" i="2"/>
  <c r="D12" i="2"/>
  <c r="D258" i="2"/>
  <c r="D343" i="2"/>
  <c r="D337" i="2"/>
  <c r="D746" i="2"/>
  <c r="D689" i="2"/>
  <c r="D761" i="2"/>
  <c r="D196" i="2"/>
  <c r="D58" i="2"/>
  <c r="D621" i="2"/>
  <c r="D63" i="2"/>
  <c r="D589" i="2"/>
  <c r="D614" i="2"/>
  <c r="D246" i="2"/>
  <c r="D435" i="2"/>
  <c r="D130" i="2"/>
  <c r="D429" i="2"/>
  <c r="D104" i="2"/>
  <c r="D519" i="2"/>
  <c r="D261" i="2"/>
  <c r="D623" i="2"/>
  <c r="D178" i="2"/>
  <c r="D30" i="2"/>
  <c r="D360" i="2"/>
  <c r="D171" i="2"/>
  <c r="D642" i="2"/>
  <c r="D116" i="2"/>
  <c r="D539" i="2"/>
  <c r="D628" i="2"/>
  <c r="D735" i="2"/>
  <c r="D387" i="2"/>
  <c r="D91" i="2"/>
  <c r="D398" i="2"/>
  <c r="D489" i="2"/>
  <c r="D33" i="2"/>
  <c r="D733" i="2"/>
  <c r="D759" i="2"/>
  <c r="D579" i="2"/>
  <c r="D86" i="2"/>
  <c r="D295" i="2"/>
  <c r="D410" i="2"/>
  <c r="D199" i="2"/>
  <c r="D152" i="2"/>
  <c r="D665" i="2"/>
  <c r="D392" i="2"/>
  <c r="D509" i="2"/>
  <c r="D400" i="2"/>
  <c r="D559" i="2"/>
  <c r="D700" i="2"/>
  <c r="D357" i="2"/>
  <c r="D515" i="2"/>
  <c r="D742" i="2"/>
  <c r="D93" i="2"/>
  <c r="D4" i="2"/>
  <c r="D242" i="2"/>
  <c r="D488" i="2"/>
  <c r="D331" i="2"/>
  <c r="D708" i="2"/>
  <c r="D158" i="2"/>
  <c r="D730" i="2"/>
  <c r="D655" i="2"/>
  <c r="D257" i="2"/>
  <c r="D159" i="2"/>
  <c r="D109" i="2"/>
  <c r="D729" i="2"/>
  <c r="D148" i="2"/>
  <c r="D52" i="2"/>
  <c r="D226" i="2"/>
  <c r="D425" i="2"/>
  <c r="D471" i="2"/>
  <c r="D404" i="2"/>
  <c r="D693" i="2"/>
  <c r="D591" i="2"/>
  <c r="D325" i="2"/>
  <c r="D734" i="2"/>
  <c r="D218" i="2"/>
  <c r="D696" i="2"/>
  <c r="D188" i="2"/>
  <c r="D564" i="2"/>
  <c r="D458" i="2"/>
  <c r="D84" i="2"/>
  <c r="D432" i="2"/>
  <c r="D560" i="2"/>
  <c r="D190" i="2"/>
  <c r="D401" i="2"/>
  <c r="D555" i="2"/>
  <c r="D576" i="2"/>
  <c r="D676" i="2"/>
  <c r="D265" i="2"/>
  <c r="D285" i="2"/>
  <c r="D17" i="2"/>
  <c r="D747" i="2"/>
  <c r="D304" i="2"/>
  <c r="D537" i="2"/>
  <c r="D198" i="2"/>
  <c r="D644" i="2"/>
  <c r="D414" i="2"/>
  <c r="D208" i="2"/>
  <c r="D214" i="2"/>
  <c r="D142" i="2"/>
  <c r="D219" i="2"/>
  <c r="D168" i="2"/>
  <c r="D306" i="2"/>
  <c r="D222" i="2"/>
  <c r="D136" i="2"/>
  <c r="D597" i="2"/>
  <c r="D445" i="2"/>
  <c r="D744" i="2"/>
  <c r="D457" i="2"/>
  <c r="D495" i="2"/>
  <c r="D379" i="2"/>
  <c r="D309" i="2"/>
  <c r="D517" i="2"/>
  <c r="D486" i="2"/>
  <c r="D640" i="2"/>
  <c r="D236" i="2"/>
  <c r="D604" i="2"/>
  <c r="D690" i="2"/>
  <c r="D513" i="2"/>
  <c r="D37" i="2"/>
  <c r="D154" i="2"/>
  <c r="D215" i="2"/>
  <c r="D639" i="2"/>
  <c r="D508" i="2"/>
  <c r="D131" i="2"/>
  <c r="D701" i="2"/>
  <c r="D498" i="2"/>
  <c r="D699" i="2"/>
  <c r="D124" i="2"/>
  <c r="D567" i="2"/>
  <c r="D13" i="2"/>
  <c r="D151" i="2"/>
  <c r="D739" i="2"/>
  <c r="D153" i="2"/>
  <c r="D447" i="2"/>
  <c r="D704" i="2"/>
  <c r="D711" i="2"/>
  <c r="D120" i="2"/>
  <c r="D10" i="2"/>
  <c r="D433" i="2"/>
  <c r="D434" i="2"/>
  <c r="D105" i="2"/>
  <c r="D709" i="2"/>
  <c r="D298" i="2"/>
  <c r="D345" i="2"/>
  <c r="D186" i="2"/>
  <c r="D129" i="2"/>
  <c r="D503" i="2"/>
  <c r="D75" i="2"/>
  <c r="D140" i="2"/>
  <c r="D542" i="2"/>
  <c r="D223" i="2"/>
  <c r="D586" i="2"/>
  <c r="D293" i="2"/>
  <c r="D685" i="2"/>
  <c r="D619" i="2"/>
  <c r="D603" i="2"/>
  <c r="D636" i="2"/>
  <c r="D366" i="2"/>
  <c r="D469" i="2"/>
  <c r="D282" i="2"/>
  <c r="D602" i="2"/>
  <c r="D280" i="2"/>
  <c r="D548" i="2"/>
  <c r="D461" i="2"/>
  <c r="D35" i="2"/>
  <c r="D697" i="2"/>
  <c r="D615" i="2"/>
  <c r="D76" i="2"/>
  <c r="D516" i="2"/>
  <c r="D441" i="2"/>
  <c r="D570" i="2"/>
  <c r="D561" i="2"/>
  <c r="D384" i="2"/>
  <c r="D412" i="2"/>
  <c r="D600" i="2"/>
  <c r="D314" i="2"/>
  <c r="D220" i="2"/>
  <c r="D117" i="2"/>
  <c r="D60" i="2"/>
  <c r="D512" i="2"/>
  <c r="D478" i="2"/>
  <c r="D664" i="2"/>
  <c r="D332" i="2"/>
  <c r="D77" i="2"/>
  <c r="D98" i="2"/>
  <c r="D672" i="2"/>
  <c r="D167" i="2"/>
  <c r="D553" i="2"/>
  <c r="D374" i="2"/>
  <c r="D327" i="2"/>
  <c r="D369" i="2"/>
  <c r="D618" i="2"/>
  <c r="D290" i="2"/>
  <c r="D592" i="2"/>
  <c r="D575" i="2"/>
  <c r="D316" i="2"/>
  <c r="D493" i="2"/>
  <c r="D417" i="2"/>
  <c r="D480" i="2"/>
  <c r="D505" i="2"/>
  <c r="D328" i="2"/>
  <c r="D728" i="2"/>
  <c r="D520" i="2"/>
  <c r="D38" i="2"/>
  <c r="D358" i="2"/>
  <c r="D616" i="2"/>
  <c r="D386" i="2"/>
  <c r="D444" i="2"/>
  <c r="D143" i="2"/>
  <c r="D43" i="2"/>
  <c r="D101" i="2"/>
  <c r="D552" i="2"/>
  <c r="D18" i="2"/>
  <c r="D82" i="2"/>
  <c r="D45" i="2"/>
  <c r="D514" i="2"/>
  <c r="D408" i="2"/>
  <c r="D717" i="2"/>
  <c r="D44" i="2"/>
  <c r="D364" i="2"/>
  <c r="D352" i="2"/>
  <c r="D15" i="2"/>
  <c r="D599" i="2"/>
  <c r="D476" i="2"/>
  <c r="D359" i="2"/>
  <c r="D348" i="2"/>
  <c r="D650" i="2"/>
  <c r="D474" i="2"/>
  <c r="D259" i="2"/>
  <c r="D462" i="2"/>
  <c r="D504" i="2"/>
  <c r="D184" i="2"/>
  <c r="D292" i="2"/>
  <c r="D377" i="2"/>
  <c r="D338" i="2"/>
  <c r="D630" i="2"/>
  <c r="D622" i="2"/>
  <c r="D587" i="2"/>
  <c r="D582" i="2"/>
  <c r="D595" i="2"/>
  <c r="D342" i="2"/>
  <c r="D40" i="2"/>
  <c r="D279" i="2"/>
  <c r="D297" i="2"/>
  <c r="D14" i="2"/>
  <c r="D166" i="2"/>
  <c r="D652" i="2"/>
  <c r="D147" i="2"/>
  <c r="D187" i="2"/>
  <c r="D720" i="2"/>
  <c r="D658" i="2"/>
  <c r="D549" i="2"/>
  <c r="D217" i="2"/>
  <c r="D485" i="2"/>
  <c r="D207" i="2"/>
  <c r="D533" i="2"/>
  <c r="D346" i="2"/>
  <c r="D334" i="2"/>
  <c r="D283" i="2"/>
  <c r="D743" i="2"/>
  <c r="D525" i="2"/>
  <c r="D256" i="2"/>
  <c r="D382" i="2"/>
  <c r="D94" i="2"/>
  <c r="D274" i="2"/>
  <c r="D714" i="2"/>
  <c r="D691" i="2"/>
  <c r="D137" i="2"/>
  <c r="D318" i="2"/>
  <c r="D626" i="2"/>
  <c r="D541" i="2"/>
  <c r="D558" i="2"/>
  <c r="D114" i="2"/>
  <c r="D585" i="2"/>
  <c r="D289" i="2"/>
  <c r="D278" i="2"/>
  <c r="D333" i="2"/>
  <c r="D135" i="2"/>
  <c r="D571" i="2"/>
  <c r="D81" i="2"/>
  <c r="D647" i="2"/>
  <c r="D531" i="2"/>
  <c r="D719" i="2"/>
  <c r="D308" i="2"/>
  <c r="D139" i="2"/>
  <c r="D125" i="2"/>
  <c r="D511" i="2"/>
  <c r="D540" i="2"/>
  <c r="D240" i="2"/>
  <c r="D680" i="2"/>
  <c r="D705" i="2"/>
  <c r="D524" i="2"/>
  <c r="D397" i="2"/>
  <c r="D323" i="2"/>
  <c r="D751" i="2"/>
  <c r="D399" i="2"/>
  <c r="D550" i="2"/>
  <c r="D681" i="2"/>
  <c r="D682" i="2"/>
  <c r="D294" i="2"/>
  <c r="D177" i="2"/>
  <c r="D702" i="2"/>
  <c r="D529" i="2"/>
  <c r="D237" i="2"/>
  <c r="D2" i="2"/>
  <c r="D420" i="2"/>
  <c r="D371" i="2"/>
  <c r="D662" i="2"/>
  <c r="D484" i="2"/>
  <c r="D654" i="2"/>
  <c r="D209" i="2"/>
  <c r="D362" i="2"/>
  <c r="D122" i="2"/>
  <c r="D271" i="2"/>
  <c r="D468" i="2"/>
  <c r="D31" i="2"/>
  <c r="D562" i="2"/>
  <c r="D725" i="2"/>
  <c r="D34" i="2"/>
  <c r="D363" i="2"/>
  <c r="D383" i="2"/>
  <c r="D172" i="2"/>
  <c r="D527" i="2"/>
  <c r="D496" i="2"/>
  <c r="D354" i="2"/>
  <c r="D16" i="2"/>
  <c r="D62" i="2"/>
  <c r="D252" i="2"/>
  <c r="D430" i="2"/>
  <c r="D277" i="2"/>
  <c r="D380" i="2"/>
  <c r="D243" i="2"/>
  <c r="D745" i="2"/>
  <c r="D55" i="2"/>
  <c r="D760" i="2"/>
  <c r="D174" i="2"/>
  <c r="D684" i="2"/>
  <c r="D194" i="2"/>
  <c r="D299" i="2"/>
  <c r="D23" i="2"/>
  <c r="D565" i="2"/>
  <c r="D718" i="2"/>
  <c r="D391" i="2"/>
  <c r="D231" i="2"/>
  <c r="D150" i="2"/>
  <c r="D588" i="2"/>
  <c r="D118" i="2"/>
  <c r="D649" i="2"/>
  <c r="D211" i="2"/>
  <c r="D666" i="2"/>
  <c r="D501" i="2"/>
  <c r="D365" i="2"/>
  <c r="D477" i="2"/>
  <c r="D24" i="2"/>
  <c r="D19" i="2"/>
  <c r="D268" i="2"/>
  <c r="D347" i="2"/>
  <c r="D138" i="2"/>
  <c r="D481" i="2"/>
  <c r="D225" i="2"/>
  <c r="D424" i="2"/>
  <c r="D390" i="2"/>
  <c r="D25" i="2"/>
  <c r="D235" i="2"/>
  <c r="D566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C363" i="4"/>
  <c r="C361" i="4"/>
  <c r="C359" i="4"/>
  <c r="C357" i="4"/>
  <c r="C355" i="4"/>
  <c r="C353" i="4"/>
  <c r="C351" i="4"/>
  <c r="H1222" i="23" s="1"/>
  <c r="C349" i="4"/>
  <c r="C347" i="4"/>
  <c r="C345" i="4"/>
  <c r="C343" i="4"/>
  <c r="C341" i="4"/>
  <c r="C339" i="4"/>
  <c r="C337" i="4"/>
  <c r="C335" i="4"/>
  <c r="C333" i="4"/>
  <c r="C331" i="4"/>
  <c r="C329" i="4"/>
  <c r="C327" i="4"/>
  <c r="C325" i="4"/>
  <c r="C323" i="4"/>
  <c r="C321" i="4"/>
  <c r="C319" i="4"/>
  <c r="C317" i="4"/>
  <c r="C315" i="4"/>
  <c r="C313" i="4"/>
  <c r="C311" i="4"/>
  <c r="C309" i="4"/>
  <c r="C307" i="4"/>
  <c r="C305" i="4"/>
  <c r="C303" i="4"/>
  <c r="C301" i="4"/>
  <c r="C299" i="4"/>
  <c r="C297" i="4"/>
  <c r="C295" i="4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74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H530" i="23" s="1"/>
  <c r="C151" i="4"/>
  <c r="C149" i="4"/>
  <c r="C147" i="4"/>
  <c r="C145" i="4"/>
  <c r="C143" i="4"/>
  <c r="C141" i="4"/>
  <c r="H488" i="23" s="1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C51" i="4"/>
  <c r="C49" i="4"/>
  <c r="C47" i="4"/>
  <c r="C45" i="4"/>
  <c r="C43" i="4"/>
  <c r="C41" i="4"/>
  <c r="C39" i="4"/>
  <c r="C37" i="4"/>
  <c r="H114" i="23" s="1"/>
  <c r="C35" i="4"/>
  <c r="C33" i="4"/>
  <c r="C31" i="4"/>
  <c r="C29" i="4"/>
  <c r="H99" i="23" s="1"/>
  <c r="C27" i="4"/>
  <c r="C19" i="4"/>
  <c r="C21" i="4"/>
  <c r="C23" i="4"/>
  <c r="H77" i="23" s="1"/>
  <c r="C25" i="4"/>
  <c r="C17" i="4"/>
  <c r="C15" i="4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H966" i="23" l="1"/>
  <c r="H109" i="23"/>
  <c r="H208" i="23"/>
  <c r="H35" i="23"/>
  <c r="H38" i="23"/>
  <c r="C1520" i="23"/>
  <c r="H1271" i="23"/>
  <c r="H716" i="23"/>
  <c r="H358" i="23"/>
  <c r="H706" i="23"/>
  <c r="H499" i="23"/>
  <c r="H261" i="23"/>
  <c r="H510" i="23"/>
  <c r="H1234" i="23"/>
  <c r="H674" i="23"/>
  <c r="H389" i="23"/>
  <c r="C268" i="23"/>
  <c r="C170" i="23"/>
  <c r="H962" i="23"/>
  <c r="H442" i="23"/>
  <c r="H52" i="23"/>
  <c r="H47" i="23"/>
  <c r="H1201" i="23"/>
  <c r="C644" i="23"/>
  <c r="H944" i="23"/>
  <c r="H561" i="23"/>
  <c r="H588" i="23"/>
  <c r="H1259" i="23"/>
  <c r="H1470" i="23"/>
  <c r="H397" i="23"/>
  <c r="H524" i="23"/>
  <c r="H1174" i="23"/>
  <c r="H663" i="23"/>
  <c r="H841" i="23"/>
  <c r="H884" i="23"/>
  <c r="H1068" i="23"/>
  <c r="H1108" i="23"/>
  <c r="H1261" i="23"/>
  <c r="H1040" i="23"/>
  <c r="H926" i="23"/>
  <c r="H453" i="23"/>
  <c r="H401" i="23"/>
  <c r="H477" i="23"/>
  <c r="H258" i="23"/>
  <c r="H958" i="23"/>
  <c r="H1200" i="23"/>
  <c r="H604" i="23"/>
  <c r="H1311" i="23"/>
  <c r="C994" i="23"/>
  <c r="H333" i="23"/>
  <c r="H866" i="23"/>
  <c r="H695" i="23"/>
  <c r="H916" i="23"/>
  <c r="H375" i="23"/>
  <c r="H1295" i="23"/>
  <c r="H197" i="23"/>
  <c r="H819" i="23"/>
  <c r="H1302" i="23"/>
  <c r="H165" i="23"/>
  <c r="H473" i="23"/>
  <c r="C635" i="23"/>
  <c r="H148" i="23"/>
  <c r="H775" i="23"/>
  <c r="C98" i="23"/>
  <c r="C720" i="23"/>
  <c r="H888" i="23"/>
  <c r="C832" i="23"/>
  <c r="H843" i="23"/>
  <c r="C697" i="23"/>
  <c r="C855" i="23"/>
  <c r="C264" i="23"/>
  <c r="C159" i="23"/>
  <c r="C1228" i="23"/>
  <c r="C315" i="23"/>
  <c r="C230" i="23"/>
  <c r="C244" i="23"/>
  <c r="C1239" i="23"/>
  <c r="C303" i="23"/>
  <c r="H718" i="23"/>
  <c r="C705" i="23"/>
  <c r="C84" i="23"/>
  <c r="C1012" i="23"/>
  <c r="C1011" i="23"/>
  <c r="C1014" i="23"/>
  <c r="C1034" i="23"/>
  <c r="C585" i="23"/>
  <c r="C598" i="23"/>
  <c r="C738" i="23"/>
  <c r="C739" i="23"/>
  <c r="C726" i="23"/>
  <c r="C747" i="23"/>
  <c r="C741" i="23"/>
  <c r="C617" i="23"/>
  <c r="C615" i="23"/>
  <c r="C616" i="23"/>
  <c r="C624" i="23"/>
  <c r="C631" i="23"/>
  <c r="C636" i="23"/>
  <c r="C502" i="23"/>
  <c r="C519" i="23"/>
  <c r="C490" i="23"/>
  <c r="C233" i="23"/>
  <c r="C253" i="23"/>
  <c r="C220" i="23"/>
  <c r="C232" i="23"/>
  <c r="C241" i="23"/>
  <c r="C177" i="23"/>
  <c r="C180" i="23"/>
  <c r="C179" i="23"/>
  <c r="C153" i="23"/>
  <c r="C62" i="23"/>
  <c r="C82" i="23"/>
  <c r="C57" i="23"/>
  <c r="C65" i="23"/>
  <c r="C55" i="23"/>
  <c r="C1023" i="23"/>
  <c r="C1026" i="23"/>
  <c r="C1022" i="23"/>
  <c r="C936" i="23"/>
  <c r="C945" i="23"/>
  <c r="C942" i="23"/>
  <c r="C949" i="23"/>
  <c r="C940" i="23"/>
  <c r="C792" i="23"/>
  <c r="C795" i="23"/>
  <c r="C789" i="23"/>
  <c r="C796" i="23"/>
  <c r="C742" i="23"/>
  <c r="C753" i="23"/>
  <c r="C731" i="23"/>
  <c r="C746" i="23"/>
  <c r="C698" i="23"/>
  <c r="C686" i="23"/>
  <c r="C677" i="23"/>
  <c r="C673" i="23"/>
  <c r="C685" i="23"/>
  <c r="C572" i="23"/>
  <c r="C583" i="23"/>
  <c r="C579" i="23"/>
  <c r="C595" i="23"/>
  <c r="C536" i="23"/>
  <c r="C528" i="23"/>
  <c r="C525" i="23"/>
  <c r="C462" i="23"/>
  <c r="C470" i="23"/>
  <c r="C476" i="23"/>
  <c r="C353" i="23"/>
  <c r="C375" i="23"/>
  <c r="C337" i="23"/>
  <c r="C317" i="23"/>
  <c r="C319" i="23"/>
  <c r="C320" i="23"/>
  <c r="C332" i="23"/>
  <c r="C288" i="23"/>
  <c r="C300" i="23"/>
  <c r="C304" i="23"/>
  <c r="C293" i="23"/>
  <c r="C302" i="23"/>
  <c r="C257" i="23"/>
  <c r="C255" i="23"/>
  <c r="C270" i="23"/>
  <c r="C266" i="23"/>
  <c r="C273" i="23"/>
  <c r="C202" i="23"/>
  <c r="C231" i="23"/>
  <c r="C219" i="23"/>
  <c r="C218" i="23"/>
  <c r="C173" i="23"/>
  <c r="C164" i="23"/>
  <c r="C184" i="23"/>
  <c r="C186" i="23"/>
  <c r="C185" i="23"/>
  <c r="C165" i="23"/>
  <c r="C151" i="23"/>
  <c r="C156" i="23"/>
  <c r="C157" i="23"/>
  <c r="C141" i="23"/>
  <c r="C145" i="23"/>
  <c r="C130" i="23"/>
  <c r="C131" i="23"/>
  <c r="C142" i="23"/>
  <c r="C137" i="23"/>
  <c r="C105" i="23"/>
  <c r="C78" i="23"/>
  <c r="C100" i="23"/>
  <c r="C97" i="23"/>
  <c r="C101" i="23"/>
  <c r="C106" i="23"/>
  <c r="C1496" i="23"/>
  <c r="C1498" i="23"/>
  <c r="C1516" i="23"/>
  <c r="C1495" i="23"/>
  <c r="C1510" i="23"/>
  <c r="C1491" i="23"/>
  <c r="C1517" i="23"/>
  <c r="C1497" i="23"/>
  <c r="C1512" i="23"/>
  <c r="C1519" i="23"/>
  <c r="C1506" i="23"/>
  <c r="C1505" i="23"/>
  <c r="C1504" i="23"/>
  <c r="C1511" i="23"/>
  <c r="C1404" i="23"/>
  <c r="C1369" i="23"/>
  <c r="C1431" i="23"/>
  <c r="C1366" i="23"/>
  <c r="C1427" i="23"/>
  <c r="C1356" i="23"/>
  <c r="C1376" i="23"/>
  <c r="C1370" i="23"/>
  <c r="C1346" i="23"/>
  <c r="C1362" i="23"/>
  <c r="C1363" i="23"/>
  <c r="C1365" i="23"/>
  <c r="C1349" i="23"/>
  <c r="C1332" i="23"/>
  <c r="C1350" i="23"/>
  <c r="C1321" i="23"/>
  <c r="C1347" i="23"/>
  <c r="C1325" i="23"/>
  <c r="C1336" i="23"/>
  <c r="C1322" i="23"/>
  <c r="C1337" i="23"/>
  <c r="C1307" i="23"/>
  <c r="C1317" i="23"/>
  <c r="C1319" i="23"/>
  <c r="C1289" i="23"/>
  <c r="C1326" i="23"/>
  <c r="C1311" i="23"/>
  <c r="C1282" i="23"/>
  <c r="C1298" i="23"/>
  <c r="C1270" i="23"/>
  <c r="C1273" i="23"/>
  <c r="C1274" i="23"/>
  <c r="C1264" i="23"/>
  <c r="C1237" i="23"/>
  <c r="C1249" i="23"/>
  <c r="C1253" i="23"/>
  <c r="C1207" i="23"/>
  <c r="C1205" i="23"/>
  <c r="C1225" i="23"/>
  <c r="C1221" i="23"/>
  <c r="C1184" i="23"/>
  <c r="C1194" i="23"/>
  <c r="C1217" i="23"/>
  <c r="C1190" i="23"/>
  <c r="C1191" i="23"/>
  <c r="C1186" i="23"/>
  <c r="C1173" i="23"/>
  <c r="C1181" i="23"/>
  <c r="C1188" i="23"/>
  <c r="C1165" i="23"/>
  <c r="C1138" i="23"/>
  <c r="C1152" i="23"/>
  <c r="C1156" i="23"/>
  <c r="C1171" i="23"/>
  <c r="C1154" i="23"/>
  <c r="C1140" i="23"/>
  <c r="C1142" i="23"/>
  <c r="C1136" i="23"/>
  <c r="C1135" i="23"/>
  <c r="C1131" i="23"/>
  <c r="C1129" i="23"/>
  <c r="C1126" i="23"/>
  <c r="C1095" i="23"/>
  <c r="C1101" i="23"/>
  <c r="C1112" i="23"/>
  <c r="C1090" i="23"/>
  <c r="C1069" i="23"/>
  <c r="C1083" i="23"/>
  <c r="C1078" i="23"/>
  <c r="C1089" i="23"/>
  <c r="C1073" i="23"/>
  <c r="C1059" i="23"/>
  <c r="C1065" i="23"/>
  <c r="C1072" i="23"/>
  <c r="C1024" i="23"/>
  <c r="C1035" i="23"/>
  <c r="C1061" i="23"/>
  <c r="C1046" i="23"/>
  <c r="C1053" i="23"/>
  <c r="C830" i="23"/>
  <c r="C836" i="23"/>
  <c r="C808" i="23"/>
  <c r="C349" i="23"/>
  <c r="C364" i="23"/>
  <c r="C885" i="23"/>
  <c r="C882" i="23"/>
  <c r="C889" i="23"/>
  <c r="C909" i="23"/>
  <c r="C806" i="23"/>
  <c r="C805" i="23"/>
  <c r="C815" i="23"/>
  <c r="C804" i="23"/>
  <c r="C689" i="23"/>
  <c r="C695" i="23"/>
  <c r="C678" i="23"/>
  <c r="C562" i="23"/>
  <c r="C569" i="23"/>
  <c r="C576" i="23"/>
  <c r="C564" i="23"/>
  <c r="C343" i="23"/>
  <c r="C331" i="23"/>
  <c r="C342" i="23"/>
  <c r="C327" i="23"/>
  <c r="C1000" i="23"/>
  <c r="C1003" i="23"/>
  <c r="C1008" i="23"/>
  <c r="C992" i="23"/>
  <c r="C829" i="23"/>
  <c r="C826" i="23"/>
  <c r="C816" i="23"/>
  <c r="C821" i="23"/>
  <c r="C761" i="23"/>
  <c r="C771" i="23"/>
  <c r="C693" i="23"/>
  <c r="C724" i="23"/>
  <c r="C707" i="23"/>
  <c r="C722" i="23"/>
  <c r="C600" i="23"/>
  <c r="C603" i="23"/>
  <c r="C602" i="23"/>
  <c r="C549" i="23"/>
  <c r="C544" i="23"/>
  <c r="C501" i="23"/>
  <c r="C493" i="23"/>
  <c r="C472" i="23"/>
  <c r="C369" i="23"/>
  <c r="C386" i="23"/>
  <c r="C1047" i="23"/>
  <c r="C1057" i="23"/>
  <c r="C1051" i="23"/>
  <c r="C1058" i="23"/>
  <c r="C1054" i="23"/>
  <c r="C1005" i="23"/>
  <c r="C1002" i="23"/>
  <c r="C999" i="23"/>
  <c r="C991" i="23"/>
  <c r="C939" i="23"/>
  <c r="C929" i="23"/>
  <c r="C947" i="23"/>
  <c r="C962" i="23"/>
  <c r="C926" i="23"/>
  <c r="C895" i="23"/>
  <c r="C894" i="23"/>
  <c r="C880" i="23"/>
  <c r="C893" i="23"/>
  <c r="C862" i="23"/>
  <c r="C838" i="23"/>
  <c r="C854" i="23"/>
  <c r="C847" i="23"/>
  <c r="C837" i="23"/>
  <c r="C791" i="23"/>
  <c r="C793" i="23"/>
  <c r="C727" i="23"/>
  <c r="C749" i="23"/>
  <c r="C745" i="23"/>
  <c r="C723" i="23"/>
  <c r="C743" i="23"/>
  <c r="C680" i="23"/>
  <c r="C672" i="23"/>
  <c r="C658" i="23"/>
  <c r="C667" i="23"/>
  <c r="C608" i="23"/>
  <c r="C621" i="23"/>
  <c r="C622" i="23"/>
  <c r="C625" i="23"/>
  <c r="C641" i="23"/>
  <c r="C627" i="23"/>
  <c r="C571" i="23"/>
  <c r="C565" i="23"/>
  <c r="C560" i="23"/>
  <c r="C563" i="23"/>
  <c r="C506" i="23"/>
  <c r="C498" i="23"/>
  <c r="C494" i="23"/>
  <c r="C514" i="23"/>
  <c r="C161" i="23"/>
  <c r="C167" i="23"/>
  <c r="C182" i="23"/>
  <c r="C176" i="23"/>
  <c r="C94" i="23"/>
  <c r="C102" i="23"/>
  <c r="C83" i="23"/>
  <c r="C79" i="23"/>
  <c r="C91" i="23"/>
  <c r="C63" i="23"/>
  <c r="C74" i="23"/>
  <c r="C48" i="23"/>
  <c r="C41" i="23"/>
  <c r="C71" i="23"/>
  <c r="C768" i="23"/>
  <c r="C763" i="23"/>
  <c r="C671" i="23"/>
  <c r="C645" i="23"/>
  <c r="C676" i="23"/>
  <c r="C526" i="23"/>
  <c r="C542" i="23"/>
  <c r="C504" i="23"/>
  <c r="C491" i="23"/>
  <c r="C473" i="23"/>
  <c r="C308" i="23"/>
  <c r="C329" i="23"/>
  <c r="C326" i="23"/>
  <c r="C325" i="23"/>
  <c r="C338" i="23"/>
  <c r="C279" i="23"/>
  <c r="C307" i="23"/>
  <c r="C305" i="23"/>
  <c r="C306" i="23"/>
  <c r="C295" i="23"/>
  <c r="C235" i="23"/>
  <c r="C236" i="23"/>
  <c r="C240" i="23"/>
  <c r="C237" i="23"/>
  <c r="C238" i="23"/>
  <c r="C213" i="23"/>
  <c r="C210" i="23"/>
  <c r="C201" i="23"/>
  <c r="C206" i="23"/>
  <c r="C181" i="23"/>
  <c r="C194" i="23"/>
  <c r="C196" i="23"/>
  <c r="C193" i="23"/>
  <c r="C175" i="23"/>
  <c r="C172" i="23"/>
  <c r="C178" i="23"/>
  <c r="C169" i="23"/>
  <c r="C162" i="23"/>
  <c r="C171" i="23"/>
  <c r="C148" i="23"/>
  <c r="C121" i="23"/>
  <c r="C125" i="23"/>
  <c r="C129" i="23"/>
  <c r="C119" i="23"/>
  <c r="C938" i="23"/>
  <c r="C952" i="23"/>
  <c r="C960" i="23"/>
  <c r="C1006" i="23"/>
  <c r="C998" i="23"/>
  <c r="C1016" i="23"/>
  <c r="C985" i="23"/>
  <c r="C869" i="23"/>
  <c r="C877" i="23"/>
  <c r="C881" i="23"/>
  <c r="C897" i="23"/>
  <c r="C797" i="23"/>
  <c r="C778" i="23"/>
  <c r="C670" i="23"/>
  <c r="C660" i="23"/>
  <c r="C665" i="23"/>
  <c r="C557" i="23"/>
  <c r="C550" i="23"/>
  <c r="C56" i="23"/>
  <c r="C51" i="23"/>
  <c r="C980" i="23"/>
  <c r="C981" i="23"/>
  <c r="C1004" i="23"/>
  <c r="C983" i="23"/>
  <c r="C899" i="23"/>
  <c r="C892" i="23"/>
  <c r="C901" i="23"/>
  <c r="C886" i="23"/>
  <c r="C661" i="23"/>
  <c r="C654" i="23"/>
  <c r="C651" i="23"/>
  <c r="C652" i="23"/>
  <c r="C666" i="23"/>
  <c r="C547" i="23"/>
  <c r="C546" i="23"/>
  <c r="C541" i="23"/>
  <c r="C566" i="23"/>
  <c r="C453" i="23"/>
  <c r="C458" i="23"/>
  <c r="C469" i="23"/>
  <c r="C383" i="23"/>
  <c r="C385" i="23"/>
  <c r="C396" i="23"/>
  <c r="C377" i="23"/>
  <c r="C363" i="23"/>
  <c r="C352" i="23"/>
  <c r="C351" i="23"/>
  <c r="C371" i="23"/>
  <c r="C275" i="23"/>
  <c r="C289" i="23"/>
  <c r="C278" i="23"/>
  <c r="C299" i="23"/>
  <c r="C187" i="23"/>
  <c r="C207" i="23"/>
  <c r="C199" i="23"/>
  <c r="C134" i="23"/>
  <c r="C163" i="23"/>
  <c r="C1518" i="23"/>
  <c r="C1521" i="23"/>
  <c r="C1500" i="23"/>
  <c r="C1502" i="23"/>
  <c r="C1514" i="23"/>
  <c r="C1442" i="23"/>
  <c r="C1493" i="23"/>
  <c r="C1489" i="23"/>
  <c r="C1490" i="23"/>
  <c r="C1508" i="23"/>
  <c r="C1507" i="23"/>
  <c r="C1492" i="23"/>
  <c r="C1499" i="23"/>
  <c r="C1515" i="23"/>
  <c r="C1371" i="23"/>
  <c r="C1380" i="23"/>
  <c r="C1374" i="23"/>
  <c r="C1353" i="23"/>
  <c r="C1340" i="23"/>
  <c r="C1342" i="23"/>
  <c r="C1344" i="23"/>
  <c r="C1333" i="23"/>
  <c r="C1327" i="23"/>
  <c r="C1330" i="23"/>
  <c r="C1318" i="23"/>
  <c r="C1313" i="23"/>
  <c r="C1314" i="23"/>
  <c r="C1331" i="23"/>
  <c r="C1294" i="23"/>
  <c r="C1300" i="23"/>
  <c r="C1288" i="23"/>
  <c r="C1290" i="23"/>
  <c r="C1309" i="23"/>
  <c r="C1277" i="23"/>
  <c r="C1285" i="23"/>
  <c r="C1265" i="23"/>
  <c r="C1275" i="23"/>
  <c r="C1248" i="23"/>
  <c r="C1246" i="23"/>
  <c r="C1227" i="23"/>
  <c r="C1241" i="23"/>
  <c r="C1218" i="23"/>
  <c r="C1222" i="23"/>
  <c r="C1189" i="23"/>
  <c r="C1204" i="23"/>
  <c r="C1195" i="23"/>
  <c r="C1219" i="23"/>
  <c r="C1185" i="23"/>
  <c r="C1193" i="23"/>
  <c r="C1183" i="23"/>
  <c r="C1160" i="23"/>
  <c r="C1175" i="23"/>
  <c r="C1178" i="23"/>
  <c r="C1164" i="23"/>
  <c r="C1157" i="23"/>
  <c r="C1151" i="23"/>
  <c r="C1150" i="23"/>
  <c r="C1166" i="23"/>
  <c r="C1145" i="23"/>
  <c r="C1162" i="23"/>
  <c r="C1158" i="23"/>
  <c r="C1147" i="23"/>
  <c r="C1144" i="23"/>
  <c r="C1134" i="23"/>
  <c r="C1118" i="23"/>
  <c r="C1125" i="23"/>
  <c r="C1115" i="23"/>
  <c r="C1106" i="23"/>
  <c r="C1114" i="23"/>
  <c r="C1099" i="23"/>
  <c r="C1094" i="23"/>
  <c r="C1121" i="23"/>
  <c r="C1071" i="23"/>
  <c r="C1088" i="23"/>
  <c r="C1076" i="23"/>
  <c r="C1052" i="23"/>
  <c r="C1042" i="23"/>
  <c r="C1062" i="23"/>
  <c r="C755" i="23"/>
  <c r="C744" i="23"/>
  <c r="C762" i="23"/>
  <c r="C750" i="23"/>
  <c r="C263" i="23"/>
  <c r="C267" i="23"/>
  <c r="C254" i="23"/>
  <c r="C1049" i="23"/>
  <c r="C1043" i="23"/>
  <c r="C902" i="23"/>
  <c r="C932" i="23"/>
  <c r="C850" i="23"/>
  <c r="C846" i="23"/>
  <c r="C845" i="23"/>
  <c r="C851" i="23"/>
  <c r="C831" i="23"/>
  <c r="C732" i="23"/>
  <c r="C734" i="23"/>
  <c r="C721" i="23"/>
  <c r="C618" i="23"/>
  <c r="C609" i="23"/>
  <c r="C488" i="23"/>
  <c r="C483" i="23"/>
  <c r="C486" i="23"/>
  <c r="C314" i="23"/>
  <c r="C318" i="23"/>
  <c r="C321" i="23"/>
  <c r="C313" i="23"/>
  <c r="C146" i="23"/>
  <c r="C150" i="23"/>
  <c r="C1017" i="23"/>
  <c r="C996" i="23"/>
  <c r="C1013" i="23"/>
  <c r="C941" i="23"/>
  <c r="C924" i="23"/>
  <c r="C873" i="23"/>
  <c r="C871" i="23"/>
  <c r="C890" i="23"/>
  <c r="C860" i="23"/>
  <c r="C772" i="23"/>
  <c r="C765" i="23"/>
  <c r="C783" i="23"/>
  <c r="C777" i="23"/>
  <c r="C682" i="23"/>
  <c r="C692" i="23"/>
  <c r="C679" i="23"/>
  <c r="C599" i="23"/>
  <c r="C573" i="23"/>
  <c r="C591" i="23"/>
  <c r="C596" i="23"/>
  <c r="C593" i="23"/>
  <c r="C497" i="23"/>
  <c r="C485" i="23"/>
  <c r="C479" i="23"/>
  <c r="C256" i="23"/>
  <c r="C272" i="23"/>
  <c r="C280" i="23"/>
  <c r="C1377" i="23"/>
  <c r="C1395" i="23"/>
  <c r="C1383" i="23"/>
  <c r="C1388" i="23"/>
  <c r="C1382" i="23"/>
  <c r="C1359" i="23"/>
  <c r="C1360" i="23"/>
  <c r="C1345" i="23"/>
  <c r="C1354" i="23"/>
  <c r="C1355" i="23"/>
  <c r="C1033" i="23"/>
  <c r="C1050" i="23"/>
  <c r="C987" i="23"/>
  <c r="C975" i="23"/>
  <c r="C988" i="23"/>
  <c r="C993" i="23"/>
  <c r="C969" i="23"/>
  <c r="C913" i="23"/>
  <c r="C933" i="23"/>
  <c r="C928" i="23"/>
  <c r="C930" i="23"/>
  <c r="C935" i="23"/>
  <c r="C878" i="23"/>
  <c r="C868" i="23"/>
  <c r="C874" i="23"/>
  <c r="C888" i="23"/>
  <c r="C817" i="23"/>
  <c r="C841" i="23"/>
  <c r="C833" i="23"/>
  <c r="C764" i="23"/>
  <c r="C781" i="23"/>
  <c r="C799" i="23"/>
  <c r="C779" i="23"/>
  <c r="C719" i="23"/>
  <c r="C709" i="23"/>
  <c r="C708" i="23"/>
  <c r="C729" i="23"/>
  <c r="C668" i="23"/>
  <c r="C643" i="23"/>
  <c r="C662" i="23"/>
  <c r="C605" i="23"/>
  <c r="C614" i="23"/>
  <c r="C539" i="23"/>
  <c r="C534" i="23"/>
  <c r="C537" i="23"/>
  <c r="C535" i="23"/>
  <c r="C475" i="23"/>
  <c r="C481" i="23"/>
  <c r="C500" i="23"/>
  <c r="C376" i="23"/>
  <c r="C387" i="23"/>
  <c r="C292" i="23"/>
  <c r="C287" i="23"/>
  <c r="C281" i="23"/>
  <c r="C296" i="23"/>
  <c r="C234" i="23"/>
  <c r="C217" i="23"/>
  <c r="C229" i="23"/>
  <c r="C228" i="23"/>
  <c r="C216" i="23"/>
  <c r="C258" i="23"/>
  <c r="C115" i="23"/>
  <c r="C128" i="23"/>
  <c r="C118" i="23"/>
  <c r="C122" i="23"/>
  <c r="C132" i="23"/>
  <c r="C85" i="23"/>
  <c r="C87" i="23"/>
  <c r="C70" i="23"/>
  <c r="C60" i="23"/>
  <c r="C54" i="23"/>
  <c r="C858" i="23"/>
  <c r="C861" i="23"/>
  <c r="C852" i="23"/>
  <c r="C866" i="23"/>
  <c r="C835" i="23"/>
  <c r="C856" i="23"/>
  <c r="C1032" i="23"/>
  <c r="C1056" i="23"/>
  <c r="C1028" i="23"/>
  <c r="C1036" i="23"/>
  <c r="C927" i="23"/>
  <c r="C918" i="23"/>
  <c r="C917" i="23"/>
  <c r="C849" i="23"/>
  <c r="C834" i="23"/>
  <c r="C814" i="23"/>
  <c r="C842" i="23"/>
  <c r="C784" i="23"/>
  <c r="C782" i="23"/>
  <c r="C787" i="23"/>
  <c r="C798" i="23"/>
  <c r="C634" i="23"/>
  <c r="C649" i="23"/>
  <c r="C647" i="23"/>
  <c r="C632" i="23"/>
  <c r="C646" i="23"/>
  <c r="C540" i="23"/>
  <c r="C551" i="23"/>
  <c r="C277" i="23"/>
  <c r="C276" i="23"/>
  <c r="C284" i="23"/>
  <c r="C294" i="23"/>
  <c r="C107" i="23"/>
  <c r="C116" i="23"/>
  <c r="C114" i="23"/>
  <c r="C127" i="23"/>
  <c r="C135" i="23"/>
  <c r="C50" i="23"/>
  <c r="C45" i="23"/>
  <c r="C81" i="23"/>
  <c r="C977" i="23"/>
  <c r="C1025" i="23"/>
  <c r="C997" i="23"/>
  <c r="C1015" i="23"/>
  <c r="C1010" i="23"/>
  <c r="C954" i="23"/>
  <c r="C956" i="23"/>
  <c r="C970" i="23"/>
  <c r="C908" i="23"/>
  <c r="C912" i="23"/>
  <c r="C883" i="23"/>
  <c r="C898" i="23"/>
  <c r="C819" i="23"/>
  <c r="C812" i="23"/>
  <c r="C824" i="23"/>
  <c r="C811" i="23"/>
  <c r="C730" i="23"/>
  <c r="C715" i="23"/>
  <c r="C736" i="23"/>
  <c r="C675" i="23"/>
  <c r="C669" i="23"/>
  <c r="C700" i="23"/>
  <c r="C683" i="23"/>
  <c r="C604" i="23"/>
  <c r="C580" i="23"/>
  <c r="C538" i="23"/>
  <c r="C552" i="23"/>
  <c r="C461" i="23"/>
  <c r="C478" i="23"/>
  <c r="C482" i="23"/>
  <c r="C336" i="23"/>
  <c r="C334" i="23"/>
  <c r="C335" i="23"/>
  <c r="C344" i="23"/>
  <c r="C298" i="23"/>
  <c r="C283" i="23"/>
  <c r="C291" i="23"/>
  <c r="C265" i="23"/>
  <c r="C224" i="23"/>
  <c r="C215" i="23"/>
  <c r="C226" i="23"/>
  <c r="C251" i="23"/>
  <c r="C225" i="23"/>
  <c r="C239" i="23"/>
  <c r="C138" i="23"/>
  <c r="C149" i="23"/>
  <c r="C143" i="23"/>
  <c r="C155" i="23"/>
  <c r="C1397" i="23"/>
  <c r="C1409" i="23"/>
  <c r="C1460" i="23"/>
  <c r="C1429" i="23"/>
  <c r="C1424" i="23"/>
  <c r="C1392" i="23"/>
  <c r="C1453" i="23"/>
  <c r="C1475" i="23"/>
  <c r="C1478" i="23"/>
  <c r="C1503" i="23"/>
  <c r="C1385" i="23"/>
  <c r="C1444" i="23"/>
  <c r="C1390" i="23"/>
  <c r="C1405" i="23"/>
  <c r="C1419" i="23"/>
  <c r="C1484" i="23"/>
  <c r="C1396" i="23"/>
  <c r="C1447" i="23"/>
  <c r="C1454" i="23"/>
  <c r="C1463" i="23"/>
  <c r="C1468" i="23"/>
  <c r="C1501" i="23"/>
  <c r="C1423" i="23"/>
  <c r="C1391" i="23"/>
  <c r="C1416" i="23"/>
  <c r="C1413" i="23"/>
  <c r="C1439" i="23"/>
  <c r="C1435" i="23"/>
  <c r="C1433" i="23"/>
  <c r="C1446" i="23"/>
  <c r="C1449" i="23"/>
  <c r="C1455" i="23"/>
  <c r="C1473" i="23"/>
  <c r="C1479" i="23"/>
  <c r="C1494" i="23"/>
  <c r="C1509" i="23"/>
  <c r="C1452" i="23"/>
  <c r="C1448" i="23"/>
  <c r="C1451" i="23"/>
  <c r="C1459" i="23"/>
  <c r="C1466" i="23"/>
  <c r="C1469" i="23"/>
  <c r="C1394" i="23"/>
  <c r="C1421" i="23"/>
  <c r="C1398" i="23"/>
  <c r="C1422" i="23"/>
  <c r="C1436" i="23"/>
  <c r="C1403" i="23"/>
  <c r="C1450" i="23"/>
  <c r="C1440" i="23"/>
  <c r="C1357" i="23"/>
  <c r="C1364" i="23"/>
  <c r="C1368" i="23"/>
  <c r="C1348" i="23"/>
  <c r="C1375" i="23"/>
  <c r="C1358" i="23"/>
  <c r="C1339" i="23"/>
  <c r="C1338" i="23"/>
  <c r="C1316" i="23"/>
  <c r="C1343" i="23"/>
  <c r="C1320" i="23"/>
  <c r="C1310" i="23"/>
  <c r="C1324" i="23"/>
  <c r="C1312" i="23"/>
  <c r="C1302" i="23"/>
  <c r="C1297" i="23"/>
  <c r="C1280" i="23"/>
  <c r="C1291" i="23"/>
  <c r="C1299" i="23"/>
  <c r="C1272" i="23"/>
  <c r="C1296" i="23"/>
  <c r="C1266" i="23"/>
  <c r="C1293" i="23"/>
  <c r="C1287" i="23"/>
  <c r="C1259" i="23"/>
  <c r="C1238" i="23"/>
  <c r="C1271" i="23"/>
  <c r="C1269" i="23"/>
  <c r="C1268" i="23"/>
  <c r="C1278" i="23"/>
  <c r="C1256" i="23"/>
  <c r="C1254" i="23"/>
  <c r="C1250" i="23"/>
  <c r="C1258" i="23"/>
  <c r="C1267" i="23"/>
  <c r="C1245" i="23"/>
  <c r="C1235" i="23"/>
  <c r="C1261" i="23"/>
  <c r="C1247" i="23"/>
  <c r="C1224" i="23"/>
  <c r="C1231" i="23"/>
  <c r="C1230" i="23"/>
  <c r="C1242" i="23"/>
  <c r="C1229" i="23"/>
  <c r="C1232" i="23"/>
  <c r="C1211" i="23"/>
  <c r="C1209" i="23"/>
  <c r="C1199" i="23"/>
  <c r="C1212" i="23"/>
  <c r="C1201" i="23"/>
  <c r="C1202" i="23"/>
  <c r="C1203" i="23"/>
  <c r="C1163" i="23"/>
  <c r="C1197" i="23"/>
  <c r="C1180" i="23"/>
  <c r="C1182" i="23"/>
  <c r="C1169" i="23"/>
  <c r="C1170" i="23"/>
  <c r="C1187" i="23"/>
  <c r="C1179" i="23"/>
  <c r="C1153" i="23"/>
  <c r="C1159" i="23"/>
  <c r="C1139" i="23"/>
  <c r="C1143" i="23"/>
  <c r="C1130" i="23"/>
  <c r="C1132" i="23"/>
  <c r="C1116" i="23"/>
  <c r="C1137" i="23"/>
  <c r="C1124" i="23"/>
  <c r="C1123" i="23"/>
  <c r="C1113" i="23"/>
  <c r="C1100" i="23"/>
  <c r="C1109" i="23"/>
  <c r="C1117" i="23"/>
  <c r="C1091" i="23"/>
  <c r="C1104" i="23"/>
  <c r="C1098" i="23"/>
  <c r="C1111" i="23"/>
  <c r="C1103" i="23"/>
  <c r="C1086" i="23"/>
  <c r="C1085" i="23"/>
  <c r="C1096" i="23"/>
  <c r="C1082" i="23"/>
  <c r="C1068" i="23"/>
  <c r="C1080" i="23"/>
  <c r="C1064" i="23"/>
  <c r="C1067" i="23"/>
  <c r="C1066" i="23"/>
  <c r="C1063" i="23"/>
  <c r="C1055" i="23"/>
  <c r="C946" i="23"/>
  <c r="C959" i="23"/>
  <c r="C958" i="23"/>
  <c r="C951" i="23"/>
  <c r="C961" i="23"/>
  <c r="C512" i="23"/>
  <c r="C484" i="23"/>
  <c r="C513" i="23"/>
  <c r="C509" i="23"/>
  <c r="C507" i="23"/>
  <c r="C974" i="23"/>
  <c r="C973" i="23"/>
  <c r="C859" i="23"/>
  <c r="C863" i="23"/>
  <c r="C612" i="23"/>
  <c r="C607" i="23"/>
  <c r="C588" i="23"/>
  <c r="C474" i="23"/>
  <c r="C477" i="23"/>
  <c r="C467" i="23"/>
  <c r="C480" i="23"/>
  <c r="C365" i="23"/>
  <c r="C380" i="23"/>
  <c r="C367" i="23"/>
  <c r="C370" i="23"/>
  <c r="C378" i="23"/>
  <c r="C227" i="23"/>
  <c r="C209" i="23"/>
  <c r="C58" i="23"/>
  <c r="C66" i="23"/>
  <c r="C72" i="23"/>
  <c r="C73" i="23"/>
  <c r="C1039" i="23"/>
  <c r="C1020" i="23"/>
  <c r="C1044" i="23"/>
  <c r="C1027" i="23"/>
  <c r="C984" i="23"/>
  <c r="C986" i="23"/>
  <c r="C953" i="23"/>
  <c r="C982" i="23"/>
  <c r="C968" i="23"/>
  <c r="C921" i="23"/>
  <c r="C931" i="23"/>
  <c r="C922" i="23"/>
  <c r="C920" i="23"/>
  <c r="C944" i="23"/>
  <c r="C875" i="23"/>
  <c r="C887" i="23"/>
  <c r="C760" i="23"/>
  <c r="C748" i="23"/>
  <c r="C751" i="23"/>
  <c r="C757" i="23"/>
  <c r="C687" i="23"/>
  <c r="C703" i="23"/>
  <c r="C699" i="23"/>
  <c r="C711" i="23"/>
  <c r="C716" i="23"/>
  <c r="C688" i="23"/>
  <c r="C639" i="23"/>
  <c r="C648" i="23"/>
  <c r="C653" i="23"/>
  <c r="C553" i="23"/>
  <c r="C545" i="23"/>
  <c r="C492" i="23"/>
  <c r="C495" i="23"/>
  <c r="C499" i="23"/>
  <c r="C359" i="23"/>
  <c r="C362" i="23"/>
  <c r="C361" i="23"/>
  <c r="C316" i="23"/>
  <c r="C312" i="23"/>
  <c r="C322" i="23"/>
  <c r="C309" i="23"/>
  <c r="C249" i="23"/>
  <c r="C245" i="23"/>
  <c r="C259" i="23"/>
  <c r="C262" i="23"/>
  <c r="C271" i="23"/>
  <c r="C214" i="23"/>
  <c r="C212" i="23"/>
  <c r="C203" i="23"/>
  <c r="C204" i="23"/>
  <c r="C93" i="23"/>
  <c r="C103" i="23"/>
  <c r="C95" i="23"/>
  <c r="C69" i="23"/>
  <c r="C90" i="23"/>
  <c r="C1378" i="23"/>
  <c r="C1386" i="23"/>
  <c r="C1399" i="23"/>
  <c r="C1040" i="23"/>
  <c r="C1029" i="23"/>
  <c r="C1030" i="23"/>
  <c r="C978" i="23"/>
  <c r="C972" i="23"/>
  <c r="C910" i="23"/>
  <c r="C923" i="23"/>
  <c r="C907" i="23"/>
  <c r="C843" i="23"/>
  <c r="C870" i="23"/>
  <c r="C853" i="23"/>
  <c r="C844" i="23"/>
  <c r="C848" i="23"/>
  <c r="C857" i="23"/>
  <c r="C825" i="23"/>
  <c r="C813" i="23"/>
  <c r="C809" i="23"/>
  <c r="C773" i="23"/>
  <c r="C776" i="23"/>
  <c r="C769" i="23"/>
  <c r="C766" i="23"/>
  <c r="C701" i="23"/>
  <c r="C690" i="23"/>
  <c r="C684" i="23"/>
  <c r="C704" i="23"/>
  <c r="C714" i="23"/>
  <c r="C702" i="23"/>
  <c r="C664" i="23"/>
  <c r="C657" i="23"/>
  <c r="C655" i="23"/>
  <c r="C610" i="23"/>
  <c r="C594" i="23"/>
  <c r="C613" i="23"/>
  <c r="C620" i="23"/>
  <c r="C589" i="23"/>
  <c r="C524" i="23"/>
  <c r="C511" i="23"/>
  <c r="C521" i="23"/>
  <c r="C456" i="23"/>
  <c r="C463" i="23"/>
  <c r="C468" i="23"/>
  <c r="C373" i="23"/>
  <c r="C368" i="23"/>
  <c r="C354" i="23"/>
  <c r="C282" i="23"/>
  <c r="C290" i="23"/>
  <c r="C269" i="23"/>
  <c r="C285" i="23"/>
  <c r="C274" i="23"/>
  <c r="C205" i="23"/>
  <c r="C198" i="23"/>
  <c r="C211" i="23"/>
  <c r="C117" i="23"/>
  <c r="C124" i="23"/>
  <c r="C113" i="23"/>
  <c r="C53" i="23"/>
  <c r="C46" i="23"/>
  <c r="C49" i="23"/>
  <c r="C43" i="23"/>
  <c r="C200" i="23"/>
  <c r="C222" i="23"/>
  <c r="C190" i="23"/>
  <c r="C197" i="23"/>
  <c r="C120" i="23"/>
  <c r="C154" i="23"/>
  <c r="C152" i="23"/>
  <c r="C139" i="23"/>
  <c r="C168" i="23"/>
  <c r="C174" i="23"/>
  <c r="C183" i="23"/>
  <c r="C158" i="23"/>
  <c r="C140" i="23"/>
  <c r="C110" i="23"/>
  <c r="C111" i="23"/>
  <c r="C76" i="23"/>
  <c r="C67" i="23"/>
  <c r="C47" i="23"/>
  <c r="C40" i="23"/>
  <c r="C1041" i="23"/>
  <c r="C1021" i="23"/>
  <c r="C1009" i="23"/>
  <c r="C1018" i="23"/>
  <c r="C979" i="23"/>
  <c r="C955" i="23"/>
  <c r="C963" i="23"/>
  <c r="C943" i="23"/>
  <c r="C937" i="23"/>
  <c r="C914" i="23"/>
  <c r="C900" i="23"/>
  <c r="C879" i="23"/>
  <c r="C872" i="23"/>
  <c r="C867" i="23"/>
  <c r="C865" i="23"/>
  <c r="C794" i="23"/>
  <c r="C823" i="23"/>
  <c r="C801" i="23"/>
  <c r="C800" i="23"/>
  <c r="C788" i="23"/>
  <c r="C767" i="23"/>
  <c r="C790" i="23"/>
  <c r="C780" i="23"/>
  <c r="C770" i="23"/>
  <c r="C759" i="23"/>
  <c r="C710" i="23"/>
  <c r="C733" i="23"/>
  <c r="C725" i="23"/>
  <c r="C706" i="23"/>
  <c r="C656" i="23"/>
  <c r="C640" i="23"/>
  <c r="C637" i="23"/>
  <c r="C642" i="23"/>
  <c r="C611" i="23"/>
  <c r="C619" i="23"/>
  <c r="C601" i="23"/>
  <c r="C623" i="23"/>
  <c r="C581" i="23"/>
  <c r="C575" i="23"/>
  <c r="C584" i="23"/>
  <c r="C570" i="23"/>
  <c r="C548" i="23"/>
  <c r="C554" i="23"/>
  <c r="C558" i="23"/>
  <c r="C559" i="23"/>
  <c r="C586" i="23"/>
  <c r="C517" i="23"/>
  <c r="C531" i="23"/>
  <c r="C530" i="23"/>
  <c r="C520" i="23"/>
  <c r="C533" i="23"/>
  <c r="C357" i="23"/>
  <c r="C372" i="23"/>
  <c r="C355" i="23"/>
  <c r="C346" i="23"/>
  <c r="C360" i="23"/>
  <c r="C350" i="23"/>
  <c r="C333" i="23"/>
  <c r="C324" i="23"/>
  <c r="C310" i="23"/>
  <c r="C286" i="23"/>
  <c r="C311" i="23"/>
  <c r="C261" i="23"/>
  <c r="C260" i="23"/>
  <c r="C195" i="23"/>
  <c r="C188" i="23"/>
  <c r="C144" i="23"/>
  <c r="C133" i="23"/>
  <c r="C123" i="23"/>
  <c r="C104" i="23"/>
  <c r="C61" i="23"/>
  <c r="C88" i="23"/>
  <c r="C80" i="23"/>
  <c r="C1414" i="23"/>
  <c r="C1402" i="23"/>
  <c r="C1406" i="23"/>
  <c r="C1412" i="23"/>
  <c r="C1411" i="23"/>
  <c r="C1430" i="23"/>
  <c r="C1457" i="23"/>
  <c r="C1441" i="23"/>
  <c r="C1456" i="23"/>
  <c r="C1470" i="23"/>
  <c r="C1445" i="23"/>
  <c r="C1465" i="23"/>
  <c r="C1420" i="23"/>
  <c r="C1480" i="23"/>
  <c r="C1426" i="23"/>
  <c r="C1432" i="23"/>
  <c r="C1417" i="23"/>
  <c r="C1393" i="23"/>
  <c r="C1418" i="23"/>
  <c r="C1438" i="23"/>
  <c r="C1443" i="23"/>
  <c r="C1471" i="23"/>
  <c r="C1458" i="23"/>
  <c r="C1486" i="23"/>
  <c r="C1472" i="23"/>
  <c r="C1477" i="23"/>
  <c r="C1513" i="23"/>
  <c r="C1387" i="23"/>
  <c r="C1401" i="23"/>
  <c r="C1408" i="23"/>
  <c r="C1410" i="23"/>
  <c r="C1462" i="23"/>
  <c r="C1428" i="23"/>
  <c r="C1476" i="23"/>
  <c r="C1379" i="23"/>
  <c r="C1482" i="23"/>
  <c r="C1467" i="23"/>
  <c r="C1483" i="23"/>
  <c r="C1487" i="23"/>
  <c r="C1485" i="23"/>
  <c r="C1481" i="23"/>
  <c r="C1464" i="23"/>
  <c r="C1434" i="23"/>
  <c r="C1461" i="23"/>
  <c r="C1474" i="23"/>
  <c r="C1488" i="23"/>
  <c r="C1407" i="23"/>
  <c r="C1415" i="23"/>
  <c r="C1425" i="23"/>
  <c r="C1400" i="23"/>
  <c r="C1437" i="23"/>
  <c r="C1384" i="23"/>
  <c r="C1389" i="23"/>
  <c r="C1381" i="23"/>
  <c r="C1372" i="23"/>
  <c r="C1373" i="23"/>
  <c r="C1367" i="23"/>
  <c r="C1352" i="23"/>
  <c r="C1361" i="23"/>
  <c r="C1334" i="23"/>
  <c r="C1323" i="23"/>
  <c r="C1341" i="23"/>
  <c r="C1335" i="23"/>
  <c r="C1329" i="23"/>
  <c r="C1351" i="23"/>
  <c r="C1306" i="23"/>
  <c r="C1315" i="23"/>
  <c r="C1328" i="23"/>
  <c r="C1303" i="23"/>
  <c r="C1301" i="23"/>
  <c r="C1292" i="23"/>
  <c r="C1295" i="23"/>
  <c r="C1308" i="23"/>
  <c r="C1304" i="23"/>
  <c r="C1305" i="23"/>
  <c r="C1286" i="23"/>
  <c r="C1281" i="23"/>
  <c r="C1257" i="23"/>
  <c r="C1283" i="23"/>
  <c r="C1255" i="23"/>
  <c r="C1260" i="23"/>
  <c r="C1284" i="23"/>
  <c r="C1279" i="23"/>
  <c r="C1276" i="23"/>
  <c r="C1252" i="23"/>
  <c r="C1236" i="23"/>
  <c r="C1243" i="23"/>
  <c r="C1251" i="23"/>
  <c r="C1262" i="23"/>
  <c r="C1263" i="23"/>
  <c r="C1233" i="23"/>
  <c r="C1244" i="23"/>
  <c r="C1240" i="23"/>
  <c r="C1223" i="23"/>
  <c r="C1226" i="23"/>
  <c r="C1213" i="23"/>
  <c r="C1215" i="23"/>
  <c r="C1216" i="23"/>
  <c r="C1234" i="23"/>
  <c r="C1206" i="23"/>
  <c r="C1214" i="23"/>
  <c r="C1220" i="23"/>
  <c r="C1210" i="23"/>
  <c r="C1192" i="23"/>
  <c r="C1208" i="23"/>
  <c r="C1198" i="23"/>
  <c r="C1177" i="23"/>
  <c r="C1196" i="23"/>
  <c r="C1176" i="23"/>
  <c r="C1200" i="23"/>
  <c r="C1167" i="23"/>
  <c r="C1161" i="23"/>
  <c r="C1172" i="23"/>
  <c r="C1168" i="23"/>
  <c r="C1141" i="23"/>
  <c r="C1174" i="23"/>
  <c r="C1146" i="23"/>
  <c r="C1155" i="23"/>
  <c r="C1149" i="23"/>
  <c r="C1148" i="23"/>
  <c r="C1122" i="23"/>
  <c r="C1127" i="23"/>
  <c r="C1133" i="23"/>
  <c r="C1108" i="23"/>
  <c r="C1120" i="23"/>
  <c r="C1128" i="23"/>
  <c r="C1110" i="23"/>
  <c r="C1119" i="23"/>
  <c r="C1107" i="23"/>
  <c r="C1097" i="23"/>
  <c r="C1102" i="23"/>
  <c r="C1092" i="23"/>
  <c r="C1105" i="23"/>
  <c r="C1093" i="23"/>
  <c r="C1087" i="23"/>
  <c r="C1077" i="23"/>
  <c r="C1081" i="23"/>
  <c r="C1074" i="23"/>
  <c r="C1084" i="23"/>
  <c r="C1070" i="23"/>
  <c r="C1079" i="23"/>
  <c r="C1048" i="23"/>
  <c r="C1075" i="23"/>
  <c r="C1060" i="23"/>
  <c r="C919" i="23"/>
  <c r="C915" i="23"/>
  <c r="C903" i="23"/>
  <c r="C454" i="23"/>
  <c r="C464" i="23"/>
  <c r="C445" i="23"/>
  <c r="C990" i="23"/>
  <c r="C1019" i="23"/>
  <c r="C1007" i="23"/>
  <c r="C1001" i="23"/>
  <c r="C995" i="23"/>
  <c r="C957" i="23"/>
  <c r="C964" i="23"/>
  <c r="C971" i="23"/>
  <c r="C967" i="23"/>
  <c r="C966" i="23"/>
  <c r="C906" i="23"/>
  <c r="C916" i="23"/>
  <c r="C904" i="23"/>
  <c r="C905" i="23"/>
  <c r="C828" i="23"/>
  <c r="C810" i="23"/>
  <c r="C803" i="23"/>
  <c r="C822" i="23"/>
  <c r="C735" i="23"/>
  <c r="C752" i="23"/>
  <c r="C737" i="23"/>
  <c r="C758" i="23"/>
  <c r="C659" i="23"/>
  <c r="C694" i="23"/>
  <c r="C696" i="23"/>
  <c r="C718" i="23"/>
  <c r="C691" i="23"/>
  <c r="C574" i="23"/>
  <c r="C567" i="23"/>
  <c r="C577" i="23"/>
  <c r="C587" i="23"/>
  <c r="C518" i="23"/>
  <c r="C508" i="23"/>
  <c r="C510" i="23"/>
  <c r="C515" i="23"/>
  <c r="C516" i="23"/>
  <c r="C339" i="23"/>
  <c r="C341" i="23"/>
  <c r="C358" i="23"/>
  <c r="C248" i="23"/>
  <c r="C247" i="23"/>
  <c r="C246" i="23"/>
  <c r="C250" i="23"/>
  <c r="C242" i="23"/>
  <c r="C208" i="23"/>
  <c r="C166" i="23"/>
  <c r="C160" i="23"/>
  <c r="C192" i="23"/>
  <c r="C86" i="23"/>
  <c r="C108" i="23"/>
  <c r="C99" i="23"/>
  <c r="C112" i="23"/>
  <c r="C92" i="23"/>
  <c r="C96" i="23"/>
  <c r="C68" i="23"/>
  <c r="C59" i="23"/>
  <c r="C52" i="23"/>
  <c r="C1037" i="23"/>
  <c r="C1038" i="23"/>
  <c r="C1045" i="23"/>
  <c r="C1031" i="23"/>
  <c r="C976" i="23"/>
  <c r="C989" i="23"/>
  <c r="C965" i="23"/>
  <c r="C950" i="23"/>
  <c r="C948" i="23"/>
  <c r="C911" i="23"/>
  <c r="C925" i="23"/>
  <c r="C934" i="23"/>
  <c r="C896" i="23"/>
  <c r="C884" i="23"/>
  <c r="C891" i="23"/>
  <c r="C839" i="23"/>
  <c r="C864" i="23"/>
  <c r="C876" i="23"/>
  <c r="C820" i="23"/>
  <c r="C840" i="23"/>
  <c r="C827" i="23"/>
  <c r="C807" i="23"/>
  <c r="C786" i="23"/>
  <c r="C818" i="23"/>
  <c r="C802" i="23"/>
  <c r="C774" i="23"/>
  <c r="C756" i="23"/>
  <c r="C775" i="23"/>
  <c r="C785" i="23"/>
  <c r="C754" i="23"/>
  <c r="C740" i="23"/>
  <c r="C713" i="23"/>
  <c r="C728" i="23"/>
  <c r="C717" i="23"/>
  <c r="C712" i="23"/>
  <c r="C650" i="23"/>
  <c r="C663" i="23"/>
  <c r="C681" i="23"/>
  <c r="C626" i="23"/>
  <c r="C633" i="23"/>
  <c r="C630" i="23"/>
  <c r="C638" i="23"/>
  <c r="C628" i="23"/>
  <c r="C592" i="23"/>
  <c r="C629" i="23"/>
  <c r="C606" i="23"/>
  <c r="C597" i="23"/>
  <c r="C590" i="23"/>
  <c r="C582" i="23"/>
  <c r="C578" i="23"/>
  <c r="C568" i="23"/>
  <c r="C556" i="23"/>
  <c r="C555" i="23"/>
  <c r="C543" i="23"/>
  <c r="C561" i="23"/>
  <c r="C522" i="23"/>
  <c r="C523" i="23"/>
  <c r="C529" i="23"/>
  <c r="C532" i="23"/>
  <c r="C527" i="23"/>
  <c r="C505" i="23"/>
  <c r="C489" i="23"/>
  <c r="C503" i="23"/>
  <c r="C496" i="23"/>
  <c r="C471" i="23"/>
  <c r="C455" i="23"/>
  <c r="C466" i="23"/>
  <c r="C487" i="23"/>
  <c r="C457" i="23"/>
  <c r="C374" i="23"/>
  <c r="C356" i="23"/>
  <c r="C347" i="23"/>
  <c r="C348" i="23"/>
  <c r="C345" i="23"/>
  <c r="C328" i="23"/>
  <c r="C340" i="23"/>
  <c r="C330" i="23"/>
  <c r="C323" i="23"/>
  <c r="C301" i="23"/>
  <c r="C297" i="23"/>
  <c r="C252" i="23"/>
  <c r="C243" i="23"/>
  <c r="C221" i="23"/>
  <c r="C223" i="23"/>
  <c r="C191" i="23"/>
  <c r="C189" i="23"/>
  <c r="C136" i="23"/>
  <c r="C147" i="23"/>
  <c r="C126" i="23"/>
  <c r="C109" i="23"/>
  <c r="C75" i="23"/>
  <c r="C64" i="23"/>
  <c r="C77" i="23"/>
  <c r="C89" i="23"/>
  <c r="E413" i="2"/>
  <c r="A413" i="2" s="1"/>
  <c r="E315" i="2"/>
  <c r="A315" i="2" s="1"/>
  <c r="E370" i="2"/>
  <c r="A370" i="2" s="1"/>
  <c r="E490" i="2"/>
  <c r="A490" i="2" s="1"/>
  <c r="E473" i="2"/>
  <c r="A473" i="2" s="1"/>
  <c r="E741" i="2"/>
  <c r="A741" i="2" s="1"/>
  <c r="E688" i="2"/>
  <c r="A688" i="2" s="1"/>
  <c r="E22" i="2"/>
  <c r="A22" i="2" s="1"/>
  <c r="H1003" i="23"/>
  <c r="H1082" i="23"/>
  <c r="H583" i="23"/>
  <c r="L22" i="23"/>
  <c r="H1102" i="23"/>
  <c r="H1097" i="23"/>
  <c r="H747" i="23"/>
  <c r="H500" i="23"/>
  <c r="H461" i="23"/>
  <c r="H689" i="23"/>
  <c r="H613" i="23"/>
  <c r="H599" i="23"/>
  <c r="H671" i="23"/>
  <c r="H923" i="23"/>
  <c r="H910" i="23"/>
  <c r="H365" i="23"/>
  <c r="H1031" i="23"/>
  <c r="H502" i="23"/>
  <c r="H1169" i="23"/>
  <c r="H1171" i="23"/>
  <c r="H1348" i="23"/>
  <c r="H1352" i="23"/>
  <c r="H422" i="23"/>
  <c r="H427" i="23"/>
  <c r="H1185" i="23"/>
  <c r="H1190" i="23"/>
  <c r="H707" i="23"/>
  <c r="H728" i="23"/>
  <c r="H776" i="23"/>
  <c r="H404" i="23"/>
  <c r="H388" i="23"/>
  <c r="H122" i="23"/>
  <c r="H182" i="23"/>
  <c r="H727" i="23"/>
  <c r="H715" i="23"/>
  <c r="H1098" i="23"/>
  <c r="H1114" i="23"/>
  <c r="H1322" i="23"/>
  <c r="H1336" i="23"/>
  <c r="L28" i="23"/>
  <c r="H259" i="23"/>
  <c r="H263" i="23"/>
  <c r="H271" i="23"/>
  <c r="H546" i="23"/>
  <c r="H762" i="23"/>
  <c r="H760" i="23"/>
  <c r="H1162" i="23"/>
  <c r="H1154" i="23"/>
  <c r="H900" i="23"/>
  <c r="H1283" i="23"/>
  <c r="H1408" i="23"/>
  <c r="H1459" i="23"/>
  <c r="H1446" i="23"/>
  <c r="H237" i="23"/>
  <c r="H253" i="23"/>
  <c r="H327" i="23"/>
  <c r="H344" i="23"/>
  <c r="H495" i="23"/>
  <c r="H509" i="23"/>
  <c r="H981" i="23"/>
  <c r="H1016" i="23"/>
  <c r="H1012" i="23"/>
  <c r="H994" i="23"/>
  <c r="H1467" i="23"/>
  <c r="H1463" i="23"/>
  <c r="H456" i="23"/>
  <c r="H465" i="23"/>
  <c r="H802" i="23"/>
  <c r="H1052" i="23"/>
  <c r="H1160" i="23"/>
  <c r="H1165" i="23"/>
  <c r="H935" i="23"/>
  <c r="H917" i="23"/>
  <c r="H1252" i="23"/>
  <c r="H1263" i="23"/>
  <c r="L6" i="23"/>
  <c r="L12" i="23"/>
  <c r="H64" i="23"/>
  <c r="H88" i="23"/>
  <c r="H102" i="23"/>
  <c r="H150" i="23"/>
  <c r="H141" i="23"/>
  <c r="H187" i="23"/>
  <c r="H211" i="23"/>
  <c r="H312" i="23"/>
  <c r="H322" i="23"/>
  <c r="H829" i="23"/>
  <c r="H809" i="23"/>
  <c r="H257" i="23"/>
  <c r="H269" i="23"/>
  <c r="H1099" i="23"/>
  <c r="H1083" i="23"/>
  <c r="L39" i="23"/>
  <c r="H1046" i="23"/>
  <c r="H1167" i="23"/>
  <c r="H264" i="23"/>
  <c r="H282" i="23"/>
  <c r="H290" i="23"/>
  <c r="H505" i="23"/>
  <c r="H498" i="23"/>
  <c r="H606" i="23"/>
  <c r="H628" i="23"/>
  <c r="H1314" i="23"/>
  <c r="H1307" i="23"/>
  <c r="H1356" i="23"/>
  <c r="H1378" i="23"/>
  <c r="H87" i="23"/>
  <c r="H61" i="23"/>
  <c r="H216" i="23"/>
  <c r="H225" i="23"/>
  <c r="H409" i="23"/>
  <c r="H425" i="23"/>
  <c r="H395" i="23"/>
  <c r="H734" i="23"/>
  <c r="H726" i="23"/>
  <c r="H787" i="23"/>
  <c r="H791" i="23"/>
  <c r="H954" i="23"/>
  <c r="H952" i="23"/>
  <c r="H959" i="23"/>
  <c r="H1382" i="23"/>
  <c r="H1369" i="23"/>
  <c r="H1321" i="23"/>
  <c r="H1347" i="23"/>
  <c r="H1392" i="23"/>
  <c r="H1390" i="23"/>
  <c r="H1385" i="23"/>
  <c r="H1401" i="23"/>
  <c r="H1391" i="23"/>
  <c r="H1396" i="23"/>
  <c r="H1455" i="23"/>
  <c r="H1409" i="23"/>
  <c r="H1447" i="23"/>
  <c r="H1449" i="23"/>
  <c r="L5" i="23"/>
  <c r="L2" i="23"/>
  <c r="L10" i="23"/>
  <c r="H168" i="23"/>
  <c r="H192" i="23"/>
  <c r="H158" i="23"/>
  <c r="H371" i="23"/>
  <c r="H293" i="23"/>
  <c r="H304" i="23"/>
  <c r="H364" i="23"/>
  <c r="H353" i="23"/>
  <c r="H636" i="23"/>
  <c r="H631" i="23"/>
  <c r="H915" i="23"/>
  <c r="H919" i="23"/>
  <c r="H582" i="23"/>
  <c r="H581" i="23"/>
  <c r="H575" i="23"/>
  <c r="H640" i="23"/>
  <c r="H630" i="23"/>
  <c r="H633" i="23"/>
  <c r="H794" i="23"/>
  <c r="H818" i="23"/>
  <c r="H1224" i="23"/>
  <c r="H1244" i="23"/>
  <c r="H1280" i="23"/>
  <c r="H1296" i="23"/>
  <c r="H1308" i="23"/>
  <c r="H103" i="23"/>
  <c r="H90" i="23"/>
  <c r="H149" i="23"/>
  <c r="H143" i="23"/>
  <c r="H653" i="23"/>
  <c r="H655" i="23"/>
  <c r="H1081" i="23"/>
  <c r="H1074" i="23"/>
  <c r="H1144" i="23"/>
  <c r="H1148" i="23"/>
  <c r="H1364" i="23"/>
  <c r="H1363" i="23"/>
  <c r="H367" i="23"/>
  <c r="H385" i="23"/>
  <c r="H420" i="23"/>
  <c r="H438" i="23"/>
  <c r="H535" i="23"/>
  <c r="H566" i="23"/>
  <c r="H654" i="23"/>
  <c r="H651" i="23"/>
  <c r="H830" i="23"/>
  <c r="H836" i="23"/>
  <c r="H603" i="23"/>
  <c r="H600" i="23"/>
  <c r="H670" i="23"/>
  <c r="H1264" i="23"/>
  <c r="H1275" i="23"/>
  <c r="H311" i="23"/>
  <c r="H323" i="23"/>
  <c r="H314" i="23"/>
  <c r="H316" i="23"/>
  <c r="H475" i="23"/>
  <c r="H481" i="23"/>
  <c r="H540" i="23"/>
  <c r="H547" i="23"/>
  <c r="H702" i="23"/>
  <c r="H711" i="23"/>
  <c r="H824" i="23"/>
  <c r="H803" i="23"/>
  <c r="H887" i="23"/>
  <c r="H874" i="23"/>
  <c r="H922" i="23"/>
  <c r="H920" i="23"/>
  <c r="H921" i="23"/>
  <c r="H985" i="23"/>
  <c r="H1004" i="23"/>
  <c r="H1243" i="23"/>
  <c r="H1249" i="23"/>
  <c r="H1251" i="23"/>
  <c r="H1300" i="23"/>
  <c r="H1315" i="23"/>
  <c r="H1303" i="23"/>
  <c r="H1359" i="23"/>
  <c r="H1365" i="23"/>
  <c r="H69" i="23"/>
  <c r="H86" i="23"/>
  <c r="H267" i="23"/>
  <c r="H272" i="23"/>
  <c r="H308" i="23"/>
  <c r="H303" i="23"/>
  <c r="H773" i="23"/>
  <c r="H766" i="23"/>
  <c r="H868" i="23"/>
  <c r="H860" i="23"/>
  <c r="H941" i="23"/>
  <c r="H924" i="23"/>
  <c r="H945" i="23"/>
  <c r="H969" i="23"/>
  <c r="H968" i="23"/>
  <c r="H1140" i="23"/>
  <c r="H1132" i="23"/>
  <c r="H1158" i="23"/>
  <c r="H1202" i="23"/>
  <c r="H1192" i="23"/>
  <c r="H1256" i="23"/>
  <c r="H1262" i="23"/>
  <c r="H40" i="23"/>
  <c r="H60" i="23"/>
  <c r="H54" i="23"/>
  <c r="H328" i="23"/>
  <c r="H329" i="23"/>
  <c r="H320" i="23"/>
  <c r="H446" i="23"/>
  <c r="H450" i="23"/>
  <c r="H433" i="23"/>
  <c r="H768" i="23"/>
  <c r="H783" i="23"/>
  <c r="H881" i="23"/>
  <c r="H869" i="23"/>
  <c r="H877" i="23"/>
  <c r="H1020" i="23"/>
  <c r="H1036" i="23"/>
  <c r="H1033" i="23"/>
  <c r="H1313" i="23"/>
  <c r="H1328" i="23"/>
  <c r="H1374" i="23"/>
  <c r="H1380" i="23"/>
  <c r="H348" i="23"/>
  <c r="H373" i="23"/>
  <c r="H1209" i="23"/>
  <c r="H1199" i="23"/>
  <c r="H1212" i="23"/>
  <c r="H104" i="23"/>
  <c r="H126" i="23"/>
  <c r="H178" i="23"/>
  <c r="H172" i="23"/>
  <c r="H221" i="23"/>
  <c r="H223" i="23"/>
  <c r="H785" i="23"/>
  <c r="H788" i="23"/>
  <c r="H767" i="23"/>
  <c r="H891" i="23"/>
  <c r="H896" i="23"/>
  <c r="H943" i="23"/>
  <c r="H950" i="23"/>
  <c r="H161" i="23"/>
  <c r="H176" i="23"/>
  <c r="H605" i="23"/>
  <c r="H622" i="23"/>
  <c r="H625" i="23"/>
  <c r="H614" i="23"/>
  <c r="H831" i="23"/>
  <c r="H845" i="23"/>
  <c r="H851" i="23"/>
  <c r="H909" i="23"/>
  <c r="H908" i="23"/>
  <c r="H901" i="23"/>
  <c r="H914" i="23"/>
  <c r="H882" i="23"/>
  <c r="H1112" i="23"/>
  <c r="H1095" i="23"/>
  <c r="H1270" i="23"/>
  <c r="H1284" i="23"/>
  <c r="H1273" i="23"/>
  <c r="H1325" i="23"/>
  <c r="H1327" i="23"/>
  <c r="H128" i="23"/>
  <c r="H132" i="23"/>
  <c r="H244" i="23"/>
  <c r="H228" i="23"/>
  <c r="H251" i="23"/>
  <c r="H292" i="23"/>
  <c r="H299" i="23"/>
  <c r="H296" i="23"/>
  <c r="H394" i="23"/>
  <c r="H406" i="23"/>
  <c r="H464" i="23"/>
  <c r="H445" i="23"/>
  <c r="H576" i="23"/>
  <c r="H564" i="23"/>
  <c r="H743" i="23"/>
  <c r="H749" i="23"/>
  <c r="H862" i="23"/>
  <c r="H854" i="23"/>
  <c r="H1057" i="23"/>
  <c r="H1061" i="23"/>
  <c r="H1387" i="23"/>
  <c r="H1473" i="23"/>
  <c r="H1452" i="23"/>
  <c r="H1451" i="23"/>
  <c r="H1394" i="23"/>
  <c r="H1398" i="23"/>
  <c r="H1403" i="23"/>
  <c r="H1450" i="23"/>
  <c r="H1397" i="23"/>
  <c r="H1414" i="23"/>
  <c r="H1402" i="23"/>
  <c r="H1441" i="23"/>
  <c r="H1456" i="23"/>
  <c r="H1453" i="23"/>
  <c r="H1444" i="23"/>
  <c r="H1426" i="23"/>
  <c r="H1432" i="23"/>
  <c r="H1448" i="23"/>
  <c r="H1454" i="23"/>
  <c r="H1416" i="23"/>
  <c r="H57" i="23"/>
  <c r="H74" i="23"/>
  <c r="H41" i="23"/>
  <c r="H301" i="23"/>
  <c r="H305" i="23"/>
  <c r="H801" i="23"/>
  <c r="H823" i="23"/>
  <c r="H867" i="23"/>
  <c r="H870" i="23"/>
  <c r="H119" i="23"/>
  <c r="H135" i="23"/>
  <c r="H130" i="23"/>
  <c r="H196" i="23"/>
  <c r="H184" i="23"/>
  <c r="H193" i="23"/>
  <c r="H238" i="23"/>
  <c r="H240" i="23"/>
  <c r="H232" i="23"/>
  <c r="H528" i="23"/>
  <c r="H521" i="23"/>
  <c r="H531" i="23"/>
  <c r="H691" i="23"/>
  <c r="H694" i="23"/>
  <c r="H685" i="23"/>
  <c r="H953" i="23"/>
  <c r="H989" i="23"/>
  <c r="H995" i="23"/>
  <c r="H1015" i="23"/>
  <c r="H1073" i="23"/>
  <c r="H1076" i="23"/>
  <c r="H1129" i="23"/>
  <c r="H1126" i="23"/>
  <c r="H1125" i="23"/>
  <c r="H1223" i="23"/>
  <c r="H1228" i="23"/>
  <c r="H1272" i="23"/>
  <c r="H1309" i="23"/>
  <c r="H1353" i="23"/>
  <c r="H1340" i="23"/>
  <c r="H1177" i="23"/>
  <c r="H1176" i="23"/>
  <c r="H1355" i="23"/>
  <c r="H1361" i="23"/>
  <c r="L21" i="12"/>
  <c r="L7" i="23"/>
  <c r="L34" i="23"/>
  <c r="H1025" i="23"/>
  <c r="H977" i="23"/>
  <c r="H1060" i="23"/>
  <c r="H1055" i="23"/>
  <c r="H1109" i="23"/>
  <c r="H1113" i="23"/>
  <c r="H1128" i="23"/>
  <c r="H1172" i="23"/>
  <c r="H1187" i="23"/>
  <c r="H1229" i="23"/>
  <c r="H1231" i="23"/>
  <c r="H1215" i="23"/>
  <c r="H1281" i="23"/>
  <c r="H1257" i="23"/>
  <c r="H1293" i="23"/>
  <c r="H1418" i="23"/>
  <c r="H1487" i="23"/>
  <c r="H1486" i="23"/>
  <c r="H1413" i="23"/>
  <c r="H1393" i="23"/>
  <c r="H1460" i="23"/>
  <c r="H1466" i="23"/>
  <c r="H1469" i="23"/>
  <c r="H1411" i="23"/>
  <c r="H1475" i="23"/>
  <c r="H1421" i="23"/>
  <c r="H1483" i="23"/>
  <c r="H1425" i="23"/>
  <c r="H1501" i="23"/>
  <c r="H1428" i="23"/>
  <c r="H1434" i="23"/>
  <c r="H1415" i="23"/>
  <c r="H1420" i="23"/>
  <c r="L15" i="12"/>
  <c r="L8" i="23"/>
  <c r="H191" i="23"/>
  <c r="H214" i="23"/>
  <c r="H212" i="23"/>
  <c r="H260" i="23"/>
  <c r="H248" i="23"/>
  <c r="H418" i="23"/>
  <c r="H411" i="23"/>
  <c r="H532" i="23"/>
  <c r="H527" i="23"/>
  <c r="H578" i="23"/>
  <c r="H584" i="23"/>
  <c r="H638" i="23"/>
  <c r="H642" i="23"/>
  <c r="H699" i="23"/>
  <c r="H703" i="23"/>
  <c r="H688" i="23"/>
  <c r="H750" i="23"/>
  <c r="H770" i="23"/>
  <c r="H757" i="23"/>
  <c r="H759" i="23"/>
  <c r="H963" i="23"/>
  <c r="H965" i="23"/>
  <c r="H972" i="23"/>
  <c r="H978" i="23"/>
  <c r="H75" i="23"/>
  <c r="H58" i="23"/>
  <c r="H392" i="23"/>
  <c r="H402" i="23"/>
  <c r="H405" i="23"/>
  <c r="H476" i="23"/>
  <c r="H462" i="23"/>
  <c r="H513" i="23"/>
  <c r="H518" i="23"/>
  <c r="H508" i="23"/>
  <c r="H565" i="23"/>
  <c r="H571" i="23"/>
  <c r="H617" i="23"/>
  <c r="H624" i="23"/>
  <c r="H608" i="23"/>
  <c r="H678" i="23"/>
  <c r="H673" i="23"/>
  <c r="H679" i="23"/>
  <c r="H804" i="23"/>
  <c r="H778" i="23"/>
  <c r="H832" i="23"/>
  <c r="H858" i="23"/>
  <c r="H905" i="23"/>
  <c r="H886" i="23"/>
  <c r="H899" i="23"/>
  <c r="H67" i="23"/>
  <c r="H76" i="23"/>
  <c r="H59" i="23"/>
  <c r="H137" i="23"/>
  <c r="H142" i="23"/>
  <c r="H125" i="23"/>
  <c r="H173" i="23"/>
  <c r="H181" i="23"/>
  <c r="H307" i="23"/>
  <c r="H300" i="23"/>
  <c r="H302" i="23"/>
  <c r="H347" i="23"/>
  <c r="H357" i="23"/>
  <c r="H355" i="23"/>
  <c r="H466" i="23"/>
  <c r="H455" i="23"/>
  <c r="H572" i="23"/>
  <c r="H595" i="23"/>
  <c r="H735" i="23"/>
  <c r="H746" i="23"/>
  <c r="H795" i="23"/>
  <c r="H815" i="23"/>
  <c r="H805" i="23"/>
  <c r="H861" i="23"/>
  <c r="H856" i="23"/>
  <c r="H857" i="23"/>
  <c r="H1017" i="23"/>
  <c r="H1011" i="23"/>
  <c r="H1062" i="23"/>
  <c r="H1042" i="23"/>
  <c r="H1178" i="23"/>
  <c r="H1181" i="23"/>
  <c r="H1332" i="23"/>
  <c r="H1342" i="23"/>
  <c r="H1499" i="23"/>
  <c r="H1504" i="23"/>
  <c r="H1493" i="23"/>
  <c r="H1079" i="23"/>
  <c r="H1080" i="23"/>
  <c r="H1127" i="23"/>
  <c r="H1133" i="23"/>
  <c r="H1116" i="23"/>
  <c r="H1137" i="23"/>
  <c r="H1247" i="23"/>
  <c r="H1246" i="23"/>
  <c r="H93" i="23"/>
  <c r="H91" i="23"/>
  <c r="H120" i="23"/>
  <c r="H155" i="23"/>
  <c r="H138" i="23"/>
  <c r="H134" i="23"/>
  <c r="H146" i="23"/>
  <c r="H222" i="23"/>
  <c r="H204" i="23"/>
  <c r="H249" i="23"/>
  <c r="H242" i="23"/>
  <c r="H313" i="23"/>
  <c r="H321" i="23"/>
  <c r="H362" i="23"/>
  <c r="H361" i="23"/>
  <c r="H434" i="23"/>
  <c r="H413" i="23"/>
  <c r="H416" i="23"/>
  <c r="H552" i="23"/>
  <c r="H551" i="23"/>
  <c r="H610" i="23"/>
  <c r="H620" i="23"/>
  <c r="H634" i="23"/>
  <c r="H647" i="23"/>
  <c r="H649" i="23"/>
  <c r="H744" i="23"/>
  <c r="H755" i="23"/>
  <c r="H863" i="23"/>
  <c r="H871" i="23"/>
  <c r="H1006" i="23"/>
  <c r="H998" i="23"/>
  <c r="H1018" i="23"/>
  <c r="H1029" i="23"/>
  <c r="H1030" i="23"/>
  <c r="H1026" i="23"/>
  <c r="H1088" i="23"/>
  <c r="H1089" i="23"/>
  <c r="H1191" i="23"/>
  <c r="H1193" i="23"/>
  <c r="H1183" i="23"/>
  <c r="H199" i="23"/>
  <c r="H231" i="23"/>
  <c r="H396" i="23"/>
  <c r="H363" i="23"/>
  <c r="H378" i="23"/>
  <c r="H449" i="23"/>
  <c r="H408" i="23"/>
  <c r="H479" i="23"/>
  <c r="H486" i="23"/>
  <c r="H472" i="23"/>
  <c r="H589" i="23"/>
  <c r="H593" i="23"/>
  <c r="H720" i="23"/>
  <c r="H705" i="23"/>
  <c r="H984" i="23"/>
  <c r="H986" i="23"/>
  <c r="H1028" i="23"/>
  <c r="H1027" i="23"/>
  <c r="H1038" i="23"/>
  <c r="H1096" i="23"/>
  <c r="H1093" i="23"/>
  <c r="H1149" i="23"/>
  <c r="H1155" i="23"/>
  <c r="H1143" i="23"/>
  <c r="H1217" i="23"/>
  <c r="H1195" i="23"/>
  <c r="H1306" i="23"/>
  <c r="H1301" i="23"/>
  <c r="H1372" i="23"/>
  <c r="H1373" i="23"/>
  <c r="I5" i="4"/>
  <c r="L15" i="23"/>
  <c r="L24" i="23"/>
  <c r="H49" i="23"/>
  <c r="H81" i="23"/>
  <c r="H45" i="23"/>
  <c r="H46" i="23"/>
  <c r="H97" i="23"/>
  <c r="H112" i="23"/>
  <c r="H100" i="23"/>
  <c r="H201" i="23"/>
  <c r="H206" i="23"/>
  <c r="H266" i="23"/>
  <c r="H274" i="23"/>
  <c r="H376" i="23"/>
  <c r="H387" i="23"/>
  <c r="H494" i="23"/>
  <c r="H496" i="23"/>
  <c r="H514" i="23"/>
  <c r="H542" i="23"/>
  <c r="H544" i="23"/>
  <c r="H602" i="23"/>
  <c r="H601" i="23"/>
  <c r="H662" i="23"/>
  <c r="H676" i="23"/>
  <c r="H729" i="23"/>
  <c r="H710" i="23"/>
  <c r="H733" i="23"/>
  <c r="H763" i="23"/>
  <c r="H761" i="23"/>
  <c r="H816" i="23"/>
  <c r="H849" i="23"/>
  <c r="H936" i="23"/>
  <c r="H939" i="23"/>
  <c r="L25" i="23"/>
  <c r="L37" i="23"/>
  <c r="L21" i="23"/>
  <c r="L29" i="23"/>
  <c r="H1049" i="23"/>
  <c r="H1024" i="23"/>
  <c r="H1092" i="23"/>
  <c r="H1105" i="23"/>
  <c r="H1091" i="23"/>
  <c r="H1138" i="23"/>
  <c r="H1156" i="23"/>
  <c r="H1151" i="23"/>
  <c r="H1206" i="23"/>
  <c r="H1220" i="23"/>
  <c r="H1276" i="23"/>
  <c r="H1278" i="23"/>
  <c r="H1268" i="23"/>
  <c r="H1320" i="23"/>
  <c r="H1343" i="23"/>
  <c r="H1404" i="23"/>
  <c r="H1399" i="23"/>
  <c r="H1383" i="23"/>
  <c r="H1366" i="23"/>
  <c r="L14" i="23"/>
  <c r="L13" i="23"/>
  <c r="H48" i="23"/>
  <c r="H51" i="23"/>
  <c r="H55" i="23"/>
  <c r="H170" i="23"/>
  <c r="H159" i="23"/>
  <c r="H209" i="23"/>
  <c r="H215" i="23"/>
  <c r="H384" i="23"/>
  <c r="H391" i="23"/>
  <c r="H441" i="23"/>
  <c r="H430" i="23"/>
  <c r="H555" i="23"/>
  <c r="H548" i="23"/>
  <c r="H554" i="23"/>
  <c r="H681" i="23"/>
  <c r="H650" i="23"/>
  <c r="H712" i="23"/>
  <c r="H730" i="23"/>
  <c r="H817" i="23"/>
  <c r="H833" i="23"/>
  <c r="H846" i="23"/>
  <c r="H124" i="23"/>
  <c r="H110" i="23"/>
  <c r="H140" i="23"/>
  <c r="H291" i="23"/>
  <c r="H287" i="23"/>
  <c r="H281" i="23"/>
  <c r="H334" i="23"/>
  <c r="H331" i="23"/>
  <c r="H343" i="23"/>
  <c r="H459" i="23"/>
  <c r="H460" i="23"/>
  <c r="H447" i="23"/>
  <c r="H562" i="23"/>
  <c r="H557" i="23"/>
  <c r="H569" i="23"/>
  <c r="H667" i="23"/>
  <c r="H658" i="23"/>
  <c r="H779" i="23"/>
  <c r="H784" i="23"/>
  <c r="H970" i="23"/>
  <c r="H957" i="23"/>
  <c r="H1005" i="23"/>
  <c r="H1002" i="23"/>
  <c r="H1058" i="23"/>
  <c r="H1054" i="23"/>
  <c r="H1225" i="23"/>
  <c r="H1241" i="23"/>
  <c r="H1216" i="23"/>
  <c r="H1337" i="23"/>
  <c r="H1333" i="23"/>
  <c r="L13" i="12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16" i="23"/>
  <c r="L31" i="23"/>
  <c r="L17" i="23"/>
  <c r="L33" i="23"/>
  <c r="L18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H108" i="23"/>
  <c r="H942" i="23"/>
  <c r="I186" i="4"/>
  <c r="I154" i="4"/>
  <c r="H906" i="23"/>
  <c r="I310" i="4"/>
  <c r="I198" i="4"/>
  <c r="H696" i="23"/>
  <c r="H1118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H491" i="23"/>
  <c r="H623" i="23"/>
  <c r="H520" i="23"/>
  <c r="H657" i="23"/>
  <c r="H1078" i="23"/>
  <c r="I272" i="4"/>
  <c r="I32" i="4"/>
  <c r="L11" i="23"/>
  <c r="L9" i="23"/>
  <c r="L3" i="12"/>
  <c r="L5" i="12"/>
  <c r="H1034" i="23"/>
  <c r="H1013" i="23"/>
  <c r="H1014" i="23"/>
  <c r="H996" i="23"/>
  <c r="H1067" i="23"/>
  <c r="H1071" i="23"/>
  <c r="H1064" i="23"/>
  <c r="H1084" i="23"/>
  <c r="H1124" i="23"/>
  <c r="H1131" i="23"/>
  <c r="H1147" i="23"/>
  <c r="H1123" i="23"/>
  <c r="H1135" i="23"/>
  <c r="H1122" i="23"/>
  <c r="H1163" i="23"/>
  <c r="H1180" i="23"/>
  <c r="H1196" i="23"/>
  <c r="H1235" i="23"/>
  <c r="H1237" i="23"/>
  <c r="H1227" i="23"/>
  <c r="H1253" i="23"/>
  <c r="H1233" i="23"/>
  <c r="H1291" i="23"/>
  <c r="H1292" i="23"/>
  <c r="H1345" i="23"/>
  <c r="H1354" i="23"/>
  <c r="H1375" i="23"/>
  <c r="H1360" i="23"/>
  <c r="H95" i="23"/>
  <c r="H79" i="23"/>
  <c r="H94" i="23"/>
  <c r="H154" i="23"/>
  <c r="H152" i="23"/>
  <c r="H139" i="23"/>
  <c r="H200" i="23"/>
  <c r="H190" i="23"/>
  <c r="H203" i="23"/>
  <c r="H262" i="23"/>
  <c r="H247" i="23"/>
  <c r="H325" i="23"/>
  <c r="H318" i="23"/>
  <c r="H315" i="23"/>
  <c r="H309" i="23"/>
  <c r="H359" i="23"/>
  <c r="H368" i="23"/>
  <c r="H354" i="23"/>
  <c r="H440" i="23"/>
  <c r="H424" i="23"/>
  <c r="H432" i="23"/>
  <c r="H482" i="23"/>
  <c r="H478" i="23"/>
  <c r="H580" i="23"/>
  <c r="H585" i="23"/>
  <c r="H594" i="23"/>
  <c r="H701" i="23"/>
  <c r="H690" i="23"/>
  <c r="H687" i="23"/>
  <c r="H704" i="23"/>
  <c r="H714" i="23"/>
  <c r="H772" i="23"/>
  <c r="H751" i="23"/>
  <c r="H777" i="23"/>
  <c r="H748" i="23"/>
  <c r="H812" i="23"/>
  <c r="H828" i="23"/>
  <c r="H811" i="23"/>
  <c r="H808" i="23"/>
  <c r="H813" i="23"/>
  <c r="H859" i="23"/>
  <c r="H890" i="23"/>
  <c r="H875" i="23"/>
  <c r="H902" i="23"/>
  <c r="H931" i="23"/>
  <c r="H913" i="23"/>
  <c r="H930" i="23"/>
  <c r="H933" i="23"/>
  <c r="H983" i="23"/>
  <c r="H980" i="23"/>
  <c r="H1022" i="23"/>
  <c r="H1023" i="23"/>
  <c r="H1009" i="23"/>
  <c r="H1134" i="23"/>
  <c r="H1136" i="23"/>
  <c r="H1203" i="23"/>
  <c r="H1182" i="23"/>
  <c r="H1186" i="23"/>
  <c r="H1198" i="23"/>
  <c r="H1236" i="23"/>
  <c r="H1248" i="23"/>
  <c r="H1294" i="23"/>
  <c r="H1289" i="23"/>
  <c r="H1288" i="23"/>
  <c r="H1326" i="23"/>
  <c r="H1362" i="23"/>
  <c r="H1346" i="23"/>
  <c r="H1349" i="23"/>
  <c r="H1037" i="23"/>
  <c r="H1041" i="23"/>
  <c r="H1045" i="23"/>
  <c r="H1021" i="23"/>
  <c r="H1085" i="23"/>
  <c r="H1077" i="23"/>
  <c r="H1087" i="23"/>
  <c r="H1069" i="23"/>
  <c r="H1121" i="23"/>
  <c r="H1086" i="23"/>
  <c r="H1146" i="23"/>
  <c r="H1130" i="23"/>
  <c r="H1139" i="23"/>
  <c r="H1184" i="23"/>
  <c r="H1208" i="23"/>
  <c r="H1219" i="23"/>
  <c r="H1254" i="23"/>
  <c r="H1250" i="23"/>
  <c r="H1245" i="23"/>
  <c r="H1267" i="23"/>
  <c r="H1319" i="23"/>
  <c r="H1317" i="23"/>
  <c r="H1310" i="23"/>
  <c r="H1324" i="23"/>
  <c r="H1297" i="23"/>
  <c r="H1371" i="23"/>
  <c r="H1376" i="23"/>
  <c r="H1367" i="23"/>
  <c r="H1368" i="23"/>
  <c r="H1357" i="23"/>
  <c r="H53" i="23"/>
  <c r="H50" i="23"/>
  <c r="H26" i="23"/>
  <c r="H43" i="23"/>
  <c r="H92" i="23"/>
  <c r="H78" i="23"/>
  <c r="H105" i="23"/>
  <c r="H123" i="23"/>
  <c r="H96" i="23"/>
  <c r="H151" i="23"/>
  <c r="H157" i="23"/>
  <c r="H219" i="23"/>
  <c r="H213" i="23"/>
  <c r="H218" i="23"/>
  <c r="H210" i="23"/>
  <c r="H285" i="23"/>
  <c r="H255" i="23"/>
  <c r="H270" i="23"/>
  <c r="H273" i="23"/>
  <c r="H338" i="23"/>
  <c r="H326" i="23"/>
  <c r="H317" i="23"/>
  <c r="H319" i="23"/>
  <c r="H350" i="23"/>
  <c r="H369" i="23"/>
  <c r="H386" i="23"/>
  <c r="H366" i="23"/>
  <c r="H399" i="23"/>
  <c r="H452" i="23"/>
  <c r="H428" i="23"/>
  <c r="H526" i="23"/>
  <c r="H549" i="23"/>
  <c r="H543" i="23"/>
  <c r="H558" i="23"/>
  <c r="H645" i="23"/>
  <c r="H668" i="23"/>
  <c r="H643" i="23"/>
  <c r="H719" i="23"/>
  <c r="H708" i="23"/>
  <c r="H771" i="23"/>
  <c r="H774" i="23"/>
  <c r="H756" i="23"/>
  <c r="H790" i="23"/>
  <c r="H780" i="23"/>
  <c r="H834" i="23"/>
  <c r="H826" i="23"/>
  <c r="H842" i="23"/>
  <c r="H814" i="23"/>
  <c r="H895" i="23"/>
  <c r="H894" i="23"/>
  <c r="H893" i="23"/>
  <c r="H897" i="23"/>
  <c r="H880" i="23"/>
  <c r="H929" i="23"/>
  <c r="H940" i="23"/>
  <c r="H948" i="23"/>
  <c r="H937" i="23"/>
  <c r="H1056" i="23"/>
  <c r="H1032" i="23"/>
  <c r="H1044" i="23"/>
  <c r="H1039" i="23"/>
  <c r="H1094" i="23"/>
  <c r="H1090" i="23"/>
  <c r="H1142" i="23"/>
  <c r="H1145" i="23"/>
  <c r="H1168" i="23"/>
  <c r="H1141" i="23"/>
  <c r="H1194" i="23"/>
  <c r="H1189" i="23"/>
  <c r="H1221" i="23"/>
  <c r="H1204" i="23"/>
  <c r="H1265" i="23"/>
  <c r="H1274" i="23"/>
  <c r="H1258" i="23"/>
  <c r="H1312" i="23"/>
  <c r="H1331" i="23"/>
  <c r="H1381" i="23"/>
  <c r="H1370" i="23"/>
  <c r="H62" i="23"/>
  <c r="H82" i="23"/>
  <c r="H63" i="23"/>
  <c r="H136" i="23"/>
  <c r="H133" i="23"/>
  <c r="H144" i="23"/>
  <c r="H147" i="23"/>
  <c r="H189" i="23"/>
  <c r="H188" i="23"/>
  <c r="H250" i="23"/>
  <c r="H243" i="23"/>
  <c r="H245" i="23"/>
  <c r="H246" i="23"/>
  <c r="H252" i="23"/>
  <c r="H286" i="23"/>
  <c r="H306" i="23"/>
  <c r="H297" i="23"/>
  <c r="H310" i="23"/>
  <c r="H372" i="23"/>
  <c r="H345" i="23"/>
  <c r="H374" i="23"/>
  <c r="H360" i="23"/>
  <c r="H346" i="23"/>
  <c r="H426" i="23"/>
  <c r="H412" i="23"/>
  <c r="H415" i="23"/>
  <c r="H480" i="23"/>
  <c r="H487" i="23"/>
  <c r="H467" i="23"/>
  <c r="H471" i="23"/>
  <c r="H474" i="23"/>
  <c r="H522" i="23"/>
  <c r="H523" i="23"/>
  <c r="H538" i="23"/>
  <c r="H529" i="23"/>
  <c r="H517" i="23"/>
  <c r="H533" i="23"/>
  <c r="H598" i="23"/>
  <c r="H596" i="23"/>
  <c r="H590" i="23"/>
  <c r="H597" i="23"/>
  <c r="H570" i="23"/>
  <c r="H637" i="23"/>
  <c r="H646" i="23"/>
  <c r="H648" i="23"/>
  <c r="H639" i="23"/>
  <c r="H664" i="23"/>
  <c r="H698" i="23"/>
  <c r="H697" i="23"/>
  <c r="H684" i="23"/>
  <c r="H740" i="23"/>
  <c r="H737" i="23"/>
  <c r="H754" i="23"/>
  <c r="H742" i="23"/>
  <c r="H800" i="23"/>
  <c r="H810" i="23"/>
  <c r="H822" i="23"/>
  <c r="H876" i="23"/>
  <c r="H865" i="23"/>
  <c r="H864" i="23"/>
  <c r="H839" i="23"/>
  <c r="H872" i="23"/>
  <c r="H925" i="23"/>
  <c r="H911" i="23"/>
  <c r="H918" i="23"/>
  <c r="H928" i="23"/>
  <c r="H973" i="23"/>
  <c r="H955" i="23"/>
  <c r="H975" i="23"/>
  <c r="H974" i="23"/>
  <c r="H946" i="23"/>
  <c r="H56" i="23"/>
  <c r="H32" i="23"/>
  <c r="H36" i="23"/>
  <c r="H153" i="23"/>
  <c r="H167" i="23"/>
  <c r="H171" i="23"/>
  <c r="H226" i="23"/>
  <c r="H227" i="23"/>
  <c r="H234" i="23"/>
  <c r="H217" i="23"/>
  <c r="H268" i="23"/>
  <c r="H265" i="23"/>
  <c r="H276" i="23"/>
  <c r="H298" i="23"/>
  <c r="H283" i="23"/>
  <c r="H340" i="23"/>
  <c r="H330" i="23"/>
  <c r="H324" i="23"/>
  <c r="H381" i="23"/>
  <c r="H390" i="23"/>
  <c r="H382" i="23"/>
  <c r="H436" i="23"/>
  <c r="H437" i="23"/>
  <c r="H448" i="23"/>
  <c r="H435" i="23"/>
  <c r="H506" i="23"/>
  <c r="H489" i="23"/>
  <c r="H503" i="23"/>
  <c r="H519" i="23"/>
  <c r="H492" i="23"/>
  <c r="H559" i="23"/>
  <c r="H586" i="23"/>
  <c r="H568" i="23"/>
  <c r="H556" i="23"/>
  <c r="H592" i="23"/>
  <c r="H619" i="23"/>
  <c r="H629" i="23"/>
  <c r="H611" i="23"/>
  <c r="H660" i="23"/>
  <c r="H675" i="23"/>
  <c r="H665" i="23"/>
  <c r="H672" i="23"/>
  <c r="H669" i="23"/>
  <c r="H700" i="23"/>
  <c r="H713" i="23"/>
  <c r="H717" i="23"/>
  <c r="H732" i="23"/>
  <c r="H725" i="23"/>
  <c r="H798" i="23"/>
  <c r="H781" i="23"/>
  <c r="H838" i="23"/>
  <c r="H820" i="23"/>
  <c r="H840" i="23"/>
  <c r="H827" i="23"/>
  <c r="H879" i="23"/>
  <c r="H912" i="23"/>
  <c r="H883" i="23"/>
  <c r="H1035" i="23"/>
  <c r="H1043" i="23"/>
  <c r="H1050" i="23"/>
  <c r="H1103" i="23"/>
  <c r="H1107" i="23"/>
  <c r="H1111" i="23"/>
  <c r="H1104" i="23"/>
  <c r="H1106" i="23"/>
  <c r="H1179" i="23"/>
  <c r="H1153" i="23"/>
  <c r="H1159" i="23"/>
  <c r="H1152" i="23"/>
  <c r="H1210" i="23"/>
  <c r="H1211" i="23"/>
  <c r="H1214" i="23"/>
  <c r="H1207" i="23"/>
  <c r="H1218" i="23"/>
  <c r="H1260" i="23"/>
  <c r="H1238" i="23"/>
  <c r="H1255" i="23"/>
  <c r="H1279" i="23"/>
  <c r="H1269" i="23"/>
  <c r="H1351" i="23"/>
  <c r="H1316" i="23"/>
  <c r="H1335" i="23"/>
  <c r="H1329" i="23"/>
  <c r="H1386" i="23"/>
  <c r="H1384" i="23"/>
  <c r="H1377" i="23"/>
  <c r="H1389" i="23"/>
  <c r="H98" i="23"/>
  <c r="H106" i="23"/>
  <c r="H84" i="23"/>
  <c r="H101" i="23"/>
  <c r="H156" i="23"/>
  <c r="H163" i="23"/>
  <c r="H145" i="23"/>
  <c r="H162" i="23"/>
  <c r="H169" i="23"/>
  <c r="H205" i="23"/>
  <c r="H198" i="23"/>
  <c r="H207" i="23"/>
  <c r="H202" i="23"/>
  <c r="H256" i="23"/>
  <c r="H254" i="23"/>
  <c r="H280" i="23"/>
  <c r="H332" i="23"/>
  <c r="H337" i="23"/>
  <c r="H377" i="23"/>
  <c r="H370" i="23"/>
  <c r="H383" i="23"/>
  <c r="H380" i="23"/>
  <c r="H423" i="23"/>
  <c r="H431" i="23"/>
  <c r="H443" i="23"/>
  <c r="H429" i="23"/>
  <c r="H439" i="23"/>
  <c r="H485" i="23"/>
  <c r="H493" i="23"/>
  <c r="H501" i="23"/>
  <c r="H504" i="23"/>
  <c r="H497" i="23"/>
  <c r="H483" i="23"/>
  <c r="H534" i="23"/>
  <c r="H539" i="23"/>
  <c r="H541" i="23"/>
  <c r="H537" i="23"/>
  <c r="H591" i="23"/>
  <c r="H612" i="23"/>
  <c r="H607" i="23"/>
  <c r="H573" i="23"/>
  <c r="H652" i="23"/>
  <c r="H666" i="23"/>
  <c r="H661" i="23"/>
  <c r="H632" i="23"/>
  <c r="H709" i="23"/>
  <c r="H693" i="23"/>
  <c r="H722" i="23"/>
  <c r="H724" i="23"/>
  <c r="H769" i="23"/>
  <c r="H765" i="23"/>
  <c r="H825" i="23"/>
  <c r="H821" i="23"/>
  <c r="H873" i="23"/>
  <c r="H878" i="23"/>
  <c r="H932" i="23"/>
  <c r="H947" i="23"/>
  <c r="H949" i="23"/>
  <c r="H982" i="23"/>
  <c r="H988" i="23"/>
  <c r="H993" i="23"/>
  <c r="H987" i="23"/>
  <c r="H83" i="23"/>
  <c r="H85" i="23"/>
  <c r="H111" i="23"/>
  <c r="H113" i="23"/>
  <c r="H116" i="23"/>
  <c r="H127" i="23"/>
  <c r="H117" i="23"/>
  <c r="H179" i="23"/>
  <c r="H166" i="23"/>
  <c r="H177" i="23"/>
  <c r="H180" i="23"/>
  <c r="H160" i="23"/>
  <c r="H229" i="23"/>
  <c r="H224" i="23"/>
  <c r="H294" i="23"/>
  <c r="H284" i="23"/>
  <c r="H277" i="23"/>
  <c r="H336" i="23"/>
  <c r="H339" i="23"/>
  <c r="H335" i="23"/>
  <c r="H341" i="23"/>
  <c r="H342" i="23"/>
  <c r="H417" i="23"/>
  <c r="H398" i="23"/>
  <c r="H393" i="23"/>
  <c r="H454" i="23"/>
  <c r="H469" i="23"/>
  <c r="H457" i="23"/>
  <c r="H451" i="23"/>
  <c r="H490" i="23"/>
  <c r="H507" i="23"/>
  <c r="H484" i="23"/>
  <c r="H550" i="23"/>
  <c r="H545" i="23"/>
  <c r="H553" i="23"/>
  <c r="H618" i="23"/>
  <c r="H616" i="23"/>
  <c r="H621" i="23"/>
  <c r="H609" i="23"/>
  <c r="H680" i="23"/>
  <c r="H683" i="23"/>
  <c r="H736" i="23"/>
  <c r="H738" i="23"/>
  <c r="H739" i="23"/>
  <c r="H721" i="23"/>
  <c r="H764" i="23"/>
  <c r="H782" i="23"/>
  <c r="H799" i="23"/>
  <c r="H847" i="23"/>
  <c r="H837" i="23"/>
  <c r="H850" i="23"/>
  <c r="H898" i="23"/>
  <c r="H889" i="23"/>
  <c r="H885" i="23"/>
  <c r="H892" i="23"/>
  <c r="H904" i="23"/>
  <c r="H951" i="23"/>
  <c r="H938" i="23"/>
  <c r="H960" i="23"/>
  <c r="H956" i="23"/>
  <c r="H1000" i="23"/>
  <c r="H1008" i="23"/>
  <c r="H991" i="23"/>
  <c r="H992" i="23"/>
  <c r="H1047" i="23"/>
  <c r="H1053" i="23"/>
  <c r="H1051" i="23"/>
  <c r="H1117" i="23"/>
  <c r="H1119" i="23"/>
  <c r="H1120" i="23"/>
  <c r="H1150" i="23"/>
  <c r="H1157" i="23"/>
  <c r="H1166" i="23"/>
  <c r="H1213" i="23"/>
  <c r="H1205" i="23"/>
  <c r="H1277" i="23"/>
  <c r="H1286" i="23"/>
  <c r="H1285" i="23"/>
  <c r="H1330" i="23"/>
  <c r="H1318" i="23"/>
  <c r="H1388" i="23"/>
  <c r="H1427" i="23"/>
  <c r="H1431" i="23"/>
  <c r="H1395" i="23"/>
  <c r="H990" i="23"/>
  <c r="H1001" i="23"/>
  <c r="H999" i="23"/>
  <c r="H1063" i="23"/>
  <c r="H1048" i="23"/>
  <c r="H1075" i="23"/>
  <c r="H1066" i="23"/>
  <c r="H1115" i="23"/>
  <c r="H1101" i="23"/>
  <c r="H1110" i="23"/>
  <c r="H1100" i="23"/>
  <c r="H1170" i="23"/>
  <c r="H1164" i="23"/>
  <c r="H1173" i="23"/>
  <c r="H1161" i="23"/>
  <c r="H1230" i="23"/>
  <c r="H1226" i="23"/>
  <c r="H1242" i="23"/>
  <c r="H1232" i="23"/>
  <c r="H1266" i="23"/>
  <c r="H1298" i="23"/>
  <c r="H1290" i="23"/>
  <c r="H1299" i="23"/>
  <c r="H1287" i="23"/>
  <c r="H1338" i="23"/>
  <c r="H1341" i="23"/>
  <c r="H1339" i="23"/>
  <c r="H1323" i="23"/>
  <c r="H1400" i="23"/>
  <c r="H1478" i="23"/>
  <c r="H1474" i="23"/>
  <c r="H1440" i="23"/>
  <c r="H1513" i="23"/>
  <c r="H1412" i="23"/>
  <c r="H1472" i="23"/>
  <c r="H1406" i="23"/>
  <c r="H1424" i="23"/>
  <c r="H1488" i="23"/>
  <c r="H1433" i="23"/>
  <c r="H1465" i="23"/>
  <c r="H1429" i="23"/>
  <c r="H1439" i="23"/>
  <c r="H1438" i="23"/>
  <c r="H1503" i="23"/>
  <c r="H1458" i="23"/>
  <c r="H1509" i="23"/>
  <c r="H1417" i="23"/>
  <c r="H1480" i="23"/>
  <c r="H1481" i="23"/>
  <c r="H1477" i="23"/>
  <c r="H1443" i="23"/>
  <c r="H1462" i="23"/>
  <c r="H1407" i="23"/>
  <c r="H1468" i="23"/>
  <c r="H1471" i="23"/>
  <c r="H1485" i="23"/>
  <c r="H1445" i="23"/>
  <c r="H1423" i="23"/>
  <c r="H1457" i="23"/>
  <c r="H1436" i="23"/>
  <c r="H1489" i="23"/>
  <c r="H1410" i="23"/>
  <c r="H1422" i="23"/>
  <c r="H1476" i="23"/>
  <c r="H1435" i="23"/>
  <c r="H1482" i="23"/>
  <c r="H1492" i="23"/>
  <c r="H1511" i="23"/>
  <c r="H1419" i="23"/>
  <c r="H1430" i="23"/>
  <c r="H1437" i="23"/>
  <c r="H1405" i="23"/>
  <c r="H1484" i="23"/>
  <c r="H1442" i="23"/>
  <c r="H1379" i="23"/>
  <c r="H1461" i="23"/>
  <c r="H1479" i="23"/>
  <c r="H1494" i="23"/>
  <c r="H1520" i="23"/>
  <c r="H1464" i="23"/>
  <c r="H66" i="23"/>
  <c r="H72" i="23"/>
  <c r="H89" i="23"/>
  <c r="H80" i="23"/>
  <c r="H70" i="23"/>
  <c r="H73" i="23"/>
  <c r="H118" i="23"/>
  <c r="H107" i="23"/>
  <c r="H115" i="23"/>
  <c r="H174" i="23"/>
  <c r="H175" i="23"/>
  <c r="H183" i="23"/>
  <c r="H230" i="23"/>
  <c r="H233" i="23"/>
  <c r="H220" i="23"/>
  <c r="H239" i="23"/>
  <c r="H275" i="23"/>
  <c r="H289" i="23"/>
  <c r="H278" i="23"/>
  <c r="H352" i="23"/>
  <c r="H351" i="23"/>
  <c r="H403" i="23"/>
  <c r="H419" i="23"/>
  <c r="H379" i="23"/>
  <c r="H470" i="23"/>
  <c r="H463" i="23"/>
  <c r="H512" i="23"/>
  <c r="H516" i="23"/>
  <c r="H515" i="23"/>
  <c r="H567" i="23"/>
  <c r="H577" i="23"/>
  <c r="H560" i="23"/>
  <c r="H563" i="23"/>
  <c r="H615" i="23"/>
  <c r="H641" i="23"/>
  <c r="H627" i="23"/>
  <c r="H682" i="23"/>
  <c r="H659" i="23"/>
  <c r="H692" i="23"/>
  <c r="H686" i="23"/>
  <c r="H677" i="23"/>
  <c r="H741" i="23"/>
  <c r="H723" i="23"/>
  <c r="H745" i="23"/>
  <c r="H797" i="23"/>
  <c r="H789" i="23"/>
  <c r="H806" i="23"/>
  <c r="H796" i="23"/>
  <c r="H793" i="23"/>
  <c r="H835" i="23"/>
  <c r="H852" i="23"/>
  <c r="H848" i="23"/>
  <c r="H855" i="23"/>
  <c r="H961" i="23"/>
  <c r="H964" i="23"/>
  <c r="H967" i="23"/>
  <c r="H971" i="23"/>
  <c r="H71" i="23"/>
  <c r="H65" i="23"/>
  <c r="H68" i="23"/>
  <c r="H121" i="23"/>
  <c r="H129" i="23"/>
  <c r="H131" i="23"/>
  <c r="H185" i="23"/>
  <c r="H194" i="23"/>
  <c r="H164" i="23"/>
  <c r="H186" i="23"/>
  <c r="H195" i="23"/>
  <c r="H236" i="23"/>
  <c r="H241" i="23"/>
  <c r="H235" i="23"/>
  <c r="H295" i="23"/>
  <c r="H279" i="23"/>
  <c r="H288" i="23"/>
  <c r="H356" i="23"/>
  <c r="H349" i="23"/>
  <c r="H414" i="23"/>
  <c r="H400" i="23"/>
  <c r="H421" i="23"/>
  <c r="H407" i="23"/>
  <c r="H410" i="23"/>
  <c r="H458" i="23"/>
  <c r="H468" i="23"/>
  <c r="H444" i="23"/>
  <c r="H511" i="23"/>
  <c r="H525" i="23"/>
  <c r="H536" i="23"/>
  <c r="H587" i="23"/>
  <c r="H579" i="23"/>
  <c r="H574" i="23"/>
  <c r="H626" i="23"/>
  <c r="H644" i="23"/>
  <c r="H635" i="23"/>
  <c r="H656" i="23"/>
  <c r="H731" i="23"/>
  <c r="H752" i="23"/>
  <c r="H753" i="23"/>
  <c r="H758" i="23"/>
  <c r="H807" i="23"/>
  <c r="H786" i="23"/>
  <c r="H792" i="23"/>
  <c r="H853" i="23"/>
  <c r="H844" i="23"/>
  <c r="H907" i="23"/>
  <c r="H903" i="23"/>
  <c r="H934" i="23"/>
  <c r="H927" i="23"/>
  <c r="H979" i="23"/>
  <c r="H976" i="23"/>
  <c r="H1007" i="23"/>
  <c r="H1010" i="23"/>
  <c r="H1019" i="23"/>
  <c r="H997" i="23"/>
  <c r="H1072" i="23"/>
  <c r="H1070" i="23"/>
  <c r="H1065" i="23"/>
  <c r="H1059" i="23"/>
  <c r="H1197" i="23"/>
  <c r="H1188" i="23"/>
  <c r="H1175" i="23"/>
  <c r="H1240" i="23"/>
  <c r="H1239" i="23"/>
  <c r="H1282" i="23"/>
  <c r="H1304" i="23"/>
  <c r="H1305" i="23"/>
  <c r="H1358" i="23"/>
  <c r="H1334" i="23"/>
  <c r="H1350" i="23"/>
  <c r="H1344" i="23"/>
  <c r="H1490" i="23"/>
  <c r="H1508" i="23"/>
  <c r="H1496" i="23"/>
  <c r="H1515" i="23"/>
  <c r="H1507" i="23"/>
  <c r="D61" i="4"/>
  <c r="L9" i="12"/>
  <c r="L19" i="12"/>
  <c r="L29" i="12"/>
  <c r="L20" i="23"/>
  <c r="L27" i="12"/>
  <c r="L31" i="12"/>
  <c r="L42" i="23"/>
  <c r="L30" i="23"/>
  <c r="L44" i="23"/>
  <c r="L23" i="23"/>
  <c r="L25" i="12"/>
  <c r="L19" i="23"/>
  <c r="L27" i="23"/>
  <c r="L3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132" i="2"/>
  <c r="A132" i="2" s="1"/>
  <c r="C132" i="2" s="1"/>
  <c r="E442" i="2"/>
  <c r="A442" i="2" s="1"/>
  <c r="C442" i="2" s="1"/>
  <c r="E227" i="2"/>
  <c r="A227" i="2" s="1"/>
  <c r="C227" i="2" s="1"/>
  <c r="E349" i="2"/>
  <c r="A349" i="2" s="1"/>
  <c r="C349" i="2" s="1"/>
  <c r="E594" i="2"/>
  <c r="A594" i="2" s="1"/>
  <c r="C594" i="2" s="1"/>
  <c r="E405" i="2"/>
  <c r="A405" i="2" s="1"/>
  <c r="C405" i="2" s="1"/>
  <c r="E659" i="2"/>
  <c r="A659" i="2" s="1"/>
  <c r="C659" i="2" s="1"/>
  <c r="E260" i="2"/>
  <c r="A260" i="2" s="1"/>
  <c r="C260" i="2" s="1"/>
  <c r="E482" i="2"/>
  <c r="A482" i="2" s="1"/>
  <c r="C482" i="2" s="1"/>
  <c r="E633" i="2"/>
  <c r="A633" i="2" s="1"/>
  <c r="C633" i="2" s="1"/>
  <c r="E643" i="2"/>
  <c r="A643" i="2" s="1"/>
  <c r="C643" i="2" s="1"/>
  <c r="E396" i="2"/>
  <c r="A396" i="2" s="1"/>
  <c r="C396" i="2" s="1"/>
  <c r="E123" i="2"/>
  <c r="A123" i="2" s="1"/>
  <c r="C123" i="2" s="1"/>
  <c r="E312" i="2"/>
  <c r="A312" i="2" s="1"/>
  <c r="C312" i="2" s="1"/>
  <c r="E149" i="2"/>
  <c r="A149" i="2" s="1"/>
  <c r="C149" i="2" s="1"/>
  <c r="E526" i="2"/>
  <c r="A526" i="2" s="1"/>
  <c r="C526" i="2" s="1"/>
  <c r="E673" i="2"/>
  <c r="A673" i="2" s="1"/>
  <c r="C673" i="2" s="1"/>
  <c r="E185" i="2"/>
  <c r="A185" i="2" s="1"/>
  <c r="C185" i="2" s="1"/>
  <c r="E372" i="2"/>
  <c r="A372" i="2" s="1"/>
  <c r="C372" i="2" s="1"/>
  <c r="E713" i="2"/>
  <c r="A713" i="2" s="1"/>
  <c r="C713" i="2" s="1"/>
  <c r="E375" i="2"/>
  <c r="A375" i="2" s="1"/>
  <c r="C375" i="2" s="1"/>
  <c r="E748" i="2"/>
  <c r="A748" i="2" s="1"/>
  <c r="C748" i="2" s="1"/>
  <c r="E653" i="2"/>
  <c r="A653" i="2" s="1"/>
  <c r="C653" i="2" s="1"/>
  <c r="E250" i="2"/>
  <c r="A250" i="2" s="1"/>
  <c r="C250" i="2" s="1"/>
  <c r="E221" i="2"/>
  <c r="A221" i="2" s="1"/>
  <c r="C221" i="2" s="1"/>
  <c r="E612" i="2"/>
  <c r="A612" i="2" s="1"/>
  <c r="C612" i="2" s="1"/>
  <c r="E270" i="2"/>
  <c r="A270" i="2" s="1"/>
  <c r="C270" i="2" s="1"/>
  <c r="E721" i="2"/>
  <c r="A721" i="2" s="1"/>
  <c r="C721" i="2" s="1"/>
  <c r="E238" i="2"/>
  <c r="A238" i="2" s="1"/>
  <c r="C238" i="2" s="1"/>
  <c r="E29" i="2"/>
  <c r="A29" i="2" s="1"/>
  <c r="C29" i="2" s="1"/>
  <c r="E128" i="2"/>
  <c r="A128" i="2" s="1"/>
  <c r="C128" i="2" s="1"/>
  <c r="E439" i="2"/>
  <c r="A439" i="2" s="1"/>
  <c r="C439" i="2" s="1"/>
  <c r="E381" i="2"/>
  <c r="A381" i="2" s="1"/>
  <c r="C381" i="2" s="1"/>
  <c r="E133" i="2"/>
  <c r="A133" i="2" s="1"/>
  <c r="C133" i="2" s="1"/>
  <c r="E68" i="2"/>
  <c r="A68" i="2" s="1"/>
  <c r="C68" i="2" s="1"/>
  <c r="E376" i="2"/>
  <c r="A376" i="2" s="1"/>
  <c r="C376" i="2" s="1"/>
  <c r="E507" i="2"/>
  <c r="A507" i="2" s="1"/>
  <c r="C507" i="2" s="1"/>
  <c r="E36" i="2"/>
  <c r="A36" i="2" s="1"/>
  <c r="C36" i="2" s="1"/>
  <c r="E661" i="2"/>
  <c r="A661" i="2" s="1"/>
  <c r="C661" i="2" s="1"/>
  <c r="E556" i="2"/>
  <c r="A556" i="2" s="1"/>
  <c r="C556" i="2" s="1"/>
  <c r="E164" i="2"/>
  <c r="A164" i="2" s="1"/>
  <c r="C164" i="2" s="1"/>
  <c r="E732" i="2"/>
  <c r="A732" i="2" s="1"/>
  <c r="C732" i="2" s="1"/>
  <c r="E99" i="2"/>
  <c r="A99" i="2" s="1"/>
  <c r="C99" i="2" s="1"/>
  <c r="E506" i="2"/>
  <c r="A506" i="2" s="1"/>
  <c r="C506" i="2" s="1"/>
  <c r="E670" i="2"/>
  <c r="A670" i="2" s="1"/>
  <c r="C670" i="2" s="1"/>
  <c r="E182" i="2"/>
  <c r="A182" i="2" s="1"/>
  <c r="C182" i="2" s="1"/>
  <c r="E753" i="2"/>
  <c r="A753" i="2" s="1"/>
  <c r="C753" i="2" s="1"/>
  <c r="E544" i="2"/>
  <c r="A544" i="2" s="1"/>
  <c r="C544" i="2" s="1"/>
  <c r="E577" i="2"/>
  <c r="A577" i="2" s="1"/>
  <c r="C577" i="2" s="1"/>
  <c r="E475" i="2"/>
  <c r="A475" i="2" s="1"/>
  <c r="C475" i="2" s="1"/>
  <c r="E301" i="2"/>
  <c r="A301" i="2" s="1"/>
  <c r="C301" i="2" s="1"/>
  <c r="E119" i="2"/>
  <c r="A119" i="2" s="1"/>
  <c r="E25" i="2"/>
  <c r="A25" i="2" s="1"/>
  <c r="E19" i="2"/>
  <c r="A19" i="2" s="1"/>
  <c r="E118" i="2"/>
  <c r="A118" i="2" s="1"/>
  <c r="E299" i="2"/>
  <c r="A299" i="2" s="1"/>
  <c r="E380" i="2"/>
  <c r="A380" i="2" s="1"/>
  <c r="E527" i="2"/>
  <c r="A527" i="2" s="1"/>
  <c r="E468" i="2"/>
  <c r="A468" i="2" s="1"/>
  <c r="E371" i="2"/>
  <c r="A371" i="2" s="1"/>
  <c r="E682" i="2"/>
  <c r="A682" i="2" s="1"/>
  <c r="E705" i="2"/>
  <c r="A705" i="2" s="1"/>
  <c r="E719" i="2"/>
  <c r="A719" i="2" s="1"/>
  <c r="E289" i="2"/>
  <c r="A289" i="2" s="1"/>
  <c r="E691" i="2"/>
  <c r="A691" i="2" s="1"/>
  <c r="E283" i="2"/>
  <c r="A283" i="2" s="1"/>
  <c r="E658" i="2"/>
  <c r="A658" i="2" s="1"/>
  <c r="E279" i="2"/>
  <c r="A279" i="2" s="1"/>
  <c r="E338" i="2"/>
  <c r="A338" i="2" s="1"/>
  <c r="E650" i="2"/>
  <c r="A650" i="2" s="1"/>
  <c r="E44" i="2"/>
  <c r="A44" i="2" s="1"/>
  <c r="E101" i="2"/>
  <c r="A101" i="2" s="1"/>
  <c r="E520" i="2"/>
  <c r="A520" i="2" s="1"/>
  <c r="E575" i="2"/>
  <c r="A575" i="2" s="1"/>
  <c r="E167" i="2"/>
  <c r="A167" i="2" s="1"/>
  <c r="E60" i="2"/>
  <c r="A60" i="2" s="1"/>
  <c r="E570" i="2"/>
  <c r="A570" i="2" s="1"/>
  <c r="E548" i="2"/>
  <c r="A548" i="2" s="1"/>
  <c r="E619" i="2"/>
  <c r="A619" i="2" s="1"/>
  <c r="E503" i="2"/>
  <c r="A503" i="2" s="1"/>
  <c r="E433" i="2"/>
  <c r="A433" i="2" s="1"/>
  <c r="E151" i="2"/>
  <c r="E508" i="2"/>
  <c r="A508" i="2" s="1"/>
  <c r="E236" i="2"/>
  <c r="A236" i="2" s="1"/>
  <c r="E744" i="2"/>
  <c r="A744" i="2" s="1"/>
  <c r="E142" i="2"/>
  <c r="A142" i="2" s="1"/>
  <c r="E747" i="2"/>
  <c r="A747" i="2" s="1"/>
  <c r="E190" i="2"/>
  <c r="A190" i="2" s="1"/>
  <c r="E218" i="2"/>
  <c r="A218" i="2" s="1"/>
  <c r="E226" i="2"/>
  <c r="E730" i="2"/>
  <c r="A730" i="2" s="1"/>
  <c r="E742" i="2"/>
  <c r="A742" i="2" s="1"/>
  <c r="E665" i="2"/>
  <c r="A665" i="2" s="1"/>
  <c r="E733" i="2"/>
  <c r="A733" i="2" s="1"/>
  <c r="E539" i="2"/>
  <c r="A539" i="2" s="1"/>
  <c r="E261" i="2"/>
  <c r="A261" i="2" s="1"/>
  <c r="E589" i="2"/>
  <c r="A589" i="2" s="1"/>
  <c r="E337" i="2"/>
  <c r="A337" i="2" s="1"/>
  <c r="E286" i="2"/>
  <c r="A286" i="2" s="1"/>
  <c r="E319" i="2"/>
  <c r="A319" i="2" s="1"/>
  <c r="E74" i="2"/>
  <c r="A74" i="2" s="1"/>
  <c r="E521" i="2"/>
  <c r="A521" i="2" s="1"/>
  <c r="E255" i="2"/>
  <c r="A255" i="2" s="1"/>
  <c r="E648" i="2"/>
  <c r="A648" i="2" s="1"/>
  <c r="E416" i="2"/>
  <c r="A416" i="2" s="1"/>
  <c r="E534" i="2"/>
  <c r="E111" i="2"/>
  <c r="A111" i="2" s="1"/>
  <c r="E112" i="2"/>
  <c r="A112" i="2" s="1"/>
  <c r="E596" i="2"/>
  <c r="A596" i="2" s="1"/>
  <c r="E554" i="2"/>
  <c r="A554" i="2" s="1"/>
  <c r="E569" i="2"/>
  <c r="A569" i="2" s="1"/>
  <c r="E197" i="2"/>
  <c r="A197" i="2" s="1"/>
  <c r="E212" i="2"/>
  <c r="A212" i="2" s="1"/>
  <c r="E262" i="2"/>
  <c r="A262" i="2" s="1"/>
  <c r="E108" i="2"/>
  <c r="A108" i="2" s="1"/>
  <c r="E448" i="2"/>
  <c r="A448" i="2" s="1"/>
  <c r="E532" i="2"/>
  <c r="A532" i="2" s="1"/>
  <c r="E510" i="2"/>
  <c r="A510" i="2" s="1"/>
  <c r="E78" i="2"/>
  <c r="A78" i="2" s="1"/>
  <c r="E724" i="2"/>
  <c r="A724" i="2" s="1"/>
  <c r="E750" i="2"/>
  <c r="A750" i="2" s="1"/>
  <c r="E66" i="2"/>
  <c r="A66" i="2" s="1"/>
  <c r="E336" i="2"/>
  <c r="A336" i="2" s="1"/>
  <c r="E426" i="2"/>
  <c r="A426" i="2" s="1"/>
  <c r="E617" i="2"/>
  <c r="A617" i="2" s="1"/>
  <c r="E756" i="2"/>
  <c r="A756" i="2" s="1"/>
  <c r="E605" i="2"/>
  <c r="A605" i="2" s="1"/>
  <c r="E89" i="2"/>
  <c r="A89" i="2" s="1"/>
  <c r="E557" i="2"/>
  <c r="A557" i="2" s="1"/>
  <c r="E601" i="2"/>
  <c r="A601" i="2" s="1"/>
  <c r="E311" i="2"/>
  <c r="A311" i="2" s="1"/>
  <c r="E637" i="2"/>
  <c r="A637" i="2" s="1"/>
  <c r="E239" i="2"/>
  <c r="A239" i="2" s="1"/>
  <c r="E593" i="2"/>
  <c r="A593" i="2" s="1"/>
  <c r="E232" i="2"/>
  <c r="A232" i="2" s="1"/>
  <c r="E57" i="2"/>
  <c r="A57" i="2" s="1"/>
  <c r="E267" i="2"/>
  <c r="A267" i="2" s="1"/>
  <c r="E657" i="2"/>
  <c r="A657" i="2" s="1"/>
  <c r="E273" i="2"/>
  <c r="A273" i="2" s="1"/>
  <c r="E41" i="2"/>
  <c r="A41" i="2" s="1"/>
  <c r="E394" i="2"/>
  <c r="A394" i="2" s="1"/>
  <c r="E113" i="2"/>
  <c r="A113" i="2" s="1"/>
  <c r="E429" i="2"/>
  <c r="A429" i="2" s="1"/>
  <c r="E699" i="2"/>
  <c r="A699" i="2" s="1"/>
  <c r="E369" i="2"/>
  <c r="A369" i="2" s="1"/>
  <c r="E207" i="2"/>
  <c r="A207" i="2" s="1"/>
  <c r="E34" i="2"/>
  <c r="A34" i="2" s="1"/>
  <c r="E298" i="2"/>
  <c r="A298" i="2" s="1"/>
  <c r="E390" i="2"/>
  <c r="A390" i="2" s="1"/>
  <c r="E24" i="2"/>
  <c r="A24" i="2" s="1"/>
  <c r="E588" i="2"/>
  <c r="A588" i="2" s="1"/>
  <c r="E194" i="2"/>
  <c r="A194" i="2" s="1"/>
  <c r="E277" i="2"/>
  <c r="A277" i="2" s="1"/>
  <c r="E172" i="2"/>
  <c r="A172" i="2" s="1"/>
  <c r="E271" i="2"/>
  <c r="A271" i="2" s="1"/>
  <c r="E420" i="2"/>
  <c r="A420" i="2" s="1"/>
  <c r="E681" i="2"/>
  <c r="A681" i="2" s="1"/>
  <c r="E680" i="2"/>
  <c r="A680" i="2" s="1"/>
  <c r="E531" i="2"/>
  <c r="A531" i="2" s="1"/>
  <c r="E585" i="2"/>
  <c r="A585" i="2" s="1"/>
  <c r="E714" i="2"/>
  <c r="A714" i="2" s="1"/>
  <c r="E334" i="2"/>
  <c r="A334" i="2" s="1"/>
  <c r="E720" i="2"/>
  <c r="A720" i="2" s="1"/>
  <c r="E40" i="2"/>
  <c r="A40" i="2" s="1"/>
  <c r="E377" i="2"/>
  <c r="A377" i="2" s="1"/>
  <c r="E348" i="2"/>
  <c r="A348" i="2" s="1"/>
  <c r="E717" i="2"/>
  <c r="A717" i="2" s="1"/>
  <c r="E43" i="2"/>
  <c r="A43" i="2" s="1"/>
  <c r="E728" i="2"/>
  <c r="A728" i="2" s="1"/>
  <c r="E592" i="2"/>
  <c r="A592" i="2" s="1"/>
  <c r="E672" i="2"/>
  <c r="A672" i="2" s="1"/>
  <c r="E117" i="2"/>
  <c r="A117" i="2" s="1"/>
  <c r="E441" i="2"/>
  <c r="A441" i="2" s="1"/>
  <c r="E280" i="2"/>
  <c r="A280" i="2" s="1"/>
  <c r="E685" i="2"/>
  <c r="A685" i="2" s="1"/>
  <c r="E129" i="2"/>
  <c r="A129" i="2" s="1"/>
  <c r="E10" i="2"/>
  <c r="A10" i="2" s="1"/>
  <c r="E13" i="2"/>
  <c r="A13" i="2" s="1"/>
  <c r="E639" i="2"/>
  <c r="A639" i="2" s="1"/>
  <c r="E640" i="2"/>
  <c r="A640" i="2" s="1"/>
  <c r="E445" i="2"/>
  <c r="A445" i="2" s="1"/>
  <c r="E214" i="2"/>
  <c r="A214" i="2" s="1"/>
  <c r="E105" i="2"/>
  <c r="A105" i="2" s="1"/>
  <c r="E424" i="2"/>
  <c r="A424" i="2" s="1"/>
  <c r="E477" i="2"/>
  <c r="A477" i="2" s="1"/>
  <c r="E150" i="2"/>
  <c r="E684" i="2"/>
  <c r="A684" i="2" s="1"/>
  <c r="E430" i="2"/>
  <c r="A430" i="2" s="1"/>
  <c r="E383" i="2"/>
  <c r="A383" i="2" s="1"/>
  <c r="E122" i="2"/>
  <c r="A122" i="2" s="1"/>
  <c r="E2" i="2"/>
  <c r="A2" i="2" s="1"/>
  <c r="E550" i="2"/>
  <c r="A550" i="2" s="1"/>
  <c r="E240" i="2"/>
  <c r="A240" i="2" s="1"/>
  <c r="E647" i="2"/>
  <c r="E114" i="2"/>
  <c r="A114" i="2" s="1"/>
  <c r="E274" i="2"/>
  <c r="A274" i="2" s="1"/>
  <c r="E346" i="2"/>
  <c r="A346" i="2" s="1"/>
  <c r="E187" i="2"/>
  <c r="A187" i="2" s="1"/>
  <c r="E342" i="2"/>
  <c r="A342" i="2" s="1"/>
  <c r="E292" i="2"/>
  <c r="A292" i="2" s="1"/>
  <c r="E359" i="2"/>
  <c r="A359" i="2" s="1"/>
  <c r="E408" i="2"/>
  <c r="E143" i="2"/>
  <c r="A143" i="2" s="1"/>
  <c r="E328" i="2"/>
  <c r="A328" i="2" s="1"/>
  <c r="E290" i="2"/>
  <c r="A290" i="2" s="1"/>
  <c r="E98" i="2"/>
  <c r="A98" i="2" s="1"/>
  <c r="E220" i="2"/>
  <c r="A220" i="2" s="1"/>
  <c r="E516" i="2"/>
  <c r="A516" i="2" s="1"/>
  <c r="E602" i="2"/>
  <c r="A602" i="2" s="1"/>
  <c r="E293" i="2"/>
  <c r="E186" i="2"/>
  <c r="A186" i="2" s="1"/>
  <c r="E120" i="2"/>
  <c r="A120" i="2" s="1"/>
  <c r="E567" i="2"/>
  <c r="A567" i="2" s="1"/>
  <c r="E215" i="2"/>
  <c r="A215" i="2" s="1"/>
  <c r="E486" i="2"/>
  <c r="A486" i="2" s="1"/>
  <c r="E597" i="2"/>
  <c r="A597" i="2" s="1"/>
  <c r="E208" i="2"/>
  <c r="A208" i="2" s="1"/>
  <c r="C208" i="2" s="1"/>
  <c r="E285" i="2"/>
  <c r="A285" i="2" s="1"/>
  <c r="E432" i="2"/>
  <c r="A432" i="2" s="1"/>
  <c r="E325" i="2"/>
  <c r="A325" i="2" s="1"/>
  <c r="E148" i="2"/>
  <c r="A148" i="2" s="1"/>
  <c r="E708" i="2"/>
  <c r="A708" i="2" s="1"/>
  <c r="E760" i="2"/>
  <c r="A760" i="2" s="1"/>
  <c r="E700" i="2"/>
  <c r="A700" i="2" s="1"/>
  <c r="E745" i="2"/>
  <c r="A745" i="2" s="1"/>
  <c r="E410" i="2"/>
  <c r="E541" i="2"/>
  <c r="A541" i="2" s="1"/>
  <c r="E200" i="2"/>
  <c r="A200" i="2" s="1"/>
  <c r="E318" i="2"/>
  <c r="A318" i="2" s="1"/>
  <c r="E523" i="2"/>
  <c r="A523" i="2" s="1"/>
  <c r="E385" i="2"/>
  <c r="A385" i="2" s="1"/>
  <c r="E562" i="2"/>
  <c r="A562" i="2" s="1"/>
  <c r="E177" i="2"/>
  <c r="A177" i="2" s="1"/>
  <c r="E139" i="2"/>
  <c r="E217" i="2"/>
  <c r="A217" i="2" s="1"/>
  <c r="E622" i="2"/>
  <c r="A622" i="2" s="1"/>
  <c r="E352" i="2"/>
  <c r="A352" i="2" s="1"/>
  <c r="E374" i="2"/>
  <c r="A374" i="2" s="1"/>
  <c r="E384" i="2"/>
  <c r="A384" i="2" s="1"/>
  <c r="E636" i="2"/>
  <c r="A636" i="2" s="1"/>
  <c r="E701" i="2"/>
  <c r="A701" i="2" s="1"/>
  <c r="E386" i="2"/>
  <c r="A386" i="2" s="1"/>
  <c r="E727" i="2"/>
  <c r="A727" i="2" s="1"/>
  <c r="E235" i="2"/>
  <c r="A235" i="2" s="1"/>
  <c r="E268" i="2"/>
  <c r="A268" i="2" s="1"/>
  <c r="E649" i="2"/>
  <c r="A649" i="2" s="1"/>
  <c r="E23" i="2"/>
  <c r="A23" i="2" s="1"/>
  <c r="E243" i="2"/>
  <c r="A243" i="2" s="1"/>
  <c r="E496" i="2"/>
  <c r="A496" i="2" s="1"/>
  <c r="E31" i="2"/>
  <c r="A31" i="2" s="1"/>
  <c r="E662" i="2"/>
  <c r="A662" i="2" s="1"/>
  <c r="E294" i="2"/>
  <c r="A294" i="2" s="1"/>
  <c r="E524" i="2"/>
  <c r="A524" i="2" s="1"/>
  <c r="E308" i="2"/>
  <c r="A308" i="2" s="1"/>
  <c r="E358" i="2"/>
  <c r="A358" i="2" s="1"/>
  <c r="E183" i="2"/>
  <c r="A183" i="2" s="1"/>
  <c r="E225" i="2"/>
  <c r="A225" i="2" s="1"/>
  <c r="E365" i="2"/>
  <c r="E231" i="2"/>
  <c r="A231" i="2" s="1"/>
  <c r="E174" i="2"/>
  <c r="A174" i="2" s="1"/>
  <c r="E252" i="2"/>
  <c r="A252" i="2" s="1"/>
  <c r="E363" i="2"/>
  <c r="A363" i="2" s="1"/>
  <c r="E362" i="2"/>
  <c r="A362" i="2" s="1"/>
  <c r="E237" i="2"/>
  <c r="A237" i="2" s="1"/>
  <c r="E399" i="2"/>
  <c r="A399" i="2" s="1"/>
  <c r="E540" i="2"/>
  <c r="E81" i="2"/>
  <c r="A81" i="2" s="1"/>
  <c r="E558" i="2"/>
  <c r="A558" i="2" s="1"/>
  <c r="E94" i="2"/>
  <c r="A94" i="2" s="1"/>
  <c r="E533" i="2"/>
  <c r="A533" i="2" s="1"/>
  <c r="E147" i="2"/>
  <c r="A147" i="2" s="1"/>
  <c r="E595" i="2"/>
  <c r="A595" i="2" s="1"/>
  <c r="E184" i="2"/>
  <c r="A184" i="2" s="1"/>
  <c r="E476" i="2"/>
  <c r="E514" i="2"/>
  <c r="A514" i="2" s="1"/>
  <c r="E444" i="2"/>
  <c r="A444" i="2" s="1"/>
  <c r="E505" i="2"/>
  <c r="A505" i="2" s="1"/>
  <c r="E618" i="2"/>
  <c r="A618" i="2" s="1"/>
  <c r="E77" i="2"/>
  <c r="A77" i="2" s="1"/>
  <c r="E314" i="2"/>
  <c r="A314" i="2" s="1"/>
  <c r="E76" i="2"/>
  <c r="A76" i="2" s="1"/>
  <c r="E282" i="2"/>
  <c r="A282" i="2" s="1"/>
  <c r="E586" i="2"/>
  <c r="A586" i="2" s="1"/>
  <c r="E345" i="2"/>
  <c r="A345" i="2" s="1"/>
  <c r="E711" i="2"/>
  <c r="A711" i="2" s="1"/>
  <c r="E124" i="2"/>
  <c r="A124" i="2" s="1"/>
  <c r="E154" i="2"/>
  <c r="A154" i="2" s="1"/>
  <c r="E517" i="2"/>
  <c r="A517" i="2" s="1"/>
  <c r="E414" i="2"/>
  <c r="A414" i="2" s="1"/>
  <c r="E265" i="2"/>
  <c r="A265" i="2" s="1"/>
  <c r="E729" i="2"/>
  <c r="A729" i="2" s="1"/>
  <c r="E331" i="2"/>
  <c r="A331" i="2" s="1"/>
  <c r="E398" i="2"/>
  <c r="A398" i="2" s="1"/>
  <c r="E171" i="2"/>
  <c r="A171" i="2" s="1"/>
  <c r="E12" i="2"/>
  <c r="A12" i="2" s="1"/>
  <c r="E528" i="2"/>
  <c r="A528" i="2" s="1"/>
  <c r="E322" i="2"/>
  <c r="A322" i="2" s="1"/>
  <c r="E169" i="2"/>
  <c r="A169" i="2" s="1"/>
  <c r="E85" i="2"/>
  <c r="A85" i="2" s="1"/>
  <c r="E703" i="2"/>
  <c r="A703" i="2" s="1"/>
  <c r="E245" i="2"/>
  <c r="A245" i="2" s="1"/>
  <c r="E32" i="2"/>
  <c r="A32" i="2" s="1"/>
  <c r="E454" i="2"/>
  <c r="A454" i="2" s="1"/>
  <c r="E340" i="2"/>
  <c r="A340" i="2" s="1"/>
  <c r="E193" i="2"/>
  <c r="A193" i="2" s="1"/>
  <c r="E646" i="2"/>
  <c r="A646" i="2" s="1"/>
  <c r="E300" i="2"/>
  <c r="A300" i="2" s="1"/>
  <c r="E535" i="2"/>
  <c r="A535" i="2" s="1"/>
  <c r="E632" i="2"/>
  <c r="A632" i="2" s="1"/>
  <c r="E170" i="2"/>
  <c r="A170" i="2" s="1"/>
  <c r="E464" i="2"/>
  <c r="A464" i="2" s="1"/>
  <c r="E572" i="2"/>
  <c r="A572" i="2" s="1"/>
  <c r="E660" i="2"/>
  <c r="A660" i="2" s="1"/>
  <c r="E692" i="2"/>
  <c r="A692" i="2" s="1"/>
  <c r="E487" i="2"/>
  <c r="A487" i="2" s="1"/>
  <c r="E706" i="2"/>
  <c r="A706" i="2" s="1"/>
  <c r="E481" i="2"/>
  <c r="A481" i="2" s="1"/>
  <c r="E58" i="2"/>
  <c r="A58" i="2" s="1"/>
  <c r="E344" i="2"/>
  <c r="A344" i="2" s="1"/>
  <c r="E80" i="2"/>
  <c r="A80" i="2" s="1"/>
  <c r="E62" i="2"/>
  <c r="A62" i="2" s="1"/>
  <c r="E209" i="2"/>
  <c r="E751" i="2"/>
  <c r="A751" i="2" s="1"/>
  <c r="E571" i="2"/>
  <c r="A571" i="2" s="1"/>
  <c r="E382" i="2"/>
  <c r="A382" i="2" s="1"/>
  <c r="E652" i="2"/>
  <c r="A652" i="2" s="1"/>
  <c r="E504" i="2"/>
  <c r="A504" i="2" s="1"/>
  <c r="E45" i="2"/>
  <c r="A45" i="2" s="1"/>
  <c r="E480" i="2"/>
  <c r="A480" i="2" s="1"/>
  <c r="E332" i="2"/>
  <c r="E615" i="2"/>
  <c r="A615" i="2" s="1"/>
  <c r="E223" i="2"/>
  <c r="A223" i="2" s="1"/>
  <c r="E704" i="2"/>
  <c r="A704" i="2" s="1"/>
  <c r="E37" i="2"/>
  <c r="A37" i="2" s="1"/>
  <c r="E222" i="2"/>
  <c r="A222" i="2" s="1"/>
  <c r="E644" i="2"/>
  <c r="A644" i="2" s="1"/>
  <c r="E676" i="2"/>
  <c r="A676" i="2" s="1"/>
  <c r="E458" i="2"/>
  <c r="A458" i="2" s="1"/>
  <c r="E693" i="2"/>
  <c r="A693" i="2" s="1"/>
  <c r="E109" i="2"/>
  <c r="A109" i="2" s="1"/>
  <c r="E488" i="2"/>
  <c r="A488" i="2" s="1"/>
  <c r="E559" i="2"/>
  <c r="A559" i="2" s="1"/>
  <c r="E295" i="2"/>
  <c r="A295" i="2" s="1"/>
  <c r="E91" i="2"/>
  <c r="A91" i="2" s="1"/>
  <c r="E360" i="2"/>
  <c r="A360" i="2" s="1"/>
  <c r="E130" i="2"/>
  <c r="A130" i="2" s="1"/>
  <c r="E196" i="2"/>
  <c r="A196" i="2" s="1"/>
  <c r="E671" i="2"/>
  <c r="A671" i="2" s="1"/>
  <c r="E127" i="2"/>
  <c r="A127" i="2" s="1"/>
  <c r="E228" i="2"/>
  <c r="A228" i="2" s="1"/>
  <c r="E538" i="2"/>
  <c r="A538" i="2" s="1"/>
  <c r="E6" i="2"/>
  <c r="A6" i="2" s="1"/>
  <c r="E110" i="2"/>
  <c r="A110" i="2" s="1"/>
  <c r="E302" i="2"/>
  <c r="A302" i="2" s="1"/>
  <c r="E581" i="2"/>
  <c r="A581" i="2" s="1"/>
  <c r="E407" i="2"/>
  <c r="A407" i="2" s="1"/>
  <c r="E438" i="2"/>
  <c r="A438" i="2" s="1"/>
  <c r="E353" i="2"/>
  <c r="A353" i="2" s="1"/>
  <c r="E472" i="2"/>
  <c r="A472" i="2" s="1"/>
  <c r="E355" i="2"/>
  <c r="A355" i="2" s="1"/>
  <c r="E497" i="2"/>
  <c r="A497" i="2" s="1"/>
  <c r="E53" i="2"/>
  <c r="A53" i="2" s="1"/>
  <c r="E452" i="2"/>
  <c r="A452" i="2" s="1"/>
  <c r="E737" i="2"/>
  <c r="A737" i="2" s="1"/>
  <c r="E406" i="2"/>
  <c r="A406" i="2" s="1"/>
  <c r="E324" i="2"/>
  <c r="A324" i="2" s="1"/>
  <c r="E100" i="2"/>
  <c r="A100" i="2" s="1"/>
  <c r="E625" i="2"/>
  <c r="A625" i="2" s="1"/>
  <c r="E677" i="2"/>
  <c r="A677" i="2" s="1"/>
  <c r="E740" i="2"/>
  <c r="A740" i="2" s="1"/>
  <c r="E79" i="2"/>
  <c r="A79" i="2" s="1"/>
  <c r="E598" i="2"/>
  <c r="A598" i="2" s="1"/>
  <c r="E296" i="2"/>
  <c r="A296" i="2" s="1"/>
  <c r="E83" i="2"/>
  <c r="A83" i="2" s="1"/>
  <c r="E450" i="2"/>
  <c r="A450" i="2" s="1"/>
  <c r="E629" i="2"/>
  <c r="A629" i="2" s="1"/>
  <c r="E758" i="2"/>
  <c r="A758" i="2" s="1"/>
  <c r="E459" i="2"/>
  <c r="A459" i="2" s="1"/>
  <c r="E583" i="2"/>
  <c r="A583" i="2" s="1"/>
  <c r="E738" i="2"/>
  <c r="A738" i="2" s="1"/>
  <c r="E59" i="2"/>
  <c r="A59" i="2" s="1"/>
  <c r="E229" i="2"/>
  <c r="A229" i="2" s="1"/>
  <c r="E96" i="2"/>
  <c r="A96" i="2" s="1"/>
  <c r="E752" i="2"/>
  <c r="A752" i="2" s="1"/>
  <c r="E611" i="2"/>
  <c r="A611" i="2" s="1"/>
  <c r="E160" i="2"/>
  <c r="A160" i="2" s="1"/>
  <c r="E134" i="2"/>
  <c r="A134" i="2" s="1"/>
  <c r="E638" i="2"/>
  <c r="A638" i="2" s="1"/>
  <c r="E201" i="2"/>
  <c r="A201" i="2" s="1"/>
  <c r="E529" i="2"/>
  <c r="A529" i="2" s="1"/>
  <c r="E582" i="2"/>
  <c r="A582" i="2" s="1"/>
  <c r="E600" i="2"/>
  <c r="A600" i="2" s="1"/>
  <c r="E309" i="2"/>
  <c r="A309" i="2" s="1"/>
  <c r="E378" i="2"/>
  <c r="E241" i="2"/>
  <c r="A241" i="2" s="1"/>
  <c r="E155" i="2"/>
  <c r="A155" i="2" s="1"/>
  <c r="E138" i="2"/>
  <c r="A138" i="2" s="1"/>
  <c r="E666" i="2"/>
  <c r="A666" i="2" s="1"/>
  <c r="E718" i="2"/>
  <c r="A718" i="2" s="1"/>
  <c r="E55" i="2"/>
  <c r="A55" i="2" s="1"/>
  <c r="E16" i="2"/>
  <c r="A16" i="2" s="1"/>
  <c r="E725" i="2"/>
  <c r="A725" i="2" s="1"/>
  <c r="E654" i="2"/>
  <c r="A654" i="2" s="1"/>
  <c r="E702" i="2"/>
  <c r="A702" i="2" s="1"/>
  <c r="E323" i="2"/>
  <c r="A323" i="2" s="1"/>
  <c r="E125" i="2"/>
  <c r="A125" i="2" s="1"/>
  <c r="E135" i="2"/>
  <c r="A135" i="2" s="1"/>
  <c r="E626" i="2"/>
  <c r="A626" i="2" s="1"/>
  <c r="E256" i="2"/>
  <c r="A256" i="2" s="1"/>
  <c r="E485" i="2"/>
  <c r="A485" i="2" s="1"/>
  <c r="E166" i="2"/>
  <c r="A166" i="2" s="1"/>
  <c r="E587" i="2"/>
  <c r="A587" i="2" s="1"/>
  <c r="E462" i="2"/>
  <c r="A462" i="2" s="1"/>
  <c r="E15" i="2"/>
  <c r="A15" i="2" s="1"/>
  <c r="E82" i="2"/>
  <c r="A82" i="2" s="1"/>
  <c r="E616" i="2"/>
  <c r="A616" i="2" s="1"/>
  <c r="E417" i="2"/>
  <c r="A417" i="2" s="1"/>
  <c r="E327" i="2"/>
  <c r="A327" i="2" s="1"/>
  <c r="E664" i="2"/>
  <c r="A664" i="2" s="1"/>
  <c r="E412" i="2"/>
  <c r="A412" i="2" s="1"/>
  <c r="E697" i="2"/>
  <c r="A697" i="2" s="1"/>
  <c r="E366" i="2"/>
  <c r="A366" i="2" s="1"/>
  <c r="E542" i="2"/>
  <c r="A542" i="2" s="1"/>
  <c r="E709" i="2"/>
  <c r="A709" i="2" s="1"/>
  <c r="E447" i="2"/>
  <c r="A447" i="2" s="1"/>
  <c r="E498" i="2"/>
  <c r="A498" i="2" s="1"/>
  <c r="E513" i="2"/>
  <c r="A513" i="2" s="1"/>
  <c r="E379" i="2"/>
  <c r="A379" i="2" s="1"/>
  <c r="E306" i="2"/>
  <c r="A306" i="2" s="1"/>
  <c r="E198" i="2"/>
  <c r="A198" i="2" s="1"/>
  <c r="E576" i="2"/>
  <c r="A576" i="2" s="1"/>
  <c r="E564" i="2"/>
  <c r="A564" i="2" s="1"/>
  <c r="E404" i="2"/>
  <c r="A404" i="2" s="1"/>
  <c r="E159" i="2"/>
  <c r="A159" i="2" s="1"/>
  <c r="E242" i="2"/>
  <c r="A242" i="2" s="1"/>
  <c r="E400" i="2"/>
  <c r="A400" i="2" s="1"/>
  <c r="E86" i="2"/>
  <c r="A86" i="2" s="1"/>
  <c r="E387" i="2"/>
  <c r="A387" i="2" s="1"/>
  <c r="E30" i="2"/>
  <c r="A30" i="2" s="1"/>
  <c r="E435" i="2"/>
  <c r="A435" i="2" s="1"/>
  <c r="E761" i="2"/>
  <c r="A761" i="2" s="1"/>
  <c r="E321" i="2"/>
  <c r="A321" i="2" s="1"/>
  <c r="E165" i="2"/>
  <c r="A165" i="2" s="1"/>
  <c r="E216" i="2"/>
  <c r="A216" i="2" s="1"/>
  <c r="E449" i="2"/>
  <c r="A449" i="2" s="1"/>
  <c r="E73" i="2"/>
  <c r="A73" i="2" s="1"/>
  <c r="E276" i="2"/>
  <c r="A276" i="2" s="1"/>
  <c r="E722" i="2"/>
  <c r="A722" i="2" s="1"/>
  <c r="E437" i="2"/>
  <c r="A437" i="2" s="1"/>
  <c r="E47" i="2"/>
  <c r="A47" i="2" s="1"/>
  <c r="E388" i="2"/>
  <c r="A388" i="2" s="1"/>
  <c r="E421" i="2"/>
  <c r="A421" i="2" s="1"/>
  <c r="E146" i="2"/>
  <c r="A146" i="2" s="1"/>
  <c r="E50" i="2"/>
  <c r="A50" i="2" s="1"/>
  <c r="E162" i="2"/>
  <c r="A162" i="2" s="1"/>
  <c r="E546" i="2"/>
  <c r="A546" i="2" s="1"/>
  <c r="E97" i="2"/>
  <c r="A97" i="2" s="1"/>
  <c r="E361" i="2"/>
  <c r="A361" i="2" s="1"/>
  <c r="E281" i="2"/>
  <c r="A281" i="2" s="1"/>
  <c r="E613" i="2"/>
  <c r="A613" i="2" s="1"/>
  <c r="E736" i="2"/>
  <c r="A736" i="2" s="1"/>
  <c r="E141" i="2"/>
  <c r="A141" i="2" s="1"/>
  <c r="E443" i="2"/>
  <c r="A443" i="2" s="1"/>
  <c r="E48" i="2"/>
  <c r="A48" i="2" s="1"/>
  <c r="E251" i="2"/>
  <c r="A251" i="2" s="1"/>
  <c r="E269" i="2"/>
  <c r="A269" i="2" s="1"/>
  <c r="E367" i="2"/>
  <c r="A367" i="2" s="1"/>
  <c r="E234" i="2"/>
  <c r="A234" i="2" s="1"/>
  <c r="E389" i="2"/>
  <c r="A389" i="2" s="1"/>
  <c r="E248" i="2"/>
  <c r="A248" i="2" s="1"/>
  <c r="E28" i="2"/>
  <c r="A28" i="2" s="1"/>
  <c r="E491" i="2"/>
  <c r="A491" i="2" s="1"/>
  <c r="E339" i="2"/>
  <c r="A339" i="2" s="1"/>
  <c r="E175" i="2"/>
  <c r="A175" i="2" s="1"/>
  <c r="E456" i="2"/>
  <c r="A456" i="2" s="1"/>
  <c r="E69" i="2"/>
  <c r="A69" i="2" s="1"/>
  <c r="E419" i="2"/>
  <c r="A419" i="2" s="1"/>
  <c r="E191" i="2"/>
  <c r="A191" i="2" s="1"/>
  <c r="C191" i="2" s="1"/>
  <c r="E415" i="2"/>
  <c r="A415" i="2" s="1"/>
  <c r="E173" i="2"/>
  <c r="A173" i="2" s="1"/>
  <c r="E90" i="2"/>
  <c r="A90" i="2" s="1"/>
  <c r="E210" i="2"/>
  <c r="A210" i="2" s="1"/>
  <c r="E463" i="2"/>
  <c r="A463" i="2" s="1"/>
  <c r="E501" i="2"/>
  <c r="A501" i="2" s="1"/>
  <c r="E136" i="2"/>
  <c r="A136" i="2" s="1"/>
  <c r="E568" i="2"/>
  <c r="A568" i="2" s="1"/>
  <c r="E411" i="2"/>
  <c r="A411" i="2" s="1"/>
  <c r="E566" i="2"/>
  <c r="A566" i="2" s="1"/>
  <c r="E347" i="2"/>
  <c r="A347" i="2" s="1"/>
  <c r="E211" i="2"/>
  <c r="E565" i="2"/>
  <c r="A565" i="2" s="1"/>
  <c r="E354" i="2"/>
  <c r="A354" i="2" s="1"/>
  <c r="E484" i="2"/>
  <c r="A484" i="2" s="1"/>
  <c r="E397" i="2"/>
  <c r="A397" i="2" s="1"/>
  <c r="E333" i="2"/>
  <c r="A333" i="2" s="1"/>
  <c r="E525" i="2"/>
  <c r="A525" i="2" s="1"/>
  <c r="E14" i="2"/>
  <c r="A14" i="2" s="1"/>
  <c r="E259" i="2"/>
  <c r="A259" i="2" s="1"/>
  <c r="E18" i="2"/>
  <c r="A18" i="2" s="1"/>
  <c r="E493" i="2"/>
  <c r="A493" i="2" s="1"/>
  <c r="E478" i="2"/>
  <c r="A478" i="2" s="1"/>
  <c r="E35" i="2"/>
  <c r="A35" i="2" s="1"/>
  <c r="E140" i="2"/>
  <c r="A140" i="2" s="1"/>
  <c r="E153" i="2"/>
  <c r="A153" i="2" s="1"/>
  <c r="E690" i="2"/>
  <c r="A690" i="2" s="1"/>
  <c r="E495" i="2"/>
  <c r="E168" i="2"/>
  <c r="A168" i="2" s="1"/>
  <c r="E537" i="2"/>
  <c r="A537" i="2" s="1"/>
  <c r="E555" i="2"/>
  <c r="A555" i="2" s="1"/>
  <c r="E188" i="2"/>
  <c r="A188" i="2" s="1"/>
  <c r="E471" i="2"/>
  <c r="A471" i="2" s="1"/>
  <c r="E257" i="2"/>
  <c r="A257" i="2" s="1"/>
  <c r="E4" i="2"/>
  <c r="A4" i="2" s="1"/>
  <c r="E509" i="2"/>
  <c r="E579" i="2"/>
  <c r="A579" i="2" s="1"/>
  <c r="E735" i="2"/>
  <c r="A735" i="2" s="1"/>
  <c r="E178" i="2"/>
  <c r="A178" i="2" s="1"/>
  <c r="E246" i="2"/>
  <c r="A246" i="2" s="1"/>
  <c r="E689" i="2"/>
  <c r="A689" i="2" s="1"/>
  <c r="E707" i="2"/>
  <c r="A707" i="2" s="1"/>
  <c r="E536" i="2"/>
  <c r="A536" i="2" s="1"/>
  <c r="E373" i="2"/>
  <c r="A373" i="2" s="1"/>
  <c r="E395" i="2"/>
  <c r="A395" i="2" s="1"/>
  <c r="E65" i="2"/>
  <c r="A65" i="2" s="1"/>
  <c r="E590" i="2"/>
  <c r="A590" i="2" s="1"/>
  <c r="E500" i="2"/>
  <c r="A500" i="2" s="1"/>
  <c r="E39" i="2"/>
  <c r="A39" i="2" s="1"/>
  <c r="E502" i="2"/>
  <c r="A502" i="2" s="1"/>
  <c r="E310" i="2"/>
  <c r="A310" i="2" s="1"/>
  <c r="E42" i="2"/>
  <c r="A42" i="2" s="1"/>
  <c r="E20" i="2"/>
  <c r="A20" i="2" s="1"/>
  <c r="E181" i="2"/>
  <c r="A181" i="2" s="1"/>
  <c r="E9" i="2"/>
  <c r="A9" i="2" s="1"/>
  <c r="E51" i="2"/>
  <c r="A51" i="2" s="1"/>
  <c r="E330" i="2"/>
  <c r="A330" i="2" s="1"/>
  <c r="E202" i="2"/>
  <c r="A202" i="2" s="1"/>
  <c r="E715" i="2"/>
  <c r="A715" i="2" s="1"/>
  <c r="E106" i="2"/>
  <c r="A106" i="2" s="1"/>
  <c r="E470" i="2"/>
  <c r="A470" i="2" s="1"/>
  <c r="E71" i="2"/>
  <c r="A71" i="2" s="1"/>
  <c r="E451" i="2"/>
  <c r="A451" i="2" s="1"/>
  <c r="E645" i="2"/>
  <c r="A645" i="2" s="1"/>
  <c r="E609" i="2"/>
  <c r="A609" i="2" s="1"/>
  <c r="E156" i="2"/>
  <c r="A156" i="2" s="1"/>
  <c r="E453" i="2"/>
  <c r="A453" i="2" s="1"/>
  <c r="E675" i="2"/>
  <c r="A675" i="2" s="1"/>
  <c r="E522" i="2"/>
  <c r="A522" i="2" s="1"/>
  <c r="E679" i="2"/>
  <c r="A679" i="2" s="1"/>
  <c r="E574" i="2"/>
  <c r="A574" i="2" s="1"/>
  <c r="E403" i="2"/>
  <c r="A403" i="2" s="1"/>
  <c r="E70" i="2"/>
  <c r="A70" i="2" s="1"/>
  <c r="E64" i="2"/>
  <c r="A64" i="2" s="1"/>
  <c r="E3" i="2"/>
  <c r="A3" i="2" s="1"/>
  <c r="E253" i="2"/>
  <c r="A253" i="2" s="1"/>
  <c r="E49" i="2"/>
  <c r="A49" i="2" s="1"/>
  <c r="E115" i="2"/>
  <c r="A115" i="2" s="1"/>
  <c r="E731" i="2"/>
  <c r="A731" i="2" s="1"/>
  <c r="E341" i="2"/>
  <c r="A341" i="2" s="1"/>
  <c r="E511" i="2"/>
  <c r="A511" i="2" s="1"/>
  <c r="E599" i="2"/>
  <c r="A599" i="2" s="1"/>
  <c r="E469" i="2"/>
  <c r="A469" i="2" s="1"/>
  <c r="E84" i="2"/>
  <c r="E266" i="2"/>
  <c r="A266" i="2" s="1"/>
  <c r="E573" i="2"/>
  <c r="A573" i="2" s="1"/>
  <c r="E431" i="2"/>
  <c r="A431" i="2" s="1"/>
  <c r="E278" i="2"/>
  <c r="A278" i="2" s="1"/>
  <c r="E137" i="2"/>
  <c r="A137" i="2" s="1"/>
  <c r="E743" i="2"/>
  <c r="A743" i="2" s="1"/>
  <c r="E549" i="2"/>
  <c r="A549" i="2" s="1"/>
  <c r="E297" i="2"/>
  <c r="E630" i="2"/>
  <c r="A630" i="2" s="1"/>
  <c r="E474" i="2"/>
  <c r="A474" i="2" s="1"/>
  <c r="E364" i="2"/>
  <c r="A364" i="2" s="1"/>
  <c r="E552" i="2"/>
  <c r="A552" i="2" s="1"/>
  <c r="E38" i="2"/>
  <c r="A38" i="2" s="1"/>
  <c r="E316" i="2"/>
  <c r="A316" i="2" s="1"/>
  <c r="E553" i="2"/>
  <c r="A553" i="2" s="1"/>
  <c r="E512" i="2"/>
  <c r="A512" i="2" s="1"/>
  <c r="E561" i="2"/>
  <c r="A561" i="2" s="1"/>
  <c r="E461" i="2"/>
  <c r="A461" i="2" s="1"/>
  <c r="E603" i="2"/>
  <c r="A603" i="2" s="1"/>
  <c r="E75" i="2"/>
  <c r="A75" i="2" s="1"/>
  <c r="E434" i="2"/>
  <c r="A434" i="2" s="1"/>
  <c r="E739" i="2"/>
  <c r="A739" i="2" s="1"/>
  <c r="E131" i="2"/>
  <c r="A131" i="2" s="1"/>
  <c r="E604" i="2"/>
  <c r="E457" i="2"/>
  <c r="A457" i="2" s="1"/>
  <c r="E219" i="2"/>
  <c r="A219" i="2" s="1"/>
  <c r="E304" i="2"/>
  <c r="A304" i="2" s="1"/>
  <c r="E401" i="2"/>
  <c r="A401" i="2" s="1"/>
  <c r="E696" i="2"/>
  <c r="A696" i="2" s="1"/>
  <c r="E425" i="2"/>
  <c r="A425" i="2" s="1"/>
  <c r="E655" i="2"/>
  <c r="A655" i="2" s="1"/>
  <c r="E93" i="2"/>
  <c r="A93" i="2" s="1"/>
  <c r="E392" i="2"/>
  <c r="A392" i="2" s="1"/>
  <c r="E759" i="2"/>
  <c r="A759" i="2" s="1"/>
  <c r="E628" i="2"/>
  <c r="A628" i="2" s="1"/>
  <c r="E623" i="2"/>
  <c r="A623" i="2" s="1"/>
  <c r="E614" i="2"/>
  <c r="A614" i="2" s="1"/>
  <c r="E746" i="2"/>
  <c r="A746" i="2" s="1"/>
  <c r="E428" i="2"/>
  <c r="A428" i="2" s="1"/>
  <c r="E749" i="2"/>
  <c r="A749" i="2" s="1"/>
  <c r="E224" i="2"/>
  <c r="A224" i="2" s="1"/>
  <c r="E180" i="2"/>
  <c r="A180" i="2" s="1"/>
  <c r="E465" i="2"/>
  <c r="A465" i="2" s="1"/>
  <c r="E627" i="2"/>
  <c r="A627" i="2" s="1"/>
  <c r="E641" i="2"/>
  <c r="A641" i="2" s="1"/>
  <c r="E483" i="2"/>
  <c r="A483" i="2" s="1"/>
  <c r="E317" i="2"/>
  <c r="A317" i="2" s="1"/>
  <c r="E244" i="2"/>
  <c r="A244" i="2" s="1"/>
  <c r="E176" i="2"/>
  <c r="A176" i="2" s="1"/>
  <c r="E103" i="2"/>
  <c r="A103" i="2" s="1"/>
  <c r="E95" i="2"/>
  <c r="A95" i="2" s="1"/>
  <c r="E543" i="2"/>
  <c r="A543" i="2" s="1"/>
  <c r="E578" i="2"/>
  <c r="A578" i="2" s="1"/>
  <c r="E467" i="2"/>
  <c r="A467" i="2" s="1"/>
  <c r="E551" i="2"/>
  <c r="A551" i="2" s="1"/>
  <c r="E46" i="2"/>
  <c r="A46" i="2" s="1"/>
  <c r="E479" i="2"/>
  <c r="A479" i="2" s="1"/>
  <c r="E418" i="2"/>
  <c r="A418" i="2" s="1"/>
  <c r="E8" i="2"/>
  <c r="A8" i="2" s="1"/>
  <c r="E460" i="2"/>
  <c r="A460" i="2" s="1"/>
  <c r="E686" i="2"/>
  <c r="A686" i="2" s="1"/>
  <c r="E163" i="2"/>
  <c r="A163" i="2" s="1"/>
  <c r="E694" i="2"/>
  <c r="A694" i="2" s="1"/>
  <c r="E56" i="2"/>
  <c r="A56" i="2" s="1"/>
  <c r="E651" i="2"/>
  <c r="A651" i="2" s="1"/>
  <c r="E272" i="2"/>
  <c r="A272" i="2" s="1"/>
  <c r="E351" i="2"/>
  <c r="A351" i="2" s="1"/>
  <c r="E307" i="2"/>
  <c r="A307" i="2" s="1"/>
  <c r="E606" i="2"/>
  <c r="A606" i="2" s="1"/>
  <c r="E275" i="2"/>
  <c r="A275" i="2" s="1"/>
  <c r="E92" i="2"/>
  <c r="A92" i="2" s="1"/>
  <c r="E356" i="2"/>
  <c r="A356" i="2" s="1"/>
  <c r="E213" i="2"/>
  <c r="A213" i="2" s="1"/>
  <c r="E631" i="2"/>
  <c r="A631" i="2" s="1"/>
  <c r="E584" i="2"/>
  <c r="A584" i="2" s="1"/>
  <c r="E545" i="2"/>
  <c r="A545" i="2" s="1"/>
  <c r="E204" i="2"/>
  <c r="A204" i="2" s="1"/>
  <c r="E455" i="2"/>
  <c r="A455" i="2" s="1"/>
  <c r="E674" i="2"/>
  <c r="A674" i="2" s="1"/>
  <c r="E161" i="2"/>
  <c r="A161" i="2" s="1"/>
  <c r="E391" i="2"/>
  <c r="A391" i="2" s="1"/>
  <c r="E591" i="2"/>
  <c r="A591" i="2" s="1"/>
  <c r="E5" i="2"/>
  <c r="A5" i="2" s="1"/>
  <c r="E27" i="2"/>
  <c r="A27" i="2" s="1"/>
  <c r="E726" i="2"/>
  <c r="A726" i="2" s="1"/>
  <c r="E54" i="2"/>
  <c r="A54" i="2" s="1"/>
  <c r="E350" i="2"/>
  <c r="A350" i="2" s="1"/>
  <c r="E393" i="2"/>
  <c r="A393" i="2" s="1"/>
  <c r="E17" i="2"/>
  <c r="A17" i="2" s="1"/>
  <c r="E560" i="2"/>
  <c r="A560" i="2" s="1"/>
  <c r="E734" i="2"/>
  <c r="A734" i="2" s="1"/>
  <c r="E52" i="2"/>
  <c r="A52" i="2" s="1"/>
  <c r="E158" i="2"/>
  <c r="A158" i="2" s="1"/>
  <c r="E515" i="2"/>
  <c r="A515" i="2" s="1"/>
  <c r="E152" i="2"/>
  <c r="A152" i="2" s="1"/>
  <c r="E33" i="2"/>
  <c r="E116" i="2"/>
  <c r="A116" i="2" s="1"/>
  <c r="E519" i="2"/>
  <c r="A519" i="2" s="1"/>
  <c r="E63" i="2"/>
  <c r="A63" i="2" s="1"/>
  <c r="E343" i="2"/>
  <c r="A343" i="2" s="1"/>
  <c r="E230" i="2"/>
  <c r="A230" i="2" s="1"/>
  <c r="E608" i="2"/>
  <c r="A608" i="2" s="1"/>
  <c r="E195" i="2"/>
  <c r="A195" i="2" s="1"/>
  <c r="E440" i="2"/>
  <c r="E67" i="2"/>
  <c r="A67" i="2" s="1"/>
  <c r="E284" i="2"/>
  <c r="A284" i="2" s="1"/>
  <c r="E179" i="2"/>
  <c r="A179" i="2" s="1"/>
  <c r="E409" i="2"/>
  <c r="A409" i="2" s="1"/>
  <c r="E247" i="2"/>
  <c r="A247" i="2" s="1"/>
  <c r="E254" i="2"/>
  <c r="A254" i="2" s="1"/>
  <c r="E107" i="2"/>
  <c r="A107" i="2" s="1"/>
  <c r="E21" i="2"/>
  <c r="E755" i="2"/>
  <c r="A755" i="2" s="1"/>
  <c r="E710" i="2"/>
  <c r="A710" i="2" s="1"/>
  <c r="E634" i="2"/>
  <c r="A634" i="2" s="1"/>
  <c r="E547" i="2"/>
  <c r="A547" i="2" s="1"/>
  <c r="E87" i="2"/>
  <c r="A87" i="2" s="1"/>
  <c r="E563" i="2"/>
  <c r="A563" i="2" s="1"/>
  <c r="E189" i="2"/>
  <c r="A189" i="2" s="1"/>
  <c r="E329" i="2"/>
  <c r="E102" i="2"/>
  <c r="A102" i="2" s="1"/>
  <c r="E754" i="2"/>
  <c r="A754" i="2" s="1"/>
  <c r="E499" i="2"/>
  <c r="A499" i="2" s="1"/>
  <c r="E313" i="2"/>
  <c r="A313" i="2" s="1"/>
  <c r="E668" i="2"/>
  <c r="A668" i="2" s="1"/>
  <c r="E288" i="2"/>
  <c r="A288" i="2" s="1"/>
  <c r="E145" i="2"/>
  <c r="A145" i="2" s="1"/>
  <c r="E530" i="2"/>
  <c r="E607" i="2"/>
  <c r="A607" i="2" s="1"/>
  <c r="E695" i="2"/>
  <c r="A695" i="2" s="1"/>
  <c r="E11" i="2"/>
  <c r="A11" i="2" s="1"/>
  <c r="E683" i="2"/>
  <c r="A683" i="2" s="1"/>
  <c r="E492" i="2"/>
  <c r="A492" i="2" s="1"/>
  <c r="E678" i="2"/>
  <c r="A678" i="2" s="1"/>
  <c r="E687" i="2"/>
  <c r="A687" i="2" s="1"/>
  <c r="E287" i="2"/>
  <c r="E656" i="2"/>
  <c r="A656" i="2" s="1"/>
  <c r="E126" i="2"/>
  <c r="A126" i="2" s="1"/>
  <c r="E303" i="2"/>
  <c r="A303" i="2" s="1"/>
  <c r="E620" i="2"/>
  <c r="A620" i="2" s="1"/>
  <c r="E423" i="2"/>
  <c r="A423" i="2" s="1"/>
  <c r="E206" i="2"/>
  <c r="A206" i="2" s="1"/>
  <c r="E357" i="2"/>
  <c r="A357" i="2" s="1"/>
  <c r="E199" i="2"/>
  <c r="A199" i="2" s="1"/>
  <c r="E489" i="2"/>
  <c r="A489" i="2" s="1"/>
  <c r="E642" i="2"/>
  <c r="A642" i="2" s="1"/>
  <c r="E104" i="2"/>
  <c r="A104" i="2" s="1"/>
  <c r="E621" i="2"/>
  <c r="A621" i="2" s="1"/>
  <c r="E258" i="2"/>
  <c r="A258" i="2" s="1"/>
  <c r="E291" i="2"/>
  <c r="A291" i="2" s="1"/>
  <c r="E723" i="2"/>
  <c r="A723" i="2" s="1"/>
  <c r="E716" i="2"/>
  <c r="E88" i="2"/>
  <c r="A88" i="2" s="1"/>
  <c r="E233" i="2"/>
  <c r="A233" i="2" s="1"/>
  <c r="E249" i="2"/>
  <c r="A249" i="2" s="1"/>
  <c r="E580" i="2"/>
  <c r="A580" i="2" s="1"/>
  <c r="E494" i="2"/>
  <c r="A494" i="2" s="1"/>
  <c r="E698" i="2"/>
  <c r="A698" i="2" s="1"/>
  <c r="E144" i="2"/>
  <c r="A144" i="2" s="1"/>
  <c r="E7" i="2"/>
  <c r="A7" i="2" s="1"/>
  <c r="E712" i="2"/>
  <c r="A712" i="2" s="1"/>
  <c r="E203" i="2"/>
  <c r="A203" i="2" s="1"/>
  <c r="E518" i="2"/>
  <c r="A518" i="2" s="1"/>
  <c r="E663" i="2"/>
  <c r="A663" i="2" s="1"/>
  <c r="E422" i="2"/>
  <c r="A422" i="2" s="1"/>
  <c r="E205" i="2"/>
  <c r="E264" i="2"/>
  <c r="A264" i="2" s="1"/>
  <c r="E402" i="2"/>
  <c r="E466" i="2"/>
  <c r="A466" i="2" s="1"/>
  <c r="E26" i="2"/>
  <c r="A26" i="2" s="1"/>
  <c r="E669" i="2"/>
  <c r="A669" i="2" s="1"/>
  <c r="E635" i="2"/>
  <c r="A635" i="2" s="1"/>
  <c r="E436" i="2"/>
  <c r="A436" i="2" s="1"/>
  <c r="E305" i="2"/>
  <c r="A305" i="2" s="1"/>
  <c r="E326" i="2"/>
  <c r="A326" i="2" s="1"/>
  <c r="E610" i="2"/>
  <c r="E72" i="2"/>
  <c r="A72" i="2" s="1"/>
  <c r="E427" i="2"/>
  <c r="A427" i="2" s="1"/>
  <c r="E192" i="2"/>
  <c r="A192" i="2" s="1"/>
  <c r="E368" i="2"/>
  <c r="A368" i="2" s="1"/>
  <c r="E320" i="2"/>
  <c r="A320" i="2" s="1"/>
  <c r="E61" i="2"/>
  <c r="A61" i="2" s="1"/>
  <c r="E121" i="2"/>
  <c r="A121" i="2" s="1"/>
  <c r="E335" i="2"/>
  <c r="A335" i="2" s="1"/>
  <c r="E667" i="2"/>
  <c r="A667" i="2" s="1"/>
  <c r="E624" i="2"/>
  <c r="A624" i="2" s="1"/>
  <c r="E263" i="2"/>
  <c r="A263" i="2" s="1"/>
  <c r="E157" i="2"/>
  <c r="A157" i="2" s="1"/>
  <c r="E757" i="2"/>
  <c r="A757" i="2" s="1"/>
  <c r="E446" i="2"/>
  <c r="A446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G365" i="4"/>
  <c r="G357" i="4"/>
  <c r="H357" i="4" s="1"/>
  <c r="G349" i="4"/>
  <c r="G341" i="4"/>
  <c r="G333" i="4"/>
  <c r="G325" i="4"/>
  <c r="G317" i="4"/>
  <c r="G309" i="4"/>
  <c r="G301" i="4"/>
  <c r="G269" i="4"/>
  <c r="G253" i="4"/>
  <c r="H253" i="4" s="1"/>
  <c r="I253" i="4" s="1"/>
  <c r="G237" i="4"/>
  <c r="G221" i="4"/>
  <c r="G189" i="4"/>
  <c r="G173" i="4"/>
  <c r="G157" i="4"/>
  <c r="G141" i="4"/>
  <c r="H141" i="4" s="1"/>
  <c r="G125" i="4"/>
  <c r="G109" i="4"/>
  <c r="H109" i="4" s="1"/>
  <c r="G93" i="4"/>
  <c r="G77" i="4"/>
  <c r="H77" i="4" s="1"/>
  <c r="G29" i="4"/>
  <c r="G403" i="4"/>
  <c r="H403" i="4" s="1"/>
  <c r="L1521" i="23" s="1"/>
  <c r="G395" i="4"/>
  <c r="H395" i="4" s="1"/>
  <c r="G387" i="4"/>
  <c r="G379" i="4"/>
  <c r="G371" i="4"/>
  <c r="H371" i="4" s="1"/>
  <c r="G363" i="4"/>
  <c r="G355" i="4"/>
  <c r="G347" i="4"/>
  <c r="G339" i="4"/>
  <c r="H339" i="4" s="1"/>
  <c r="G331" i="4"/>
  <c r="H331" i="4" s="1"/>
  <c r="G323" i="4"/>
  <c r="H323" i="4" s="1"/>
  <c r="G315" i="4"/>
  <c r="H315" i="4" s="1"/>
  <c r="G307" i="4"/>
  <c r="G299" i="4"/>
  <c r="G291" i="4"/>
  <c r="G19" i="4"/>
  <c r="G401" i="4"/>
  <c r="G393" i="4"/>
  <c r="H393" i="4" s="1"/>
  <c r="G385" i="4"/>
  <c r="G377" i="4"/>
  <c r="H377" i="4" s="1"/>
  <c r="G369" i="4"/>
  <c r="H369" i="4" s="1"/>
  <c r="G361" i="4"/>
  <c r="G353" i="4"/>
  <c r="G345" i="4"/>
  <c r="H345" i="4" s="1"/>
  <c r="G337" i="4"/>
  <c r="G329" i="4"/>
  <c r="H329" i="4" s="1"/>
  <c r="G313" i="4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G391" i="4"/>
  <c r="G383" i="4"/>
  <c r="H383" i="4" s="1"/>
  <c r="G375" i="4"/>
  <c r="H375" i="4" s="1"/>
  <c r="G367" i="4"/>
  <c r="H367" i="4" s="1"/>
  <c r="G359" i="4"/>
  <c r="H359" i="4" s="1"/>
  <c r="G351" i="4"/>
  <c r="G343" i="4"/>
  <c r="G327" i="4"/>
  <c r="H327" i="4" s="1"/>
  <c r="G319" i="4"/>
  <c r="H319" i="4" s="1"/>
  <c r="G311" i="4"/>
  <c r="G295" i="4"/>
  <c r="H295" i="4" s="1"/>
  <c r="G287" i="4"/>
  <c r="H287" i="4" s="1"/>
  <c r="G279" i="4"/>
  <c r="G15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H221" i="4" l="1"/>
  <c r="M19" i="23"/>
  <c r="H361" i="4"/>
  <c r="H347" i="4"/>
  <c r="L1511" i="23"/>
  <c r="H373" i="4"/>
  <c r="H391" i="4"/>
  <c r="L1515" i="23"/>
  <c r="L1504" i="23"/>
  <c r="L1502" i="23"/>
  <c r="L1498" i="23"/>
  <c r="L1499" i="23"/>
  <c r="L1516" i="23"/>
  <c r="H387" i="4"/>
  <c r="I387" i="4" s="1"/>
  <c r="L1510" i="23"/>
  <c r="L1519" i="23"/>
  <c r="L1518" i="23"/>
  <c r="L1507" i="23"/>
  <c r="L1496" i="23"/>
  <c r="L1520" i="23"/>
  <c r="L1495" i="23"/>
  <c r="L1506" i="23"/>
  <c r="L1508" i="23"/>
  <c r="L1503" i="23"/>
  <c r="L1497" i="23"/>
  <c r="L1514" i="23"/>
  <c r="L1512" i="23"/>
  <c r="H355" i="4"/>
  <c r="I355" i="4" s="1"/>
  <c r="M37" i="23"/>
  <c r="H309" i="4"/>
  <c r="I309" i="4" s="1"/>
  <c r="H301" i="4"/>
  <c r="M10" i="23"/>
  <c r="M3" i="23"/>
  <c r="G3" i="23" s="1"/>
  <c r="H399" i="4"/>
  <c r="H151" i="4"/>
  <c r="L1322" i="23"/>
  <c r="M23" i="23"/>
  <c r="G23" i="23" s="1"/>
  <c r="M20" i="23"/>
  <c r="F20" i="23" s="1"/>
  <c r="M15" i="23"/>
  <c r="M24" i="23"/>
  <c r="M8" i="23"/>
  <c r="M5" i="23"/>
  <c r="G5" i="23" s="1"/>
  <c r="H341" i="4"/>
  <c r="I341" i="4" s="1"/>
  <c r="H313" i="4"/>
  <c r="I313" i="4" s="1"/>
  <c r="L1342" i="23"/>
  <c r="M6" i="23"/>
  <c r="G6" i="23" s="1"/>
  <c r="M4" i="23"/>
  <c r="M39" i="23"/>
  <c r="M28" i="23"/>
  <c r="G28" i="23" s="1"/>
  <c r="M22" i="23"/>
  <c r="G22" i="23" s="1"/>
  <c r="M7" i="23"/>
  <c r="M30" i="23"/>
  <c r="F30" i="23" s="1"/>
  <c r="M21" i="23"/>
  <c r="H363" i="4"/>
  <c r="I363" i="4" s="1"/>
  <c r="H53" i="4"/>
  <c r="I53" i="4" s="1"/>
  <c r="M188" i="23" s="1"/>
  <c r="M9" i="23"/>
  <c r="F9" i="23" s="1"/>
  <c r="M12" i="23"/>
  <c r="M2" i="23"/>
  <c r="M29" i="23"/>
  <c r="M44" i="23"/>
  <c r="F44" i="23" s="1"/>
  <c r="M25" i="23"/>
  <c r="L1373" i="23"/>
  <c r="M26" i="23"/>
  <c r="M40" i="23"/>
  <c r="M13" i="23"/>
  <c r="F13" i="23" s="1"/>
  <c r="M14" i="23"/>
  <c r="M42" i="23"/>
  <c r="F42" i="23" s="1"/>
  <c r="M16" i="23"/>
  <c r="F16" i="23" s="1"/>
  <c r="M34" i="23"/>
  <c r="M27" i="23"/>
  <c r="G27" i="23" s="1"/>
  <c r="M17" i="23"/>
  <c r="F17" i="23" s="1"/>
  <c r="M11" i="23"/>
  <c r="F11" i="23" s="1"/>
  <c r="M18" i="23"/>
  <c r="G18" i="23" s="1"/>
  <c r="M33" i="23"/>
  <c r="F33" i="23" s="1"/>
  <c r="M31" i="23"/>
  <c r="G31" i="23" s="1"/>
  <c r="H291" i="4"/>
  <c r="I291" i="4" s="1"/>
  <c r="H33" i="4"/>
  <c r="H15" i="4"/>
  <c r="H167" i="4"/>
  <c r="I167" i="4" s="1"/>
  <c r="I287" i="4"/>
  <c r="H157" i="4"/>
  <c r="I157" i="4" s="1"/>
  <c r="H389" i="4"/>
  <c r="H149" i="4"/>
  <c r="I149" i="4" s="1"/>
  <c r="M548" i="23" s="1"/>
  <c r="H269" i="4"/>
  <c r="H239" i="4"/>
  <c r="I375" i="4"/>
  <c r="M1392" i="23" s="1"/>
  <c r="H267" i="4"/>
  <c r="H35" i="4"/>
  <c r="I35" i="4" s="1"/>
  <c r="M121" i="23" s="1"/>
  <c r="H177" i="4"/>
  <c r="I177" i="4" s="1"/>
  <c r="M653" i="23" s="1"/>
  <c r="H43" i="4"/>
  <c r="H83" i="4"/>
  <c r="H213" i="4"/>
  <c r="H321" i="4"/>
  <c r="L1192" i="23" s="1"/>
  <c r="H85" i="4"/>
  <c r="I85" i="4" s="1"/>
  <c r="H145" i="4"/>
  <c r="H95" i="4"/>
  <c r="I95" i="4" s="1"/>
  <c r="H229" i="4"/>
  <c r="I229" i="4" s="1"/>
  <c r="H325" i="4"/>
  <c r="L1205" i="23" s="1"/>
  <c r="H99" i="4"/>
  <c r="I99" i="4" s="1"/>
  <c r="H227" i="4"/>
  <c r="H215" i="4"/>
  <c r="L797" i="23" s="1"/>
  <c r="H119" i="4"/>
  <c r="I119" i="4" s="1"/>
  <c r="I395" i="4"/>
  <c r="H133" i="4"/>
  <c r="H27" i="4"/>
  <c r="I27" i="4" s="1"/>
  <c r="M97" i="23" s="1"/>
  <c r="H23" i="4"/>
  <c r="H351" i="4"/>
  <c r="H243" i="4"/>
  <c r="I377" i="4"/>
  <c r="H379" i="4"/>
  <c r="I339" i="4"/>
  <c r="H335" i="4"/>
  <c r="L1171" i="23"/>
  <c r="L1336" i="23"/>
  <c r="L944" i="23"/>
  <c r="L1165" i="23"/>
  <c r="L1201" i="23"/>
  <c r="L1224" i="23"/>
  <c r="L1160" i="23"/>
  <c r="L1259" i="23"/>
  <c r="L1363" i="23"/>
  <c r="L40" i="23"/>
  <c r="L1380" i="23"/>
  <c r="L1365" i="23"/>
  <c r="L1202" i="23"/>
  <c r="L1340" i="23"/>
  <c r="L1374" i="23"/>
  <c r="L1332" i="23"/>
  <c r="F19" i="23"/>
  <c r="L1372" i="23"/>
  <c r="L1225" i="23"/>
  <c r="L1293" i="23"/>
  <c r="L46" i="23"/>
  <c r="L1079" i="23"/>
  <c r="F101" i="13"/>
  <c r="F101" i="14"/>
  <c r="F102" i="13"/>
  <c r="F102" i="14"/>
  <c r="I141" i="4"/>
  <c r="I359" i="4"/>
  <c r="M1323" i="23" s="1"/>
  <c r="I373" i="4"/>
  <c r="M1396" i="23" s="1"/>
  <c r="I371" i="4"/>
  <c r="I251" i="4"/>
  <c r="M945" i="23" s="1"/>
  <c r="I383" i="4"/>
  <c r="I361" i="4"/>
  <c r="M1342" i="23" s="1"/>
  <c r="I357" i="4"/>
  <c r="M1336" i="23" s="1"/>
  <c r="I367" i="4"/>
  <c r="M1367" i="23" s="1"/>
  <c r="I345" i="4"/>
  <c r="I327" i="4"/>
  <c r="M1220" i="23" s="1"/>
  <c r="I221" i="4"/>
  <c r="I329" i="4"/>
  <c r="I323" i="4"/>
  <c r="M1201" i="23" s="1"/>
  <c r="I295" i="4"/>
  <c r="I319" i="4"/>
  <c r="I347" i="4"/>
  <c r="I331" i="4"/>
  <c r="I369" i="4"/>
  <c r="I109" i="4"/>
  <c r="I289" i="4"/>
  <c r="I315" i="4"/>
  <c r="I393" i="4"/>
  <c r="I391" i="4"/>
  <c r="I233" i="4"/>
  <c r="I259" i="4"/>
  <c r="I77" i="4"/>
  <c r="I403" i="4"/>
  <c r="I151" i="4"/>
  <c r="L26" i="23"/>
  <c r="L1258" i="23"/>
  <c r="L1290" i="23"/>
  <c r="L1287" i="23"/>
  <c r="L1298" i="23"/>
  <c r="L1345" i="23"/>
  <c r="L992" i="23"/>
  <c r="L1286" i="23"/>
  <c r="L1376" i="23"/>
  <c r="L1367" i="23"/>
  <c r="L1371" i="23"/>
  <c r="L1067" i="23"/>
  <c r="L1291" i="23"/>
  <c r="L1288" i="23"/>
  <c r="L1069" i="23"/>
  <c r="L1350" i="23"/>
  <c r="L1334" i="23"/>
  <c r="L930" i="23"/>
  <c r="L931" i="23"/>
  <c r="L1175" i="23"/>
  <c r="L1388" i="23"/>
  <c r="L1208" i="23"/>
  <c r="L1184" i="23"/>
  <c r="L1194" i="23"/>
  <c r="A610" i="2"/>
  <c r="A402" i="2"/>
  <c r="A716" i="2"/>
  <c r="A287" i="2"/>
  <c r="A530" i="2"/>
  <c r="A329" i="2"/>
  <c r="A21" i="2"/>
  <c r="A440" i="2"/>
  <c r="A33" i="2"/>
  <c r="A604" i="2"/>
  <c r="A297" i="2"/>
  <c r="A84" i="2"/>
  <c r="A509" i="2"/>
  <c r="A495" i="2"/>
  <c r="A211" i="2"/>
  <c r="A378" i="2"/>
  <c r="A332" i="2"/>
  <c r="A209" i="2"/>
  <c r="A476" i="2"/>
  <c r="A540" i="2"/>
  <c r="A365" i="2"/>
  <c r="A139" i="2"/>
  <c r="A410" i="2"/>
  <c r="A293" i="2"/>
  <c r="A408" i="2"/>
  <c r="A647" i="2"/>
  <c r="A150" i="2"/>
  <c r="A534" i="2"/>
  <c r="A226" i="2"/>
  <c r="A151" i="2"/>
  <c r="A205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H21" i="4"/>
  <c r="H231" i="4"/>
  <c r="H277" i="4"/>
  <c r="H39" i="4"/>
  <c r="H59" i="4"/>
  <c r="H61" i="4"/>
  <c r="H25" i="4"/>
  <c r="H275" i="4"/>
  <c r="L1029" i="23" s="1"/>
  <c r="H131" i="4"/>
  <c r="H63" i="4"/>
  <c r="H241" i="4"/>
  <c r="H111" i="4"/>
  <c r="H195" i="4"/>
  <c r="H47" i="4"/>
  <c r="H261" i="4"/>
  <c r="H19" i="4"/>
  <c r="H211" i="4"/>
  <c r="L784" i="23" s="1"/>
  <c r="H107" i="4"/>
  <c r="H235" i="4"/>
  <c r="H193" i="4"/>
  <c r="H179" i="4"/>
  <c r="H41" i="4"/>
  <c r="I41" i="4" s="1"/>
  <c r="H159" i="4"/>
  <c r="H305" i="4"/>
  <c r="H217" i="4"/>
  <c r="H29" i="4"/>
  <c r="L94" i="23" s="1"/>
  <c r="H191" i="4"/>
  <c r="H201" i="4"/>
  <c r="H303" i="4"/>
  <c r="L1125" i="23" s="1"/>
  <c r="H255" i="4"/>
  <c r="H57" i="4"/>
  <c r="H155" i="4"/>
  <c r="H183" i="4"/>
  <c r="H257" i="4"/>
  <c r="H37" i="4"/>
  <c r="L122" i="23" s="1"/>
  <c r="H163" i="4"/>
  <c r="H113" i="4"/>
  <c r="H281" i="4"/>
  <c r="H197" i="4"/>
  <c r="H79" i="4"/>
  <c r="L287" i="23" s="1"/>
  <c r="H105" i="4"/>
  <c r="H123" i="4"/>
  <c r="H397" i="4"/>
  <c r="L1475" i="23" s="1"/>
  <c r="H103" i="4"/>
  <c r="L377" i="23" s="1"/>
  <c r="H285" i="4"/>
  <c r="L1068" i="23" s="1"/>
  <c r="H337" i="4"/>
  <c r="L1167" i="23" s="1"/>
  <c r="H237" i="4"/>
  <c r="H173" i="4"/>
  <c r="H137" i="4"/>
  <c r="L506" i="23" s="1"/>
  <c r="H245" i="4"/>
  <c r="H93" i="4"/>
  <c r="H67" i="4"/>
  <c r="H97" i="4"/>
  <c r="H219" i="4"/>
  <c r="L823" i="23" s="1"/>
  <c r="H293" i="4"/>
  <c r="I293" i="4" s="1"/>
  <c r="M1090" i="23" s="1"/>
  <c r="H89" i="4"/>
  <c r="H75" i="4"/>
  <c r="L281" i="23" s="1"/>
  <c r="H169" i="4"/>
  <c r="H139" i="4"/>
  <c r="H81" i="4"/>
  <c r="H401" i="4"/>
  <c r="L1493" i="23" s="1"/>
  <c r="H55" i="4"/>
  <c r="H263" i="4"/>
  <c r="H91" i="4"/>
  <c r="L334" i="23" s="1"/>
  <c r="H147" i="4"/>
  <c r="L534" i="23" s="1"/>
  <c r="H247" i="4"/>
  <c r="H203" i="4"/>
  <c r="H199" i="4"/>
  <c r="L746" i="23" s="1"/>
  <c r="H65" i="4"/>
  <c r="H283" i="4"/>
  <c r="H225" i="4"/>
  <c r="H69" i="4"/>
  <c r="H17" i="4"/>
  <c r="L50" i="23" s="1"/>
  <c r="H49" i="4"/>
  <c r="H129" i="4"/>
  <c r="H343" i="4"/>
  <c r="L1270" i="23" s="1"/>
  <c r="H209" i="4"/>
  <c r="H297" i="4"/>
  <c r="H265" i="4"/>
  <c r="L990" i="23" s="1"/>
  <c r="H45" i="4"/>
  <c r="H153" i="4"/>
  <c r="H87" i="4"/>
  <c r="H333" i="4"/>
  <c r="H121" i="4"/>
  <c r="H165" i="4"/>
  <c r="H101" i="4"/>
  <c r="H381" i="4"/>
  <c r="L1325" i="23" s="1"/>
  <c r="H73" i="4"/>
  <c r="L261" i="23" s="1"/>
  <c r="H349" i="4"/>
  <c r="L1204" i="23" s="1"/>
  <c r="H353" i="4"/>
  <c r="L1223" i="23" s="1"/>
  <c r="H185" i="4"/>
  <c r="H125" i="4"/>
  <c r="H187" i="4"/>
  <c r="H249" i="4"/>
  <c r="H311" i="4"/>
  <c r="L1082" i="23" s="1"/>
  <c r="H207" i="4"/>
  <c r="H307" i="4"/>
  <c r="L1148" i="23" s="1"/>
  <c r="H127" i="4"/>
  <c r="H299" i="4"/>
  <c r="L1110" i="23" s="1"/>
  <c r="H117" i="4"/>
  <c r="H205" i="4"/>
  <c r="H171" i="4"/>
  <c r="H279" i="4"/>
  <c r="H223" i="4"/>
  <c r="H161" i="4"/>
  <c r="L561" i="23" s="1"/>
  <c r="H385" i="4"/>
  <c r="L1330" i="23" s="1"/>
  <c r="H115" i="4"/>
  <c r="H181" i="4"/>
  <c r="H175" i="4"/>
  <c r="H135" i="4"/>
  <c r="H143" i="4"/>
  <c r="L521" i="23" s="1"/>
  <c r="H31" i="4"/>
  <c r="H189" i="4"/>
  <c r="L651" i="23" s="1"/>
  <c r="H365" i="4"/>
  <c r="L1368" i="23" s="1"/>
  <c r="H273" i="4"/>
  <c r="L1010" i="23" s="1"/>
  <c r="H317" i="4"/>
  <c r="L1188" i="23" s="1"/>
  <c r="H271" i="4"/>
  <c r="L947" i="23" s="1"/>
  <c r="F31" i="12"/>
  <c r="G31" i="12"/>
  <c r="H31" i="12"/>
  <c r="F30" i="12"/>
  <c r="G30" i="12"/>
  <c r="H30" i="12"/>
  <c r="F29" i="12"/>
  <c r="G29" i="12"/>
  <c r="H29" i="12"/>
  <c r="F28" i="12"/>
  <c r="G28" i="12"/>
  <c r="H28" i="12"/>
  <c r="L1490" i="23" l="1"/>
  <c r="L1369" i="23"/>
  <c r="L920" i="23"/>
  <c r="L776" i="23"/>
  <c r="L851" i="23"/>
  <c r="L52" i="23"/>
  <c r="L779" i="23"/>
  <c r="L749" i="23"/>
  <c r="L1500" i="23"/>
  <c r="L336" i="23"/>
  <c r="L1517" i="23"/>
  <c r="L1505" i="23"/>
  <c r="L1008" i="23"/>
  <c r="L1049" i="23"/>
  <c r="L1241" i="23"/>
  <c r="L1129" i="23"/>
  <c r="L847" i="23"/>
  <c r="L389" i="23"/>
  <c r="M1511" i="23"/>
  <c r="G1511" i="23" s="1"/>
  <c r="L1219" i="23"/>
  <c r="L1196" i="23"/>
  <c r="L1200" i="23"/>
  <c r="L889" i="23"/>
  <c r="L1364" i="23"/>
  <c r="L1135" i="23"/>
  <c r="L35" i="23"/>
  <c r="L38" i="23"/>
  <c r="L174" i="23"/>
  <c r="I301" i="4"/>
  <c r="L1302" i="23"/>
  <c r="L1166" i="23"/>
  <c r="L863" i="23"/>
  <c r="M1468" i="23"/>
  <c r="M1224" i="23"/>
  <c r="L278" i="23"/>
  <c r="I399" i="4"/>
  <c r="L1484" i="23"/>
  <c r="L1492" i="23"/>
  <c r="L1001" i="23"/>
  <c r="M1502" i="23"/>
  <c r="G1502" i="23" s="1"/>
  <c r="M1515" i="23"/>
  <c r="G1515" i="23" s="1"/>
  <c r="M1504" i="23"/>
  <c r="G1504" i="23" s="1"/>
  <c r="L1195" i="23"/>
  <c r="L1002" i="23"/>
  <c r="L874" i="23"/>
  <c r="M1498" i="23"/>
  <c r="F1498" i="23" s="1"/>
  <c r="L1513" i="23"/>
  <c r="L1489" i="23"/>
  <c r="M1499" i="23"/>
  <c r="F1499" i="23" s="1"/>
  <c r="M1516" i="23"/>
  <c r="G1516" i="23" s="1"/>
  <c r="L1472" i="23"/>
  <c r="L1469" i="23"/>
  <c r="L1189" i="23"/>
  <c r="L1303" i="23"/>
  <c r="L1243" i="23"/>
  <c r="L1154" i="23"/>
  <c r="M1097" i="23"/>
  <c r="L837" i="23"/>
  <c r="L1477" i="23"/>
  <c r="L1494" i="23"/>
  <c r="M1463" i="23"/>
  <c r="M1510" i="23"/>
  <c r="G1510" i="23" s="1"/>
  <c r="M1519" i="23"/>
  <c r="G1519" i="23" s="1"/>
  <c r="L1271" i="23"/>
  <c r="L843" i="23"/>
  <c r="L291" i="23"/>
  <c r="M1521" i="23"/>
  <c r="G1521" i="23" s="1"/>
  <c r="L1470" i="23"/>
  <c r="L1476" i="23"/>
  <c r="L1501" i="23"/>
  <c r="L1480" i="23"/>
  <c r="G13" i="23"/>
  <c r="L1370" i="23"/>
  <c r="L1471" i="23"/>
  <c r="L1487" i="23"/>
  <c r="L1486" i="23"/>
  <c r="L1084" i="23"/>
  <c r="L1306" i="23"/>
  <c r="L994" i="23"/>
  <c r="L1077" i="23"/>
  <c r="I83" i="4"/>
  <c r="M310" i="23" s="1"/>
  <c r="I269" i="4"/>
  <c r="L1140" i="23"/>
  <c r="L1289" i="23"/>
  <c r="L1000" i="23"/>
  <c r="M1518" i="23"/>
  <c r="M1507" i="23"/>
  <c r="M1520" i="23"/>
  <c r="M1496" i="23"/>
  <c r="M1506" i="23"/>
  <c r="M1508" i="23"/>
  <c r="M1503" i="23"/>
  <c r="M1495" i="23"/>
  <c r="M1497" i="23"/>
  <c r="M1512" i="23"/>
  <c r="M1514" i="23"/>
  <c r="L995" i="23"/>
  <c r="L1509" i="23"/>
  <c r="L1491" i="23"/>
  <c r="L1485" i="23"/>
  <c r="L1479" i="23"/>
  <c r="L1483" i="23"/>
  <c r="L1478" i="23"/>
  <c r="L1488" i="23"/>
  <c r="L1299" i="23"/>
  <c r="L1093" i="23"/>
  <c r="L89" i="23"/>
  <c r="L1305" i="23"/>
  <c r="L1113" i="23"/>
  <c r="L802" i="23"/>
  <c r="M1215" i="23"/>
  <c r="L1118" i="23"/>
  <c r="L537" i="23"/>
  <c r="L977" i="23"/>
  <c r="L445" i="23"/>
  <c r="L1282" i="23"/>
  <c r="L1280" i="23"/>
  <c r="L1357" i="23"/>
  <c r="M1072" i="23"/>
  <c r="L104" i="23"/>
  <c r="L1026" i="23"/>
  <c r="L572" i="23"/>
  <c r="L111" i="23"/>
  <c r="I15" i="4"/>
  <c r="M51" i="23" s="1"/>
  <c r="L53" i="23"/>
  <c r="M1290" i="23"/>
  <c r="L113" i="23"/>
  <c r="L45" i="23"/>
  <c r="L1142" i="23"/>
  <c r="I321" i="4"/>
  <c r="M1199" i="23" s="1"/>
  <c r="L1274" i="23"/>
  <c r="L924" i="23"/>
  <c r="L524" i="23"/>
  <c r="L991" i="23"/>
  <c r="M1377" i="23"/>
  <c r="L933" i="23"/>
  <c r="L1263" i="23"/>
  <c r="M1288" i="23"/>
  <c r="L1326" i="23"/>
  <c r="L1249" i="23"/>
  <c r="L1240" i="23"/>
  <c r="L997" i="23"/>
  <c r="L64" i="23"/>
  <c r="L859" i="23"/>
  <c r="L913" i="23"/>
  <c r="L410" i="23"/>
  <c r="L208" i="23"/>
  <c r="L868" i="23"/>
  <c r="L706" i="23"/>
  <c r="L1117" i="23"/>
  <c r="L1122" i="23"/>
  <c r="M1172" i="23"/>
  <c r="I335" i="4"/>
  <c r="L305" i="23"/>
  <c r="L1262" i="23"/>
  <c r="L90" i="23"/>
  <c r="L1237" i="23"/>
  <c r="M35" i="23"/>
  <c r="L579" i="23"/>
  <c r="L284" i="23"/>
  <c r="L1304" i="23"/>
  <c r="L1309" i="23"/>
  <c r="L1272" i="23"/>
  <c r="M1335" i="23"/>
  <c r="L1256" i="23"/>
  <c r="L541" i="23"/>
  <c r="M1234" i="23"/>
  <c r="L1136" i="23"/>
  <c r="M1343" i="23"/>
  <c r="L849" i="23"/>
  <c r="L910" i="23"/>
  <c r="L902" i="23"/>
  <c r="L1176" i="23"/>
  <c r="L1248" i="23"/>
  <c r="L1257" i="23"/>
  <c r="L486" i="23"/>
  <c r="L525" i="23"/>
  <c r="L1348" i="23"/>
  <c r="L764" i="23"/>
  <c r="M1334" i="23"/>
  <c r="L1281" i="23"/>
  <c r="M1385" i="23"/>
  <c r="L1016" i="23"/>
  <c r="I267" i="4"/>
  <c r="M1000" i="23" s="1"/>
  <c r="L1046" i="23"/>
  <c r="L197" i="23"/>
  <c r="L1145" i="23"/>
  <c r="L1127" i="23"/>
  <c r="L1197" i="23"/>
  <c r="L1264" i="23"/>
  <c r="M1322" i="23"/>
  <c r="L1007" i="23"/>
  <c r="L518" i="23"/>
  <c r="M1223" i="23"/>
  <c r="L442" i="23"/>
  <c r="M1381" i="23"/>
  <c r="L299" i="23"/>
  <c r="L1360" i="23"/>
  <c r="L109" i="23"/>
  <c r="L1109" i="23"/>
  <c r="L49" i="23"/>
  <c r="L47" i="23"/>
  <c r="M47" i="23"/>
  <c r="M1467" i="23"/>
  <c r="L1146" i="23"/>
  <c r="L1266" i="23"/>
  <c r="M1082" i="23"/>
  <c r="L1308" i="23"/>
  <c r="L791" i="23"/>
  <c r="M1464" i="23"/>
  <c r="L1031" i="23"/>
  <c r="L873" i="23"/>
  <c r="L1273" i="23"/>
  <c r="M1374" i="23"/>
  <c r="G1374" i="23" s="1"/>
  <c r="M1212" i="23"/>
  <c r="L1132" i="23"/>
  <c r="M1175" i="23"/>
  <c r="L753" i="23"/>
  <c r="L875" i="23"/>
  <c r="M1372" i="23"/>
  <c r="L108" i="23"/>
  <c r="L1131" i="23"/>
  <c r="L1253" i="23"/>
  <c r="L317" i="23"/>
  <c r="M1195" i="23"/>
  <c r="M1259" i="23"/>
  <c r="M1214" i="23"/>
  <c r="L515" i="23"/>
  <c r="L535" i="23"/>
  <c r="L1119" i="23"/>
  <c r="F27" i="23"/>
  <c r="L1228" i="23"/>
  <c r="L1296" i="23"/>
  <c r="M1350" i="23"/>
  <c r="M1232" i="23"/>
  <c r="L1163" i="23"/>
  <c r="L1301" i="23"/>
  <c r="L95" i="23"/>
  <c r="L1358" i="23"/>
  <c r="M1088" i="23"/>
  <c r="M303" i="23"/>
  <c r="M1337" i="23"/>
  <c r="M1366" i="23"/>
  <c r="M1079" i="23"/>
  <c r="F1079" i="23" s="1"/>
  <c r="L588" i="23"/>
  <c r="L1087" i="23"/>
  <c r="M1087" i="23"/>
  <c r="M1388" i="23"/>
  <c r="M1091" i="23"/>
  <c r="M48" i="23"/>
  <c r="L275" i="23"/>
  <c r="L1158" i="23"/>
  <c r="M941" i="23"/>
  <c r="M1331" i="23"/>
  <c r="L1236" i="23"/>
  <c r="L1245" i="23"/>
  <c r="I33" i="4"/>
  <c r="L860" i="23"/>
  <c r="L921" i="23"/>
  <c r="L1355" i="23"/>
  <c r="L397" i="23"/>
  <c r="M1089" i="23"/>
  <c r="L1005" i="23"/>
  <c r="L887" i="23"/>
  <c r="L126" i="23"/>
  <c r="L1244" i="23"/>
  <c r="M1365" i="23"/>
  <c r="M1093" i="23"/>
  <c r="M652" i="23"/>
  <c r="L1300" i="23"/>
  <c r="L1115" i="23"/>
  <c r="M1190" i="23"/>
  <c r="M1298" i="23"/>
  <c r="L917" i="23"/>
  <c r="L1294" i="23"/>
  <c r="M1330" i="23"/>
  <c r="L511" i="23"/>
  <c r="L1100" i="23"/>
  <c r="L1086" i="23"/>
  <c r="L277" i="23"/>
  <c r="L1283" i="23"/>
  <c r="L1144" i="23"/>
  <c r="M46" i="23"/>
  <c r="G46" i="23" s="1"/>
  <c r="M1321" i="23"/>
  <c r="M311" i="23"/>
  <c r="M561" i="23"/>
  <c r="M1076" i="23"/>
  <c r="L606" i="23"/>
  <c r="L1180" i="23"/>
  <c r="L1178" i="23"/>
  <c r="L1040" i="23"/>
  <c r="L1015" i="23"/>
  <c r="L1108" i="23"/>
  <c r="M1333" i="23"/>
  <c r="M1401" i="23"/>
  <c r="M553" i="23"/>
  <c r="M1067" i="23"/>
  <c r="M126" i="23"/>
  <c r="L718" i="23"/>
  <c r="L396" i="23"/>
  <c r="L140" i="23"/>
  <c r="L1181" i="23"/>
  <c r="M1165" i="23"/>
  <c r="F1165" i="23" s="1"/>
  <c r="M582" i="23"/>
  <c r="M1466" i="23"/>
  <c r="M1397" i="23"/>
  <c r="M1379" i="23"/>
  <c r="L841" i="23"/>
  <c r="L1227" i="23"/>
  <c r="L296" i="23"/>
  <c r="M1173" i="23"/>
  <c r="M1001" i="23"/>
  <c r="M1077" i="23"/>
  <c r="M1390" i="23"/>
  <c r="M944" i="23"/>
  <c r="F944" i="23" s="1"/>
  <c r="M1378" i="23"/>
  <c r="L882" i="23"/>
  <c r="L365" i="23"/>
  <c r="L1123" i="23"/>
  <c r="L793" i="23"/>
  <c r="L1324" i="23"/>
  <c r="L1354" i="23"/>
  <c r="L1149" i="23"/>
  <c r="L1261" i="23"/>
  <c r="M1086" i="23"/>
  <c r="M1383" i="23"/>
  <c r="L1217" i="23"/>
  <c r="L530" i="23"/>
  <c r="L1362" i="23"/>
  <c r="L1297" i="23"/>
  <c r="L1012" i="23"/>
  <c r="L58" i="23"/>
  <c r="M1376" i="23"/>
  <c r="L1099" i="23"/>
  <c r="L327" i="23"/>
  <c r="L512" i="23"/>
  <c r="L539" i="23"/>
  <c r="L1285" i="23"/>
  <c r="L1267" i="23"/>
  <c r="L1143" i="23"/>
  <c r="L1043" i="23"/>
  <c r="I23" i="4"/>
  <c r="L1315" i="23"/>
  <c r="L845" i="23"/>
  <c r="L138" i="23"/>
  <c r="L61" i="23"/>
  <c r="L752" i="23"/>
  <c r="L256" i="23"/>
  <c r="L453" i="23"/>
  <c r="L1251" i="23"/>
  <c r="L319" i="23"/>
  <c r="L1124" i="23"/>
  <c r="L800" i="23"/>
  <c r="L799" i="23"/>
  <c r="L1147" i="23"/>
  <c r="L79" i="23"/>
  <c r="L124" i="23"/>
  <c r="L629" i="23"/>
  <c r="L1134" i="23"/>
  <c r="L834" i="23"/>
  <c r="L766" i="23"/>
  <c r="L1254" i="23"/>
  <c r="L1311" i="23"/>
  <c r="L831" i="23"/>
  <c r="L326" i="23"/>
  <c r="M1345" i="23"/>
  <c r="M1352" i="23"/>
  <c r="L280" i="23"/>
  <c r="L546" i="23"/>
  <c r="L192" i="23"/>
  <c r="L1346" i="23"/>
  <c r="L1139" i="23"/>
  <c r="L1375" i="23"/>
  <c r="L999" i="23"/>
  <c r="M555" i="23"/>
  <c r="M556" i="23"/>
  <c r="M1473" i="23"/>
  <c r="M1229" i="23"/>
  <c r="M1325" i="23"/>
  <c r="M1351" i="23"/>
  <c r="M1327" i="23"/>
  <c r="L508" i="23"/>
  <c r="L1083" i="23"/>
  <c r="L1313" i="23"/>
  <c r="M1465" i="23"/>
  <c r="M1460" i="23"/>
  <c r="L505" i="23"/>
  <c r="L168" i="23"/>
  <c r="M1255" i="23"/>
  <c r="M1258" i="23"/>
  <c r="M1081" i="23"/>
  <c r="M1094" i="23"/>
  <c r="M1083" i="23"/>
  <c r="M1096" i="23"/>
  <c r="L892" i="23"/>
  <c r="L1349" i="23"/>
  <c r="L1233" i="23"/>
  <c r="M1459" i="23"/>
  <c r="M1462" i="23"/>
  <c r="M1071" i="23"/>
  <c r="M1085" i="23"/>
  <c r="M1074" i="23"/>
  <c r="M1069" i="23"/>
  <c r="M1344" i="23"/>
  <c r="M1340" i="23"/>
  <c r="M1332" i="23"/>
  <c r="G1342" i="23"/>
  <c r="L1126" i="23"/>
  <c r="L329" i="23"/>
  <c r="L871" i="23"/>
  <c r="L292" i="23"/>
  <c r="L922" i="23"/>
  <c r="L595" i="23"/>
  <c r="M309" i="23"/>
  <c r="M1329" i="23"/>
  <c r="L888" i="23"/>
  <c r="L604" i="23"/>
  <c r="L343" i="23"/>
  <c r="L989" i="23"/>
  <c r="L1292" i="23"/>
  <c r="L1130" i="23"/>
  <c r="M117" i="23"/>
  <c r="M1167" i="23"/>
  <c r="M1161" i="23"/>
  <c r="M1160" i="23"/>
  <c r="F1160" i="23" s="1"/>
  <c r="M32" i="23"/>
  <c r="M1222" i="23"/>
  <c r="M1230" i="23"/>
  <c r="L1155" i="23"/>
  <c r="L1025" i="23"/>
  <c r="L735" i="23"/>
  <c r="M1391" i="23"/>
  <c r="M1398" i="23"/>
  <c r="L1247" i="23"/>
  <c r="M1380" i="23"/>
  <c r="F1380" i="23" s="1"/>
  <c r="M1370" i="23"/>
  <c r="M1373" i="23"/>
  <c r="M1371" i="23"/>
  <c r="L513" i="23"/>
  <c r="L407" i="23"/>
  <c r="L1121" i="23"/>
  <c r="L890" i="23"/>
  <c r="M301" i="23"/>
  <c r="M435" i="23"/>
  <c r="M1291" i="23"/>
  <c r="M931" i="23"/>
  <c r="M930" i="23"/>
  <c r="L110" i="23"/>
  <c r="L1328" i="23"/>
  <c r="L1295" i="23"/>
  <c r="L743" i="23"/>
  <c r="L1098" i="23"/>
  <c r="L375" i="23"/>
  <c r="L674" i="23"/>
  <c r="L497" i="23"/>
  <c r="L814" i="23"/>
  <c r="L592" i="23"/>
  <c r="M1080" i="23"/>
  <c r="M1064" i="23"/>
  <c r="M1078" i="23"/>
  <c r="M1084" i="23"/>
  <c r="M1070" i="23"/>
  <c r="M1185" i="23"/>
  <c r="M1196" i="23"/>
  <c r="M1225" i="23"/>
  <c r="F1225" i="23" s="1"/>
  <c r="M1207" i="23"/>
  <c r="M1211" i="23"/>
  <c r="M1386" i="23"/>
  <c r="M1384" i="23"/>
  <c r="M1389" i="23"/>
  <c r="M1399" i="23"/>
  <c r="M1404" i="23"/>
  <c r="L1096" i="23"/>
  <c r="L1128" i="23"/>
  <c r="L272" i="23"/>
  <c r="L320" i="23"/>
  <c r="L747" i="23"/>
  <c r="L1359" i="23"/>
  <c r="L331" i="23"/>
  <c r="L363" i="23"/>
  <c r="M549" i="23"/>
  <c r="M1286" i="23"/>
  <c r="M1287" i="23"/>
  <c r="M1293" i="23"/>
  <c r="M1382" i="23"/>
  <c r="M1395" i="23"/>
  <c r="M1387" i="23"/>
  <c r="M1394" i="23"/>
  <c r="L1114" i="23"/>
  <c r="L516" i="23"/>
  <c r="L1235" i="23"/>
  <c r="L380" i="23"/>
  <c r="L1250" i="23"/>
  <c r="M1203" i="23"/>
  <c r="M1193" i="23"/>
  <c r="M1170" i="23"/>
  <c r="M1171" i="23"/>
  <c r="M1363" i="23"/>
  <c r="F1363" i="23" s="1"/>
  <c r="M1338" i="23"/>
  <c r="M1339" i="23"/>
  <c r="M1341" i="23"/>
  <c r="L1133" i="23"/>
  <c r="L1246" i="23"/>
  <c r="L367" i="23"/>
  <c r="L1252" i="23"/>
  <c r="L1003" i="23"/>
  <c r="L154" i="23"/>
  <c r="L1177" i="23"/>
  <c r="I43" i="4"/>
  <c r="M146" i="23" s="1"/>
  <c r="I389" i="4"/>
  <c r="M1458" i="23" s="1"/>
  <c r="L149" i="23"/>
  <c r="L1361" i="23"/>
  <c r="L1352" i="23"/>
  <c r="L139" i="23"/>
  <c r="L842" i="23"/>
  <c r="L826" i="23"/>
  <c r="I227" i="4"/>
  <c r="L741" i="23"/>
  <c r="I239" i="4"/>
  <c r="I213" i="4"/>
  <c r="L816" i="23"/>
  <c r="L787" i="23"/>
  <c r="L731" i="23"/>
  <c r="L1137" i="23"/>
  <c r="L1116" i="23"/>
  <c r="I325" i="4"/>
  <c r="M1208" i="23" s="1"/>
  <c r="I243" i="4"/>
  <c r="I215" i="4"/>
  <c r="L464" i="23"/>
  <c r="L1101" i="23"/>
  <c r="L1120" i="23"/>
  <c r="I133" i="4"/>
  <c r="I379" i="4"/>
  <c r="M1410" i="23" s="1"/>
  <c r="L503" i="23"/>
  <c r="L1310" i="23"/>
  <c r="I145" i="4"/>
  <c r="I351" i="4"/>
  <c r="G11" i="23"/>
  <c r="L1222" i="23"/>
  <c r="L1319" i="23"/>
  <c r="L1331" i="23"/>
  <c r="L1312" i="23"/>
  <c r="L54" i="23"/>
  <c r="L1085" i="23"/>
  <c r="L1277" i="23"/>
  <c r="L73" i="23"/>
  <c r="L619" i="23"/>
  <c r="L1095" i="23"/>
  <c r="L1050" i="23"/>
  <c r="L479" i="23"/>
  <c r="L1112" i="23"/>
  <c r="L75" i="23"/>
  <c r="L1162" i="23"/>
  <c r="L1275" i="23"/>
  <c r="L909" i="23"/>
  <c r="L152" i="23"/>
  <c r="L628" i="23"/>
  <c r="L485" i="23"/>
  <c r="L91" i="23"/>
  <c r="L611" i="23"/>
  <c r="L1239" i="23"/>
  <c r="L117" i="23"/>
  <c r="L489" i="23"/>
  <c r="L769" i="23"/>
  <c r="L587" i="23"/>
  <c r="L1030" i="23"/>
  <c r="L155" i="23"/>
  <c r="L267" i="23"/>
  <c r="L778" i="23"/>
  <c r="L966" i="23"/>
  <c r="L773" i="23"/>
  <c r="L566" i="23"/>
  <c r="L322" i="23"/>
  <c r="L981" i="23"/>
  <c r="L631" i="23"/>
  <c r="L225" i="23"/>
  <c r="F1342" i="23"/>
  <c r="G16" i="23"/>
  <c r="G19" i="23"/>
  <c r="G33" i="23"/>
  <c r="F22" i="23"/>
  <c r="G9" i="23"/>
  <c r="F40" i="23"/>
  <c r="F28" i="23"/>
  <c r="L499" i="23"/>
  <c r="L370" i="23"/>
  <c r="F3" i="23"/>
  <c r="L1080" i="23"/>
  <c r="L1318" i="23"/>
  <c r="L583" i="23"/>
  <c r="L378" i="23"/>
  <c r="L716" i="23"/>
  <c r="L388" i="23"/>
  <c r="L1022" i="23"/>
  <c r="L258" i="23"/>
  <c r="L885" i="23"/>
  <c r="G44" i="23"/>
  <c r="L66" i="23"/>
  <c r="L385" i="23"/>
  <c r="L574" i="23"/>
  <c r="L945" i="23"/>
  <c r="L1102" i="23"/>
  <c r="L1097" i="23"/>
  <c r="L663" i="23"/>
  <c r="L1382" i="23"/>
  <c r="F31" i="23"/>
  <c r="L1023" i="23"/>
  <c r="L689" i="23"/>
  <c r="L488" i="23"/>
  <c r="L461" i="23"/>
  <c r="L88" i="23"/>
  <c r="L794" i="23"/>
  <c r="L72" i="23"/>
  <c r="L818" i="23"/>
  <c r="I97" i="4"/>
  <c r="M346" i="23" s="1"/>
  <c r="L333" i="23"/>
  <c r="L1265" i="23"/>
  <c r="L158" i="23"/>
  <c r="L414" i="23"/>
  <c r="L671" i="23"/>
  <c r="L127" i="23"/>
  <c r="L1009" i="23"/>
  <c r="L758" i="23"/>
  <c r="L613" i="23"/>
  <c r="L599" i="23"/>
  <c r="L1024" i="23"/>
  <c r="L93" i="23"/>
  <c r="L342" i="23"/>
  <c r="L358" i="23"/>
  <c r="L1337" i="23"/>
  <c r="L335" i="23"/>
  <c r="L103" i="23"/>
  <c r="L77" i="23"/>
  <c r="L504" i="23"/>
  <c r="L473" i="23"/>
  <c r="L775" i="23"/>
  <c r="L870" i="23"/>
  <c r="L866" i="23"/>
  <c r="L1169" i="23"/>
  <c r="L941" i="23"/>
  <c r="F1336" i="23"/>
  <c r="G1336" i="23"/>
  <c r="L422" i="23"/>
  <c r="L427" i="23"/>
  <c r="L896" i="23"/>
  <c r="L884" i="23"/>
  <c r="L509" i="23"/>
  <c r="L502" i="23"/>
  <c r="L727" i="23"/>
  <c r="L715" i="23"/>
  <c r="L1344" i="23"/>
  <c r="L344" i="23"/>
  <c r="L528" i="23"/>
  <c r="L707" i="23"/>
  <c r="L728" i="23"/>
  <c r="L1221" i="23"/>
  <c r="L1011" i="23"/>
  <c r="L498" i="23"/>
  <c r="L1185" i="23"/>
  <c r="L1190" i="23"/>
  <c r="L1408" i="23"/>
  <c r="L1459" i="23"/>
  <c r="L1446" i="23"/>
  <c r="L404" i="23"/>
  <c r="L900" i="23"/>
  <c r="L102" i="23"/>
  <c r="L99" i="23"/>
  <c r="L810" i="23"/>
  <c r="L483" i="23"/>
  <c r="L259" i="23"/>
  <c r="L263" i="23"/>
  <c r="L271" i="23"/>
  <c r="L908" i="23"/>
  <c r="L183" i="23"/>
  <c r="L1090" i="23"/>
  <c r="L1284" i="23"/>
  <c r="L762" i="23"/>
  <c r="L760" i="23"/>
  <c r="L237" i="23"/>
  <c r="L253" i="23"/>
  <c r="L1467" i="23"/>
  <c r="L1463" i="23"/>
  <c r="L187" i="23"/>
  <c r="L211" i="23"/>
  <c r="L43" i="23"/>
  <c r="L501" i="23"/>
  <c r="L932" i="23"/>
  <c r="L765" i="23"/>
  <c r="L350" i="23"/>
  <c r="F6" i="23"/>
  <c r="F39" i="23"/>
  <c r="G39" i="23"/>
  <c r="L148" i="23"/>
  <c r="L1327" i="23"/>
  <c r="L1052" i="23"/>
  <c r="L789" i="23"/>
  <c r="L804" i="23"/>
  <c r="F5" i="23"/>
  <c r="L510" i="23"/>
  <c r="L120" i="23"/>
  <c r="L141" i="23"/>
  <c r="L257" i="23"/>
  <c r="L269" i="23"/>
  <c r="L463" i="23"/>
  <c r="L465" i="23"/>
  <c r="L456" i="23"/>
  <c r="L919" i="23"/>
  <c r="L923" i="23"/>
  <c r="L836" i="23"/>
  <c r="L809" i="23"/>
  <c r="L829" i="23"/>
  <c r="L695" i="23"/>
  <c r="L782" i="23"/>
  <c r="L878" i="23"/>
  <c r="L338" i="23"/>
  <c r="L914" i="23"/>
  <c r="L472" i="23"/>
  <c r="L143" i="23"/>
  <c r="G12" i="23"/>
  <c r="F12" i="23"/>
  <c r="L655" i="23"/>
  <c r="L653" i="23"/>
  <c r="L1396" i="23"/>
  <c r="L1391" i="23"/>
  <c r="L1401" i="23"/>
  <c r="L1447" i="23"/>
  <c r="L1455" i="23"/>
  <c r="L1449" i="23"/>
  <c r="L1390" i="23"/>
  <c r="L1409" i="23"/>
  <c r="L1385" i="23"/>
  <c r="L1392" i="23"/>
  <c r="I47" i="4"/>
  <c r="L165" i="23"/>
  <c r="L254" i="23"/>
  <c r="L383" i="23"/>
  <c r="L328" i="23"/>
  <c r="L950" i="23"/>
  <c r="L962" i="23"/>
  <c r="L395" i="23"/>
  <c r="L425" i="23"/>
  <c r="L438" i="23"/>
  <c r="L420" i="23"/>
  <c r="L400" i="23"/>
  <c r="L401" i="23"/>
  <c r="L282" i="23"/>
  <c r="L290" i="23"/>
  <c r="L364" i="23"/>
  <c r="L353" i="23"/>
  <c r="L1157" i="23"/>
  <c r="L1094" i="23"/>
  <c r="L536" i="23"/>
  <c r="L146" i="23"/>
  <c r="F2" i="23"/>
  <c r="G2" i="23"/>
  <c r="I385" i="4"/>
  <c r="M1440" i="23" s="1"/>
  <c r="L1347" i="23"/>
  <c r="L1321" i="23"/>
  <c r="L640" i="23"/>
  <c r="L630" i="23"/>
  <c r="L633" i="23"/>
  <c r="L481" i="23"/>
  <c r="L500" i="23"/>
  <c r="L303" i="23"/>
  <c r="L312" i="23"/>
  <c r="L1381" i="23"/>
  <c r="L1356" i="23"/>
  <c r="L1378" i="23"/>
  <c r="L132" i="23"/>
  <c r="L114" i="23"/>
  <c r="L670" i="23"/>
  <c r="L803" i="23"/>
  <c r="L819" i="23"/>
  <c r="L1395" i="23"/>
  <c r="L796" i="23"/>
  <c r="L1150" i="23"/>
  <c r="G10" i="23"/>
  <c r="F10" i="23"/>
  <c r="L801" i="23"/>
  <c r="L1213" i="23"/>
  <c r="L1234" i="23"/>
  <c r="L293" i="23"/>
  <c r="L304" i="23"/>
  <c r="L582" i="23"/>
  <c r="L575" i="23"/>
  <c r="L581" i="23"/>
  <c r="L81" i="23"/>
  <c r="L1018" i="23"/>
  <c r="L723" i="23"/>
  <c r="L726" i="23"/>
  <c r="L1431" i="23"/>
  <c r="L531" i="23"/>
  <c r="L1064" i="23"/>
  <c r="L1074" i="23"/>
  <c r="L1314" i="23"/>
  <c r="L1307" i="23"/>
  <c r="L904" i="23"/>
  <c r="L916" i="23"/>
  <c r="L954" i="23"/>
  <c r="L959" i="23"/>
  <c r="L952" i="23"/>
  <c r="L176" i="23"/>
  <c r="L182" i="23"/>
  <c r="L294" i="23"/>
  <c r="L1353" i="23"/>
  <c r="L60" i="23"/>
  <c r="L603" i="23"/>
  <c r="L600" i="23"/>
  <c r="L822" i="23"/>
  <c r="L898" i="23"/>
  <c r="L901" i="23"/>
  <c r="F18" i="23"/>
  <c r="G30" i="23"/>
  <c r="G42" i="23"/>
  <c r="L576" i="23"/>
  <c r="L564" i="23"/>
  <c r="L221" i="23"/>
  <c r="L223" i="23"/>
  <c r="L1394" i="23"/>
  <c r="L1397" i="23"/>
  <c r="L1403" i="23"/>
  <c r="L1473" i="23"/>
  <c r="L1450" i="23"/>
  <c r="L1416" i="23"/>
  <c r="L1441" i="23"/>
  <c r="L1456" i="23"/>
  <c r="L1387" i="23"/>
  <c r="L1452" i="23"/>
  <c r="L1454" i="23"/>
  <c r="L1398" i="23"/>
  <c r="L1432" i="23"/>
  <c r="L1451" i="23"/>
  <c r="L1453" i="23"/>
  <c r="L1448" i="23"/>
  <c r="L1402" i="23"/>
  <c r="L1426" i="23"/>
  <c r="L1444" i="23"/>
  <c r="L1414" i="23"/>
  <c r="L1004" i="23"/>
  <c r="L985" i="23"/>
  <c r="I179" i="4"/>
  <c r="L614" i="23"/>
  <c r="L625" i="23"/>
  <c r="L605" i="23"/>
  <c r="L622" i="23"/>
  <c r="L462" i="23"/>
  <c r="L134" i="23"/>
  <c r="L394" i="23"/>
  <c r="L406" i="23"/>
  <c r="L694" i="23"/>
  <c r="L685" i="23"/>
  <c r="I67" i="4"/>
  <c r="L216" i="23"/>
  <c r="L1317" i="23"/>
  <c r="L1216" i="23"/>
  <c r="G7" i="23"/>
  <c r="F7" i="23"/>
  <c r="L1036" i="23"/>
  <c r="L1033" i="23"/>
  <c r="L1141" i="23"/>
  <c r="L1174" i="23"/>
  <c r="I203" i="4"/>
  <c r="L711" i="23"/>
  <c r="L702" i="23"/>
  <c r="L135" i="23"/>
  <c r="L119" i="23"/>
  <c r="L130" i="23"/>
  <c r="L1035" i="23"/>
  <c r="F34" i="23"/>
  <c r="G34" i="23"/>
  <c r="I189" i="4"/>
  <c r="L654" i="23"/>
  <c r="L433" i="23"/>
  <c r="L450" i="23"/>
  <c r="L172" i="23"/>
  <c r="L178" i="23"/>
  <c r="L862" i="23"/>
  <c r="L854" i="23"/>
  <c r="I29" i="4"/>
  <c r="M94" i="23" s="1"/>
  <c r="L69" i="23"/>
  <c r="L86" i="23"/>
  <c r="I277" i="4"/>
  <c r="L958" i="23"/>
  <c r="L289" i="23"/>
  <c r="L806" i="23"/>
  <c r="L745" i="23"/>
  <c r="L1073" i="23"/>
  <c r="L1076" i="23"/>
  <c r="L1199" i="23"/>
  <c r="L1212" i="23"/>
  <c r="L1209" i="23"/>
  <c r="I137" i="4"/>
  <c r="L477" i="23"/>
  <c r="I105" i="4"/>
  <c r="L373" i="23"/>
  <c r="L348" i="23"/>
  <c r="I183" i="4"/>
  <c r="L636" i="23"/>
  <c r="L768" i="23"/>
  <c r="L783" i="23"/>
  <c r="I45" i="4"/>
  <c r="L150" i="23"/>
  <c r="L228" i="23"/>
  <c r="L251" i="23"/>
  <c r="L323" i="23"/>
  <c r="L316" i="23"/>
  <c r="L311" i="23"/>
  <c r="L314" i="23"/>
  <c r="L547" i="23"/>
  <c r="L540" i="23"/>
  <c r="L1057" i="23"/>
  <c r="L1061" i="23"/>
  <c r="L41" i="23"/>
  <c r="L74" i="23"/>
  <c r="L116" i="23"/>
  <c r="L1427" i="23"/>
  <c r="L493" i="23"/>
  <c r="L1071" i="23"/>
  <c r="L1081" i="23"/>
  <c r="I225" i="4"/>
  <c r="L785" i="23"/>
  <c r="L767" i="23"/>
  <c r="L788" i="23"/>
  <c r="I263" i="4"/>
  <c r="L915" i="23"/>
  <c r="L421" i="23"/>
  <c r="L470" i="23"/>
  <c r="L476" i="23"/>
  <c r="L949" i="23"/>
  <c r="L926" i="23"/>
  <c r="I101" i="4"/>
  <c r="M354" i="23" s="1"/>
  <c r="L371" i="23"/>
  <c r="L969" i="23"/>
  <c r="L968" i="23"/>
  <c r="L175" i="23"/>
  <c r="L193" i="23"/>
  <c r="L196" i="23"/>
  <c r="L184" i="23"/>
  <c r="L877" i="23"/>
  <c r="L869" i="23"/>
  <c r="I25" i="4"/>
  <c r="M90" i="23" s="1"/>
  <c r="L87" i="23"/>
  <c r="L240" i="23"/>
  <c r="L232" i="23"/>
  <c r="L1019" i="23"/>
  <c r="L850" i="23"/>
  <c r="L1017" i="23"/>
  <c r="L1333" i="23"/>
  <c r="G17" i="23"/>
  <c r="I161" i="4"/>
  <c r="L555" i="23"/>
  <c r="L554" i="23"/>
  <c r="L548" i="23"/>
  <c r="I127" i="4"/>
  <c r="L446" i="23"/>
  <c r="I353" i="4"/>
  <c r="M1312" i="23" s="1"/>
  <c r="L1215" i="23"/>
  <c r="L1231" i="23"/>
  <c r="L1229" i="23"/>
  <c r="I87" i="4"/>
  <c r="L307" i="23"/>
  <c r="L300" i="23"/>
  <c r="L302" i="23"/>
  <c r="I49" i="4"/>
  <c r="L159" i="23"/>
  <c r="L170" i="23"/>
  <c r="I247" i="4"/>
  <c r="L857" i="23"/>
  <c r="L861" i="23"/>
  <c r="L856" i="23"/>
  <c r="I169" i="4"/>
  <c r="M628" i="23" s="1"/>
  <c r="L584" i="23"/>
  <c r="L578" i="23"/>
  <c r="I245" i="4"/>
  <c r="M911" i="23" s="1"/>
  <c r="L832" i="23"/>
  <c r="L858" i="23"/>
  <c r="I123" i="4"/>
  <c r="L416" i="23"/>
  <c r="L434" i="23"/>
  <c r="L413" i="23"/>
  <c r="I257" i="4"/>
  <c r="L891" i="23"/>
  <c r="I107" i="4"/>
  <c r="M398" i="23" s="1"/>
  <c r="L361" i="23"/>
  <c r="L362" i="23"/>
  <c r="I241" i="4"/>
  <c r="M901" i="23" s="1"/>
  <c r="L817" i="23"/>
  <c r="L846" i="23"/>
  <c r="L833" i="23"/>
  <c r="I31" i="4"/>
  <c r="M123" i="23" s="1"/>
  <c r="L112" i="23"/>
  <c r="L100" i="23"/>
  <c r="L97" i="23"/>
  <c r="I307" i="4"/>
  <c r="M1142" i="23" s="1"/>
  <c r="L1062" i="23"/>
  <c r="L1042" i="23"/>
  <c r="I349" i="4"/>
  <c r="M1304" i="23" s="1"/>
  <c r="L1220" i="23"/>
  <c r="L1206" i="23"/>
  <c r="I153" i="4"/>
  <c r="M568" i="23" s="1"/>
  <c r="L527" i="23"/>
  <c r="L532" i="23"/>
  <c r="I17" i="4"/>
  <c r="M56" i="23" s="1"/>
  <c r="L55" i="23"/>
  <c r="L48" i="23"/>
  <c r="L51" i="23"/>
  <c r="I147" i="4"/>
  <c r="L495" i="23"/>
  <c r="I75" i="4"/>
  <c r="M282" i="23" s="1"/>
  <c r="L242" i="23"/>
  <c r="L249" i="23"/>
  <c r="I217" i="4"/>
  <c r="L770" i="23"/>
  <c r="L759" i="23"/>
  <c r="L757" i="23"/>
  <c r="L750" i="23"/>
  <c r="I211" i="4"/>
  <c r="L734" i="23"/>
  <c r="I63" i="4"/>
  <c r="L201" i="23"/>
  <c r="L206" i="23"/>
  <c r="I231" i="4"/>
  <c r="M858" i="23" s="1"/>
  <c r="L805" i="23"/>
  <c r="L815" i="23"/>
  <c r="L795" i="23"/>
  <c r="L491" i="23"/>
  <c r="L496" i="23"/>
  <c r="L494" i="23"/>
  <c r="L514" i="23"/>
  <c r="I223" i="4"/>
  <c r="M836" i="23" s="1"/>
  <c r="L763" i="23"/>
  <c r="L761" i="23"/>
  <c r="I207" i="4"/>
  <c r="L710" i="23"/>
  <c r="L733" i="23"/>
  <c r="L729" i="23"/>
  <c r="I73" i="4"/>
  <c r="L260" i="23"/>
  <c r="L248" i="23"/>
  <c r="I69" i="4"/>
  <c r="L244" i="23"/>
  <c r="I91" i="4"/>
  <c r="L321" i="23"/>
  <c r="L313" i="23"/>
  <c r="I89" i="4"/>
  <c r="L301" i="23"/>
  <c r="I173" i="4"/>
  <c r="L589" i="23"/>
  <c r="L593" i="23"/>
  <c r="I79" i="4"/>
  <c r="M284" i="23" s="1"/>
  <c r="L274" i="23"/>
  <c r="L266" i="23"/>
  <c r="L520" i="23"/>
  <c r="L551" i="23"/>
  <c r="L552" i="23"/>
  <c r="I305" i="4"/>
  <c r="L1060" i="23"/>
  <c r="L1055" i="23"/>
  <c r="I19" i="4"/>
  <c r="L57" i="23"/>
  <c r="I131" i="4"/>
  <c r="L447" i="23"/>
  <c r="L459" i="23"/>
  <c r="L460" i="23"/>
  <c r="I21" i="4"/>
  <c r="M75" i="23" s="1"/>
  <c r="L59" i="23"/>
  <c r="L67" i="23"/>
  <c r="L76" i="23"/>
  <c r="L519" i="23"/>
  <c r="I135" i="4"/>
  <c r="M495" i="23" s="1"/>
  <c r="L455" i="23"/>
  <c r="L466" i="23"/>
  <c r="I279" i="4"/>
  <c r="L965" i="23"/>
  <c r="L978" i="23"/>
  <c r="L972" i="23"/>
  <c r="L963" i="23"/>
  <c r="L1078" i="23"/>
  <c r="L1089" i="23"/>
  <c r="L1088" i="23"/>
  <c r="I381" i="4"/>
  <c r="M1419" i="23" s="1"/>
  <c r="L1343" i="23"/>
  <c r="L1320" i="23"/>
  <c r="I265" i="4"/>
  <c r="M991" i="23" s="1"/>
  <c r="L935" i="23"/>
  <c r="I237" i="4"/>
  <c r="M881" i="23" s="1"/>
  <c r="L830" i="23"/>
  <c r="I197" i="4"/>
  <c r="L679" i="23"/>
  <c r="L673" i="23"/>
  <c r="L678" i="23"/>
  <c r="I57" i="4"/>
  <c r="M204" i="23" s="1"/>
  <c r="L212" i="23"/>
  <c r="L191" i="23"/>
  <c r="L214" i="23"/>
  <c r="I159" i="4"/>
  <c r="M583" i="23" s="1"/>
  <c r="L544" i="23"/>
  <c r="L542" i="23"/>
  <c r="L906" i="23"/>
  <c r="L905" i="23"/>
  <c r="L886" i="23"/>
  <c r="L899" i="23"/>
  <c r="I275" i="4"/>
  <c r="L970" i="23"/>
  <c r="L957" i="23"/>
  <c r="I51" i="4"/>
  <c r="M185" i="23" s="1"/>
  <c r="L161" i="23"/>
  <c r="L492" i="23"/>
  <c r="L1168" i="23"/>
  <c r="I271" i="4"/>
  <c r="L936" i="23"/>
  <c r="L939" i="23"/>
  <c r="L623" i="23"/>
  <c r="L602" i="23"/>
  <c r="L601" i="23"/>
  <c r="I171" i="4"/>
  <c r="L620" i="23"/>
  <c r="L610" i="23"/>
  <c r="I249" i="4"/>
  <c r="M932" i="23" s="1"/>
  <c r="L867" i="23"/>
  <c r="I297" i="4"/>
  <c r="M1095" i="23" s="1"/>
  <c r="L1028" i="23"/>
  <c r="L1027" i="23"/>
  <c r="L1038" i="23"/>
  <c r="I283" i="4"/>
  <c r="L984" i="23"/>
  <c r="L986" i="23"/>
  <c r="I55" i="4"/>
  <c r="M199" i="23" s="1"/>
  <c r="L181" i="23"/>
  <c r="L173" i="23"/>
  <c r="I219" i="4"/>
  <c r="L744" i="23"/>
  <c r="L755" i="23"/>
  <c r="I337" i="4"/>
  <c r="L1187" i="23"/>
  <c r="L1172" i="23"/>
  <c r="I281" i="4"/>
  <c r="L953" i="23"/>
  <c r="I255" i="4"/>
  <c r="L881" i="23"/>
  <c r="I71" i="4"/>
  <c r="L238" i="23"/>
  <c r="L80" i="23"/>
  <c r="I317" i="4"/>
  <c r="M1164" i="23" s="1"/>
  <c r="L1105" i="23"/>
  <c r="L1092" i="23"/>
  <c r="L1091" i="23"/>
  <c r="I181" i="4"/>
  <c r="L624" i="23"/>
  <c r="L608" i="23"/>
  <c r="L617" i="23"/>
  <c r="I205" i="4"/>
  <c r="M763" i="23" s="1"/>
  <c r="L705" i="23"/>
  <c r="L720" i="23"/>
  <c r="L657" i="23"/>
  <c r="L634" i="23"/>
  <c r="L647" i="23"/>
  <c r="L649" i="23"/>
  <c r="I165" i="4"/>
  <c r="M618" i="23" s="1"/>
  <c r="L571" i="23"/>
  <c r="L565" i="23"/>
  <c r="I209" i="4"/>
  <c r="L730" i="23"/>
  <c r="L712" i="23"/>
  <c r="I65" i="4"/>
  <c r="L215" i="23"/>
  <c r="L209" i="23"/>
  <c r="I401" i="4"/>
  <c r="M1488" i="23" s="1"/>
  <c r="L1418" i="23"/>
  <c r="L1393" i="23"/>
  <c r="L1466" i="23"/>
  <c r="L1428" i="23"/>
  <c r="L1413" i="23"/>
  <c r="L1460" i="23"/>
  <c r="L1411" i="23"/>
  <c r="L1425" i="23"/>
  <c r="L1415" i="23"/>
  <c r="L1434" i="23"/>
  <c r="L1420" i="23"/>
  <c r="L1421" i="23"/>
  <c r="I285" i="4"/>
  <c r="M1068" i="23" s="1"/>
  <c r="L1006" i="23"/>
  <c r="L998" i="23"/>
  <c r="I113" i="4"/>
  <c r="L384" i="23"/>
  <c r="L391" i="23"/>
  <c r="I303" i="4"/>
  <c r="M1125" i="23" s="1"/>
  <c r="L1058" i="23"/>
  <c r="L1054" i="23"/>
  <c r="I61" i="4"/>
  <c r="M224" i="23" s="1"/>
  <c r="L231" i="23"/>
  <c r="L199" i="23"/>
  <c r="L70" i="23"/>
  <c r="L942" i="23"/>
  <c r="L943" i="23"/>
  <c r="I115" i="4"/>
  <c r="L409" i="23"/>
  <c r="I117" i="4"/>
  <c r="M430" i="23" s="1"/>
  <c r="L405" i="23"/>
  <c r="L392" i="23"/>
  <c r="L402" i="23"/>
  <c r="I125" i="4"/>
  <c r="L449" i="23"/>
  <c r="L408" i="23"/>
  <c r="I121" i="4"/>
  <c r="M436" i="23" s="1"/>
  <c r="L418" i="23"/>
  <c r="L411" i="23"/>
  <c r="I343" i="4"/>
  <c r="M1272" i="23" s="1"/>
  <c r="L1183" i="23"/>
  <c r="L1193" i="23"/>
  <c r="L1191" i="23"/>
  <c r="L696" i="23"/>
  <c r="L691" i="23"/>
  <c r="I81" i="4"/>
  <c r="L264" i="23"/>
  <c r="I103" i="4"/>
  <c r="M369" i="23" s="1"/>
  <c r="L347" i="23"/>
  <c r="L357" i="23"/>
  <c r="L355" i="23"/>
  <c r="I163" i="4"/>
  <c r="L569" i="23"/>
  <c r="L557" i="23"/>
  <c r="L562" i="23"/>
  <c r="I201" i="4"/>
  <c r="L699" i="23"/>
  <c r="L688" i="23"/>
  <c r="L703" i="23"/>
  <c r="I193" i="4"/>
  <c r="L650" i="23"/>
  <c r="L681" i="23"/>
  <c r="I195" i="4"/>
  <c r="L667" i="23"/>
  <c r="L658" i="23"/>
  <c r="I59" i="4"/>
  <c r="M223" i="23" s="1"/>
  <c r="L204" i="23"/>
  <c r="L222" i="23"/>
  <c r="L339" i="23"/>
  <c r="I365" i="4"/>
  <c r="M1348" i="23" s="1"/>
  <c r="L1278" i="23"/>
  <c r="L1268" i="23"/>
  <c r="L1276" i="23"/>
  <c r="I299" i="4"/>
  <c r="L1020" i="23"/>
  <c r="I185" i="4"/>
  <c r="L638" i="23"/>
  <c r="L642" i="23"/>
  <c r="I333" i="4"/>
  <c r="M1248" i="23" s="1"/>
  <c r="L1138" i="23"/>
  <c r="L1156" i="23"/>
  <c r="L1151" i="23"/>
  <c r="I129" i="4"/>
  <c r="L430" i="23"/>
  <c r="L441" i="23"/>
  <c r="I139" i="4"/>
  <c r="L475" i="23"/>
  <c r="I93" i="4"/>
  <c r="M349" i="23" s="1"/>
  <c r="L308" i="23"/>
  <c r="I397" i="4"/>
  <c r="M1461" i="23" s="1"/>
  <c r="L1383" i="23"/>
  <c r="L1404" i="23"/>
  <c r="L1399" i="23"/>
  <c r="L1366" i="23"/>
  <c r="I37" i="4"/>
  <c r="M114" i="23" s="1"/>
  <c r="L128" i="23"/>
  <c r="I191" i="4"/>
  <c r="L676" i="23"/>
  <c r="L662" i="23"/>
  <c r="I235" i="4"/>
  <c r="M873" i="23" s="1"/>
  <c r="L824" i="23"/>
  <c r="I111" i="4"/>
  <c r="M419" i="23" s="1"/>
  <c r="L387" i="23"/>
  <c r="L376" i="23"/>
  <c r="I39" i="4"/>
  <c r="M149" i="23" s="1"/>
  <c r="L125" i="23"/>
  <c r="L137" i="23"/>
  <c r="L142" i="23"/>
  <c r="L341" i="23"/>
  <c r="G29" i="23"/>
  <c r="F29" i="23"/>
  <c r="F37" i="23"/>
  <c r="G37" i="23"/>
  <c r="F8" i="23"/>
  <c r="G8" i="23"/>
  <c r="G15" i="23"/>
  <c r="F15" i="23"/>
  <c r="G21" i="23"/>
  <c r="F21" i="23"/>
  <c r="G24" i="23"/>
  <c r="F24" i="23"/>
  <c r="G40" i="23"/>
  <c r="G20" i="23"/>
  <c r="F23" i="23"/>
  <c r="I175" i="4"/>
  <c r="M657" i="23" s="1"/>
  <c r="I261" i="4"/>
  <c r="M966" i="23" s="1"/>
  <c r="I143" i="4"/>
  <c r="M525" i="23" s="1"/>
  <c r="I273" i="4"/>
  <c r="I187" i="4"/>
  <c r="G25" i="23"/>
  <c r="F25" i="23"/>
  <c r="I155" i="4"/>
  <c r="M587" i="23" s="1"/>
  <c r="I311" i="4"/>
  <c r="M1156" i="23" s="1"/>
  <c r="G14" i="23"/>
  <c r="F14" i="23"/>
  <c r="I199" i="4"/>
  <c r="L771" i="23"/>
  <c r="L774" i="23"/>
  <c r="L790" i="23"/>
  <c r="L780" i="23"/>
  <c r="L756" i="23"/>
  <c r="L1056" i="23"/>
  <c r="L1032" i="23"/>
  <c r="L1039" i="23"/>
  <c r="L1044" i="23"/>
  <c r="L1226" i="23"/>
  <c r="L1242" i="23"/>
  <c r="L1232" i="23"/>
  <c r="L1230" i="23"/>
  <c r="L412" i="23"/>
  <c r="L426" i="23"/>
  <c r="L415" i="23"/>
  <c r="L1037" i="23"/>
  <c r="L1041" i="23"/>
  <c r="L1045" i="23"/>
  <c r="L1021" i="23"/>
  <c r="L436" i="23"/>
  <c r="L437" i="23"/>
  <c r="L435" i="23"/>
  <c r="L448" i="23"/>
  <c r="L701" i="23"/>
  <c r="L690" i="23"/>
  <c r="L704" i="23"/>
  <c r="L714" i="23"/>
  <c r="L687" i="23"/>
  <c r="L315" i="23"/>
  <c r="L325" i="23"/>
  <c r="L318" i="23"/>
  <c r="L309" i="23"/>
  <c r="L185" i="23"/>
  <c r="L194" i="23"/>
  <c r="L164" i="23"/>
  <c r="L195" i="23"/>
  <c r="L186" i="23"/>
  <c r="L360" i="23"/>
  <c r="L372" i="23"/>
  <c r="L345" i="23"/>
  <c r="L374" i="23"/>
  <c r="L346" i="23"/>
  <c r="L879" i="23"/>
  <c r="L912" i="23"/>
  <c r="L883" i="23"/>
  <c r="L698" i="23"/>
  <c r="L697" i="23"/>
  <c r="L684" i="23"/>
  <c r="L526" i="23"/>
  <c r="L549" i="23"/>
  <c r="L558" i="23"/>
  <c r="L543" i="23"/>
  <c r="L808" i="23"/>
  <c r="L812" i="23"/>
  <c r="L828" i="23"/>
  <c r="L811" i="23"/>
  <c r="L813" i="23"/>
  <c r="L157" i="23"/>
  <c r="L151" i="23"/>
  <c r="L454" i="23"/>
  <c r="L469" i="23"/>
  <c r="L451" i="23"/>
  <c r="L457" i="23"/>
  <c r="L129" i="23"/>
  <c r="L121" i="23"/>
  <c r="L131" i="23"/>
  <c r="L123" i="23"/>
  <c r="L92" i="23"/>
  <c r="L78" i="23"/>
  <c r="L105" i="23"/>
  <c r="L96" i="23"/>
  <c r="L639" i="23"/>
  <c r="L648" i="23"/>
  <c r="L664" i="23"/>
  <c r="L637" i="23"/>
  <c r="L646" i="23"/>
  <c r="L563" i="23"/>
  <c r="L577" i="23"/>
  <c r="L560" i="23"/>
  <c r="L567" i="23"/>
  <c r="L925" i="23"/>
  <c r="L911" i="23"/>
  <c r="L918" i="23"/>
  <c r="L928" i="23"/>
  <c r="L1203" i="23"/>
  <c r="L1182" i="23"/>
  <c r="L1198" i="23"/>
  <c r="L1186" i="23"/>
  <c r="L262" i="23"/>
  <c r="L247" i="23"/>
  <c r="L1170" i="23"/>
  <c r="L1161" i="23"/>
  <c r="L1164" i="23"/>
  <c r="L1173" i="23"/>
  <c r="L440" i="23"/>
  <c r="L424" i="23"/>
  <c r="L432" i="23"/>
  <c r="L1066" i="23"/>
  <c r="L1048" i="23"/>
  <c r="L1063" i="23"/>
  <c r="L1075" i="23"/>
  <c r="L213" i="23"/>
  <c r="L218" i="23"/>
  <c r="L219" i="23"/>
  <c r="L210" i="23"/>
  <c r="L1107" i="23"/>
  <c r="L1111" i="23"/>
  <c r="L1103" i="23"/>
  <c r="L1104" i="23"/>
  <c r="L1106" i="23"/>
  <c r="L1152" i="23"/>
  <c r="L1159" i="23"/>
  <c r="L1179" i="23"/>
  <c r="L1153" i="23"/>
  <c r="L153" i="23"/>
  <c r="L167" i="23"/>
  <c r="L171" i="23"/>
  <c r="L239" i="23"/>
  <c r="L230" i="23"/>
  <c r="L233" i="23"/>
  <c r="L220" i="23"/>
  <c r="L297" i="23"/>
  <c r="L286" i="23"/>
  <c r="L306" i="23"/>
  <c r="L310" i="23"/>
  <c r="L983" i="23"/>
  <c r="L980" i="23"/>
  <c r="L285" i="23"/>
  <c r="L255" i="23"/>
  <c r="L273" i="23"/>
  <c r="L270" i="23"/>
  <c r="L635" i="23"/>
  <c r="L644" i="23"/>
  <c r="L656" i="23"/>
  <c r="L626" i="23"/>
  <c r="L144" i="23"/>
  <c r="L136" i="23"/>
  <c r="L133" i="23"/>
  <c r="L147" i="23"/>
  <c r="L359" i="23"/>
  <c r="L368" i="23"/>
  <c r="L354" i="23"/>
  <c r="L967" i="23"/>
  <c r="L961" i="23"/>
  <c r="L971" i="23"/>
  <c r="L964" i="23"/>
  <c r="L641" i="23"/>
  <c r="L627" i="23"/>
  <c r="L615" i="23"/>
  <c r="L974" i="23"/>
  <c r="L973" i="23"/>
  <c r="L946" i="23"/>
  <c r="L955" i="23"/>
  <c r="L975" i="23"/>
  <c r="L279" i="23"/>
  <c r="L295" i="23"/>
  <c r="L288" i="23"/>
  <c r="L56" i="23"/>
  <c r="L36" i="23"/>
  <c r="L32" i="23"/>
  <c r="L798" i="23"/>
  <c r="L781" i="23"/>
  <c r="L907" i="23"/>
  <c r="L903" i="23"/>
  <c r="L934" i="23"/>
  <c r="L927" i="23"/>
  <c r="L1445" i="23"/>
  <c r="L1423" i="23"/>
  <c r="L1457" i="23"/>
  <c r="L1436" i="23"/>
  <c r="L1419" i="23"/>
  <c r="L1430" i="23"/>
  <c r="L1437" i="23"/>
  <c r="L1405" i="23"/>
  <c r="L1442" i="23"/>
  <c r="L1400" i="23"/>
  <c r="L1438" i="23"/>
  <c r="L1435" i="23"/>
  <c r="L1417" i="23"/>
  <c r="L1462" i="23"/>
  <c r="L1433" i="23"/>
  <c r="L1468" i="23"/>
  <c r="L1461" i="23"/>
  <c r="L1464" i="23"/>
  <c r="L1439" i="23"/>
  <c r="L1440" i="23"/>
  <c r="L1482" i="23"/>
  <c r="L1481" i="23"/>
  <c r="L1407" i="23"/>
  <c r="L1424" i="23"/>
  <c r="L1410" i="23"/>
  <c r="L1412" i="23"/>
  <c r="L1429" i="23"/>
  <c r="L1422" i="23"/>
  <c r="L1474" i="23"/>
  <c r="L1458" i="23"/>
  <c r="L1379" i="23"/>
  <c r="L1406" i="23"/>
  <c r="L1443" i="23"/>
  <c r="L1465" i="23"/>
  <c r="L1014" i="23"/>
  <c r="L1034" i="23"/>
  <c r="L996" i="23"/>
  <c r="L1013" i="23"/>
  <c r="L229" i="23"/>
  <c r="L224" i="23"/>
  <c r="L825" i="23"/>
  <c r="L821" i="23"/>
  <c r="L682" i="23"/>
  <c r="L659" i="23"/>
  <c r="L692" i="23"/>
  <c r="L686" i="23"/>
  <c r="L677" i="23"/>
  <c r="L545" i="23"/>
  <c r="L553" i="23"/>
  <c r="L550" i="23"/>
  <c r="L609" i="23"/>
  <c r="L621" i="23"/>
  <c r="L618" i="23"/>
  <c r="L616" i="23"/>
  <c r="L721" i="23"/>
  <c r="L736" i="23"/>
  <c r="L738" i="23"/>
  <c r="L739" i="23"/>
  <c r="L680" i="23"/>
  <c r="L683" i="23"/>
  <c r="L786" i="23"/>
  <c r="L807" i="23"/>
  <c r="L792" i="23"/>
  <c r="L1279" i="23"/>
  <c r="L1260" i="23"/>
  <c r="L1255" i="23"/>
  <c r="L1269" i="23"/>
  <c r="L1238" i="23"/>
  <c r="L428" i="23"/>
  <c r="L452" i="23"/>
  <c r="L839" i="23"/>
  <c r="L876" i="23"/>
  <c r="L865" i="23"/>
  <c r="L864" i="23"/>
  <c r="L872" i="23"/>
  <c r="L1211" i="23"/>
  <c r="L1214" i="23"/>
  <c r="L1218" i="23"/>
  <c r="L1207" i="23"/>
  <c r="L1210" i="23"/>
  <c r="L982" i="23"/>
  <c r="L988" i="23"/>
  <c r="L993" i="23"/>
  <c r="L987" i="23"/>
  <c r="L268" i="23"/>
  <c r="L276" i="23"/>
  <c r="L298" i="23"/>
  <c r="L265" i="23"/>
  <c r="L283" i="23"/>
  <c r="L777" i="23"/>
  <c r="L772" i="23"/>
  <c r="L751" i="23"/>
  <c r="L748" i="23"/>
  <c r="L337" i="23"/>
  <c r="L332" i="23"/>
  <c r="L356" i="23"/>
  <c r="L349" i="23"/>
  <c r="L643" i="23"/>
  <c r="L668" i="23"/>
  <c r="L645" i="23"/>
  <c r="L960" i="23"/>
  <c r="L951" i="23"/>
  <c r="L956" i="23"/>
  <c r="L938" i="23"/>
  <c r="L65" i="23"/>
  <c r="L71" i="23"/>
  <c r="L68" i="23"/>
  <c r="L666" i="23"/>
  <c r="L632" i="23"/>
  <c r="L652" i="23"/>
  <c r="L661" i="23"/>
  <c r="L458" i="23"/>
  <c r="L468" i="23"/>
  <c r="L444" i="23"/>
  <c r="L417" i="23"/>
  <c r="L398" i="23"/>
  <c r="L393" i="23"/>
  <c r="L585" i="23"/>
  <c r="L594" i="23"/>
  <c r="L580" i="23"/>
  <c r="L1059" i="23"/>
  <c r="L1072" i="23"/>
  <c r="L1070" i="23"/>
  <c r="L1065" i="23"/>
  <c r="L246" i="23"/>
  <c r="L250" i="23"/>
  <c r="L243" i="23"/>
  <c r="L245" i="23"/>
  <c r="L252" i="23"/>
  <c r="L853" i="23"/>
  <c r="L844" i="23"/>
  <c r="L340" i="23"/>
  <c r="L324" i="23"/>
  <c r="L330" i="23"/>
  <c r="L855" i="23"/>
  <c r="L835" i="23"/>
  <c r="L852" i="23"/>
  <c r="L848" i="23"/>
  <c r="L1377" i="23"/>
  <c r="L1386" i="23"/>
  <c r="L1389" i="23"/>
  <c r="L1384" i="23"/>
  <c r="L188" i="23"/>
  <c r="L189" i="23"/>
  <c r="L106" i="23"/>
  <c r="L84" i="23"/>
  <c r="L101" i="23"/>
  <c r="L98" i="23"/>
  <c r="L62" i="23"/>
  <c r="L82" i="23"/>
  <c r="L63" i="23"/>
  <c r="L85" i="23"/>
  <c r="L83" i="23"/>
  <c r="L179" i="23"/>
  <c r="L166" i="23"/>
  <c r="L177" i="23"/>
  <c r="L160" i="23"/>
  <c r="L180" i="23"/>
  <c r="L1323" i="23"/>
  <c r="L1339" i="23"/>
  <c r="L1341" i="23"/>
  <c r="L1338" i="23"/>
  <c r="L709" i="23"/>
  <c r="L722" i="23"/>
  <c r="L724" i="23"/>
  <c r="L693" i="23"/>
  <c r="L719" i="23"/>
  <c r="L708" i="23"/>
  <c r="L1335" i="23"/>
  <c r="L1351" i="23"/>
  <c r="L1329" i="23"/>
  <c r="L1316" i="23"/>
  <c r="L517" i="23"/>
  <c r="L523" i="23"/>
  <c r="L538" i="23"/>
  <c r="L529" i="23"/>
  <c r="L533" i="23"/>
  <c r="L522" i="23"/>
  <c r="L725" i="23"/>
  <c r="L713" i="23"/>
  <c r="L717" i="23"/>
  <c r="L732" i="23"/>
  <c r="L490" i="23"/>
  <c r="L507" i="23"/>
  <c r="L484" i="23"/>
  <c r="L478" i="23"/>
  <c r="L482" i="23"/>
  <c r="L471" i="23"/>
  <c r="L480" i="23"/>
  <c r="L487" i="23"/>
  <c r="L467" i="23"/>
  <c r="L474" i="23"/>
  <c r="L979" i="23"/>
  <c r="L976" i="23"/>
  <c r="L895" i="23"/>
  <c r="L894" i="23"/>
  <c r="L897" i="23"/>
  <c r="L880" i="23"/>
  <c r="L893" i="23"/>
  <c r="L386" i="23"/>
  <c r="L366" i="23"/>
  <c r="L369" i="23"/>
  <c r="L399" i="23"/>
  <c r="L198" i="23"/>
  <c r="L207" i="23"/>
  <c r="L205" i="23"/>
  <c r="L202" i="23"/>
  <c r="L241" i="23"/>
  <c r="L236" i="23"/>
  <c r="L235" i="23"/>
  <c r="L929" i="23"/>
  <c r="L940" i="23"/>
  <c r="L948" i="23"/>
  <c r="L937" i="23"/>
  <c r="L559" i="23"/>
  <c r="L586" i="23"/>
  <c r="L556" i="23"/>
  <c r="L568" i="23"/>
  <c r="L419" i="23"/>
  <c r="L403" i="23"/>
  <c r="L379" i="23"/>
  <c r="L429" i="23"/>
  <c r="L423" i="23"/>
  <c r="L431" i="23"/>
  <c r="L443" i="23"/>
  <c r="L439" i="23"/>
  <c r="L352" i="23"/>
  <c r="L351" i="23"/>
  <c r="L162" i="23"/>
  <c r="L156" i="23"/>
  <c r="L163" i="23"/>
  <c r="L145" i="23"/>
  <c r="L169" i="23"/>
  <c r="L227" i="23"/>
  <c r="L234" i="23"/>
  <c r="L226" i="23"/>
  <c r="L217" i="23"/>
  <c r="L597" i="23"/>
  <c r="L590" i="23"/>
  <c r="L570" i="23"/>
  <c r="L598" i="23"/>
  <c r="L596" i="23"/>
  <c r="L607" i="23"/>
  <c r="L612" i="23"/>
  <c r="L573" i="23"/>
  <c r="L591" i="23"/>
  <c r="L381" i="23"/>
  <c r="L382" i="23"/>
  <c r="L390" i="23"/>
  <c r="L118" i="23"/>
  <c r="L107" i="23"/>
  <c r="L115" i="23"/>
  <c r="L1051" i="23"/>
  <c r="L1053" i="23"/>
  <c r="L1047" i="23"/>
  <c r="L754" i="23"/>
  <c r="L740" i="23"/>
  <c r="L742" i="23"/>
  <c r="L737" i="23"/>
  <c r="L672" i="23"/>
  <c r="L669" i="23"/>
  <c r="L700" i="23"/>
  <c r="L660" i="23"/>
  <c r="L675" i="23"/>
  <c r="L665" i="23"/>
  <c r="L838" i="23"/>
  <c r="L840" i="23"/>
  <c r="L827" i="23"/>
  <c r="L820" i="23"/>
  <c r="L200" i="23"/>
  <c r="L190" i="23"/>
  <c r="L203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M1318" i="23" l="1"/>
  <c r="M1099" i="23"/>
  <c r="M1105" i="23"/>
  <c r="M1490" i="23"/>
  <c r="M1369" i="23"/>
  <c r="F1369" i="23" s="1"/>
  <c r="M1194" i="23"/>
  <c r="M1002" i="23"/>
  <c r="F1511" i="23"/>
  <c r="M946" i="23"/>
  <c r="M947" i="23"/>
  <c r="M1278" i="23"/>
  <c r="M135" i="23"/>
  <c r="M1166" i="23"/>
  <c r="F1166" i="23" s="1"/>
  <c r="M1256" i="23"/>
  <c r="M522" i="23"/>
  <c r="F522" i="23" s="1"/>
  <c r="G1165" i="23"/>
  <c r="M1347" i="23"/>
  <c r="M557" i="23"/>
  <c r="M1316" i="23"/>
  <c r="M1353" i="23"/>
  <c r="M1008" i="23"/>
  <c r="F1008" i="23" s="1"/>
  <c r="M1450" i="23"/>
  <c r="M865" i="23"/>
  <c r="F865" i="23" s="1"/>
  <c r="M854" i="23"/>
  <c r="M1517" i="23"/>
  <c r="M1482" i="23"/>
  <c r="M1445" i="23"/>
  <c r="G1445" i="23" s="1"/>
  <c r="M1433" i="23"/>
  <c r="M1481" i="23"/>
  <c r="F1481" i="23" s="1"/>
  <c r="M52" i="23"/>
  <c r="F52" i="23" s="1"/>
  <c r="M49" i="23"/>
  <c r="F49" i="23" s="1"/>
  <c r="M956" i="23"/>
  <c r="M1500" i="23"/>
  <c r="F1500" i="23" s="1"/>
  <c r="M1210" i="23"/>
  <c r="M186" i="23"/>
  <c r="M132" i="23"/>
  <c r="M651" i="23"/>
  <c r="M926" i="23"/>
  <c r="M1478" i="23"/>
  <c r="G1478" i="23" s="1"/>
  <c r="M1480" i="23"/>
  <c r="G1480" i="23" s="1"/>
  <c r="M1416" i="23"/>
  <c r="M929" i="23"/>
  <c r="F929" i="23" s="1"/>
  <c r="M554" i="23"/>
  <c r="M1241" i="23"/>
  <c r="M967" i="23"/>
  <c r="F967" i="23" s="1"/>
  <c r="M1204" i="23"/>
  <c r="M1454" i="23"/>
  <c r="M1505" i="23"/>
  <c r="M274" i="23"/>
  <c r="M637" i="23"/>
  <c r="F637" i="23" s="1"/>
  <c r="M1129" i="23"/>
  <c r="G1129" i="23" s="1"/>
  <c r="M949" i="23"/>
  <c r="M373" i="23"/>
  <c r="F1348" i="23"/>
  <c r="M315" i="23"/>
  <c r="F315" i="23" s="1"/>
  <c r="M981" i="23"/>
  <c r="G981" i="23" s="1"/>
  <c r="M318" i="23"/>
  <c r="F1504" i="23"/>
  <c r="F1510" i="23"/>
  <c r="G35" i="23"/>
  <c r="M661" i="23"/>
  <c r="F661" i="23" s="1"/>
  <c r="M1493" i="23"/>
  <c r="F1493" i="23" s="1"/>
  <c r="G1093" i="23"/>
  <c r="F35" i="23"/>
  <c r="M1015" i="23"/>
  <c r="M1479" i="23"/>
  <c r="G1479" i="23" s="1"/>
  <c r="M992" i="23"/>
  <c r="G992" i="23" s="1"/>
  <c r="M368" i="23"/>
  <c r="F368" i="23" s="1"/>
  <c r="M36" i="23"/>
  <c r="F36" i="23" s="1"/>
  <c r="M38" i="23"/>
  <c r="M1364" i="23"/>
  <c r="G1364" i="23" s="1"/>
  <c r="M1117" i="23"/>
  <c r="M985" i="23"/>
  <c r="M1485" i="23"/>
  <c r="G1485" i="23" s="1"/>
  <c r="G1498" i="23"/>
  <c r="M1184" i="23"/>
  <c r="M1192" i="23"/>
  <c r="F1192" i="23" s="1"/>
  <c r="M1453" i="23"/>
  <c r="F1195" i="23"/>
  <c r="M1402" i="23"/>
  <c r="M526" i="23"/>
  <c r="M1200" i="23"/>
  <c r="F1200" i="23" s="1"/>
  <c r="M1408" i="23"/>
  <c r="M286" i="23"/>
  <c r="G286" i="23" s="1"/>
  <c r="F1502" i="23"/>
  <c r="M545" i="23"/>
  <c r="M128" i="23"/>
  <c r="F128" i="23" s="1"/>
  <c r="M297" i="23"/>
  <c r="M260" i="23"/>
  <c r="M45" i="23"/>
  <c r="F45" i="23" s="1"/>
  <c r="M1236" i="23"/>
  <c r="F1236" i="23" s="1"/>
  <c r="F1515" i="23"/>
  <c r="M193" i="23"/>
  <c r="M1484" i="23"/>
  <c r="M1492" i="23"/>
  <c r="M1501" i="23"/>
  <c r="G1501" i="23" s="1"/>
  <c r="M306" i="23"/>
  <c r="G306" i="23" s="1"/>
  <c r="F90" i="23"/>
  <c r="M723" i="23"/>
  <c r="F723" i="23" s="1"/>
  <c r="M538" i="23"/>
  <c r="F538" i="23" s="1"/>
  <c r="G1499" i="23"/>
  <c r="M996" i="23"/>
  <c r="G996" i="23" s="1"/>
  <c r="F1480" i="23"/>
  <c r="F1516" i="23"/>
  <c r="M1191" i="23"/>
  <c r="M1004" i="23"/>
  <c r="M1154" i="23"/>
  <c r="G1154" i="23" s="1"/>
  <c r="M1513" i="23"/>
  <c r="M1489" i="23"/>
  <c r="M1243" i="23"/>
  <c r="G1243" i="23" s="1"/>
  <c r="M1368" i="23"/>
  <c r="G1272" i="23"/>
  <c r="G1200" i="23"/>
  <c r="M1477" i="23"/>
  <c r="M1494" i="23"/>
  <c r="M291" i="23"/>
  <c r="F291" i="23" s="1"/>
  <c r="M1271" i="23"/>
  <c r="F1271" i="23" s="1"/>
  <c r="F1521" i="23"/>
  <c r="M69" i="23"/>
  <c r="M429" i="23"/>
  <c r="F429" i="23" s="1"/>
  <c r="M1169" i="23"/>
  <c r="M448" i="23"/>
  <c r="M1213" i="23"/>
  <c r="F1213" i="23" s="1"/>
  <c r="F1519" i="23"/>
  <c r="F1352" i="23"/>
  <c r="F47" i="23"/>
  <c r="G1079" i="23"/>
  <c r="G1195" i="23"/>
  <c r="F1506" i="23"/>
  <c r="G1506" i="23"/>
  <c r="F1488" i="23"/>
  <c r="G1488" i="23"/>
  <c r="G1514" i="23"/>
  <c r="F1514" i="23"/>
  <c r="G1517" i="23"/>
  <c r="F1517" i="23"/>
  <c r="F1512" i="23"/>
  <c r="G1512" i="23"/>
  <c r="G1490" i="23"/>
  <c r="F1490" i="23"/>
  <c r="F1479" i="23"/>
  <c r="F1497" i="23"/>
  <c r="G1497" i="23"/>
  <c r="G1496" i="23"/>
  <c r="F1496" i="23"/>
  <c r="G1520" i="23"/>
  <c r="F1520" i="23"/>
  <c r="G1495" i="23"/>
  <c r="F1495" i="23"/>
  <c r="G1507" i="23"/>
  <c r="F1507" i="23"/>
  <c r="G1503" i="23"/>
  <c r="F1503" i="23"/>
  <c r="G1518" i="23"/>
  <c r="F1518" i="23"/>
  <c r="F1508" i="23"/>
  <c r="G1508" i="23"/>
  <c r="M1509" i="23"/>
  <c r="M1491" i="23"/>
  <c r="M589" i="23"/>
  <c r="M995" i="23"/>
  <c r="G995" i="23" s="1"/>
  <c r="M142" i="23"/>
  <c r="M1219" i="23"/>
  <c r="F1219" i="23" s="1"/>
  <c r="M1140" i="23"/>
  <c r="F1140" i="23" s="1"/>
  <c r="M53" i="23"/>
  <c r="F53" i="23" s="1"/>
  <c r="M1189" i="23"/>
  <c r="F1189" i="23" s="1"/>
  <c r="M1237" i="23"/>
  <c r="F1237" i="23" s="1"/>
  <c r="M1442" i="23"/>
  <c r="M898" i="23"/>
  <c r="F898" i="23" s="1"/>
  <c r="M959" i="23"/>
  <c r="M461" i="23"/>
  <c r="M961" i="23"/>
  <c r="G961" i="23" s="1"/>
  <c r="M666" i="23"/>
  <c r="F666" i="23" s="1"/>
  <c r="M586" i="23"/>
  <c r="G586" i="23" s="1"/>
  <c r="M1182" i="23"/>
  <c r="F1182" i="23" s="1"/>
  <c r="M98" i="23"/>
  <c r="M372" i="23"/>
  <c r="F372" i="23" s="1"/>
  <c r="M839" i="23"/>
  <c r="M1299" i="23"/>
  <c r="G1299" i="23" s="1"/>
  <c r="F46" i="23"/>
  <c r="G1068" i="23"/>
  <c r="F1068" i="23"/>
  <c r="M641" i="23"/>
  <c r="G641" i="23" s="1"/>
  <c r="M167" i="23"/>
  <c r="M347" i="23"/>
  <c r="M1307" i="23"/>
  <c r="M88" i="23"/>
  <c r="F88" i="23" s="1"/>
  <c r="M1065" i="23"/>
  <c r="M1118" i="23"/>
  <c r="M1198" i="23"/>
  <c r="F1198" i="23" s="1"/>
  <c r="M1062" i="23"/>
  <c r="M1113" i="23"/>
  <c r="M421" i="23"/>
  <c r="F421" i="23" s="1"/>
  <c r="M1007" i="23"/>
  <c r="M977" i="23"/>
  <c r="F977" i="23" s="1"/>
  <c r="M1275" i="23"/>
  <c r="M936" i="23"/>
  <c r="M943" i="23"/>
  <c r="M855" i="23"/>
  <c r="G855" i="23" s="1"/>
  <c r="M1305" i="23"/>
  <c r="M824" i="23"/>
  <c r="F824" i="23" s="1"/>
  <c r="M714" i="23"/>
  <c r="M764" i="23"/>
  <c r="F764" i="23" s="1"/>
  <c r="M601" i="23"/>
  <c r="M1262" i="23"/>
  <c r="G1262" i="23" s="1"/>
  <c r="M830" i="23"/>
  <c r="F830" i="23" s="1"/>
  <c r="M1476" i="23"/>
  <c r="M1136" i="23"/>
  <c r="F1136" i="23" s="1"/>
  <c r="M84" i="23"/>
  <c r="F84" i="23" s="1"/>
  <c r="M1121" i="23"/>
  <c r="M1357" i="23"/>
  <c r="F1357" i="23" s="1"/>
  <c r="M1280" i="23"/>
  <c r="G1280" i="23" s="1"/>
  <c r="M371" i="23"/>
  <c r="F371" i="23" s="1"/>
  <c r="M1422" i="23"/>
  <c r="F1422" i="23" s="1"/>
  <c r="M358" i="23"/>
  <c r="M699" i="23"/>
  <c r="M1016" i="23"/>
  <c r="M1282" i="23"/>
  <c r="F1282" i="23" s="1"/>
  <c r="M102" i="23"/>
  <c r="F102" i="23" s="1"/>
  <c r="M1018" i="23"/>
  <c r="F1018" i="23" s="1"/>
  <c r="M113" i="23"/>
  <c r="G113" i="23" s="1"/>
  <c r="M835" i="23"/>
  <c r="F835" i="23" s="1"/>
  <c r="M361" i="23"/>
  <c r="M1436" i="23"/>
  <c r="F1436" i="23" s="1"/>
  <c r="M852" i="23"/>
  <c r="G852" i="23" s="1"/>
  <c r="M862" i="23"/>
  <c r="M1314" i="23"/>
  <c r="F1314" i="23" s="1"/>
  <c r="M405" i="23"/>
  <c r="M1409" i="23"/>
  <c r="M1226" i="23"/>
  <c r="G1226" i="23" s="1"/>
  <c r="M1157" i="23"/>
  <c r="M924" i="23"/>
  <c r="G924" i="23" s="1"/>
  <c r="M1260" i="23"/>
  <c r="G1260" i="23" s="1"/>
  <c r="M1274" i="23"/>
  <c r="G1274" i="23" s="1"/>
  <c r="M141" i="23"/>
  <c r="M145" i="23"/>
  <c r="G145" i="23" s="1"/>
  <c r="M515" i="23"/>
  <c r="F515" i="23" s="1"/>
  <c r="M115" i="23"/>
  <c r="F115" i="23" s="1"/>
  <c r="M389" i="23"/>
  <c r="M281" i="23"/>
  <c r="M921" i="23"/>
  <c r="F921" i="23" s="1"/>
  <c r="M933" i="23"/>
  <c r="G933" i="23" s="1"/>
  <c r="M1414" i="23"/>
  <c r="M452" i="23"/>
  <c r="F452" i="23" s="1"/>
  <c r="M50" i="23"/>
  <c r="F50" i="23" s="1"/>
  <c r="M207" i="23"/>
  <c r="F207" i="23" s="1"/>
  <c r="M1457" i="23"/>
  <c r="M111" i="23"/>
  <c r="G111" i="23" s="1"/>
  <c r="M1263" i="23"/>
  <c r="G1263" i="23" s="1"/>
  <c r="M323" i="23"/>
  <c r="M446" i="23"/>
  <c r="F446" i="23" s="1"/>
  <c r="M321" i="23"/>
  <c r="M80" i="23"/>
  <c r="F80" i="23" s="1"/>
  <c r="M89" i="23"/>
  <c r="F89" i="23" s="1"/>
  <c r="M1471" i="23"/>
  <c r="M1317" i="23"/>
  <c r="F1317" i="23" s="1"/>
  <c r="M524" i="23"/>
  <c r="M619" i="23"/>
  <c r="F619" i="23" s="1"/>
  <c r="M1434" i="23"/>
  <c r="M1356" i="23"/>
  <c r="M955" i="23"/>
  <c r="G955" i="23" s="1"/>
  <c r="M236" i="23"/>
  <c r="F236" i="23" s="1"/>
  <c r="M262" i="23"/>
  <c r="M255" i="23"/>
  <c r="F255" i="23" s="1"/>
  <c r="M866" i="23"/>
  <c r="F866" i="23" s="1"/>
  <c r="M266" i="23"/>
  <c r="M264" i="23"/>
  <c r="F264" i="23" s="1"/>
  <c r="M1202" i="23"/>
  <c r="F1202" i="23" s="1"/>
  <c r="M1216" i="23"/>
  <c r="F1216" i="23" s="1"/>
  <c r="M403" i="23"/>
  <c r="G403" i="23" s="1"/>
  <c r="M823" i="23"/>
  <c r="M809" i="23"/>
  <c r="M859" i="23"/>
  <c r="F859" i="23" s="1"/>
  <c r="M997" i="23"/>
  <c r="G997" i="23" s="1"/>
  <c r="M1240" i="23"/>
  <c r="F1240" i="23" s="1"/>
  <c r="M983" i="23"/>
  <c r="G983" i="23" s="1"/>
  <c r="M1242" i="23"/>
  <c r="F1242" i="23" s="1"/>
  <c r="M1249" i="23"/>
  <c r="F1249" i="23" s="1"/>
  <c r="M1429" i="23"/>
  <c r="M1428" i="23"/>
  <c r="M867" i="23"/>
  <c r="M1231" i="23"/>
  <c r="M1122" i="23"/>
  <c r="G1122" i="23" s="1"/>
  <c r="M387" i="23"/>
  <c r="M112" i="23"/>
  <c r="M61" i="23"/>
  <c r="M418" i="23"/>
  <c r="M902" i="23"/>
  <c r="G902" i="23" s="1"/>
  <c r="M913" i="23"/>
  <c r="G913" i="23" s="1"/>
  <c r="M313" i="23"/>
  <c r="M872" i="23"/>
  <c r="F872" i="23" s="1"/>
  <c r="M843" i="23"/>
  <c r="G843" i="23" s="1"/>
  <c r="M813" i="23"/>
  <c r="F813" i="23" s="1"/>
  <c r="M1048" i="23"/>
  <c r="G1048" i="23" s="1"/>
  <c r="M1052" i="23"/>
  <c r="M1431" i="23"/>
  <c r="F1431" i="23" s="1"/>
  <c r="M1470" i="23"/>
  <c r="F1470" i="23" s="1"/>
  <c r="M868" i="23"/>
  <c r="M304" i="23"/>
  <c r="M305" i="23"/>
  <c r="M355" i="23"/>
  <c r="M980" i="23"/>
  <c r="F980" i="23" s="1"/>
  <c r="M990" i="23"/>
  <c r="M1455" i="23"/>
  <c r="M1451" i="23"/>
  <c r="M394" i="23"/>
  <c r="M1486" i="23"/>
  <c r="G1486" i="23" s="1"/>
  <c r="M595" i="23"/>
  <c r="F595" i="23" s="1"/>
  <c r="M963" i="23"/>
  <c r="M953" i="23"/>
  <c r="F953" i="23" s="1"/>
  <c r="M1309" i="23"/>
  <c r="F1309" i="23" s="1"/>
  <c r="M322" i="23"/>
  <c r="M1162" i="23"/>
  <c r="M1152" i="23"/>
  <c r="F1152" i="23" s="1"/>
  <c r="M501" i="23"/>
  <c r="F501" i="23" s="1"/>
  <c r="M196" i="23"/>
  <c r="M654" i="23"/>
  <c r="G654" i="23" s="1"/>
  <c r="M1435" i="23"/>
  <c r="F1435" i="23" s="1"/>
  <c r="M776" i="23"/>
  <c r="M777" i="23"/>
  <c r="F777" i="23" s="1"/>
  <c r="M171" i="23"/>
  <c r="F171" i="23" s="1"/>
  <c r="M170" i="23"/>
  <c r="M1138" i="23"/>
  <c r="M1218" i="23"/>
  <c r="F1218" i="23" s="1"/>
  <c r="M342" i="23"/>
  <c r="G342" i="23" s="1"/>
  <c r="M351" i="23"/>
  <c r="F351" i="23" s="1"/>
  <c r="M642" i="23"/>
  <c r="M634" i="23"/>
  <c r="M1102" i="23"/>
  <c r="M374" i="23"/>
  <c r="F374" i="23" s="1"/>
  <c r="M978" i="23"/>
  <c r="M559" i="23"/>
  <c r="G559" i="23" s="1"/>
  <c r="M565" i="23"/>
  <c r="M1038" i="23"/>
  <c r="M1027" i="23"/>
  <c r="M796" i="23"/>
  <c r="F796" i="23" s="1"/>
  <c r="M778" i="23"/>
  <c r="F778" i="23" s="1"/>
  <c r="M1239" i="23"/>
  <c r="G1239" i="23" s="1"/>
  <c r="M353" i="23"/>
  <c r="M1320" i="23"/>
  <c r="M598" i="23"/>
  <c r="F598" i="23" s="1"/>
  <c r="F149" i="23"/>
  <c r="M832" i="23"/>
  <c r="M100" i="23"/>
  <c r="M465" i="23"/>
  <c r="M469" i="23"/>
  <c r="G469" i="23" s="1"/>
  <c r="M1425" i="23"/>
  <c r="M96" i="23"/>
  <c r="G96" i="23" s="1"/>
  <c r="M1055" i="23"/>
  <c r="M1073" i="23"/>
  <c r="M1046" i="23"/>
  <c r="F1046" i="23" s="1"/>
  <c r="M1053" i="23"/>
  <c r="G1053" i="23" s="1"/>
  <c r="M1112" i="23"/>
  <c r="F1112" i="23" s="1"/>
  <c r="M759" i="23"/>
  <c r="M737" i="23"/>
  <c r="G737" i="23" s="1"/>
  <c r="G149" i="23"/>
  <c r="M1427" i="23"/>
  <c r="G1427" i="23" s="1"/>
  <c r="M341" i="23"/>
  <c r="F341" i="23" s="1"/>
  <c r="M808" i="23"/>
  <c r="F808" i="23" s="1"/>
  <c r="M1273" i="23"/>
  <c r="G1273" i="23" s="1"/>
  <c r="M1281" i="23"/>
  <c r="M1197" i="23"/>
  <c r="F1197" i="23" s="1"/>
  <c r="M1176" i="23"/>
  <c r="G1176" i="23" s="1"/>
  <c r="M169" i="23"/>
  <c r="G169" i="23" s="1"/>
  <c r="M1421" i="23"/>
  <c r="M988" i="23"/>
  <c r="F988" i="23" s="1"/>
  <c r="M131" i="23"/>
  <c r="G131" i="23" s="1"/>
  <c r="M734" i="23"/>
  <c r="G734" i="23" s="1"/>
  <c r="M730" i="23"/>
  <c r="M345" i="23"/>
  <c r="G345" i="23" s="1"/>
  <c r="M348" i="23"/>
  <c r="M154" i="23"/>
  <c r="F154" i="23" s="1"/>
  <c r="M523" i="23"/>
  <c r="F523" i="23" s="1"/>
  <c r="M1257" i="23"/>
  <c r="F1257" i="23" s="1"/>
  <c r="M1400" i="23"/>
  <c r="F1400" i="23" s="1"/>
  <c r="M150" i="23"/>
  <c r="F150" i="23" s="1"/>
  <c r="M428" i="23"/>
  <c r="G428" i="23" s="1"/>
  <c r="M433" i="23"/>
  <c r="M860" i="23"/>
  <c r="G860" i="23" s="1"/>
  <c r="M869" i="23"/>
  <c r="M826" i="23"/>
  <c r="G826" i="23" s="1"/>
  <c r="M849" i="23"/>
  <c r="M632" i="23"/>
  <c r="G632" i="23" s="1"/>
  <c r="M811" i="23"/>
  <c r="F811" i="23" s="1"/>
  <c r="M118" i="23"/>
  <c r="F118" i="23" s="1"/>
  <c r="M994" i="23"/>
  <c r="G994" i="23" s="1"/>
  <c r="M579" i="23"/>
  <c r="F579" i="23" s="1"/>
  <c r="M471" i="23"/>
  <c r="G471" i="23" s="1"/>
  <c r="M486" i="23"/>
  <c r="F486" i="23" s="1"/>
  <c r="M588" i="23"/>
  <c r="F588" i="23" s="1"/>
  <c r="M603" i="23"/>
  <c r="F603" i="23" s="1"/>
  <c r="M424" i="23"/>
  <c r="F424" i="23" s="1"/>
  <c r="M440" i="23"/>
  <c r="G440" i="23" s="1"/>
  <c r="M658" i="23"/>
  <c r="M680" i="23"/>
  <c r="F680" i="23" s="1"/>
  <c r="M636" i="23"/>
  <c r="G636" i="23" s="1"/>
  <c r="M631" i="23"/>
  <c r="M330" i="23"/>
  <c r="F330" i="23" s="1"/>
  <c r="M335" i="23"/>
  <c r="G335" i="23" s="1"/>
  <c r="M659" i="23"/>
  <c r="F659" i="23" s="1"/>
  <c r="M686" i="23"/>
  <c r="F686" i="23" s="1"/>
  <c r="M665" i="23"/>
  <c r="G665" i="23" s="1"/>
  <c r="M676" i="23"/>
  <c r="M122" i="23"/>
  <c r="F122" i="23" s="1"/>
  <c r="M107" i="23"/>
  <c r="F107" i="23" s="1"/>
  <c r="F1099" i="23"/>
  <c r="G1099" i="23"/>
  <c r="M564" i="23"/>
  <c r="M563" i="23"/>
  <c r="F563" i="23" s="1"/>
  <c r="M937" i="23"/>
  <c r="F937" i="23" s="1"/>
  <c r="M940" i="23"/>
  <c r="G940" i="23" s="1"/>
  <c r="M939" i="23"/>
  <c r="M870" i="23"/>
  <c r="M856" i="23"/>
  <c r="M108" i="23"/>
  <c r="G108" i="23" s="1"/>
  <c r="M127" i="23"/>
  <c r="F127" i="23" s="1"/>
  <c r="M1264" i="23"/>
  <c r="F1264" i="23" s="1"/>
  <c r="M876" i="23"/>
  <c r="F876" i="23" s="1"/>
  <c r="M1483" i="23"/>
  <c r="M1472" i="23"/>
  <c r="G1472" i="23" s="1"/>
  <c r="M1119" i="23"/>
  <c r="F1119" i="23" s="1"/>
  <c r="M1109" i="23"/>
  <c r="F1109" i="23" s="1"/>
  <c r="M72" i="23"/>
  <c r="F72" i="23" s="1"/>
  <c r="M1296" i="23"/>
  <c r="F1296" i="23" s="1"/>
  <c r="M1308" i="23"/>
  <c r="F1308" i="23" s="1"/>
  <c r="M837" i="23"/>
  <c r="F837" i="23" s="1"/>
  <c r="M846" i="23"/>
  <c r="M143" i="23"/>
  <c r="F143" i="23" s="1"/>
  <c r="M1059" i="23"/>
  <c r="F1059" i="23" s="1"/>
  <c r="M1123" i="23"/>
  <c r="F1123" i="23" s="1"/>
  <c r="M1127" i="23"/>
  <c r="G1127" i="23" s="1"/>
  <c r="M208" i="23"/>
  <c r="M181" i="23"/>
  <c r="M189" i="23"/>
  <c r="F189" i="23" s="1"/>
  <c r="M815" i="23"/>
  <c r="M801" i="23"/>
  <c r="M182" i="23"/>
  <c r="G182" i="23" s="1"/>
  <c r="M174" i="23"/>
  <c r="F174" i="23" s="1"/>
  <c r="M87" i="23"/>
  <c r="F87" i="23" s="1"/>
  <c r="M1269" i="23"/>
  <c r="G1269" i="23" s="1"/>
  <c r="M339" i="23"/>
  <c r="F339" i="23" s="1"/>
  <c r="M687" i="23"/>
  <c r="F687" i="23" s="1"/>
  <c r="M685" i="23"/>
  <c r="M1163" i="23"/>
  <c r="F1163" i="23" s="1"/>
  <c r="M1186" i="23"/>
  <c r="F1186" i="23" s="1"/>
  <c r="M617" i="23"/>
  <c r="M627" i="23"/>
  <c r="F627" i="23" s="1"/>
  <c r="M624" i="23"/>
  <c r="M621" i="23"/>
  <c r="F621" i="23" s="1"/>
  <c r="M362" i="23"/>
  <c r="M731" i="23"/>
  <c r="G731" i="23" s="1"/>
  <c r="M746" i="23"/>
  <c r="F746" i="23" s="1"/>
  <c r="M605" i="23"/>
  <c r="M607" i="23"/>
  <c r="G607" i="23" s="1"/>
  <c r="M917" i="23"/>
  <c r="M920" i="23"/>
  <c r="F920" i="23" s="1"/>
  <c r="M578" i="23"/>
  <c r="M591" i="23"/>
  <c r="F591" i="23" s="1"/>
  <c r="M1158" i="23"/>
  <c r="F1158" i="23" s="1"/>
  <c r="M1146" i="23"/>
  <c r="G1146" i="23" s="1"/>
  <c r="M468" i="23"/>
  <c r="G468" i="23" s="1"/>
  <c r="M476" i="23"/>
  <c r="G476" i="23" s="1"/>
  <c r="M1279" i="23"/>
  <c r="G1279" i="23" s="1"/>
  <c r="M507" i="23"/>
  <c r="F507" i="23" s="1"/>
  <c r="M518" i="23"/>
  <c r="F518" i="23" s="1"/>
  <c r="M1355" i="23"/>
  <c r="G1355" i="23" s="1"/>
  <c r="M1360" i="23"/>
  <c r="G1360" i="23" s="1"/>
  <c r="M793" i="23"/>
  <c r="F793" i="23" s="1"/>
  <c r="M791" i="23"/>
  <c r="F791" i="23" s="1"/>
  <c r="M780" i="23"/>
  <c r="F780" i="23" s="1"/>
  <c r="M454" i="23"/>
  <c r="G454" i="23" s="1"/>
  <c r="M456" i="23"/>
  <c r="M287" i="23"/>
  <c r="G287" i="23" s="1"/>
  <c r="M1266" i="23"/>
  <c r="F1266" i="23" s="1"/>
  <c r="M443" i="23"/>
  <c r="F443" i="23" s="1"/>
  <c r="M442" i="23"/>
  <c r="G442" i="23" s="1"/>
  <c r="M504" i="23"/>
  <c r="F504" i="23" s="1"/>
  <c r="M510" i="23"/>
  <c r="F510" i="23" s="1"/>
  <c r="M1289" i="23"/>
  <c r="F1289" i="23" s="1"/>
  <c r="M1306" i="23"/>
  <c r="F1306" i="23" s="1"/>
  <c r="M109" i="23"/>
  <c r="F109" i="23" s="1"/>
  <c r="M359" i="23"/>
  <c r="F359" i="23" s="1"/>
  <c r="M1145" i="23"/>
  <c r="F1145" i="23" s="1"/>
  <c r="M93" i="23"/>
  <c r="G93" i="23" s="1"/>
  <c r="M1168" i="23"/>
  <c r="F1168" i="23" s="1"/>
  <c r="M1179" i="23"/>
  <c r="F1179" i="23" s="1"/>
  <c r="M209" i="23"/>
  <c r="M225" i="23"/>
  <c r="M493" i="23"/>
  <c r="F493" i="23" s="1"/>
  <c r="M496" i="23"/>
  <c r="M488" i="23"/>
  <c r="G488" i="23" s="1"/>
  <c r="M535" i="23"/>
  <c r="G535" i="23" s="1"/>
  <c r="M547" i="23"/>
  <c r="M964" i="23"/>
  <c r="F964" i="23" s="1"/>
  <c r="M197" i="23"/>
  <c r="F197" i="23" s="1"/>
  <c r="M1238" i="23"/>
  <c r="G1238" i="23" s="1"/>
  <c r="G47" i="23"/>
  <c r="M406" i="23"/>
  <c r="M402" i="23"/>
  <c r="M397" i="23"/>
  <c r="M431" i="23"/>
  <c r="F431" i="23" s="1"/>
  <c r="M408" i="23"/>
  <c r="M427" i="23"/>
  <c r="M416" i="23"/>
  <c r="M426" i="23"/>
  <c r="F426" i="23" s="1"/>
  <c r="M1012" i="23"/>
  <c r="G1012" i="23" s="1"/>
  <c r="M1011" i="23"/>
  <c r="F1011" i="23" s="1"/>
  <c r="M273" i="23"/>
  <c r="F273" i="23" s="1"/>
  <c r="M283" i="23"/>
  <c r="F283" i="23" s="1"/>
  <c r="M152" i="23"/>
  <c r="G152" i="23" s="1"/>
  <c r="M163" i="23"/>
  <c r="F163" i="23" s="1"/>
  <c r="M1005" i="23"/>
  <c r="M639" i="23"/>
  <c r="F639" i="23" s="1"/>
  <c r="M648" i="23"/>
  <c r="M237" i="23"/>
  <c r="M232" i="23"/>
  <c r="M220" i="23"/>
  <c r="F220" i="23" s="1"/>
  <c r="M1430" i="23"/>
  <c r="M1439" i="23"/>
  <c r="F1439" i="23" s="1"/>
  <c r="M1437" i="23"/>
  <c r="G1160" i="23"/>
  <c r="M1426" i="23"/>
  <c r="M1245" i="23"/>
  <c r="G1245" i="23" s="1"/>
  <c r="M863" i="23"/>
  <c r="F863" i="23" s="1"/>
  <c r="M887" i="23"/>
  <c r="M875" i="23"/>
  <c r="F875" i="23" s="1"/>
  <c r="M707" i="23"/>
  <c r="G707" i="23" s="1"/>
  <c r="M708" i="23"/>
  <c r="M227" i="23"/>
  <c r="F227" i="23" s="1"/>
  <c r="M215" i="23"/>
  <c r="M338" i="23"/>
  <c r="G338" i="23" s="1"/>
  <c r="M317" i="23"/>
  <c r="F317" i="23" s="1"/>
  <c r="M254" i="23"/>
  <c r="F254" i="23" s="1"/>
  <c r="M267" i="23"/>
  <c r="M584" i="23"/>
  <c r="M85" i="23"/>
  <c r="M91" i="23"/>
  <c r="F91" i="23" s="1"/>
  <c r="M70" i="23"/>
  <c r="M73" i="23"/>
  <c r="G73" i="23" s="1"/>
  <c r="M984" i="23"/>
  <c r="M998" i="23"/>
  <c r="M919" i="23"/>
  <c r="M910" i="23"/>
  <c r="M573" i="23"/>
  <c r="M593" i="23"/>
  <c r="M594" i="23"/>
  <c r="F594" i="23" s="1"/>
  <c r="M643" i="23"/>
  <c r="G643" i="23" s="1"/>
  <c r="M681" i="23"/>
  <c r="M671" i="23"/>
  <c r="F671" i="23" s="1"/>
  <c r="M662" i="23"/>
  <c r="M521" i="23"/>
  <c r="F521" i="23" s="1"/>
  <c r="M1432" i="23"/>
  <c r="M202" i="23"/>
  <c r="F202" i="23" s="1"/>
  <c r="M231" i="23"/>
  <c r="M767" i="23"/>
  <c r="M790" i="23"/>
  <c r="G790" i="23" s="1"/>
  <c r="M952" i="23"/>
  <c r="M960" i="23"/>
  <c r="F960" i="23" s="1"/>
  <c r="M957" i="23"/>
  <c r="M1403" i="23"/>
  <c r="M1253" i="23"/>
  <c r="F1253" i="23" s="1"/>
  <c r="M1150" i="23"/>
  <c r="G1150" i="23" s="1"/>
  <c r="M147" i="23"/>
  <c r="F147" i="23" s="1"/>
  <c r="M137" i="23"/>
  <c r="M136" i="23"/>
  <c r="G136" i="23" s="1"/>
  <c r="M720" i="23"/>
  <c r="M704" i="23"/>
  <c r="G704" i="23" s="1"/>
  <c r="M300" i="23"/>
  <c r="M275" i="23"/>
  <c r="F275" i="23" s="1"/>
  <c r="M551" i="23"/>
  <c r="M537" i="23"/>
  <c r="F537" i="23" s="1"/>
  <c r="M789" i="23"/>
  <c r="F789" i="23" s="1"/>
  <c r="M781" i="23"/>
  <c r="G781" i="23" s="1"/>
  <c r="M536" i="23"/>
  <c r="F536" i="23" s="1"/>
  <c r="F1015" i="23"/>
  <c r="M740" i="23"/>
  <c r="M749" i="23"/>
  <c r="G749" i="23" s="1"/>
  <c r="M753" i="23"/>
  <c r="F753" i="23" s="1"/>
  <c r="M366" i="23"/>
  <c r="G366" i="23" s="1"/>
  <c r="M376" i="23"/>
  <c r="M750" i="23"/>
  <c r="M751" i="23"/>
  <c r="G751" i="23" s="1"/>
  <c r="M757" i="23"/>
  <c r="M187" i="23"/>
  <c r="F187" i="23" s="1"/>
  <c r="M205" i="23"/>
  <c r="G205" i="23" s="1"/>
  <c r="M1413" i="23"/>
  <c r="M1411" i="23"/>
  <c r="M1418" i="23"/>
  <c r="M81" i="23"/>
  <c r="G81" i="23" s="1"/>
  <c r="M54" i="23"/>
  <c r="G54" i="23" s="1"/>
  <c r="M748" i="23"/>
  <c r="F748" i="23" s="1"/>
  <c r="M758" i="23"/>
  <c r="F758" i="23" s="1"/>
  <c r="M55" i="23"/>
  <c r="M1469" i="23"/>
  <c r="G1469" i="23" s="1"/>
  <c r="M294" i="23"/>
  <c r="G294" i="23" s="1"/>
  <c r="M119" i="23"/>
  <c r="M125" i="23"/>
  <c r="M1228" i="23"/>
  <c r="F1228" i="23" s="1"/>
  <c r="M1244" i="23"/>
  <c r="G1244" i="23" s="1"/>
  <c r="M609" i="23"/>
  <c r="F609" i="23" s="1"/>
  <c r="M616" i="23"/>
  <c r="G616" i="23" s="1"/>
  <c r="M590" i="23"/>
  <c r="G590" i="23" s="1"/>
  <c r="M585" i="23"/>
  <c r="G585" i="23" s="1"/>
  <c r="M1132" i="23"/>
  <c r="F1132" i="23" s="1"/>
  <c r="M1131" i="23"/>
  <c r="F1131" i="23" s="1"/>
  <c r="M271" i="23"/>
  <c r="M242" i="23"/>
  <c r="M882" i="23"/>
  <c r="G882" i="23" s="1"/>
  <c r="M883" i="23"/>
  <c r="F883" i="23" s="1"/>
  <c r="M83" i="23"/>
  <c r="F83" i="23" s="1"/>
  <c r="M95" i="23"/>
  <c r="F95" i="23" s="1"/>
  <c r="M1221" i="23"/>
  <c r="F1221" i="23" s="1"/>
  <c r="M1205" i="23"/>
  <c r="F1205" i="23" s="1"/>
  <c r="M1206" i="23"/>
  <c r="M1444" i="23"/>
  <c r="M1456" i="23"/>
  <c r="M1187" i="23"/>
  <c r="M566" i="23"/>
  <c r="G566" i="23" s="1"/>
  <c r="M1358" i="23"/>
  <c r="F1358" i="23" s="1"/>
  <c r="M478" i="23"/>
  <c r="G478" i="23" s="1"/>
  <c r="M475" i="23"/>
  <c r="F475" i="23" s="1"/>
  <c r="M950" i="23"/>
  <c r="F950" i="23" s="1"/>
  <c r="M938" i="23"/>
  <c r="G938" i="23" s="1"/>
  <c r="M810" i="23"/>
  <c r="M812" i="23"/>
  <c r="G812" i="23" s="1"/>
  <c r="M803" i="23"/>
  <c r="M201" i="23"/>
  <c r="M198" i="23"/>
  <c r="F198" i="23" s="1"/>
  <c r="M218" i="23"/>
  <c r="F218" i="23" s="1"/>
  <c r="M844" i="23"/>
  <c r="G844" i="23" s="1"/>
  <c r="M853" i="23"/>
  <c r="G853" i="23" s="1"/>
  <c r="M140" i="23"/>
  <c r="G140" i="23" s="1"/>
  <c r="M104" i="23"/>
  <c r="M903" i="23"/>
  <c r="M886" i="23"/>
  <c r="M905" i="23"/>
  <c r="M1026" i="23"/>
  <c r="F1026" i="23" s="1"/>
  <c r="M1045" i="23"/>
  <c r="F1045" i="23" s="1"/>
  <c r="M1405" i="23"/>
  <c r="F1405" i="23" s="1"/>
  <c r="M1393" i="23"/>
  <c r="M1415" i="23"/>
  <c r="M1406" i="23"/>
  <c r="F1406" i="23" s="1"/>
  <c r="M833" i="23"/>
  <c r="M850" i="23"/>
  <c r="F850" i="23" s="1"/>
  <c r="M1183" i="23"/>
  <c r="M696" i="23"/>
  <c r="G696" i="23" s="1"/>
  <c r="M718" i="23"/>
  <c r="F718" i="23" s="1"/>
  <c r="M1474" i="23"/>
  <c r="F1474" i="23" s="1"/>
  <c r="M1475" i="23"/>
  <c r="M1110" i="23"/>
  <c r="F1110" i="23" s="1"/>
  <c r="M1100" i="23"/>
  <c r="G1100" i="23" s="1"/>
  <c r="M1115" i="23"/>
  <c r="F1115" i="23" s="1"/>
  <c r="M82" i="23"/>
  <c r="F82" i="23" s="1"/>
  <c r="M57" i="23"/>
  <c r="F57" i="23" s="1"/>
  <c r="M62" i="23"/>
  <c r="F62" i="23" s="1"/>
  <c r="M1297" i="23"/>
  <c r="M1294" i="23"/>
  <c r="F1294" i="23" s="1"/>
  <c r="M1300" i="23"/>
  <c r="M673" i="23"/>
  <c r="M700" i="23"/>
  <c r="F700" i="23" s="1"/>
  <c r="G1015" i="23"/>
  <c r="M1153" i="23"/>
  <c r="F1153" i="23" s="1"/>
  <c r="M645" i="23"/>
  <c r="F645" i="23" s="1"/>
  <c r="M739" i="23"/>
  <c r="F739" i="23" s="1"/>
  <c r="M745" i="23"/>
  <c r="F745" i="23" s="1"/>
  <c r="M1050" i="23"/>
  <c r="F1050" i="23" s="1"/>
  <c r="M1039" i="23"/>
  <c r="F1039" i="23" s="1"/>
  <c r="M1044" i="23"/>
  <c r="F1044" i="23" s="1"/>
  <c r="M1107" i="23"/>
  <c r="G1107" i="23" s="1"/>
  <c r="M1092" i="23"/>
  <c r="M194" i="23"/>
  <c r="F194" i="23" s="1"/>
  <c r="M184" i="23"/>
  <c r="M289" i="23"/>
  <c r="F289" i="23" s="1"/>
  <c r="M277" i="23"/>
  <c r="F277" i="23" s="1"/>
  <c r="M344" i="23"/>
  <c r="G344" i="23" s="1"/>
  <c r="M324" i="23"/>
  <c r="F324" i="23" s="1"/>
  <c r="M334" i="23"/>
  <c r="F334" i="23" s="1"/>
  <c r="M177" i="23"/>
  <c r="F177" i="23" s="1"/>
  <c r="M173" i="23"/>
  <c r="M1324" i="23"/>
  <c r="G1324" i="23" s="1"/>
  <c r="M1310" i="23"/>
  <c r="F1310" i="23" s="1"/>
  <c r="M838" i="23"/>
  <c r="G838" i="23" s="1"/>
  <c r="M841" i="23"/>
  <c r="G841" i="23" s="1"/>
  <c r="M817" i="23"/>
  <c r="M611" i="23"/>
  <c r="F611" i="23" s="1"/>
  <c r="M530" i="23"/>
  <c r="M520" i="23"/>
  <c r="F520" i="23" s="1"/>
  <c r="M540" i="23"/>
  <c r="M533" i="23"/>
  <c r="F533" i="23" s="1"/>
  <c r="M352" i="23"/>
  <c r="F352" i="23" s="1"/>
  <c r="M336" i="23"/>
  <c r="F336" i="23" s="1"/>
  <c r="M386" i="23"/>
  <c r="G386" i="23" s="1"/>
  <c r="M396" i="23"/>
  <c r="F396" i="23" s="1"/>
  <c r="M1285" i="23"/>
  <c r="F1285" i="23" s="1"/>
  <c r="M1277" i="23"/>
  <c r="F1277" i="23" s="1"/>
  <c r="M1283" i="23"/>
  <c r="F1283" i="23" s="1"/>
  <c r="M1180" i="23"/>
  <c r="G1180" i="23" s="1"/>
  <c r="M1181" i="23"/>
  <c r="M195" i="23"/>
  <c r="G195" i="23" s="1"/>
  <c r="M200" i="23"/>
  <c r="G200" i="23" s="1"/>
  <c r="M1028" i="23"/>
  <c r="M1020" i="23"/>
  <c r="M1036" i="23"/>
  <c r="M1024" i="23"/>
  <c r="F1024" i="23" s="1"/>
  <c r="M58" i="23"/>
  <c r="F58" i="23" s="1"/>
  <c r="M66" i="23"/>
  <c r="F66" i="23" s="1"/>
  <c r="M768" i="23"/>
  <c r="M761" i="23"/>
  <c r="M765" i="23"/>
  <c r="M251" i="23"/>
  <c r="M233" i="23"/>
  <c r="F233" i="23" s="1"/>
  <c r="M60" i="23"/>
  <c r="M43" i="23"/>
  <c r="G43" i="23" s="1"/>
  <c r="M99" i="23"/>
  <c r="M106" i="23"/>
  <c r="F106" i="23" s="1"/>
  <c r="M709" i="23"/>
  <c r="F709" i="23" s="1"/>
  <c r="M688" i="23"/>
  <c r="M698" i="23"/>
  <c r="G698" i="23" s="1"/>
  <c r="M356" i="23"/>
  <c r="F356" i="23" s="1"/>
  <c r="M364" i="23"/>
  <c r="F364" i="23" s="1"/>
  <c r="M1178" i="23"/>
  <c r="M570" i="23"/>
  <c r="F570" i="23" s="1"/>
  <c r="M1227" i="23"/>
  <c r="F1227" i="23" s="1"/>
  <c r="M1261" i="23"/>
  <c r="M706" i="23"/>
  <c r="F706" i="23" s="1"/>
  <c r="M712" i="23"/>
  <c r="M713" i="23"/>
  <c r="F713" i="23" s="1"/>
  <c r="M614" i="23"/>
  <c r="M606" i="23"/>
  <c r="F606" i="23" s="1"/>
  <c r="M726" i="23"/>
  <c r="M732" i="23"/>
  <c r="G732" i="23" s="1"/>
  <c r="M1108" i="23"/>
  <c r="F1108" i="23" s="1"/>
  <c r="M1144" i="23"/>
  <c r="G1144" i="23" s="1"/>
  <c r="M249" i="23"/>
  <c r="M243" i="23"/>
  <c r="G243" i="23" s="1"/>
  <c r="M245" i="23"/>
  <c r="M1149" i="23"/>
  <c r="F1149" i="23" s="1"/>
  <c r="M1143" i="23"/>
  <c r="G1143" i="23" s="1"/>
  <c r="M466" i="23"/>
  <c r="M462" i="23"/>
  <c r="F462" i="23" s="1"/>
  <c r="M384" i="23"/>
  <c r="M391" i="23"/>
  <c r="M178" i="23"/>
  <c r="M160" i="23"/>
  <c r="F160" i="23" s="1"/>
  <c r="M528" i="23"/>
  <c r="F528" i="23" s="1"/>
  <c r="M512" i="23"/>
  <c r="F512" i="23" s="1"/>
  <c r="M511" i="23"/>
  <c r="F511" i="23" s="1"/>
  <c r="M1362" i="23"/>
  <c r="G1362" i="23" s="1"/>
  <c r="M1354" i="23"/>
  <c r="G1354" i="23" s="1"/>
  <c r="M279" i="23"/>
  <c r="G279" i="23" s="1"/>
  <c r="M296" i="23"/>
  <c r="G296" i="23" s="1"/>
  <c r="M288" i="23"/>
  <c r="F288" i="23" s="1"/>
  <c r="M1265" i="23"/>
  <c r="F1265" i="23" s="1"/>
  <c r="M1267" i="23"/>
  <c r="F1267" i="23" s="1"/>
  <c r="M1040" i="23"/>
  <c r="F1040" i="23" s="1"/>
  <c r="M1013" i="23"/>
  <c r="G1013" i="23" s="1"/>
  <c r="M1031" i="23"/>
  <c r="G1031" i="23" s="1"/>
  <c r="M1023" i="23"/>
  <c r="F1023" i="23" s="1"/>
  <c r="M630" i="23"/>
  <c r="M638" i="23"/>
  <c r="M647" i="23"/>
  <c r="M290" i="23"/>
  <c r="M285" i="23"/>
  <c r="G285" i="23" s="1"/>
  <c r="M269" i="23"/>
  <c r="M457" i="23"/>
  <c r="F457" i="23" s="1"/>
  <c r="M458" i="23"/>
  <c r="F458" i="23" s="1"/>
  <c r="M159" i="23"/>
  <c r="M176" i="23"/>
  <c r="M804" i="23"/>
  <c r="M795" i="23"/>
  <c r="M802" i="23"/>
  <c r="F802" i="23" s="1"/>
  <c r="M794" i="23"/>
  <c r="M576" i="23"/>
  <c r="M569" i="23"/>
  <c r="M459" i="23"/>
  <c r="M450" i="23"/>
  <c r="M1042" i="23"/>
  <c r="M1054" i="23"/>
  <c r="M1061" i="23"/>
  <c r="M877" i="23"/>
  <c r="M884" i="23"/>
  <c r="M502" i="23"/>
  <c r="M503" i="23"/>
  <c r="G503" i="23" s="1"/>
  <c r="M816" i="23"/>
  <c r="F816" i="23" s="1"/>
  <c r="M820" i="23"/>
  <c r="G820" i="23" s="1"/>
  <c r="M825" i="23"/>
  <c r="F825" i="23" s="1"/>
  <c r="M567" i="23"/>
  <c r="F567" i="23" s="1"/>
  <c r="M550" i="23"/>
  <c r="F550" i="23" s="1"/>
  <c r="M385" i="23"/>
  <c r="M378" i="23"/>
  <c r="F378" i="23" s="1"/>
  <c r="M365" i="23"/>
  <c r="F365" i="23" s="1"/>
  <c r="M969" i="23"/>
  <c r="M976" i="23"/>
  <c r="F976" i="23" s="1"/>
  <c r="M987" i="23"/>
  <c r="G987" i="23" s="1"/>
  <c r="M514" i="23"/>
  <c r="M489" i="23"/>
  <c r="G489" i="23" s="1"/>
  <c r="M509" i="23"/>
  <c r="M240" i="23"/>
  <c r="M248" i="23"/>
  <c r="M241" i="23"/>
  <c r="F241" i="23" s="1"/>
  <c r="M889" i="23"/>
  <c r="G889" i="23" s="1"/>
  <c r="M912" i="23"/>
  <c r="F912" i="23" s="1"/>
  <c r="M895" i="23"/>
  <c r="F895" i="23" s="1"/>
  <c r="M893" i="23"/>
  <c r="F893" i="23" s="1"/>
  <c r="M896" i="23"/>
  <c r="M1217" i="23"/>
  <c r="F1217" i="23" s="1"/>
  <c r="M677" i="23"/>
  <c r="G677" i="23" s="1"/>
  <c r="M694" i="23"/>
  <c r="M719" i="23"/>
  <c r="G719" i="23" s="1"/>
  <c r="M724" i="23"/>
  <c r="F724" i="23" s="1"/>
  <c r="M413" i="23"/>
  <c r="M439" i="23"/>
  <c r="G439" i="23" s="1"/>
  <c r="M663" i="23"/>
  <c r="M679" i="23"/>
  <c r="M481" i="23"/>
  <c r="M472" i="23"/>
  <c r="G472" i="23" s="1"/>
  <c r="M308" i="23"/>
  <c r="F308" i="23" s="1"/>
  <c r="M337" i="23"/>
  <c r="F337" i="23" s="1"/>
  <c r="M332" i="23"/>
  <c r="G332" i="23" s="1"/>
  <c r="M539" i="23"/>
  <c r="F539" i="23" s="1"/>
  <c r="M542" i="23"/>
  <c r="M409" i="23"/>
  <c r="G409" i="23" s="1"/>
  <c r="M393" i="23"/>
  <c r="F393" i="23" s="1"/>
  <c r="M417" i="23"/>
  <c r="G417" i="23" s="1"/>
  <c r="M934" i="23"/>
  <c r="G934" i="23" s="1"/>
  <c r="M907" i="23"/>
  <c r="F907" i="23" s="1"/>
  <c r="M1446" i="23"/>
  <c r="M1441" i="23"/>
  <c r="F1083" i="23"/>
  <c r="G1380" i="23"/>
  <c r="M722" i="23"/>
  <c r="G722" i="23" s="1"/>
  <c r="M710" i="23"/>
  <c r="M733" i="23"/>
  <c r="M729" i="23"/>
  <c r="M1047" i="23"/>
  <c r="G1047" i="23" s="1"/>
  <c r="M1051" i="23"/>
  <c r="G1051" i="23" s="1"/>
  <c r="M1058" i="23"/>
  <c r="M923" i="23"/>
  <c r="F923" i="23" s="1"/>
  <c r="M925" i="23"/>
  <c r="F925" i="23" s="1"/>
  <c r="M927" i="23"/>
  <c r="G927" i="23" s="1"/>
  <c r="M918" i="23"/>
  <c r="F918" i="23" s="1"/>
  <c r="M935" i="23"/>
  <c r="G935" i="23" s="1"/>
  <c r="M494" i="23"/>
  <c r="M505" i="23"/>
  <c r="G505" i="23" s="1"/>
  <c r="M506" i="23"/>
  <c r="G506" i="23" s="1"/>
  <c r="M484" i="23"/>
  <c r="G484" i="23" s="1"/>
  <c r="M519" i="23"/>
  <c r="F519" i="23" s="1"/>
  <c r="M492" i="23"/>
  <c r="F492" i="23" s="1"/>
  <c r="M343" i="23"/>
  <c r="G343" i="23" s="1"/>
  <c r="M331" i="23"/>
  <c r="F331" i="23" s="1"/>
  <c r="M210" i="23"/>
  <c r="F210" i="23" s="1"/>
  <c r="M213" i="23"/>
  <c r="G213" i="23" s="1"/>
  <c r="M206" i="23"/>
  <c r="M211" i="23"/>
  <c r="M219" i="23"/>
  <c r="G219" i="23" s="1"/>
  <c r="M444" i="23"/>
  <c r="F444" i="23" s="1"/>
  <c r="M445" i="23"/>
  <c r="G445" i="23" s="1"/>
  <c r="M455" i="23"/>
  <c r="M773" i="23"/>
  <c r="F773" i="23" s="1"/>
  <c r="M771" i="23"/>
  <c r="G771" i="23" s="1"/>
  <c r="M775" i="23"/>
  <c r="F775" i="23" s="1"/>
  <c r="M783" i="23"/>
  <c r="M644" i="23"/>
  <c r="F644" i="23" s="1"/>
  <c r="M635" i="23"/>
  <c r="F635" i="23" s="1"/>
  <c r="M874" i="23"/>
  <c r="G874" i="23" s="1"/>
  <c r="M878" i="23"/>
  <c r="G878" i="23" s="1"/>
  <c r="M871" i="23"/>
  <c r="F871" i="23" s="1"/>
  <c r="M897" i="23"/>
  <c r="F897" i="23" s="1"/>
  <c r="M491" i="23"/>
  <c r="F491" i="23" s="1"/>
  <c r="M499" i="23"/>
  <c r="M490" i="23"/>
  <c r="F490" i="23" s="1"/>
  <c r="M1124" i="23"/>
  <c r="G1124" i="23" s="1"/>
  <c r="M1134" i="23"/>
  <c r="G1134" i="23" s="1"/>
  <c r="M1139" i="23"/>
  <c r="F1139" i="23" s="1"/>
  <c r="M1135" i="23"/>
  <c r="F1135" i="23" s="1"/>
  <c r="M1147" i="23"/>
  <c r="F1147" i="23" s="1"/>
  <c r="M252" i="23"/>
  <c r="G252" i="23" s="1"/>
  <c r="M247" i="23"/>
  <c r="F247" i="23" s="1"/>
  <c r="M246" i="23"/>
  <c r="G246" i="23" s="1"/>
  <c r="M261" i="23"/>
  <c r="G261" i="23" s="1"/>
  <c r="M805" i="23"/>
  <c r="M792" i="23"/>
  <c r="F792" i="23" s="1"/>
  <c r="M807" i="23"/>
  <c r="F807" i="23" s="1"/>
  <c r="M899" i="23"/>
  <c r="M915" i="23"/>
  <c r="G915" i="23" s="1"/>
  <c r="M916" i="23"/>
  <c r="F916" i="23" s="1"/>
  <c r="M599" i="23"/>
  <c r="M604" i="23"/>
  <c r="G604" i="23" s="1"/>
  <c r="M620" i="23"/>
  <c r="M610" i="23"/>
  <c r="M596" i="23"/>
  <c r="F596" i="23" s="1"/>
  <c r="M235" i="23"/>
  <c r="F235" i="23" s="1"/>
  <c r="M238" i="23"/>
  <c r="F238" i="23" s="1"/>
  <c r="M253" i="23"/>
  <c r="F253" i="23" s="1"/>
  <c r="M473" i="23"/>
  <c r="M498" i="23"/>
  <c r="F498" i="23" s="1"/>
  <c r="M1141" i="23"/>
  <c r="F1141" i="23" s="1"/>
  <c r="M1151" i="23"/>
  <c r="M1174" i="23"/>
  <c r="F1174" i="23" s="1"/>
  <c r="M1159" i="23"/>
  <c r="F1159" i="23" s="1"/>
  <c r="M216" i="23"/>
  <c r="F216" i="23" s="1"/>
  <c r="M229" i="23"/>
  <c r="F229" i="23" s="1"/>
  <c r="M228" i="23"/>
  <c r="M221" i="23"/>
  <c r="M226" i="23"/>
  <c r="F226" i="23" s="1"/>
  <c r="M670" i="23"/>
  <c r="F670" i="23" s="1"/>
  <c r="M683" i="23"/>
  <c r="G683" i="23" s="1"/>
  <c r="M667" i="23"/>
  <c r="M1003" i="23"/>
  <c r="F1003" i="23" s="1"/>
  <c r="M1025" i="23"/>
  <c r="F1025" i="23" s="1"/>
  <c r="M999" i="23"/>
  <c r="F999" i="23" s="1"/>
  <c r="M299" i="23"/>
  <c r="F299" i="23" s="1"/>
  <c r="M298" i="23"/>
  <c r="F298" i="23" s="1"/>
  <c r="M278" i="23"/>
  <c r="F278" i="23" s="1"/>
  <c r="M162" i="23"/>
  <c r="G162" i="23" s="1"/>
  <c r="M156" i="23"/>
  <c r="G156" i="23" s="1"/>
  <c r="M153" i="23"/>
  <c r="G153" i="23" s="1"/>
  <c r="M1424" i="23"/>
  <c r="F1424" i="23" s="1"/>
  <c r="M1438" i="23"/>
  <c r="G1438" i="23" s="1"/>
  <c r="M1443" i="23"/>
  <c r="G1443" i="23" s="1"/>
  <c r="M1423" i="23"/>
  <c r="F1423" i="23" s="1"/>
  <c r="M1447" i="23"/>
  <c r="M1449" i="23"/>
  <c r="M1448" i="23"/>
  <c r="M1452" i="23"/>
  <c r="M134" i="23"/>
  <c r="G134" i="23" s="1"/>
  <c r="M120" i="23"/>
  <c r="F120" i="23" s="1"/>
  <c r="M138" i="23"/>
  <c r="F138" i="23" s="1"/>
  <c r="M139" i="23"/>
  <c r="G139" i="23" s="1"/>
  <c r="M774" i="23"/>
  <c r="G774" i="23" s="1"/>
  <c r="M756" i="23"/>
  <c r="F756" i="23" s="1"/>
  <c r="M766" i="23"/>
  <c r="F766" i="23" s="1"/>
  <c r="M392" i="23"/>
  <c r="M404" i="23"/>
  <c r="F404" i="23" s="1"/>
  <c r="M395" i="23"/>
  <c r="M379" i="23"/>
  <c r="G379" i="23" s="1"/>
  <c r="M845" i="23"/>
  <c r="G845" i="23" s="1"/>
  <c r="M847" i="23"/>
  <c r="G847" i="23" s="1"/>
  <c r="M840" i="23"/>
  <c r="F840" i="23" s="1"/>
  <c r="M851" i="23"/>
  <c r="F851" i="23" s="1"/>
  <c r="M831" i="23"/>
  <c r="F831" i="23" s="1"/>
  <c r="M130" i="23"/>
  <c r="M133" i="23"/>
  <c r="F133" i="23" s="1"/>
  <c r="M129" i="23"/>
  <c r="G129" i="23" s="1"/>
  <c r="M144" i="23"/>
  <c r="G144" i="23" s="1"/>
  <c r="M1246" i="23"/>
  <c r="G1246" i="23" s="1"/>
  <c r="M1247" i="23"/>
  <c r="F1247" i="23" s="1"/>
  <c r="M1235" i="23"/>
  <c r="G1235" i="23" s="1"/>
  <c r="M1233" i="23"/>
  <c r="F1233" i="23" s="1"/>
  <c r="M1126" i="23"/>
  <c r="F1126" i="23" s="1"/>
  <c r="M1133" i="23"/>
  <c r="F1133" i="23" s="1"/>
  <c r="M1137" i="23"/>
  <c r="F1137" i="23" s="1"/>
  <c r="M1116" i="23"/>
  <c r="F1116" i="23" s="1"/>
  <c r="M962" i="23"/>
  <c r="M948" i="23"/>
  <c r="F948" i="23" s="1"/>
  <c r="M954" i="23"/>
  <c r="F954" i="23" s="1"/>
  <c r="M942" i="23"/>
  <c r="G942" i="23" s="1"/>
  <c r="M800" i="23"/>
  <c r="F800" i="23" s="1"/>
  <c r="M828" i="23"/>
  <c r="G828" i="23" s="1"/>
  <c r="M822" i="23"/>
  <c r="F822" i="23" s="1"/>
  <c r="M818" i="23"/>
  <c r="G818" i="23" s="1"/>
  <c r="M819" i="23"/>
  <c r="M626" i="23"/>
  <c r="G626" i="23" s="1"/>
  <c r="M640" i="23"/>
  <c r="F640" i="23" s="1"/>
  <c r="M656" i="23"/>
  <c r="F656" i="23" s="1"/>
  <c r="M633" i="23"/>
  <c r="M234" i="23"/>
  <c r="F234" i="23" s="1"/>
  <c r="M217" i="23"/>
  <c r="F217" i="23" s="1"/>
  <c r="M65" i="23"/>
  <c r="G65" i="23" s="1"/>
  <c r="M71" i="23"/>
  <c r="F71" i="23" s="1"/>
  <c r="M41" i="23"/>
  <c r="M74" i="23"/>
  <c r="M971" i="23"/>
  <c r="G971" i="23" s="1"/>
  <c r="M970" i="23"/>
  <c r="M951" i="23"/>
  <c r="F951" i="23" s="1"/>
  <c r="M958" i="23"/>
  <c r="F958" i="23" s="1"/>
  <c r="M179" i="23"/>
  <c r="F179" i="23" s="1"/>
  <c r="M166" i="23"/>
  <c r="F166" i="23" s="1"/>
  <c r="M158" i="23"/>
  <c r="G158" i="23" s="1"/>
  <c r="M172" i="23"/>
  <c r="M192" i="23"/>
  <c r="G192" i="23" s="1"/>
  <c r="M602" i="23"/>
  <c r="M613" i="23"/>
  <c r="F613" i="23" s="1"/>
  <c r="M612" i="23"/>
  <c r="G612" i="23" s="1"/>
  <c r="M432" i="23"/>
  <c r="G432" i="23" s="1"/>
  <c r="M422" i="23"/>
  <c r="F422" i="23" s="1"/>
  <c r="M350" i="23"/>
  <c r="F350" i="23" s="1"/>
  <c r="M333" i="23"/>
  <c r="G333" i="23" s="1"/>
  <c r="M328" i="23"/>
  <c r="G328" i="23" s="1"/>
  <c r="M340" i="23"/>
  <c r="G340" i="23" s="1"/>
  <c r="M327" i="23"/>
  <c r="G327" i="23" s="1"/>
  <c r="M1209" i="23"/>
  <c r="M716" i="23"/>
  <c r="F716" i="23" s="1"/>
  <c r="M705" i="23"/>
  <c r="M711" i="23"/>
  <c r="M693" i="23"/>
  <c r="F693" i="23" s="1"/>
  <c r="M1292" i="23"/>
  <c r="F1292" i="23" s="1"/>
  <c r="M1295" i="23"/>
  <c r="G1295" i="23" s="1"/>
  <c r="M697" i="23"/>
  <c r="F697" i="23" s="1"/>
  <c r="M674" i="23"/>
  <c r="F674" i="23" s="1"/>
  <c r="M407" i="23"/>
  <c r="G407" i="23" s="1"/>
  <c r="M412" i="23"/>
  <c r="F412" i="23" s="1"/>
  <c r="M400" i="23"/>
  <c r="F400" i="23" s="1"/>
  <c r="M425" i="23"/>
  <c r="M411" i="23"/>
  <c r="M513" i="23"/>
  <c r="F513" i="23" s="1"/>
  <c r="M516" i="23"/>
  <c r="F516" i="23" s="1"/>
  <c r="M508" i="23"/>
  <c r="F508" i="23" s="1"/>
  <c r="M1346" i="23"/>
  <c r="F1346" i="23" s="1"/>
  <c r="M1349" i="23"/>
  <c r="F1349" i="23" s="1"/>
  <c r="M1375" i="23"/>
  <c r="F1375" i="23" s="1"/>
  <c r="M1359" i="23"/>
  <c r="F1359" i="23" s="1"/>
  <c r="M1361" i="23"/>
  <c r="G1361" i="23" s="1"/>
  <c r="M754" i="23"/>
  <c r="G754" i="23" s="1"/>
  <c r="M752" i="23"/>
  <c r="F752" i="23" s="1"/>
  <c r="M742" i="23"/>
  <c r="F742" i="23" s="1"/>
  <c r="M377" i="23"/>
  <c r="G377" i="23" s="1"/>
  <c r="M380" i="23"/>
  <c r="F380" i="23" s="1"/>
  <c r="M1268" i="23"/>
  <c r="M1284" i="23"/>
  <c r="G1284" i="23" s="1"/>
  <c r="M1276" i="23"/>
  <c r="M1270" i="23"/>
  <c r="M762" i="23"/>
  <c r="F762" i="23" s="1"/>
  <c r="M769" i="23"/>
  <c r="M772" i="23"/>
  <c r="G772" i="23" s="1"/>
  <c r="M770" i="23"/>
  <c r="M1177" i="23"/>
  <c r="F1177" i="23" s="1"/>
  <c r="M1188" i="23"/>
  <c r="F1188" i="23" s="1"/>
  <c r="M203" i="23"/>
  <c r="F203" i="23" s="1"/>
  <c r="M190" i="23"/>
  <c r="G190" i="23" s="1"/>
  <c r="M993" i="23"/>
  <c r="F993" i="23" s="1"/>
  <c r="M1006" i="23"/>
  <c r="M982" i="23"/>
  <c r="G982" i="23" s="1"/>
  <c r="M821" i="23"/>
  <c r="G821" i="23" s="1"/>
  <c r="M814" i="23"/>
  <c r="F814" i="23" s="1"/>
  <c r="M829" i="23"/>
  <c r="M842" i="23"/>
  <c r="F842" i="23" s="1"/>
  <c r="M827" i="23"/>
  <c r="G827" i="23" s="1"/>
  <c r="M834" i="23"/>
  <c r="G834" i="23" s="1"/>
  <c r="M1155" i="23"/>
  <c r="F1155" i="23" s="1"/>
  <c r="M1148" i="23"/>
  <c r="F1148" i="23" s="1"/>
  <c r="M1130" i="23"/>
  <c r="F1130" i="23" s="1"/>
  <c r="M161" i="23"/>
  <c r="F161" i="23" s="1"/>
  <c r="M180" i="23"/>
  <c r="F180" i="23" s="1"/>
  <c r="M1313" i="23"/>
  <c r="F1313" i="23" s="1"/>
  <c r="M1328" i="23"/>
  <c r="F1328" i="23" s="1"/>
  <c r="M1319" i="23"/>
  <c r="G1319" i="23" s="1"/>
  <c r="M672" i="23"/>
  <c r="G672" i="23" s="1"/>
  <c r="M669" i="23"/>
  <c r="G669" i="23" s="1"/>
  <c r="M675" i="23"/>
  <c r="F675" i="23" s="1"/>
  <c r="M678" i="23"/>
  <c r="M1032" i="23"/>
  <c r="F1032" i="23" s="1"/>
  <c r="M1037" i="23"/>
  <c r="F1037" i="23" s="1"/>
  <c r="M1041" i="23"/>
  <c r="F1041" i="23" s="1"/>
  <c r="M1021" i="23"/>
  <c r="F1021" i="23" s="1"/>
  <c r="M357" i="23"/>
  <c r="M360" i="23"/>
  <c r="F360" i="23" s="1"/>
  <c r="M375" i="23"/>
  <c r="G375" i="23" s="1"/>
  <c r="M1315" i="23"/>
  <c r="M1302" i="23"/>
  <c r="M1301" i="23"/>
  <c r="M1326" i="23"/>
  <c r="G1326" i="23" s="1"/>
  <c r="M1311" i="23"/>
  <c r="M1303" i="23"/>
  <c r="M655" i="23"/>
  <c r="M646" i="23"/>
  <c r="G646" i="23" s="1"/>
  <c r="M664" i="23"/>
  <c r="F664" i="23" s="1"/>
  <c r="M649" i="23"/>
  <c r="M1254" i="23"/>
  <c r="G1254" i="23" s="1"/>
  <c r="M1250" i="23"/>
  <c r="F1250" i="23" s="1"/>
  <c r="M1252" i="23"/>
  <c r="F1252" i="23" s="1"/>
  <c r="M1251" i="23"/>
  <c r="G1251" i="23" s="1"/>
  <c r="M110" i="23"/>
  <c r="F110" i="23" s="1"/>
  <c r="M105" i="23"/>
  <c r="F105" i="23" s="1"/>
  <c r="M116" i="23"/>
  <c r="F116" i="23" s="1"/>
  <c r="M124" i="23"/>
  <c r="F124" i="23" s="1"/>
  <c r="M572" i="23"/>
  <c r="F572" i="23" s="1"/>
  <c r="M575" i="23"/>
  <c r="M574" i="23"/>
  <c r="F574" i="23" s="1"/>
  <c r="M581" i="23"/>
  <c r="M256" i="23"/>
  <c r="F256" i="23" s="1"/>
  <c r="M259" i="23"/>
  <c r="F259" i="23" s="1"/>
  <c r="M263" i="23"/>
  <c r="M250" i="23"/>
  <c r="F250" i="23" s="1"/>
  <c r="M975" i="23"/>
  <c r="G975" i="23" s="1"/>
  <c r="M968" i="23"/>
  <c r="M986" i="23"/>
  <c r="M989" i="23"/>
  <c r="M151" i="23"/>
  <c r="F151" i="23" s="1"/>
  <c r="M155" i="23"/>
  <c r="G155" i="23" s="1"/>
  <c r="M165" i="23"/>
  <c r="G165" i="23" s="1"/>
  <c r="M157" i="23"/>
  <c r="F157" i="23" s="1"/>
  <c r="M148" i="23"/>
  <c r="F148" i="23" s="1"/>
  <c r="M741" i="23"/>
  <c r="G741" i="23" s="1"/>
  <c r="M747" i="23"/>
  <c r="F747" i="23" s="1"/>
  <c r="M735" i="23"/>
  <c r="F735" i="23" s="1"/>
  <c r="M743" i="23"/>
  <c r="F743" i="23" s="1"/>
  <c r="M738" i="23"/>
  <c r="F738" i="23" s="1"/>
  <c r="M1019" i="23"/>
  <c r="G1019" i="23" s="1"/>
  <c r="M1010" i="23"/>
  <c r="F1010" i="23" s="1"/>
  <c r="M1017" i="23"/>
  <c r="F1017" i="23" s="1"/>
  <c r="M1014" i="23"/>
  <c r="F1014" i="23" s="1"/>
  <c r="M728" i="23"/>
  <c r="M725" i="23"/>
  <c r="F725" i="23" s="1"/>
  <c r="M717" i="23"/>
  <c r="F717" i="23" s="1"/>
  <c r="M600" i="23"/>
  <c r="M592" i="23"/>
  <c r="F592" i="23" s="1"/>
  <c r="M629" i="23"/>
  <c r="F629" i="23" s="1"/>
  <c r="M623" i="23"/>
  <c r="F623" i="23" s="1"/>
  <c r="M1033" i="23"/>
  <c r="M1049" i="23"/>
  <c r="G1049" i="23" s="1"/>
  <c r="M1035" i="23"/>
  <c r="F1035" i="23" s="1"/>
  <c r="M1056" i="23"/>
  <c r="F1056" i="23" s="1"/>
  <c r="M1043" i="23"/>
  <c r="G1043" i="23" s="1"/>
  <c r="M1103" i="23"/>
  <c r="F1103" i="23" s="1"/>
  <c r="M1098" i="23"/>
  <c r="F1098" i="23" s="1"/>
  <c r="M1104" i="23"/>
  <c r="G1104" i="23" s="1"/>
  <c r="M1111" i="23"/>
  <c r="F1111" i="23" s="1"/>
  <c r="M485" i="23"/>
  <c r="G485" i="23" s="1"/>
  <c r="M500" i="23"/>
  <c r="F500" i="23" s="1"/>
  <c r="M497" i="23"/>
  <c r="F497" i="23" s="1"/>
  <c r="M483" i="23"/>
  <c r="F483" i="23" s="1"/>
  <c r="M479" i="23"/>
  <c r="G479" i="23" s="1"/>
  <c r="M329" i="23"/>
  <c r="F329" i="23" s="1"/>
  <c r="M319" i="23"/>
  <c r="F319" i="23" s="1"/>
  <c r="M326" i="23"/>
  <c r="F326" i="23" s="1"/>
  <c r="M320" i="23"/>
  <c r="F320" i="23" s="1"/>
  <c r="M325" i="23"/>
  <c r="F325" i="23" s="1"/>
  <c r="M257" i="23"/>
  <c r="F257" i="23" s="1"/>
  <c r="M280" i="23"/>
  <c r="F280" i="23" s="1"/>
  <c r="M272" i="23"/>
  <c r="F272" i="23" s="1"/>
  <c r="M788" i="23"/>
  <c r="M785" i="23"/>
  <c r="M799" i="23"/>
  <c r="F799" i="23" s="1"/>
  <c r="M782" i="23"/>
  <c r="F782" i="23" s="1"/>
  <c r="M784" i="23"/>
  <c r="F784" i="23" s="1"/>
  <c r="M276" i="23"/>
  <c r="F276" i="23" s="1"/>
  <c r="M268" i="23"/>
  <c r="G268" i="23" s="1"/>
  <c r="M265" i="23"/>
  <c r="F265" i="23" s="1"/>
  <c r="M270" i="23"/>
  <c r="F270" i="23" s="1"/>
  <c r="M622" i="23"/>
  <c r="M625" i="23"/>
  <c r="M615" i="23"/>
  <c r="F615" i="23" s="1"/>
  <c r="M608" i="23"/>
  <c r="M668" i="23"/>
  <c r="G668" i="23" s="1"/>
  <c r="M650" i="23"/>
  <c r="M660" i="23"/>
  <c r="F660" i="23" s="1"/>
  <c r="M1487" i="23"/>
  <c r="G1487" i="23" s="1"/>
  <c r="M597" i="23"/>
  <c r="G597" i="23" s="1"/>
  <c r="M580" i="23"/>
  <c r="G580" i="23" s="1"/>
  <c r="M1066" i="23"/>
  <c r="G1066" i="23" s="1"/>
  <c r="M1057" i="23"/>
  <c r="M1060" i="23"/>
  <c r="M1063" i="23"/>
  <c r="F1063" i="23" s="1"/>
  <c r="M1075" i="23"/>
  <c r="F1075" i="23" s="1"/>
  <c r="M1029" i="23"/>
  <c r="M1034" i="23"/>
  <c r="G1034" i="23" s="1"/>
  <c r="M1009" i="23"/>
  <c r="F1009" i="23" s="1"/>
  <c r="M1022" i="23"/>
  <c r="F1022" i="23" s="1"/>
  <c r="M1030" i="23"/>
  <c r="F1030" i="23" s="1"/>
  <c r="M77" i="23"/>
  <c r="G77" i="23" s="1"/>
  <c r="M67" i="23"/>
  <c r="M64" i="23"/>
  <c r="G64" i="23" s="1"/>
  <c r="M76" i="23"/>
  <c r="M367" i="23"/>
  <c r="F367" i="23" s="1"/>
  <c r="M370" i="23"/>
  <c r="G370" i="23" s="1"/>
  <c r="M363" i="23"/>
  <c r="F363" i="23" s="1"/>
  <c r="M529" i="23"/>
  <c r="G529" i="23" s="1"/>
  <c r="M517" i="23"/>
  <c r="F517" i="23" s="1"/>
  <c r="M531" i="23"/>
  <c r="F531" i="23" s="1"/>
  <c r="M532" i="23"/>
  <c r="M890" i="23"/>
  <c r="F890" i="23" s="1"/>
  <c r="M888" i="23"/>
  <c r="G888" i="23" s="1"/>
  <c r="M864" i="23"/>
  <c r="F864" i="23" s="1"/>
  <c r="M682" i="23"/>
  <c r="G682" i="23" s="1"/>
  <c r="M695" i="23"/>
  <c r="F695" i="23" s="1"/>
  <c r="M692" i="23"/>
  <c r="F692" i="23" s="1"/>
  <c r="M691" i="23"/>
  <c r="M689" i="23"/>
  <c r="F689" i="23" s="1"/>
  <c r="M293" i="23"/>
  <c r="G293" i="23" s="1"/>
  <c r="M292" i="23"/>
  <c r="F292" i="23" s="1"/>
  <c r="M295" i="23"/>
  <c r="F295" i="23" s="1"/>
  <c r="M302" i="23"/>
  <c r="M307" i="23"/>
  <c r="M423" i="23"/>
  <c r="F423" i="23" s="1"/>
  <c r="M434" i="23"/>
  <c r="M420" i="23"/>
  <c r="M438" i="23"/>
  <c r="M449" i="23"/>
  <c r="M414" i="23"/>
  <c r="F414" i="23" s="1"/>
  <c r="M415" i="23"/>
  <c r="G415" i="23" s="1"/>
  <c r="M410" i="23"/>
  <c r="F410" i="23" s="1"/>
  <c r="M401" i="23"/>
  <c r="F401" i="23" s="1"/>
  <c r="M212" i="23"/>
  <c r="M222" i="23"/>
  <c r="M191" i="23"/>
  <c r="M214" i="23"/>
  <c r="M164" i="23"/>
  <c r="G164" i="23" s="1"/>
  <c r="M183" i="23"/>
  <c r="F183" i="23" s="1"/>
  <c r="M168" i="23"/>
  <c r="M175" i="23"/>
  <c r="F175" i="23" s="1"/>
  <c r="M571" i="23"/>
  <c r="M562" i="23"/>
  <c r="M560" i="23"/>
  <c r="F560" i="23" s="1"/>
  <c r="M577" i="23"/>
  <c r="F577" i="23" s="1"/>
  <c r="M885" i="23"/>
  <c r="F885" i="23" s="1"/>
  <c r="M892" i="23"/>
  <c r="F892" i="23" s="1"/>
  <c r="M908" i="23"/>
  <c r="M463" i="23"/>
  <c r="F463" i="23" s="1"/>
  <c r="M480" i="23"/>
  <c r="F480" i="23" s="1"/>
  <c r="M470" i="23"/>
  <c r="F470" i="23" s="1"/>
  <c r="M467" i="23"/>
  <c r="F467" i="23" s="1"/>
  <c r="M527" i="23"/>
  <c r="M534" i="23"/>
  <c r="F534" i="23" s="1"/>
  <c r="M552" i="23"/>
  <c r="M541" i="23"/>
  <c r="F541" i="23" s="1"/>
  <c r="M797" i="23"/>
  <c r="F797" i="23" s="1"/>
  <c r="M786" i="23"/>
  <c r="G786" i="23" s="1"/>
  <c r="M806" i="23"/>
  <c r="F806" i="23" s="1"/>
  <c r="M787" i="23"/>
  <c r="G787" i="23" s="1"/>
  <c r="M779" i="23"/>
  <c r="M798" i="23"/>
  <c r="G798" i="23" s="1"/>
  <c r="M1128" i="23"/>
  <c r="F1128" i="23" s="1"/>
  <c r="M1101" i="23"/>
  <c r="F1101" i="23" s="1"/>
  <c r="M1106" i="23"/>
  <c r="F1106" i="23" s="1"/>
  <c r="M1114" i="23"/>
  <c r="G1114" i="23" s="1"/>
  <c r="M1120" i="23"/>
  <c r="F1120" i="23" s="1"/>
  <c r="M721" i="23"/>
  <c r="G721" i="23" s="1"/>
  <c r="M715" i="23"/>
  <c r="M727" i="23"/>
  <c r="F727" i="23" s="1"/>
  <c r="M736" i="23"/>
  <c r="G736" i="23" s="1"/>
  <c r="M848" i="23"/>
  <c r="F848" i="23" s="1"/>
  <c r="M861" i="23"/>
  <c r="M857" i="23"/>
  <c r="M316" i="23"/>
  <c r="M314" i="23"/>
  <c r="M312" i="23"/>
  <c r="F312" i="23" s="1"/>
  <c r="M755" i="23"/>
  <c r="M760" i="23"/>
  <c r="M744" i="23"/>
  <c r="M965" i="23"/>
  <c r="M979" i="23"/>
  <c r="G979" i="23" s="1"/>
  <c r="M973" i="23"/>
  <c r="F973" i="23" s="1"/>
  <c r="M972" i="23"/>
  <c r="M974" i="23"/>
  <c r="G974" i="23" s="1"/>
  <c r="M477" i="23"/>
  <c r="F477" i="23" s="1"/>
  <c r="M482" i="23"/>
  <c r="G482" i="23" s="1"/>
  <c r="M474" i="23"/>
  <c r="F474" i="23" s="1"/>
  <c r="M487" i="23"/>
  <c r="F487" i="23" s="1"/>
  <c r="M437" i="23"/>
  <c r="F437" i="23" s="1"/>
  <c r="M441" i="23"/>
  <c r="M239" i="23"/>
  <c r="G239" i="23" s="1"/>
  <c r="M244" i="23"/>
  <c r="G244" i="23" s="1"/>
  <c r="M258" i="23"/>
  <c r="M230" i="23"/>
  <c r="F230" i="23" s="1"/>
  <c r="M922" i="23"/>
  <c r="M928" i="23"/>
  <c r="F928" i="23" s="1"/>
  <c r="M1420" i="23"/>
  <c r="M1407" i="23"/>
  <c r="F1407" i="23" s="1"/>
  <c r="M1417" i="23"/>
  <c r="F1417" i="23" s="1"/>
  <c r="M1412" i="23"/>
  <c r="G1412" i="23" s="1"/>
  <c r="M63" i="23"/>
  <c r="F63" i="23" s="1"/>
  <c r="M68" i="23"/>
  <c r="G68" i="23" s="1"/>
  <c r="M59" i="23"/>
  <c r="M558" i="23"/>
  <c r="F558" i="23" s="1"/>
  <c r="M544" i="23"/>
  <c r="M543" i="23"/>
  <c r="F543" i="23" s="1"/>
  <c r="M546" i="23"/>
  <c r="F546" i="23" s="1"/>
  <c r="M460" i="23"/>
  <c r="M451" i="23"/>
  <c r="F451" i="23" s="1"/>
  <c r="M464" i="23"/>
  <c r="F464" i="23" s="1"/>
  <c r="M453" i="23"/>
  <c r="F453" i="23" s="1"/>
  <c r="M447" i="23"/>
  <c r="M79" i="23"/>
  <c r="F79" i="23" s="1"/>
  <c r="M103" i="23"/>
  <c r="G103" i="23" s="1"/>
  <c r="M399" i="23"/>
  <c r="G399" i="23" s="1"/>
  <c r="M383" i="23"/>
  <c r="F383" i="23" s="1"/>
  <c r="M381" i="23"/>
  <c r="F381" i="23" s="1"/>
  <c r="M390" i="23"/>
  <c r="F390" i="23" s="1"/>
  <c r="M388" i="23"/>
  <c r="F388" i="23" s="1"/>
  <c r="M382" i="23"/>
  <c r="F382" i="23" s="1"/>
  <c r="M86" i="23"/>
  <c r="M78" i="23"/>
  <c r="F78" i="23" s="1"/>
  <c r="M92" i="23"/>
  <c r="G92" i="23" s="1"/>
  <c r="M101" i="23"/>
  <c r="G101" i="23" s="1"/>
  <c r="M702" i="23"/>
  <c r="M703" i="23"/>
  <c r="M690" i="23"/>
  <c r="F690" i="23" s="1"/>
  <c r="M684" i="23"/>
  <c r="F684" i="23" s="1"/>
  <c r="M701" i="23"/>
  <c r="F701" i="23" s="1"/>
  <c r="M906" i="23"/>
  <c r="F906" i="23" s="1"/>
  <c r="M909" i="23"/>
  <c r="M904" i="23"/>
  <c r="F904" i="23" s="1"/>
  <c r="M914" i="23"/>
  <c r="F914" i="23" s="1"/>
  <c r="M891" i="23"/>
  <c r="F891" i="23" s="1"/>
  <c r="M880" i="23"/>
  <c r="F880" i="23" s="1"/>
  <c r="M894" i="23"/>
  <c r="F894" i="23" s="1"/>
  <c r="M879" i="23"/>
  <c r="F879" i="23" s="1"/>
  <c r="M900" i="23"/>
  <c r="G900" i="23" s="1"/>
  <c r="G1461" i="23"/>
  <c r="G1465" i="23"/>
  <c r="G944" i="23"/>
  <c r="F1374" i="23"/>
  <c r="F1275" i="23"/>
  <c r="F1223" i="23"/>
  <c r="F1316" i="23"/>
  <c r="F911" i="23"/>
  <c r="F981" i="23"/>
  <c r="F1232" i="23"/>
  <c r="G1080" i="23"/>
  <c r="F1093" i="23"/>
  <c r="F224" i="23"/>
  <c r="F1344" i="23"/>
  <c r="F1318" i="23"/>
  <c r="F1234" i="23"/>
  <c r="G354" i="23"/>
  <c r="F1379" i="23"/>
  <c r="F1384" i="23"/>
  <c r="G52" i="23"/>
  <c r="F1458" i="23"/>
  <c r="G1353" i="23"/>
  <c r="F583" i="23"/>
  <c r="F56" i="23"/>
  <c r="F810" i="23"/>
  <c r="G1348" i="23"/>
  <c r="G1083" i="23"/>
  <c r="G1352" i="23"/>
  <c r="F188" i="23"/>
  <c r="F1482" i="23"/>
  <c r="G186" i="23"/>
  <c r="F618" i="23"/>
  <c r="F398" i="23"/>
  <c r="F1080" i="23"/>
  <c r="F1082" i="23"/>
  <c r="F932" i="23"/>
  <c r="F1464" i="23"/>
  <c r="F98" i="23"/>
  <c r="F1230" i="23"/>
  <c r="F1214" i="23"/>
  <c r="F1329" i="23"/>
  <c r="F1433" i="23"/>
  <c r="G1071" i="23"/>
  <c r="F1211" i="23"/>
  <c r="G32" i="23"/>
  <c r="F185" i="23"/>
  <c r="F1102" i="23"/>
  <c r="G945" i="23"/>
  <c r="F435" i="23"/>
  <c r="F1012" i="23"/>
  <c r="G1363" i="23"/>
  <c r="G349" i="23"/>
  <c r="G1309" i="23"/>
  <c r="F561" i="23"/>
  <c r="G1333" i="23"/>
  <c r="G1223" i="23"/>
  <c r="F1171" i="23"/>
  <c r="G1171" i="23"/>
  <c r="F346" i="23"/>
  <c r="F436" i="23"/>
  <c r="F1185" i="23"/>
  <c r="G1470" i="23"/>
  <c r="G369" i="23"/>
  <c r="F568" i="23"/>
  <c r="G1255" i="23"/>
  <c r="G448" i="23"/>
  <c r="G1330" i="23"/>
  <c r="G245" i="23"/>
  <c r="G1323" i="23"/>
  <c r="G1338" i="23"/>
  <c r="G1225" i="23"/>
  <c r="F1272" i="23"/>
  <c r="F1325" i="23"/>
  <c r="G1325" i="23"/>
  <c r="F1471" i="23"/>
  <c r="G495" i="23"/>
  <c r="F1263" i="23"/>
  <c r="F1442" i="23"/>
  <c r="F1457" i="23"/>
  <c r="F740" i="23"/>
  <c r="F1094" i="23"/>
  <c r="F1395" i="23"/>
  <c r="F1440" i="23"/>
  <c r="G1430" i="23"/>
  <c r="F1437" i="23"/>
  <c r="F1429" i="23"/>
  <c r="F167" i="23"/>
  <c r="F1419" i="23"/>
  <c r="F419" i="23"/>
  <c r="F1170" i="23"/>
  <c r="F417" i="23"/>
  <c r="F279" i="23"/>
  <c r="F123" i="23"/>
  <c r="F526" i="23"/>
  <c r="G90" i="23"/>
  <c r="F1157" i="23"/>
  <c r="F947" i="23"/>
  <c r="F310" i="23"/>
  <c r="F1167" i="23"/>
  <c r="G1167" i="23"/>
  <c r="F389" i="23"/>
  <c r="G389" i="23"/>
  <c r="G901" i="23"/>
  <c r="F1259" i="23"/>
  <c r="G1259" i="23"/>
  <c r="G1224" i="23"/>
  <c r="F1224" i="23"/>
  <c r="G582" i="23"/>
  <c r="F1201" i="23"/>
  <c r="G1201" i="23"/>
  <c r="G1065" i="23"/>
  <c r="F1081" i="23"/>
  <c r="F60" i="23"/>
  <c r="F1222" i="23"/>
  <c r="G1222" i="23"/>
  <c r="F114" i="23"/>
  <c r="G114" i="23"/>
  <c r="G1234" i="23"/>
  <c r="F1322" i="23"/>
  <c r="G1322" i="23"/>
  <c r="G109" i="23"/>
  <c r="G85" i="23"/>
  <c r="G70" i="23"/>
  <c r="F556" i="23"/>
  <c r="F262" i="23"/>
  <c r="F708" i="23"/>
  <c r="F1203" i="23"/>
  <c r="F966" i="23"/>
  <c r="G966" i="23"/>
  <c r="F1256" i="23"/>
  <c r="G1256" i="23"/>
  <c r="F881" i="23"/>
  <c r="F126" i="23"/>
  <c r="G126" i="23"/>
  <c r="F1353" i="23"/>
  <c r="F1340" i="23"/>
  <c r="G1340" i="23"/>
  <c r="G1002" i="23"/>
  <c r="F1002" i="23"/>
  <c r="F1365" i="23"/>
  <c r="G1365" i="23"/>
  <c r="G867" i="23"/>
  <c r="F301" i="23"/>
  <c r="G1140" i="23"/>
  <c r="F882" i="23"/>
  <c r="F1095" i="23"/>
  <c r="G1095" i="23"/>
  <c r="F1125" i="23"/>
  <c r="G1125" i="23"/>
  <c r="G926" i="23"/>
  <c r="F926" i="23"/>
  <c r="F823" i="23"/>
  <c r="G823" i="23"/>
  <c r="G1113" i="23"/>
  <c r="F1113" i="23"/>
  <c r="F1293" i="23"/>
  <c r="G1293" i="23"/>
  <c r="F1241" i="23"/>
  <c r="G1241" i="23"/>
  <c r="G1078" i="23"/>
  <c r="F140" i="23"/>
  <c r="F287" i="23"/>
  <c r="F146" i="23"/>
  <c r="G146" i="23"/>
  <c r="F1332" i="23"/>
  <c r="G1332" i="23"/>
  <c r="G49" i="23"/>
  <c r="G1024" i="23"/>
  <c r="F1372" i="23"/>
  <c r="G1372" i="23"/>
  <c r="F545" i="23"/>
  <c r="F1373" i="23"/>
  <c r="G1373" i="23"/>
  <c r="G1217" i="23"/>
  <c r="F1096" i="23"/>
  <c r="G1096" i="23"/>
  <c r="G657" i="23"/>
  <c r="G816" i="23"/>
  <c r="F1337" i="23"/>
  <c r="G1337" i="23"/>
  <c r="F553" i="23"/>
  <c r="F121" i="23"/>
  <c r="F318" i="23"/>
  <c r="F903" i="23"/>
  <c r="F309" i="23"/>
  <c r="F956" i="23"/>
  <c r="F549" i="23"/>
  <c r="F714" i="23"/>
  <c r="F1196" i="23"/>
  <c r="G1196" i="23"/>
  <c r="F991" i="23"/>
  <c r="G991" i="23"/>
  <c r="F946" i="23"/>
  <c r="G946" i="23"/>
  <c r="F297" i="23"/>
  <c r="G297" i="23"/>
  <c r="F1371" i="23"/>
  <c r="G1371" i="23"/>
  <c r="F1445" i="23"/>
  <c r="F1121" i="23"/>
  <c r="G1121" i="23"/>
  <c r="F839" i="23"/>
  <c r="G839" i="23"/>
  <c r="F834" i="23"/>
  <c r="F1381" i="23"/>
  <c r="G1381" i="23"/>
  <c r="G903" i="23"/>
  <c r="G549" i="23"/>
  <c r="F1067" i="23"/>
  <c r="G1067" i="23"/>
  <c r="F652" i="23"/>
  <c r="G652" i="23"/>
  <c r="G637" i="23"/>
  <c r="F1291" i="23"/>
  <c r="G1291" i="23"/>
  <c r="F1260" i="23"/>
  <c r="F1324" i="23"/>
  <c r="G188" i="23"/>
  <c r="F1368" i="23"/>
  <c r="G1368" i="23"/>
  <c r="F1468" i="23"/>
  <c r="G1468" i="23"/>
  <c r="F1086" i="23"/>
  <c r="G1086" i="23"/>
  <c r="F1184" i="23"/>
  <c r="G1184" i="23"/>
  <c r="F1339" i="23"/>
  <c r="G1339" i="23"/>
  <c r="F1070" i="23"/>
  <c r="G1070" i="23"/>
  <c r="F1007" i="23"/>
  <c r="G1007" i="23"/>
  <c r="F1161" i="23"/>
  <c r="G1161" i="23"/>
  <c r="F1305" i="23"/>
  <c r="G1305" i="23"/>
  <c r="F1370" i="23"/>
  <c r="G1370" i="23"/>
  <c r="G315" i="23"/>
  <c r="G123" i="23"/>
  <c r="F1084" i="23"/>
  <c r="G1084" i="23"/>
  <c r="F525" i="23"/>
  <c r="G525" i="23"/>
  <c r="F641" i="23"/>
  <c r="F632" i="23"/>
  <c r="F931" i="23"/>
  <c r="G931" i="23"/>
  <c r="F1279" i="23"/>
  <c r="F1388" i="23"/>
  <c r="G1388" i="23"/>
  <c r="F1410" i="23"/>
  <c r="G1410" i="23"/>
  <c r="F1069" i="23"/>
  <c r="G1069" i="23"/>
  <c r="F1208" i="23"/>
  <c r="G1208" i="23"/>
  <c r="G1236" i="23"/>
  <c r="F1194" i="23"/>
  <c r="G1194" i="23"/>
  <c r="F1334" i="23"/>
  <c r="G1334" i="23"/>
  <c r="F1386" i="23"/>
  <c r="G1386" i="23"/>
  <c r="G121" i="23"/>
  <c r="G739" i="23"/>
  <c r="G309" i="23"/>
  <c r="F1064" i="23"/>
  <c r="G1064" i="23"/>
  <c r="F1290" i="23"/>
  <c r="G1290" i="23"/>
  <c r="F930" i="23"/>
  <c r="G930" i="23"/>
  <c r="F94" i="23"/>
  <c r="G94" i="23"/>
  <c r="G859" i="23"/>
  <c r="F1297" i="23"/>
  <c r="G1297" i="23"/>
  <c r="F1367" i="23"/>
  <c r="G1367" i="23"/>
  <c r="F1175" i="23"/>
  <c r="G1175" i="23"/>
  <c r="F1087" i="23"/>
  <c r="G1087" i="23"/>
  <c r="F1248" i="23"/>
  <c r="G1248" i="23"/>
  <c r="F1204" i="23"/>
  <c r="G1204" i="23"/>
  <c r="F1173" i="23"/>
  <c r="G1173" i="23"/>
  <c r="F1350" i="23"/>
  <c r="G1350" i="23"/>
  <c r="F1377" i="23"/>
  <c r="G1377" i="23"/>
  <c r="G556" i="23"/>
  <c r="G262" i="23"/>
  <c r="G553" i="23"/>
  <c r="F1298" i="23"/>
  <c r="G1298" i="23"/>
  <c r="F1142" i="23"/>
  <c r="G1142" i="23"/>
  <c r="F1351" i="23"/>
  <c r="G1351" i="23"/>
  <c r="F1331" i="23"/>
  <c r="G1331" i="23"/>
  <c r="F1077" i="23"/>
  <c r="G1077" i="23"/>
  <c r="F1164" i="23"/>
  <c r="G1164" i="23"/>
  <c r="F1117" i="23"/>
  <c r="G1117" i="23"/>
  <c r="F1288" i="23"/>
  <c r="G1288" i="23"/>
  <c r="G835" i="23"/>
  <c r="G714" i="23"/>
  <c r="G241" i="23"/>
  <c r="G1182" i="23"/>
  <c r="F1090" i="23"/>
  <c r="G1090" i="23"/>
  <c r="F117" i="23"/>
  <c r="G117" i="23"/>
  <c r="F1287" i="23"/>
  <c r="G1287" i="23"/>
  <c r="G436" i="23"/>
  <c r="F1312" i="23"/>
  <c r="G1312" i="23"/>
  <c r="F1001" i="23"/>
  <c r="G1001" i="23"/>
  <c r="F1389" i="23"/>
  <c r="G1389" i="23"/>
  <c r="G708" i="23"/>
  <c r="F1000" i="23"/>
  <c r="G1000" i="23"/>
  <c r="F913" i="23"/>
  <c r="F873" i="23"/>
  <c r="G873" i="23"/>
  <c r="F648" i="23"/>
  <c r="G648" i="23"/>
  <c r="F1286" i="23"/>
  <c r="G1286" i="23"/>
  <c r="F1207" i="23"/>
  <c r="G1207" i="23"/>
  <c r="F1335" i="23"/>
  <c r="G1335" i="23"/>
  <c r="G1166" i="23"/>
  <c r="F1345" i="23"/>
  <c r="G1345" i="23"/>
  <c r="F284" i="23"/>
  <c r="G284" i="23"/>
  <c r="F335" i="23"/>
  <c r="F1462" i="23"/>
  <c r="G1462" i="23"/>
  <c r="F587" i="23"/>
  <c r="G587" i="23"/>
  <c r="G753" i="23"/>
  <c r="F990" i="23"/>
  <c r="G990" i="23"/>
  <c r="F26" i="23"/>
  <c r="G26" i="23"/>
  <c r="F573" i="23"/>
  <c r="G573" i="23"/>
  <c r="F111" i="23"/>
  <c r="F949" i="23"/>
  <c r="G949" i="23"/>
  <c r="F992" i="23"/>
  <c r="F1210" i="23"/>
  <c r="G1210" i="23"/>
  <c r="F1258" i="23"/>
  <c r="G1258" i="23"/>
  <c r="F1376" i="23"/>
  <c r="G1376" i="23"/>
  <c r="F1085" i="23"/>
  <c r="G1085" i="23"/>
  <c r="F1341" i="23"/>
  <c r="G1341" i="23"/>
  <c r="F1072" i="23"/>
  <c r="G1072" i="23"/>
  <c r="G758" i="23"/>
  <c r="F1304" i="23"/>
  <c r="G1304" i="23"/>
  <c r="G318" i="23"/>
  <c r="G609" i="23"/>
  <c r="G1203" i="23"/>
  <c r="G956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G723" i="23" l="1"/>
  <c r="F1122" i="23"/>
  <c r="F731" i="23"/>
  <c r="F1360" i="23"/>
  <c r="G1369" i="23"/>
  <c r="G1481" i="23"/>
  <c r="G1500" i="23"/>
  <c r="G865" i="23"/>
  <c r="G1018" i="23"/>
  <c r="F1478" i="23"/>
  <c r="G452" i="23"/>
  <c r="F471" i="23"/>
  <c r="F428" i="23"/>
  <c r="F852" i="23"/>
  <c r="G1008" i="23"/>
  <c r="G898" i="23"/>
  <c r="G84" i="23"/>
  <c r="G866" i="23"/>
  <c r="G778" i="23"/>
  <c r="G921" i="23"/>
  <c r="F440" i="23"/>
  <c r="G518" i="23"/>
  <c r="G1192" i="23"/>
  <c r="G1158" i="23"/>
  <c r="F940" i="23"/>
  <c r="G1240" i="23"/>
  <c r="G501" i="23"/>
  <c r="F1485" i="23"/>
  <c r="G1145" i="23"/>
  <c r="F1176" i="23"/>
  <c r="F860" i="23"/>
  <c r="G1110" i="23"/>
  <c r="F1280" i="23"/>
  <c r="G1050" i="23"/>
  <c r="G83" i="23"/>
  <c r="G337" i="23"/>
  <c r="F1129" i="23"/>
  <c r="G277" i="23"/>
  <c r="F838" i="23"/>
  <c r="F1143" i="23"/>
  <c r="G1505" i="23"/>
  <c r="F1505" i="23"/>
  <c r="F503" i="23"/>
  <c r="F296" i="23"/>
  <c r="F878" i="23"/>
  <c r="G1139" i="23"/>
  <c r="G661" i="23"/>
  <c r="G36" i="23"/>
  <c r="G71" i="23"/>
  <c r="F847" i="23"/>
  <c r="G278" i="23"/>
  <c r="G331" i="23"/>
  <c r="G1493" i="23"/>
  <c r="G412" i="23"/>
  <c r="F975" i="23"/>
  <c r="F996" i="23"/>
  <c r="G486" i="23"/>
  <c r="F113" i="23"/>
  <c r="G515" i="23"/>
  <c r="G50" i="23"/>
  <c r="F1364" i="23"/>
  <c r="F407" i="23"/>
  <c r="G850" i="23"/>
  <c r="G1216" i="23"/>
  <c r="G1189" i="23"/>
  <c r="G1198" i="23"/>
  <c r="G198" i="23"/>
  <c r="F586" i="23"/>
  <c r="F144" i="23"/>
  <c r="G1346" i="23"/>
  <c r="F139" i="23"/>
  <c r="F478" i="23"/>
  <c r="F1243" i="23"/>
  <c r="F1299" i="23"/>
  <c r="G1213" i="23"/>
  <c r="G977" i="23"/>
  <c r="F994" i="23"/>
  <c r="F1154" i="23"/>
  <c r="G458" i="23"/>
  <c r="F1047" i="23"/>
  <c r="F38" i="23"/>
  <c r="G38" i="23"/>
  <c r="G400" i="23"/>
  <c r="G1023" i="23"/>
  <c r="G871" i="23"/>
  <c r="G777" i="23"/>
  <c r="G1317" i="23"/>
  <c r="F1244" i="23"/>
  <c r="F1238" i="23"/>
  <c r="F874" i="23"/>
  <c r="F845" i="23"/>
  <c r="G1296" i="23"/>
  <c r="G365" i="23"/>
  <c r="G521" i="23"/>
  <c r="F377" i="23"/>
  <c r="G45" i="23"/>
  <c r="F995" i="23"/>
  <c r="F924" i="23"/>
  <c r="F1134" i="23"/>
  <c r="G748" i="23"/>
  <c r="G890" i="23"/>
  <c r="G1017" i="23"/>
  <c r="G1266" i="23"/>
  <c r="G467" i="23"/>
  <c r="G1197" i="23"/>
  <c r="F1254" i="23"/>
  <c r="F721" i="23"/>
  <c r="F820" i="23"/>
  <c r="G639" i="23"/>
  <c r="F812" i="23"/>
  <c r="F1295" i="23"/>
  <c r="F749" i="23"/>
  <c r="G276" i="23"/>
  <c r="F1180" i="23"/>
  <c r="G1037" i="23"/>
  <c r="G1253" i="23"/>
  <c r="G189" i="23"/>
  <c r="G513" i="23"/>
  <c r="G799" i="23"/>
  <c r="G1163" i="23"/>
  <c r="F169" i="23"/>
  <c r="G1271" i="23"/>
  <c r="F1326" i="23"/>
  <c r="F340" i="23"/>
  <c r="G1202" i="23"/>
  <c r="F983" i="23"/>
  <c r="G154" i="23"/>
  <c r="F754" i="23"/>
  <c r="G1218" i="23"/>
  <c r="F96" i="23"/>
  <c r="G595" i="23"/>
  <c r="F442" i="23"/>
  <c r="G143" i="23"/>
  <c r="G53" i="23"/>
  <c r="F1262" i="23"/>
  <c r="F1226" i="23"/>
  <c r="F1124" i="23"/>
  <c r="G330" i="23"/>
  <c r="F626" i="23"/>
  <c r="G1492" i="23"/>
  <c r="F1492" i="23"/>
  <c r="F927" i="23"/>
  <c r="F1484" i="23"/>
  <c r="G1484" i="23"/>
  <c r="G1257" i="23"/>
  <c r="F855" i="23"/>
  <c r="F1501" i="23"/>
  <c r="G588" i="23"/>
  <c r="G1135" i="23"/>
  <c r="G1375" i="23"/>
  <c r="G210" i="23"/>
  <c r="G1237" i="23"/>
  <c r="F1319" i="23"/>
  <c r="G596" i="23"/>
  <c r="G1283" i="23"/>
  <c r="F205" i="23"/>
  <c r="F345" i="23"/>
  <c r="F1239" i="23"/>
  <c r="G1294" i="23"/>
  <c r="G1120" i="23"/>
  <c r="G326" i="23"/>
  <c r="G745" i="23"/>
  <c r="G88" i="23"/>
  <c r="G1310" i="23"/>
  <c r="G837" i="23"/>
  <c r="G1014" i="23"/>
  <c r="G1282" i="23"/>
  <c r="G883" i="23"/>
  <c r="G91" i="23"/>
  <c r="G876" i="23"/>
  <c r="G275" i="23"/>
  <c r="G1147" i="23"/>
  <c r="G591" i="23"/>
  <c r="G1357" i="23"/>
  <c r="G764" i="23"/>
  <c r="G227" i="23"/>
  <c r="G1219" i="23"/>
  <c r="G291" i="23"/>
  <c r="F1355" i="23"/>
  <c r="G1489" i="23"/>
  <c r="F1489" i="23"/>
  <c r="G1513" i="23"/>
  <c r="F1513" i="23"/>
  <c r="G574" i="23"/>
  <c r="G993" i="23"/>
  <c r="G1252" i="23"/>
  <c r="F1049" i="23"/>
  <c r="G78" i="23"/>
  <c r="G1075" i="23"/>
  <c r="G1407" i="23"/>
  <c r="F1494" i="23"/>
  <c r="G1494" i="23"/>
  <c r="G1477" i="23"/>
  <c r="F1477" i="23"/>
  <c r="G1476" i="23"/>
  <c r="F1476" i="23"/>
  <c r="G1491" i="23"/>
  <c r="F1491" i="23"/>
  <c r="G1509" i="23"/>
  <c r="F1509" i="23"/>
  <c r="F1483" i="23"/>
  <c r="G1483" i="23"/>
  <c r="F1475" i="23"/>
  <c r="G1475" i="23"/>
  <c r="G437" i="23"/>
  <c r="F1118" i="23"/>
  <c r="G1118" i="23"/>
  <c r="F889" i="23"/>
  <c r="G752" i="23"/>
  <c r="F1235" i="23"/>
  <c r="F1019" i="23"/>
  <c r="F93" i="23"/>
  <c r="F1146" i="23"/>
  <c r="F338" i="23"/>
  <c r="G1136" i="23"/>
  <c r="G236" i="23"/>
  <c r="G336" i="23"/>
  <c r="F1362" i="23"/>
  <c r="F489" i="23"/>
  <c r="G63" i="23"/>
  <c r="G701" i="23"/>
  <c r="G79" i="23"/>
  <c r="G1188" i="23"/>
  <c r="F129" i="23"/>
  <c r="F379" i="23"/>
  <c r="G1137" i="23"/>
  <c r="G299" i="23"/>
  <c r="G706" i="23"/>
  <c r="F704" i="23"/>
  <c r="F1144" i="23"/>
  <c r="F1031" i="23"/>
  <c r="G1152" i="23"/>
  <c r="G619" i="23"/>
  <c r="G645" i="23"/>
  <c r="G1405" i="23"/>
  <c r="G718" i="23"/>
  <c r="G1264" i="23"/>
  <c r="G507" i="23"/>
  <c r="G194" i="23"/>
  <c r="G1439" i="23"/>
  <c r="G138" i="23"/>
  <c r="G920" i="23"/>
  <c r="G1308" i="23"/>
  <c r="F938" i="23"/>
  <c r="F1274" i="23"/>
  <c r="F933" i="23"/>
  <c r="G492" i="23"/>
  <c r="F1354" i="23"/>
  <c r="F997" i="23"/>
  <c r="G1306" i="23"/>
  <c r="G217" i="23"/>
  <c r="G629" i="23"/>
  <c r="G62" i="23"/>
  <c r="F604" i="23"/>
  <c r="F281" i="23"/>
  <c r="G281" i="23"/>
  <c r="F294" i="23"/>
  <c r="F43" i="23"/>
  <c r="F1100" i="23"/>
  <c r="F1245" i="23"/>
  <c r="G976" i="23"/>
  <c r="F826" i="23"/>
  <c r="G746" i="23"/>
  <c r="G58" i="23"/>
  <c r="F841" i="23"/>
  <c r="G606" i="23"/>
  <c r="F333" i="23"/>
  <c r="F535" i="23"/>
  <c r="F974" i="23"/>
  <c r="G207" i="23"/>
  <c r="F156" i="23"/>
  <c r="G147" i="23"/>
  <c r="G1265" i="23"/>
  <c r="G95" i="23"/>
  <c r="G793" i="23"/>
  <c r="G1358" i="23"/>
  <c r="F934" i="23"/>
  <c r="G320" i="23"/>
  <c r="G851" i="23"/>
  <c r="G367" i="23"/>
  <c r="G351" i="23"/>
  <c r="G1119" i="23"/>
  <c r="G1149" i="23"/>
  <c r="G1011" i="23"/>
  <c r="G1249" i="23"/>
  <c r="F719" i="23"/>
  <c r="G89" i="23"/>
  <c r="G537" i="23"/>
  <c r="G1359" i="23"/>
  <c r="F524" i="23"/>
  <c r="G524" i="23"/>
  <c r="G464" i="23"/>
  <c r="F375" i="23"/>
  <c r="G802" i="23"/>
  <c r="G738" i="23"/>
  <c r="G892" i="23"/>
  <c r="F131" i="23"/>
  <c r="G1026" i="23"/>
  <c r="F646" i="23"/>
  <c r="F821" i="23"/>
  <c r="F902" i="23"/>
  <c r="F415" i="23"/>
  <c r="G1022" i="23"/>
  <c r="F1066" i="23"/>
  <c r="F155" i="23"/>
  <c r="G1130" i="23"/>
  <c r="G964" i="23"/>
  <c r="G497" i="23"/>
  <c r="F736" i="23"/>
  <c r="G1128" i="23"/>
  <c r="G363" i="23"/>
  <c r="G105" i="23"/>
  <c r="F332" i="23"/>
  <c r="G567" i="23"/>
  <c r="F68" i="23"/>
  <c r="G1046" i="23"/>
  <c r="G106" i="23"/>
  <c r="F399" i="23"/>
  <c r="G1289" i="23"/>
  <c r="G280" i="23"/>
  <c r="G519" i="23"/>
  <c r="G539" i="23"/>
  <c r="G536" i="23"/>
  <c r="G592" i="23"/>
  <c r="G116" i="23"/>
  <c r="F219" i="23"/>
  <c r="G1030" i="23"/>
  <c r="G1177" i="23"/>
  <c r="F165" i="23"/>
  <c r="G875" i="23"/>
  <c r="G516" i="23"/>
  <c r="G1101" i="23"/>
  <c r="F454" i="23"/>
  <c r="F849" i="23"/>
  <c r="G849" i="23"/>
  <c r="G424" i="23"/>
  <c r="F152" i="23"/>
  <c r="G127" i="23"/>
  <c r="G483" i="23"/>
  <c r="F439" i="23"/>
  <c r="G960" i="23"/>
  <c r="F751" i="23"/>
  <c r="F1053" i="23"/>
  <c r="G197" i="23"/>
  <c r="F327" i="23"/>
  <c r="G1228" i="23"/>
  <c r="G550" i="23"/>
  <c r="G1285" i="23"/>
  <c r="F1013" i="23"/>
  <c r="G120" i="23"/>
  <c r="G1133" i="23"/>
  <c r="G814" i="23"/>
  <c r="G541" i="23"/>
  <c r="G893" i="23"/>
  <c r="G1108" i="23"/>
  <c r="G999" i="23"/>
  <c r="G410" i="23"/>
  <c r="G925" i="23"/>
  <c r="F1273" i="23"/>
  <c r="F1281" i="23"/>
  <c r="G1281" i="23"/>
  <c r="G1115" i="23"/>
  <c r="G324" i="23"/>
  <c r="G912" i="23"/>
  <c r="F468" i="23"/>
  <c r="G863" i="23"/>
  <c r="G477" i="23"/>
  <c r="G1132" i="23"/>
  <c r="G381" i="23"/>
  <c r="F252" i="23"/>
  <c r="G907" i="23"/>
  <c r="G174" i="23"/>
  <c r="G1009" i="23"/>
  <c r="G317" i="23"/>
  <c r="F790" i="23"/>
  <c r="G256" i="23"/>
  <c r="G570" i="23"/>
  <c r="G1267" i="23"/>
  <c r="G66" i="23"/>
  <c r="G1123" i="23"/>
  <c r="G1221" i="23"/>
  <c r="F506" i="23"/>
  <c r="F987" i="23"/>
  <c r="G789" i="23"/>
  <c r="G1168" i="23"/>
  <c r="G512" i="23"/>
  <c r="G1109" i="23"/>
  <c r="G791" i="23"/>
  <c r="G895" i="23"/>
  <c r="G611" i="23"/>
  <c r="G511" i="23"/>
  <c r="F982" i="23"/>
  <c r="G1126" i="23"/>
  <c r="G396" i="23"/>
  <c r="G784" i="23"/>
  <c r="G671" i="23"/>
  <c r="F285" i="23"/>
  <c r="G72" i="23"/>
  <c r="G743" i="23"/>
  <c r="G916" i="23"/>
  <c r="F772" i="23"/>
  <c r="F1412" i="23"/>
  <c r="G283" i="23"/>
  <c r="G1292" i="23"/>
  <c r="F136" i="23"/>
  <c r="G1205" i="23"/>
  <c r="G383" i="23"/>
  <c r="F732" i="23"/>
  <c r="G334" i="23"/>
  <c r="G1040" i="23"/>
  <c r="F798" i="23"/>
  <c r="G1148" i="23"/>
  <c r="F108" i="23"/>
  <c r="G229" i="23"/>
  <c r="G885" i="23"/>
  <c r="G1131" i="23"/>
  <c r="F484" i="23"/>
  <c r="F1361" i="23"/>
  <c r="G253" i="23"/>
  <c r="F781" i="23"/>
  <c r="G1227" i="23"/>
  <c r="G534" i="23"/>
  <c r="F81" i="23"/>
  <c r="F1127" i="23"/>
  <c r="G1025" i="23"/>
  <c r="G329" i="23"/>
  <c r="G1313" i="23"/>
  <c r="G531" i="23"/>
  <c r="F1005" i="23"/>
  <c r="G1005" i="23"/>
  <c r="G842" i="23"/>
  <c r="G480" i="23"/>
  <c r="G1098" i="23"/>
  <c r="G894" i="23"/>
  <c r="F1246" i="23"/>
  <c r="F887" i="23"/>
  <c r="G887" i="23"/>
  <c r="G397" i="23"/>
  <c r="F397" i="23"/>
  <c r="F787" i="23"/>
  <c r="G747" i="23"/>
  <c r="F103" i="23"/>
  <c r="F1178" i="23"/>
  <c r="G1178" i="23"/>
  <c r="F1300" i="23"/>
  <c r="G1300" i="23"/>
  <c r="F1261" i="23"/>
  <c r="G1261" i="23"/>
  <c r="F1181" i="23"/>
  <c r="G1181" i="23"/>
  <c r="F485" i="23"/>
  <c r="F92" i="23"/>
  <c r="F1251" i="23"/>
  <c r="F328" i="23"/>
  <c r="G725" i="23"/>
  <c r="G782" i="23"/>
  <c r="G546" i="23"/>
  <c r="G1003" i="23"/>
  <c r="F888" i="23"/>
  <c r="G735" i="23"/>
  <c r="G292" i="23"/>
  <c r="F239" i="23"/>
  <c r="G1233" i="23"/>
  <c r="G1155" i="23"/>
  <c r="G831" i="23"/>
  <c r="F1034" i="23"/>
  <c r="G656" i="23"/>
  <c r="G110" i="23"/>
  <c r="G1141" i="23"/>
  <c r="G272" i="23"/>
  <c r="G918" i="23"/>
  <c r="F343" i="23"/>
  <c r="G1032" i="23"/>
  <c r="G1106" i="23"/>
  <c r="G250" i="23"/>
  <c r="G690" i="23"/>
  <c r="G401" i="23"/>
  <c r="G265" i="23"/>
  <c r="G298" i="23"/>
  <c r="F445" i="23"/>
  <c r="F432" i="23"/>
  <c r="G797" i="23"/>
  <c r="G508" i="23"/>
  <c r="F479" i="23"/>
  <c r="G1103" i="23"/>
  <c r="G474" i="23"/>
  <c r="F65" i="23"/>
  <c r="G674" i="23"/>
  <c r="G1010" i="23"/>
  <c r="G124" i="23"/>
  <c r="G1116" i="23"/>
  <c r="G879" i="23"/>
  <c r="G388" i="23"/>
  <c r="G689" i="23"/>
  <c r="F1104" i="23"/>
  <c r="F741" i="23"/>
  <c r="G380" i="23"/>
  <c r="F827" i="23"/>
  <c r="G1247" i="23"/>
  <c r="F158" i="23"/>
  <c r="F190" i="23"/>
  <c r="F505" i="23"/>
  <c r="G1303" i="23"/>
  <c r="F1303" i="23"/>
  <c r="G1041" i="23"/>
  <c r="G1029" i="23"/>
  <c r="F1029" i="23"/>
  <c r="G1311" i="23"/>
  <c r="F1311" i="23"/>
  <c r="G319" i="23"/>
  <c r="G1349" i="23"/>
  <c r="F786" i="23"/>
  <c r="F922" i="23"/>
  <c r="G922" i="23"/>
  <c r="G1301" i="23"/>
  <c r="F1301" i="23"/>
  <c r="G756" i="23"/>
  <c r="G1328" i="23"/>
  <c r="G1302" i="23"/>
  <c r="F1302" i="23"/>
  <c r="G350" i="23"/>
  <c r="F64" i="23"/>
  <c r="F1114" i="23"/>
  <c r="F168" i="23"/>
  <c r="G168" i="23"/>
  <c r="F1315" i="23"/>
  <c r="G1315" i="23"/>
  <c r="G1250" i="23"/>
  <c r="G1174" i="23"/>
  <c r="F1270" i="23"/>
  <c r="G1270" i="23"/>
  <c r="F779" i="23"/>
  <c r="G779" i="23"/>
  <c r="G453" i="23"/>
  <c r="F344" i="23"/>
  <c r="G687" i="23"/>
  <c r="F73" i="23"/>
  <c r="G457" i="23"/>
  <c r="G356" i="23"/>
  <c r="G932" i="23"/>
  <c r="G1277" i="23"/>
  <c r="F1465" i="23"/>
  <c r="G1406" i="23"/>
  <c r="F1107" i="23"/>
  <c r="G1232" i="23"/>
  <c r="G911" i="23"/>
  <c r="G202" i="23"/>
  <c r="G98" i="23"/>
  <c r="G806" i="23"/>
  <c r="F1461" i="23"/>
  <c r="G177" i="23"/>
  <c r="F607" i="23"/>
  <c r="G180" i="23"/>
  <c r="G680" i="23"/>
  <c r="G807" i="23"/>
  <c r="G644" i="23"/>
  <c r="G118" i="23"/>
  <c r="G560" i="23"/>
  <c r="G808" i="23"/>
  <c r="G1436" i="23"/>
  <c r="G684" i="23"/>
  <c r="F195" i="23"/>
  <c r="F737" i="23"/>
  <c r="G1433" i="23"/>
  <c r="G431" i="23"/>
  <c r="G872" i="23"/>
  <c r="G773" i="23"/>
  <c r="F616" i="23"/>
  <c r="G346" i="23"/>
  <c r="G928" i="23"/>
  <c r="F162" i="23"/>
  <c r="G1112" i="23"/>
  <c r="G150" i="23"/>
  <c r="F843" i="23"/>
  <c r="F566" i="23"/>
  <c r="G1318" i="23"/>
  <c r="F134" i="23"/>
  <c r="F370" i="23"/>
  <c r="F1043" i="23"/>
  <c r="G618" i="23"/>
  <c r="F1438" i="23"/>
  <c r="G247" i="23"/>
  <c r="G796" i="23"/>
  <c r="G1153" i="23"/>
  <c r="G563" i="23"/>
  <c r="G171" i="23"/>
  <c r="G444" i="23"/>
  <c r="G133" i="23"/>
  <c r="G1482" i="23"/>
  <c r="G1179" i="23"/>
  <c r="G230" i="23"/>
  <c r="G635" i="23"/>
  <c r="G163" i="23"/>
  <c r="G372" i="23"/>
  <c r="G1242" i="23"/>
  <c r="G897" i="23"/>
  <c r="F246" i="23"/>
  <c r="G166" i="23"/>
  <c r="G1316" i="23"/>
  <c r="F771" i="23"/>
  <c r="F853" i="23"/>
  <c r="G1458" i="23"/>
  <c r="F1048" i="23"/>
  <c r="F722" i="23"/>
  <c r="G1464" i="23"/>
  <c r="F213" i="23"/>
  <c r="G621" i="23"/>
  <c r="G1275" i="23"/>
  <c r="F585" i="23"/>
  <c r="F104" i="23"/>
  <c r="G104" i="23"/>
  <c r="F628" i="23"/>
  <c r="G628" i="23"/>
  <c r="F909" i="23"/>
  <c r="G909" i="23"/>
  <c r="F1162" i="23"/>
  <c r="G1162" i="23"/>
  <c r="F75" i="23"/>
  <c r="G75" i="23"/>
  <c r="F769" i="23"/>
  <c r="G769" i="23"/>
  <c r="G267" i="23"/>
  <c r="F267" i="23"/>
  <c r="G115" i="23"/>
  <c r="G848" i="23"/>
  <c r="G1063" i="23"/>
  <c r="G233" i="23"/>
  <c r="G218" i="23"/>
  <c r="F153" i="23"/>
  <c r="G716" i="23"/>
  <c r="G666" i="23"/>
  <c r="G234" i="23"/>
  <c r="F961" i="23"/>
  <c r="G810" i="23"/>
  <c r="F844" i="23"/>
  <c r="G148" i="23"/>
  <c r="G1111" i="23"/>
  <c r="G224" i="23"/>
  <c r="G498" i="23"/>
  <c r="G371" i="23"/>
  <c r="G1379" i="23"/>
  <c r="G426" i="23"/>
  <c r="F1269" i="23"/>
  <c r="F698" i="23"/>
  <c r="F354" i="23"/>
  <c r="G1400" i="23"/>
  <c r="F101" i="23"/>
  <c r="G1344" i="23"/>
  <c r="G80" i="23"/>
  <c r="G967" i="23"/>
  <c r="G82" i="23"/>
  <c r="G398" i="23"/>
  <c r="F32" i="23"/>
  <c r="F1427" i="23"/>
  <c r="G56" i="23"/>
  <c r="F488" i="23"/>
  <c r="G973" i="23"/>
  <c r="G579" i="23"/>
  <c r="G1082" i="23"/>
  <c r="G864" i="23"/>
  <c r="G1159" i="23"/>
  <c r="G904" i="23"/>
  <c r="F145" i="23"/>
  <c r="G577" i="23"/>
  <c r="F683" i="23"/>
  <c r="G697" i="23"/>
  <c r="G980" i="23"/>
  <c r="G664" i="23"/>
  <c r="F186" i="23"/>
  <c r="F668" i="23"/>
  <c r="G157" i="23"/>
  <c r="G183" i="23"/>
  <c r="G487" i="23"/>
  <c r="G1329" i="23"/>
  <c r="G414" i="23"/>
  <c r="G151" i="23"/>
  <c r="G421" i="23"/>
  <c r="G1384" i="23"/>
  <c r="G378" i="23"/>
  <c r="G429" i="23"/>
  <c r="G360" i="23"/>
  <c r="G490" i="23"/>
  <c r="G695" i="23"/>
  <c r="F495" i="23"/>
  <c r="G615" i="23"/>
  <c r="F971" i="23"/>
  <c r="G161" i="23"/>
  <c r="G811" i="23"/>
  <c r="F1065" i="23"/>
  <c r="F636" i="23"/>
  <c r="G107" i="23"/>
  <c r="F164" i="23"/>
  <c r="F469" i="23"/>
  <c r="F342" i="23"/>
  <c r="G724" i="23"/>
  <c r="G368" i="23"/>
  <c r="F979" i="23"/>
  <c r="F559" i="23"/>
  <c r="F707" i="23"/>
  <c r="F369" i="23"/>
  <c r="G594" i="23"/>
  <c r="F386" i="23"/>
  <c r="G226" i="23"/>
  <c r="G451" i="23"/>
  <c r="G1442" i="23"/>
  <c r="F665" i="23"/>
  <c r="G1039" i="23"/>
  <c r="F1443" i="23"/>
  <c r="F1071" i="23"/>
  <c r="F268" i="23"/>
  <c r="G561" i="23"/>
  <c r="G187" i="23"/>
  <c r="G522" i="23"/>
  <c r="G800" i="23"/>
  <c r="G775" i="23"/>
  <c r="G1094" i="23"/>
  <c r="F774" i="23"/>
  <c r="G881" i="23"/>
  <c r="F1333" i="23"/>
  <c r="G423" i="23"/>
  <c r="G523" i="23"/>
  <c r="G950" i="23"/>
  <c r="F945" i="23"/>
  <c r="G393" i="23"/>
  <c r="G510" i="23"/>
  <c r="F1051" i="23"/>
  <c r="F935" i="23"/>
  <c r="G766" i="23"/>
  <c r="F472" i="23"/>
  <c r="G1214" i="23"/>
  <c r="G1021" i="23"/>
  <c r="F955" i="23"/>
  <c r="G57" i="23"/>
  <c r="G1211" i="23"/>
  <c r="G1230" i="23"/>
  <c r="G583" i="23"/>
  <c r="G185" i="23"/>
  <c r="G598" i="23"/>
  <c r="F597" i="23"/>
  <c r="G1440" i="23"/>
  <c r="G923" i="23"/>
  <c r="G325" i="23"/>
  <c r="G792" i="23"/>
  <c r="G374" i="23"/>
  <c r="G528" i="23"/>
  <c r="F286" i="23"/>
  <c r="G988" i="23"/>
  <c r="G312" i="23"/>
  <c r="G813" i="23"/>
  <c r="G700" i="23"/>
  <c r="F901" i="23"/>
  <c r="G533" i="23"/>
  <c r="G603" i="23"/>
  <c r="G740" i="23"/>
  <c r="G419" i="23"/>
  <c r="G270" i="23"/>
  <c r="G717" i="23"/>
  <c r="F590" i="23"/>
  <c r="G958" i="23"/>
  <c r="F1323" i="23"/>
  <c r="G660" i="23"/>
  <c r="F243" i="23"/>
  <c r="G780" i="23"/>
  <c r="F1430" i="23"/>
  <c r="G1102" i="23"/>
  <c r="G822" i="23"/>
  <c r="G160" i="23"/>
  <c r="G259" i="23"/>
  <c r="F403" i="23"/>
  <c r="F654" i="23"/>
  <c r="F818" i="23"/>
  <c r="G1059" i="23"/>
  <c r="G558" i="23"/>
  <c r="G1429" i="23"/>
  <c r="F70" i="23"/>
  <c r="G1157" i="23"/>
  <c r="G435" i="23"/>
  <c r="G742" i="23"/>
  <c r="G167" i="23"/>
  <c r="G613" i="23"/>
  <c r="G235" i="23"/>
  <c r="F245" i="23"/>
  <c r="G517" i="23"/>
  <c r="F409" i="23"/>
  <c r="G762" i="23"/>
  <c r="F349" i="23"/>
  <c r="F192" i="23"/>
  <c r="G1424" i="23"/>
  <c r="G203" i="23"/>
  <c r="F448" i="23"/>
  <c r="F1078" i="23"/>
  <c r="F580" i="23"/>
  <c r="G670" i="23"/>
  <c r="G640" i="23"/>
  <c r="G1474" i="23"/>
  <c r="G179" i="23"/>
  <c r="G504" i="23"/>
  <c r="G951" i="23"/>
  <c r="F529" i="23"/>
  <c r="G1044" i="23"/>
  <c r="G1423" i="23"/>
  <c r="G1035" i="23"/>
  <c r="F306" i="23"/>
  <c r="G352" i="23"/>
  <c r="G937" i="23"/>
  <c r="F1338" i="23"/>
  <c r="F1255" i="23"/>
  <c r="G880" i="23"/>
  <c r="F54" i="23"/>
  <c r="G422" i="23"/>
  <c r="G273" i="23"/>
  <c r="G1395" i="23"/>
  <c r="G906" i="23"/>
  <c r="G830" i="23"/>
  <c r="G216" i="23"/>
  <c r="G470" i="23"/>
  <c r="G840" i="23"/>
  <c r="G493" i="23"/>
  <c r="G1186" i="23"/>
  <c r="G538" i="23"/>
  <c r="G572" i="23"/>
  <c r="G60" i="23"/>
  <c r="F476" i="23"/>
  <c r="F182" i="23"/>
  <c r="F1016" i="23"/>
  <c r="G1016" i="23"/>
  <c r="G382" i="23"/>
  <c r="G520" i="23"/>
  <c r="G713" i="23"/>
  <c r="G1045" i="23"/>
  <c r="F612" i="23"/>
  <c r="F942" i="23"/>
  <c r="F499" i="23"/>
  <c r="G499" i="23"/>
  <c r="F734" i="23"/>
  <c r="G500" i="23"/>
  <c r="F582" i="23"/>
  <c r="G122" i="23"/>
  <c r="F1382" i="23"/>
  <c r="G1382" i="23"/>
  <c r="F385" i="23"/>
  <c r="G385" i="23"/>
  <c r="F1097" i="23"/>
  <c r="G1097" i="23"/>
  <c r="F794" i="23"/>
  <c r="G794" i="23"/>
  <c r="F461" i="23"/>
  <c r="G461" i="23"/>
  <c r="F599" i="23"/>
  <c r="G599" i="23"/>
  <c r="F258" i="23"/>
  <c r="G258" i="23"/>
  <c r="F910" i="23"/>
  <c r="G910" i="23"/>
  <c r="F358" i="23"/>
  <c r="G358" i="23"/>
  <c r="G692" i="23"/>
  <c r="F643" i="23"/>
  <c r="G473" i="23"/>
  <c r="F473" i="23"/>
  <c r="F828" i="23"/>
  <c r="F261" i="23"/>
  <c r="G954" i="23"/>
  <c r="G1419" i="23"/>
  <c r="G627" i="23"/>
  <c r="F77" i="23"/>
  <c r="F1169" i="23"/>
  <c r="G1169" i="23"/>
  <c r="G175" i="23"/>
  <c r="G1422" i="23"/>
  <c r="G1417" i="23"/>
  <c r="G1185" i="23"/>
  <c r="G727" i="23"/>
  <c r="F941" i="23"/>
  <c r="G941" i="23"/>
  <c r="G220" i="23"/>
  <c r="F884" i="23"/>
  <c r="G884" i="23"/>
  <c r="F715" i="23"/>
  <c r="G715" i="23"/>
  <c r="F502" i="23"/>
  <c r="G502" i="23"/>
  <c r="F427" i="23"/>
  <c r="G427" i="23"/>
  <c r="F867" i="23"/>
  <c r="G728" i="23"/>
  <c r="F728" i="23"/>
  <c r="F1190" i="23"/>
  <c r="G1190" i="23"/>
  <c r="F900" i="23"/>
  <c r="G255" i="23"/>
  <c r="G568" i="23"/>
  <c r="G1431" i="23"/>
  <c r="G264" i="23"/>
  <c r="G288" i="23"/>
  <c r="F293" i="23"/>
  <c r="G1471" i="23"/>
  <c r="G289" i="23"/>
  <c r="G301" i="23"/>
  <c r="F1284" i="23"/>
  <c r="G659" i="23"/>
  <c r="G1437" i="23"/>
  <c r="G1314" i="23"/>
  <c r="G257" i="23"/>
  <c r="F1330" i="23"/>
  <c r="F1472" i="23"/>
  <c r="G545" i="23"/>
  <c r="F99" i="23"/>
  <c r="G99" i="23"/>
  <c r="G310" i="23"/>
  <c r="F482" i="23"/>
  <c r="G404" i="23"/>
  <c r="G102" i="23"/>
  <c r="F271" i="23"/>
  <c r="G271" i="23"/>
  <c r="F663" i="23"/>
  <c r="G663" i="23"/>
  <c r="F1459" i="23"/>
  <c r="G1459" i="23"/>
  <c r="F208" i="23"/>
  <c r="G208" i="23"/>
  <c r="F682" i="23"/>
  <c r="F908" i="23"/>
  <c r="G908" i="23"/>
  <c r="G263" i="23"/>
  <c r="F263" i="23"/>
  <c r="G443" i="23"/>
  <c r="G623" i="23"/>
  <c r="F200" i="23"/>
  <c r="G953" i="23"/>
  <c r="F760" i="23"/>
  <c r="G760" i="23"/>
  <c r="F1408" i="23"/>
  <c r="G1408" i="23"/>
  <c r="G675" i="23"/>
  <c r="G475" i="23"/>
  <c r="G295" i="23"/>
  <c r="F672" i="23"/>
  <c r="G914" i="23"/>
  <c r="F1446" i="23"/>
  <c r="G1446" i="23"/>
  <c r="G526" i="23"/>
  <c r="F465" i="23"/>
  <c r="G465" i="23"/>
  <c r="F917" i="23"/>
  <c r="G917" i="23"/>
  <c r="G709" i="23"/>
  <c r="G1457" i="23"/>
  <c r="F509" i="23"/>
  <c r="G509" i="23"/>
  <c r="F1327" i="23"/>
  <c r="G1327" i="23"/>
  <c r="G390" i="23"/>
  <c r="F85" i="23"/>
  <c r="F809" i="23"/>
  <c r="G809" i="23"/>
  <c r="F1467" i="23"/>
  <c r="G1467" i="23"/>
  <c r="G829" i="23"/>
  <c r="F829" i="23"/>
  <c r="F269" i="23"/>
  <c r="G269" i="23"/>
  <c r="G1463" i="23"/>
  <c r="F1463" i="23"/>
  <c r="G947" i="23"/>
  <c r="G341" i="23"/>
  <c r="G1435" i="23"/>
  <c r="F211" i="23"/>
  <c r="G211" i="23"/>
  <c r="F141" i="23"/>
  <c r="G141" i="23"/>
  <c r="G948" i="23"/>
  <c r="F322" i="23"/>
  <c r="G322" i="23"/>
  <c r="G693" i="23"/>
  <c r="F765" i="23"/>
  <c r="G765" i="23"/>
  <c r="F456" i="23"/>
  <c r="G456" i="23"/>
  <c r="F804" i="23"/>
  <c r="G804" i="23"/>
  <c r="G776" i="23"/>
  <c r="F776" i="23"/>
  <c r="F915" i="23"/>
  <c r="F1150" i="23"/>
  <c r="G87" i="23"/>
  <c r="G364" i="23"/>
  <c r="F669" i="23"/>
  <c r="G254" i="23"/>
  <c r="G446" i="23"/>
  <c r="G1170" i="23"/>
  <c r="G1081" i="23"/>
  <c r="F1052" i="23"/>
  <c r="G1052" i="23"/>
  <c r="F395" i="23"/>
  <c r="G395" i="23"/>
  <c r="F600" i="23"/>
  <c r="G600" i="23"/>
  <c r="F1390" i="23"/>
  <c r="G1390" i="23"/>
  <c r="F959" i="23"/>
  <c r="G959" i="23"/>
  <c r="F631" i="23"/>
  <c r="G631" i="23"/>
  <c r="F1455" i="23"/>
  <c r="G1455" i="23"/>
  <c r="F1449" i="23"/>
  <c r="G1449" i="23"/>
  <c r="F1321" i="23"/>
  <c r="G1321" i="23"/>
  <c r="F952" i="23"/>
  <c r="G952" i="23"/>
  <c r="G420" i="23"/>
  <c r="F420" i="23"/>
  <c r="F651" i="23"/>
  <c r="G651" i="23"/>
  <c r="F633" i="23"/>
  <c r="G633" i="23"/>
  <c r="F1409" i="23"/>
  <c r="G1409" i="23"/>
  <c r="G1385" i="23"/>
  <c r="F1385" i="23"/>
  <c r="F1347" i="23"/>
  <c r="G1347" i="23"/>
  <c r="F304" i="23"/>
  <c r="G304" i="23"/>
  <c r="F801" i="23"/>
  <c r="G801" i="23"/>
  <c r="F237" i="23"/>
  <c r="G237" i="23"/>
  <c r="F575" i="23"/>
  <c r="G575" i="23"/>
  <c r="F438" i="23"/>
  <c r="G438" i="23"/>
  <c r="F630" i="23"/>
  <c r="G630" i="23"/>
  <c r="F1392" i="23"/>
  <c r="G1392" i="23"/>
  <c r="F919" i="23"/>
  <c r="G919" i="23"/>
  <c r="F962" i="23"/>
  <c r="G962" i="23"/>
  <c r="F581" i="23"/>
  <c r="G581" i="23"/>
  <c r="F1378" i="23"/>
  <c r="G1378" i="23"/>
  <c r="F225" i="23"/>
  <c r="G225" i="23"/>
  <c r="F1401" i="23"/>
  <c r="G1401" i="23"/>
  <c r="F530" i="23"/>
  <c r="G530" i="23"/>
  <c r="F1356" i="23"/>
  <c r="G1356" i="23"/>
  <c r="F819" i="23"/>
  <c r="G819" i="23"/>
  <c r="F1447" i="23"/>
  <c r="G1447" i="23"/>
  <c r="F282" i="23"/>
  <c r="G282" i="23"/>
  <c r="F353" i="23"/>
  <c r="G353" i="23"/>
  <c r="G1074" i="23"/>
  <c r="F1074" i="23"/>
  <c r="F61" i="23"/>
  <c r="G61" i="23"/>
  <c r="G1307" i="23"/>
  <c r="F1307" i="23"/>
  <c r="F653" i="23"/>
  <c r="G653" i="23"/>
  <c r="G1391" i="23"/>
  <c r="F1391" i="23"/>
  <c r="G290" i="23"/>
  <c r="F290" i="23"/>
  <c r="F836" i="23"/>
  <c r="G836" i="23"/>
  <c r="F726" i="23"/>
  <c r="G726" i="23"/>
  <c r="F655" i="23"/>
  <c r="G655" i="23"/>
  <c r="F425" i="23"/>
  <c r="G425" i="23"/>
  <c r="F1396" i="23"/>
  <c r="G1396" i="23"/>
  <c r="G543" i="23"/>
  <c r="G462" i="23"/>
  <c r="F244" i="23"/>
  <c r="G463" i="23"/>
  <c r="G929" i="23"/>
  <c r="F366" i="23"/>
  <c r="F696" i="23"/>
  <c r="G824" i="23"/>
  <c r="G339" i="23"/>
  <c r="G359" i="23"/>
  <c r="G128" i="23"/>
  <c r="G308" i="23"/>
  <c r="F677" i="23"/>
  <c r="G825" i="23"/>
  <c r="G238" i="23"/>
  <c r="G891" i="23"/>
  <c r="F896" i="23"/>
  <c r="G896" i="23"/>
  <c r="F69" i="23"/>
  <c r="G69" i="23"/>
  <c r="F196" i="23"/>
  <c r="G196" i="23"/>
  <c r="G788" i="23"/>
  <c r="F788" i="23"/>
  <c r="F1057" i="23"/>
  <c r="G1057" i="23"/>
  <c r="F450" i="23"/>
  <c r="G450" i="23"/>
  <c r="F323" i="23"/>
  <c r="G323" i="23"/>
  <c r="F1456" i="23"/>
  <c r="G1456" i="23"/>
  <c r="F1432" i="23"/>
  <c r="G1432" i="23"/>
  <c r="F240" i="23"/>
  <c r="G240" i="23"/>
  <c r="F119" i="23"/>
  <c r="G119" i="23"/>
  <c r="F86" i="23"/>
  <c r="G86" i="23"/>
  <c r="F767" i="23"/>
  <c r="G767" i="23"/>
  <c r="F221" i="23"/>
  <c r="G221" i="23"/>
  <c r="F1061" i="23"/>
  <c r="G1061" i="23"/>
  <c r="G433" i="23"/>
  <c r="F433" i="23"/>
  <c r="F314" i="23"/>
  <c r="G314" i="23"/>
  <c r="G1387" i="23"/>
  <c r="F1387" i="23"/>
  <c r="F1452" i="23"/>
  <c r="G1452" i="23"/>
  <c r="F1473" i="23"/>
  <c r="G1473" i="23"/>
  <c r="F1199" i="23"/>
  <c r="G1199" i="23"/>
  <c r="F130" i="23"/>
  <c r="G130" i="23"/>
  <c r="F854" i="23"/>
  <c r="G854" i="23"/>
  <c r="G223" i="23"/>
  <c r="F223" i="23"/>
  <c r="F868" i="23"/>
  <c r="G868" i="23"/>
  <c r="F373" i="23"/>
  <c r="G373" i="23"/>
  <c r="F316" i="23"/>
  <c r="G316" i="23"/>
  <c r="F1397" i="23"/>
  <c r="G1397" i="23"/>
  <c r="G1394" i="23"/>
  <c r="F1394" i="23"/>
  <c r="F1414" i="23"/>
  <c r="G1414" i="23"/>
  <c r="F540" i="23"/>
  <c r="G540" i="23"/>
  <c r="F1209" i="23"/>
  <c r="G1209" i="23"/>
  <c r="G870" i="23"/>
  <c r="F870" i="23"/>
  <c r="F135" i="23"/>
  <c r="G135" i="23"/>
  <c r="G862" i="23"/>
  <c r="F862" i="23"/>
  <c r="F1036" i="23"/>
  <c r="G1036" i="23"/>
  <c r="F605" i="23"/>
  <c r="G605" i="23"/>
  <c r="F877" i="23"/>
  <c r="G877" i="23"/>
  <c r="G348" i="23"/>
  <c r="F348" i="23"/>
  <c r="F1426" i="23"/>
  <c r="G1426" i="23"/>
  <c r="F1444" i="23"/>
  <c r="G1444" i="23"/>
  <c r="F1398" i="23"/>
  <c r="G1398" i="23"/>
  <c r="F547" i="23"/>
  <c r="G547" i="23"/>
  <c r="G1212" i="23"/>
  <c r="F1212" i="23"/>
  <c r="G694" i="23"/>
  <c r="F694" i="23"/>
  <c r="F783" i="23"/>
  <c r="G783" i="23"/>
  <c r="F1033" i="23"/>
  <c r="G1033" i="23"/>
  <c r="F622" i="23"/>
  <c r="G622" i="23"/>
  <c r="F869" i="23"/>
  <c r="G869" i="23"/>
  <c r="F1441" i="23"/>
  <c r="G1441" i="23"/>
  <c r="F1402" i="23"/>
  <c r="G1402" i="23"/>
  <c r="F1451" i="23"/>
  <c r="G1451" i="23"/>
  <c r="F172" i="23"/>
  <c r="G172" i="23"/>
  <c r="F303" i="23"/>
  <c r="G303" i="23"/>
  <c r="F1004" i="23"/>
  <c r="G1004" i="23"/>
  <c r="F685" i="23"/>
  <c r="G685" i="23"/>
  <c r="F768" i="23"/>
  <c r="G768" i="23"/>
  <c r="F614" i="23"/>
  <c r="G614" i="23"/>
  <c r="F228" i="23"/>
  <c r="G228" i="23"/>
  <c r="F1073" i="23"/>
  <c r="G1073" i="23"/>
  <c r="F1450" i="23"/>
  <c r="G1450" i="23"/>
  <c r="F1453" i="23"/>
  <c r="G1453" i="23"/>
  <c r="F406" i="23"/>
  <c r="G406" i="23"/>
  <c r="F711" i="23"/>
  <c r="G711" i="23"/>
  <c r="F969" i="23"/>
  <c r="G969" i="23"/>
  <c r="F178" i="23"/>
  <c r="G178" i="23"/>
  <c r="F985" i="23"/>
  <c r="G985" i="23"/>
  <c r="F193" i="23"/>
  <c r="G193" i="23"/>
  <c r="F625" i="23"/>
  <c r="G625" i="23"/>
  <c r="G251" i="23"/>
  <c r="F251" i="23"/>
  <c r="F803" i="23"/>
  <c r="G803" i="23"/>
  <c r="F576" i="23"/>
  <c r="G576" i="23"/>
  <c r="F1076" i="23"/>
  <c r="G1076" i="23"/>
  <c r="F1416" i="23"/>
  <c r="G1416" i="23"/>
  <c r="F1448" i="23"/>
  <c r="G1448" i="23"/>
  <c r="F394" i="23"/>
  <c r="G394" i="23"/>
  <c r="F702" i="23"/>
  <c r="G702" i="23"/>
  <c r="F74" i="23"/>
  <c r="G74" i="23"/>
  <c r="F968" i="23"/>
  <c r="G968" i="23"/>
  <c r="F132" i="23"/>
  <c r="G132" i="23"/>
  <c r="F176" i="23"/>
  <c r="G176" i="23"/>
  <c r="F305" i="23"/>
  <c r="G305" i="23"/>
  <c r="F184" i="23"/>
  <c r="G184" i="23"/>
  <c r="F785" i="23"/>
  <c r="G785" i="23"/>
  <c r="G989" i="23"/>
  <c r="F989" i="23"/>
  <c r="F564" i="23"/>
  <c r="G564" i="23"/>
  <c r="F311" i="23"/>
  <c r="G311" i="23"/>
  <c r="F1454" i="23"/>
  <c r="G1454" i="23"/>
  <c r="F1403" i="23"/>
  <c r="G1403" i="23"/>
  <c r="F481" i="23"/>
  <c r="G481" i="23"/>
  <c r="F41" i="23"/>
  <c r="G41" i="23"/>
  <c r="G232" i="23"/>
  <c r="F232" i="23"/>
  <c r="G491" i="23"/>
  <c r="G686" i="23"/>
  <c r="G1056" i="23"/>
  <c r="F657" i="23"/>
  <c r="F100" i="23"/>
  <c r="G100" i="23"/>
  <c r="G624" i="23"/>
  <c r="F624" i="23"/>
  <c r="G1020" i="23"/>
  <c r="F1020" i="23"/>
  <c r="F856" i="23"/>
  <c r="G856" i="23"/>
  <c r="F1028" i="23"/>
  <c r="G1028" i="23"/>
  <c r="G430" i="23"/>
  <c r="F430" i="23"/>
  <c r="F302" i="23"/>
  <c r="G302" i="23"/>
  <c r="F466" i="23"/>
  <c r="G466" i="23"/>
  <c r="F557" i="23"/>
  <c r="G557" i="23"/>
  <c r="F242" i="23"/>
  <c r="G242" i="23"/>
  <c r="F970" i="23"/>
  <c r="G970" i="23"/>
  <c r="F418" i="23"/>
  <c r="G418" i="23"/>
  <c r="F1042" i="23"/>
  <c r="G1042" i="23"/>
  <c r="F678" i="23"/>
  <c r="G678" i="23"/>
  <c r="F705" i="23"/>
  <c r="G705" i="23"/>
  <c r="F1469" i="23"/>
  <c r="G1466" i="23"/>
  <c r="F1466" i="23"/>
  <c r="G51" i="23"/>
  <c r="F51" i="23"/>
  <c r="F965" i="23"/>
  <c r="G965" i="23"/>
  <c r="G1054" i="23"/>
  <c r="F1054" i="23"/>
  <c r="F159" i="23"/>
  <c r="G159" i="23"/>
  <c r="F939" i="23"/>
  <c r="G939" i="23"/>
  <c r="F347" i="23"/>
  <c r="G347" i="23"/>
  <c r="F460" i="23"/>
  <c r="G460" i="23"/>
  <c r="F662" i="23"/>
  <c r="G662" i="23"/>
  <c r="F97" i="23"/>
  <c r="G97" i="23"/>
  <c r="F608" i="23"/>
  <c r="G608" i="23"/>
  <c r="F861" i="23"/>
  <c r="G861" i="23"/>
  <c r="F1027" i="23"/>
  <c r="G1027" i="23"/>
  <c r="G300" i="23"/>
  <c r="F300" i="23"/>
  <c r="F455" i="23"/>
  <c r="G455" i="23"/>
  <c r="F569" i="23"/>
  <c r="G569" i="23"/>
  <c r="F733" i="23"/>
  <c r="G733" i="23"/>
  <c r="F755" i="23"/>
  <c r="G755" i="23"/>
  <c r="F1062" i="23"/>
  <c r="G1062" i="23"/>
  <c r="F542" i="23"/>
  <c r="G542" i="23"/>
  <c r="F720" i="23"/>
  <c r="G720" i="23"/>
  <c r="F1428" i="23"/>
  <c r="G1428" i="23"/>
  <c r="F1413" i="23"/>
  <c r="G1413" i="23"/>
  <c r="F1276" i="23"/>
  <c r="G1276" i="23"/>
  <c r="F905" i="23"/>
  <c r="G905" i="23"/>
  <c r="F48" i="23"/>
  <c r="G48" i="23"/>
  <c r="F972" i="23"/>
  <c r="G972" i="23"/>
  <c r="F1058" i="23"/>
  <c r="G1058" i="23"/>
  <c r="G691" i="23"/>
  <c r="F691" i="23"/>
  <c r="F770" i="23"/>
  <c r="G770" i="23"/>
  <c r="F1187" i="23"/>
  <c r="G1187" i="23"/>
  <c r="F355" i="23"/>
  <c r="G355" i="23"/>
  <c r="F459" i="23"/>
  <c r="G459" i="23"/>
  <c r="F142" i="23"/>
  <c r="G142" i="23"/>
  <c r="G555" i="23"/>
  <c r="F555" i="23"/>
  <c r="G795" i="23"/>
  <c r="F795" i="23"/>
  <c r="F191" i="23"/>
  <c r="G191" i="23"/>
  <c r="F199" i="23"/>
  <c r="G199" i="23"/>
  <c r="F1404" i="23"/>
  <c r="G1404" i="23"/>
  <c r="F361" i="23"/>
  <c r="G361" i="23"/>
  <c r="G1038" i="23"/>
  <c r="F1038" i="23"/>
  <c r="F532" i="23"/>
  <c r="G532" i="23"/>
  <c r="F562" i="23"/>
  <c r="G562" i="23"/>
  <c r="F729" i="23"/>
  <c r="G729" i="23"/>
  <c r="F744" i="23"/>
  <c r="G744" i="23"/>
  <c r="F321" i="23"/>
  <c r="G321" i="23"/>
  <c r="F544" i="23"/>
  <c r="G544" i="23"/>
  <c r="F1486" i="23"/>
  <c r="F1434" i="23"/>
  <c r="G1434" i="23"/>
  <c r="F1278" i="23"/>
  <c r="G1278" i="23"/>
  <c r="F886" i="23"/>
  <c r="G886" i="23"/>
  <c r="F201" i="23"/>
  <c r="G201" i="23"/>
  <c r="F1343" i="23"/>
  <c r="G1343" i="23"/>
  <c r="F658" i="23"/>
  <c r="G658" i="23"/>
  <c r="F759" i="23"/>
  <c r="G759" i="23"/>
  <c r="F1172" i="23"/>
  <c r="G1172" i="23"/>
  <c r="F357" i="23"/>
  <c r="G357" i="23"/>
  <c r="F943" i="23"/>
  <c r="G943" i="23"/>
  <c r="G1206" i="23"/>
  <c r="F1206" i="23"/>
  <c r="G447" i="23"/>
  <c r="F447" i="23"/>
  <c r="F137" i="23"/>
  <c r="G137" i="23"/>
  <c r="G548" i="23"/>
  <c r="F548" i="23"/>
  <c r="G805" i="23"/>
  <c r="F805" i="23"/>
  <c r="F212" i="23"/>
  <c r="G212" i="23"/>
  <c r="F231" i="23"/>
  <c r="G231" i="23"/>
  <c r="F1366" i="23"/>
  <c r="G1366" i="23"/>
  <c r="F647" i="23"/>
  <c r="G647" i="23"/>
  <c r="F362" i="23"/>
  <c r="G362" i="23"/>
  <c r="F527" i="23"/>
  <c r="G527" i="23"/>
  <c r="F710" i="23"/>
  <c r="G710" i="23"/>
  <c r="F602" i="23"/>
  <c r="G602" i="23"/>
  <c r="F313" i="23"/>
  <c r="G313" i="23"/>
  <c r="G610" i="23"/>
  <c r="F610" i="23"/>
  <c r="F1418" i="23"/>
  <c r="G1418" i="23"/>
  <c r="F1421" i="23"/>
  <c r="G1421" i="23"/>
  <c r="G1415" i="23"/>
  <c r="F1415" i="23"/>
  <c r="F1268" i="23"/>
  <c r="G1268" i="23"/>
  <c r="F899" i="23"/>
  <c r="G899" i="23"/>
  <c r="G206" i="23"/>
  <c r="F206" i="23"/>
  <c r="F1320" i="23"/>
  <c r="G1320" i="23"/>
  <c r="F667" i="23"/>
  <c r="G667" i="23"/>
  <c r="F757" i="23"/>
  <c r="G757" i="23"/>
  <c r="G730" i="23"/>
  <c r="F730" i="23"/>
  <c r="F703" i="23"/>
  <c r="G703" i="23"/>
  <c r="F1220" i="23"/>
  <c r="G1220" i="23"/>
  <c r="F125" i="23"/>
  <c r="G125" i="23"/>
  <c r="F554" i="23"/>
  <c r="G554" i="23"/>
  <c r="F815" i="23"/>
  <c r="G815" i="23"/>
  <c r="F214" i="23"/>
  <c r="G214" i="23"/>
  <c r="G449" i="23"/>
  <c r="F449" i="23"/>
  <c r="F1399" i="23"/>
  <c r="G1399" i="23"/>
  <c r="F649" i="23"/>
  <c r="G649" i="23"/>
  <c r="F384" i="23"/>
  <c r="G384" i="23"/>
  <c r="F650" i="23"/>
  <c r="G650" i="23"/>
  <c r="F413" i="23"/>
  <c r="G413" i="23"/>
  <c r="F59" i="23"/>
  <c r="G59" i="23"/>
  <c r="F601" i="23"/>
  <c r="G601" i="23"/>
  <c r="F274" i="23"/>
  <c r="G274" i="23"/>
  <c r="F620" i="23"/>
  <c r="G620" i="23"/>
  <c r="F1425" i="23"/>
  <c r="G1425" i="23"/>
  <c r="G392" i="23"/>
  <c r="F392" i="23"/>
  <c r="F984" i="23"/>
  <c r="G984" i="23"/>
  <c r="G1151" i="23"/>
  <c r="F1151" i="23"/>
  <c r="F1229" i="23"/>
  <c r="G1229" i="23"/>
  <c r="F750" i="23"/>
  <c r="G750" i="23"/>
  <c r="F712" i="23"/>
  <c r="G712" i="23"/>
  <c r="F688" i="23"/>
  <c r="G688" i="23"/>
  <c r="F1089" i="23"/>
  <c r="G1089" i="23"/>
  <c r="F248" i="23"/>
  <c r="G248" i="23"/>
  <c r="F832" i="23"/>
  <c r="G832" i="23"/>
  <c r="F173" i="23"/>
  <c r="G173" i="23"/>
  <c r="F408" i="23"/>
  <c r="G408" i="23"/>
  <c r="F1383" i="23"/>
  <c r="G1383" i="23"/>
  <c r="F634" i="23"/>
  <c r="G634" i="23"/>
  <c r="F209" i="23"/>
  <c r="G209" i="23"/>
  <c r="F391" i="23"/>
  <c r="G391" i="23"/>
  <c r="F681" i="23"/>
  <c r="G681" i="23"/>
  <c r="F416" i="23"/>
  <c r="G416" i="23"/>
  <c r="F67" i="23"/>
  <c r="G67" i="23"/>
  <c r="G565" i="23"/>
  <c r="F565" i="23"/>
  <c r="F846" i="23"/>
  <c r="G846" i="23"/>
  <c r="F266" i="23"/>
  <c r="G266" i="23"/>
  <c r="F1092" i="23"/>
  <c r="G1092" i="23"/>
  <c r="G1393" i="23"/>
  <c r="F1393" i="23"/>
  <c r="F1487" i="23"/>
  <c r="F402" i="23"/>
  <c r="G402" i="23"/>
  <c r="G584" i="23"/>
  <c r="F584" i="23"/>
  <c r="F986" i="23"/>
  <c r="G986" i="23"/>
  <c r="F1138" i="23"/>
  <c r="G1138" i="23"/>
  <c r="F496" i="23"/>
  <c r="G496" i="23"/>
  <c r="F1231" i="23"/>
  <c r="G1231" i="23"/>
  <c r="G1191" i="23"/>
  <c r="F1191" i="23"/>
  <c r="G699" i="23"/>
  <c r="F699" i="23"/>
  <c r="F1088" i="23"/>
  <c r="G1088" i="23"/>
  <c r="F260" i="23"/>
  <c r="G260" i="23"/>
  <c r="F1006" i="23"/>
  <c r="G1006" i="23"/>
  <c r="G858" i="23"/>
  <c r="F858" i="23"/>
  <c r="F763" i="23"/>
  <c r="G763" i="23"/>
  <c r="F181" i="23"/>
  <c r="G181" i="23"/>
  <c r="F222" i="23"/>
  <c r="G222" i="23"/>
  <c r="G589" i="23"/>
  <c r="F589" i="23"/>
  <c r="F215" i="23"/>
  <c r="G215" i="23"/>
  <c r="G1060" i="23"/>
  <c r="F1060" i="23"/>
  <c r="F638" i="23"/>
  <c r="G638" i="23"/>
  <c r="F434" i="23"/>
  <c r="G434" i="23"/>
  <c r="F76" i="23"/>
  <c r="G76" i="23"/>
  <c r="F571" i="23"/>
  <c r="G571" i="23"/>
  <c r="F552" i="23"/>
  <c r="G552" i="23"/>
  <c r="F817" i="23"/>
  <c r="G817" i="23"/>
  <c r="F673" i="23"/>
  <c r="G673" i="23"/>
  <c r="F1091" i="23"/>
  <c r="G1091" i="23"/>
  <c r="G1411" i="23"/>
  <c r="F1411" i="23"/>
  <c r="F1420" i="23"/>
  <c r="G1420" i="23"/>
  <c r="G405" i="23"/>
  <c r="F405" i="23"/>
  <c r="F387" i="23"/>
  <c r="G387" i="23"/>
  <c r="F578" i="23"/>
  <c r="G578" i="23"/>
  <c r="F978" i="23"/>
  <c r="G978" i="23"/>
  <c r="F1156" i="23"/>
  <c r="G1156" i="23"/>
  <c r="G494" i="23"/>
  <c r="F494" i="23"/>
  <c r="F1215" i="23"/>
  <c r="G1215" i="23"/>
  <c r="F1183" i="23"/>
  <c r="G1183" i="23"/>
  <c r="F998" i="23"/>
  <c r="G998" i="23"/>
  <c r="F112" i="23"/>
  <c r="G112" i="23"/>
  <c r="F761" i="23"/>
  <c r="G761" i="23"/>
  <c r="F617" i="23"/>
  <c r="G617" i="23"/>
  <c r="F204" i="23"/>
  <c r="G204" i="23"/>
  <c r="F857" i="23"/>
  <c r="G857" i="23"/>
  <c r="G593" i="23"/>
  <c r="F593" i="23"/>
  <c r="F441" i="23"/>
  <c r="G441" i="23"/>
  <c r="F307" i="23"/>
  <c r="G307" i="23"/>
  <c r="G1055" i="23"/>
  <c r="F1055" i="23"/>
  <c r="F642" i="23"/>
  <c r="G642" i="23"/>
  <c r="F249" i="23"/>
  <c r="G249" i="23"/>
  <c r="F957" i="23"/>
  <c r="G957" i="23"/>
  <c r="F411" i="23"/>
  <c r="G411" i="23"/>
  <c r="F551" i="23"/>
  <c r="G551" i="23"/>
  <c r="F833" i="23"/>
  <c r="G833" i="23"/>
  <c r="F679" i="23"/>
  <c r="G679" i="23"/>
  <c r="F1105" i="23"/>
  <c r="G1105" i="23"/>
  <c r="F1460" i="23"/>
  <c r="G1460" i="23"/>
  <c r="F376" i="23"/>
  <c r="G376" i="23"/>
  <c r="F55" i="23"/>
  <c r="G55" i="23"/>
  <c r="F963" i="23"/>
  <c r="G963" i="23"/>
  <c r="G514" i="23"/>
  <c r="F514" i="23"/>
  <c r="F170" i="23"/>
  <c r="G170" i="23"/>
  <c r="F936" i="23"/>
  <c r="G936" i="23"/>
  <c r="F1193" i="23"/>
  <c r="G1193" i="23"/>
  <c r="F676" i="23"/>
  <c r="G676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566" i="2" l="1"/>
  <c r="N112" i="4" l="1"/>
  <c r="N113" i="4"/>
  <c r="N114" i="4"/>
  <c r="N115" i="4"/>
  <c r="N116" i="4"/>
  <c r="N117" i="4"/>
  <c r="N118" i="4"/>
  <c r="N119" i="4"/>
  <c r="N120" i="4"/>
  <c r="N121" i="4"/>
  <c r="C444" i="23" s="1"/>
  <c r="C447" i="23" l="1"/>
  <c r="C465" i="23"/>
  <c r="C459" i="23"/>
  <c r="C451" i="23"/>
  <c r="C442" i="23"/>
  <c r="C460" i="23"/>
  <c r="C413" i="23"/>
  <c r="C432" i="23"/>
  <c r="C428" i="23"/>
  <c r="C446" i="23"/>
  <c r="C436" i="23"/>
  <c r="C452" i="23"/>
  <c r="C431" i="23"/>
  <c r="C439" i="23"/>
  <c r="C429" i="23"/>
  <c r="C424" i="23"/>
  <c r="C408" i="23"/>
  <c r="C434" i="23"/>
  <c r="C438" i="23"/>
  <c r="C449" i="23"/>
  <c r="C423" i="23"/>
  <c r="C420" i="23"/>
  <c r="C435" i="23"/>
  <c r="C443" i="23"/>
  <c r="C430" i="23"/>
  <c r="C448" i="23"/>
  <c r="C437" i="23"/>
  <c r="C441" i="23"/>
  <c r="C450" i="23"/>
  <c r="C433" i="23"/>
  <c r="C427" i="23"/>
  <c r="C416" i="23"/>
  <c r="C418" i="23"/>
  <c r="C422" i="23"/>
  <c r="C412" i="23"/>
  <c r="C400" i="23"/>
  <c r="C366" i="23"/>
  <c r="C384" i="23"/>
  <c r="C391" i="23"/>
  <c r="C381" i="23"/>
  <c r="C410" i="23"/>
  <c r="C421" i="23"/>
  <c r="C407" i="23"/>
  <c r="C414" i="23"/>
  <c r="C401" i="23"/>
  <c r="C397" i="23"/>
  <c r="C417" i="23"/>
  <c r="C425" i="23"/>
  <c r="C395" i="23"/>
  <c r="C404" i="23"/>
  <c r="C379" i="23"/>
  <c r="C403" i="23"/>
  <c r="C405" i="23"/>
  <c r="C406" i="23"/>
  <c r="C402" i="23"/>
  <c r="C392" i="23"/>
  <c r="C419" i="23"/>
  <c r="C389" i="23"/>
  <c r="C409" i="23"/>
  <c r="C398" i="23"/>
  <c r="C393" i="23"/>
  <c r="C394" i="23"/>
  <c r="C426" i="23"/>
  <c r="C440" i="23"/>
  <c r="C415" i="23"/>
  <c r="C411" i="23"/>
  <c r="C390" i="23"/>
  <c r="C382" i="23"/>
  <c r="C399" i="23"/>
  <c r="C388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5" i="23" l="1"/>
  <c r="C4" i="23"/>
  <c r="C6" i="23"/>
  <c r="C19" i="23"/>
  <c r="C12" i="23"/>
  <c r="N6" i="4"/>
  <c r="C7" i="23" s="1"/>
  <c r="N10" i="4"/>
  <c r="C32" i="23" s="1"/>
  <c r="C31" i="12"/>
  <c r="C30" i="12"/>
  <c r="C2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9" i="23" l="1"/>
  <c r="C42" i="23"/>
  <c r="C36" i="23"/>
  <c r="C10" i="23"/>
  <c r="C8" i="23"/>
  <c r="C27" i="23"/>
  <c r="C14" i="23"/>
  <c r="C25" i="23"/>
  <c r="C26" i="23"/>
  <c r="C11" i="23"/>
  <c r="C13" i="23"/>
  <c r="C31" i="23"/>
  <c r="C33" i="23"/>
  <c r="C16" i="23"/>
  <c r="C15" i="23"/>
  <c r="C20" i="23"/>
  <c r="C26" i="12"/>
  <c r="C35" i="23"/>
  <c r="C44" i="23"/>
  <c r="C39" i="23"/>
  <c r="C3" i="23"/>
  <c r="C24" i="12"/>
  <c r="C18" i="23"/>
  <c r="C30" i="23"/>
  <c r="C23" i="23"/>
  <c r="C37" i="23"/>
  <c r="C28" i="23"/>
  <c r="C38" i="23"/>
  <c r="C29" i="23"/>
  <c r="C21" i="23"/>
  <c r="C17" i="23"/>
  <c r="C22" i="23"/>
  <c r="C24" i="23"/>
  <c r="C34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4" i="23" l="1"/>
  <c r="H4" i="23"/>
  <c r="G4" i="23" l="1"/>
  <c r="F4" i="23"/>
  <c r="C474" i="2" l="1"/>
  <c r="C293" i="2"/>
  <c r="C402" i="2"/>
  <c r="C647" i="2"/>
  <c r="C297" i="2"/>
  <c r="C287" i="2"/>
  <c r="C18" i="2"/>
  <c r="C622" i="2"/>
  <c r="C598" i="2"/>
  <c r="C642" i="2"/>
  <c r="C280" i="2"/>
  <c r="C385" i="2"/>
  <c r="C129" i="2"/>
  <c r="C212" i="2"/>
  <c r="C225" i="2"/>
  <c r="C62" i="2"/>
  <c r="C309" i="2"/>
  <c r="C310" i="2"/>
  <c r="C326" i="2"/>
  <c r="C106" i="2"/>
  <c r="C56" i="2"/>
  <c r="C541" i="2"/>
  <c r="C729" i="2"/>
  <c r="C630" i="2"/>
  <c r="C656" i="2"/>
  <c r="C421" i="2"/>
  <c r="C461" i="2"/>
  <c r="C233" i="2"/>
  <c r="C603" i="2"/>
  <c r="C510" i="2"/>
  <c r="C83" i="2"/>
  <c r="C717" i="2"/>
  <c r="C384" i="2"/>
  <c r="C454" i="2"/>
  <c r="C100" i="2"/>
  <c r="C140" i="2"/>
  <c r="C606" i="2"/>
  <c r="C752" i="2"/>
  <c r="C425" i="2"/>
  <c r="C750" i="2"/>
  <c r="C359" i="2"/>
  <c r="C399" i="2"/>
  <c r="C251" i="2"/>
  <c r="C428" i="2"/>
  <c r="C121" i="2"/>
  <c r="C356" i="2"/>
  <c r="C672" i="2"/>
  <c r="C88" i="2"/>
  <c r="C430" i="2"/>
  <c r="C155" i="2"/>
  <c r="C613" i="2"/>
  <c r="C65" i="2"/>
  <c r="C219" i="2"/>
  <c r="C203" i="2"/>
  <c r="C343" i="2"/>
  <c r="C756" i="2"/>
  <c r="C122" i="2"/>
  <c r="C308" i="2"/>
  <c r="C58" i="2"/>
  <c r="C460" i="2"/>
  <c r="C450" i="2"/>
  <c r="C30" i="2"/>
  <c r="C471" i="2"/>
  <c r="C237" i="2"/>
  <c r="C600" i="2"/>
  <c r="C202" i="2"/>
  <c r="C380" i="2"/>
  <c r="C369" i="2"/>
  <c r="C184" i="2"/>
  <c r="C256" i="2"/>
  <c r="C339" i="2"/>
  <c r="C13" i="2"/>
  <c r="C364" i="2"/>
  <c r="C300" i="2"/>
  <c r="C583" i="2"/>
  <c r="C388" i="2"/>
  <c r="C395" i="2"/>
  <c r="C17" i="2"/>
  <c r="C466" i="2"/>
  <c r="C274" i="2"/>
  <c r="C702" i="2"/>
  <c r="C234" i="2"/>
  <c r="C181" i="2"/>
  <c r="C759" i="2"/>
  <c r="C519" i="2"/>
  <c r="C465" i="2"/>
  <c r="C15" i="2"/>
  <c r="C645" i="2"/>
  <c r="C187" i="2"/>
  <c r="C363" i="2"/>
  <c r="C652" i="2"/>
  <c r="C52" i="2"/>
  <c r="C105" i="2"/>
  <c r="C358" i="2"/>
  <c r="C230" i="2"/>
  <c r="C320" i="2"/>
  <c r="C644" i="2"/>
  <c r="C48" i="2"/>
  <c r="C288" i="2"/>
  <c r="C76" i="2"/>
  <c r="C360" i="2"/>
  <c r="C687" i="2"/>
  <c r="C575" i="2"/>
  <c r="C658" i="2"/>
  <c r="C751" i="2"/>
  <c r="C241" i="2"/>
  <c r="C392" i="2"/>
  <c r="C667" i="2"/>
  <c r="C328" i="2"/>
  <c r="C109" i="2"/>
  <c r="C69" i="2"/>
  <c r="C71" i="2"/>
  <c r="C180" i="2"/>
  <c r="C427" i="2"/>
  <c r="C683" i="2"/>
  <c r="C548" i="2"/>
  <c r="C37" i="2"/>
  <c r="C666" i="2"/>
  <c r="C409" i="2"/>
  <c r="C719" i="2"/>
  <c r="C362" i="2"/>
  <c r="C504" i="2"/>
  <c r="C39" i="2"/>
  <c r="C247" i="2"/>
  <c r="C314" i="2"/>
  <c r="C626" i="2"/>
  <c r="C491" i="2"/>
  <c r="C64" i="2"/>
  <c r="C433" i="2"/>
  <c r="C714" i="2"/>
  <c r="C694" i="2"/>
  <c r="C357" i="2"/>
  <c r="C337" i="2"/>
  <c r="C386" i="2"/>
  <c r="C335" i="2"/>
  <c r="C740" i="2"/>
  <c r="C167" i="2"/>
  <c r="C114" i="2"/>
  <c r="C224" i="2"/>
  <c r="C67" i="2"/>
  <c r="C120" i="2"/>
  <c r="C679" i="2"/>
  <c r="C103" i="2"/>
  <c r="C710" i="2"/>
  <c r="C73" i="2"/>
  <c r="C51" i="2"/>
  <c r="C44" i="2"/>
  <c r="C232" i="2"/>
  <c r="C147" i="2"/>
  <c r="C289" i="2"/>
  <c r="C517" i="2"/>
  <c r="C525" i="2"/>
  <c r="C163" i="2"/>
  <c r="C291" i="2"/>
  <c r="C218" i="2"/>
  <c r="C497" i="2"/>
  <c r="C690" i="2"/>
  <c r="C549" i="2"/>
  <c r="C92" i="2"/>
  <c r="C723" i="2"/>
  <c r="C282" i="2"/>
  <c r="C259" i="2"/>
  <c r="C508" i="2"/>
  <c r="C166" i="2"/>
  <c r="C456" i="2"/>
  <c r="C522" i="2"/>
  <c r="C345" i="2"/>
  <c r="C379" i="2"/>
  <c r="C635" i="2"/>
  <c r="C228" i="2"/>
  <c r="C621" i="2"/>
  <c r="C429" i="2"/>
  <c r="C77" i="2"/>
  <c r="C641" i="2"/>
  <c r="C528" i="2"/>
  <c r="C355" i="2"/>
  <c r="C275" i="2"/>
  <c r="C589" i="2"/>
  <c r="C193" i="2"/>
  <c r="C152" i="2"/>
  <c r="C601" i="2"/>
  <c r="C244" i="2"/>
  <c r="C578" i="2"/>
  <c r="C290" i="2"/>
  <c r="C352" i="2"/>
  <c r="C25" i="2"/>
  <c r="C538" i="2"/>
  <c r="C617" i="2"/>
  <c r="C515" i="2"/>
  <c r="C682" i="2"/>
  <c r="C496" i="2"/>
  <c r="C704" i="2"/>
  <c r="C567" i="2"/>
  <c r="C555" i="2"/>
  <c r="C306" i="2"/>
  <c r="C43" i="2"/>
  <c r="C445" i="2"/>
  <c r="C419" i="2"/>
  <c r="C479" i="2"/>
  <c r="C481" i="2"/>
  <c r="C734" i="2"/>
  <c r="C131" i="2"/>
  <c r="C532" i="2"/>
  <c r="C451" i="2"/>
  <c r="C136" i="2"/>
  <c r="C377" i="2"/>
  <c r="C296" i="2"/>
  <c r="C527" i="2"/>
  <c r="C331" i="2"/>
  <c r="C59" i="2"/>
  <c r="C178" i="2"/>
  <c r="C299" i="2"/>
  <c r="C351" i="2"/>
  <c r="C323" i="2"/>
  <c r="C488" i="2"/>
  <c r="C340" i="2"/>
  <c r="C264" i="2"/>
  <c r="C66" i="2"/>
  <c r="C663" i="2"/>
  <c r="C102" i="2"/>
  <c r="C634" i="2"/>
  <c r="C9" i="2"/>
  <c r="C169" i="2"/>
  <c r="C436" i="2"/>
  <c r="C536" i="2"/>
  <c r="C49" i="2"/>
  <c r="C108" i="2"/>
  <c r="C46" i="2"/>
  <c r="C154" i="2"/>
  <c r="C82" i="2"/>
  <c r="C336" i="2"/>
  <c r="C382" i="2"/>
  <c r="C711" i="2"/>
  <c r="C179" i="2"/>
  <c r="C390" i="2"/>
  <c r="C305" i="2"/>
  <c r="C239" i="2"/>
  <c r="C747" i="2"/>
  <c r="C484" i="2"/>
  <c r="C252" i="2"/>
  <c r="C637" i="2"/>
  <c r="C192" i="2"/>
  <c r="C316" i="2"/>
  <c r="C89" i="2"/>
  <c r="C107" i="2" l="1"/>
  <c r="C440" i="2"/>
  <c r="C586" i="2"/>
  <c r="C12" i="2"/>
  <c r="C266" i="2"/>
  <c r="C610" i="2"/>
  <c r="C531" i="2"/>
  <c r="C686" i="2"/>
  <c r="G17" i="5" s="1"/>
  <c r="C509" i="2"/>
  <c r="C607" i="2"/>
  <c r="C61" i="2"/>
  <c r="C472" i="2"/>
  <c r="C190" i="2"/>
  <c r="C605" i="2"/>
  <c r="C608" i="2"/>
  <c r="C324" i="2"/>
  <c r="C329" i="2"/>
  <c r="C273" i="2"/>
  <c r="C631" i="2"/>
  <c r="G19" i="5"/>
  <c r="G44" i="5"/>
  <c r="C255" i="18" s="1"/>
  <c r="D255" i="18" s="1"/>
  <c r="G13" i="5"/>
  <c r="G37" i="5"/>
  <c r="G38" i="5"/>
  <c r="G15" i="5"/>
  <c r="G41" i="5"/>
  <c r="C259" i="18" l="1"/>
  <c r="D259" i="18" s="1"/>
  <c r="C256" i="18"/>
  <c r="D256" i="18" s="1"/>
  <c r="C258" i="18"/>
  <c r="D258" i="18" s="1"/>
  <c r="C254" i="18"/>
  <c r="D254" i="18" s="1"/>
  <c r="C257" i="18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175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172" i="2"/>
  <c r="G39" i="5"/>
  <c r="C493" i="2"/>
  <c r="C254" i="2"/>
  <c r="C478" i="2"/>
  <c r="C403" i="2"/>
  <c r="C95" i="2"/>
  <c r="C470" i="2"/>
  <c r="C520" i="2"/>
  <c r="C269" i="2"/>
  <c r="C561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674" i="2"/>
  <c r="C604" i="2"/>
  <c r="C564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416" i="2"/>
  <c r="C552" i="2"/>
  <c r="C281" i="2"/>
  <c r="C708" i="2"/>
  <c r="C45" i="2"/>
  <c r="C557" i="2"/>
  <c r="C211" i="2" l="1"/>
  <c r="C162" i="2"/>
  <c r="C698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176" i="2"/>
  <c r="C253" i="2"/>
  <c r="G16" i="5" s="1"/>
  <c r="C353" i="2"/>
  <c r="C342" i="2"/>
  <c r="C467" i="2"/>
  <c r="C413" i="2"/>
  <c r="C24" i="2"/>
  <c r="C500" i="2"/>
  <c r="C350" i="2"/>
  <c r="C94" i="2"/>
  <c r="C97" i="2"/>
  <c r="C739" i="2"/>
  <c r="C31" i="2"/>
  <c r="C516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294" i="2" l="1"/>
  <c r="C197" i="2"/>
  <c r="C158" i="2"/>
  <c r="G36" i="5" s="1"/>
  <c r="C354" i="2"/>
  <c r="C616" i="2"/>
  <c r="C127" i="2"/>
  <c r="C367" i="2"/>
  <c r="C675" i="2"/>
  <c r="C754" i="2"/>
  <c r="C518" i="2"/>
  <c r="C623" i="2"/>
  <c r="C492" i="2"/>
  <c r="C268" i="2"/>
  <c r="C662" i="2"/>
  <c r="C724" i="2"/>
  <c r="C91" i="2"/>
  <c r="C317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418" i="2"/>
  <c r="C530" i="2"/>
  <c r="C159" i="2"/>
  <c r="C593" i="2"/>
  <c r="C144" i="2"/>
  <c r="C483" i="2"/>
  <c r="C736" i="2"/>
  <c r="C539" i="2"/>
  <c r="C81" i="2"/>
  <c r="C668" i="2"/>
  <c r="G47" i="5"/>
  <c r="C485" i="2"/>
  <c r="C718" i="2"/>
  <c r="C435" i="2"/>
  <c r="C602" i="2"/>
  <c r="C417" i="2"/>
  <c r="C401" i="2"/>
  <c r="C632" i="2"/>
  <c r="C196" i="2"/>
  <c r="C547" i="2" l="1"/>
  <c r="C213" i="2"/>
  <c r="C315" i="2"/>
  <c r="C96" i="2"/>
  <c r="C404" i="2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585" i="2"/>
  <c r="C174" i="2"/>
  <c r="C115" i="2"/>
  <c r="G48" i="5" s="1"/>
  <c r="C720" i="2"/>
  <c r="C338" i="2"/>
  <c r="C521" i="2"/>
  <c r="C733" i="2"/>
  <c r="C130" i="2"/>
  <c r="C93" i="2"/>
  <c r="C365" i="2"/>
  <c r="C529" i="2"/>
  <c r="C727" i="2"/>
  <c r="C332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705" i="2"/>
  <c r="C449" i="2"/>
  <c r="C145" i="2"/>
  <c r="C502" i="2"/>
  <c r="C738" i="2"/>
  <c r="C78" i="2"/>
  <c r="C70" i="2"/>
  <c r="C563" i="2"/>
  <c r="C307" i="2"/>
  <c r="C170" i="2"/>
  <c r="C245" i="2"/>
  <c r="C715" i="2"/>
  <c r="C295" i="2"/>
  <c r="C148" i="2"/>
  <c r="C74" i="2" l="1"/>
  <c r="C313" i="2"/>
  <c r="C534" i="2"/>
  <c r="C489" i="2"/>
  <c r="C680" i="2"/>
  <c r="C38" i="2"/>
  <c r="C319" i="2"/>
  <c r="C441" i="2"/>
  <c r="C220" i="2"/>
  <c r="C412" i="2"/>
  <c r="C400" i="2"/>
  <c r="C86" i="2"/>
  <c r="C344" i="2"/>
  <c r="C188" i="2"/>
  <c r="C477" i="2"/>
  <c r="C257" i="2"/>
  <c r="C249" i="2"/>
  <c r="C348" i="2" l="1"/>
  <c r="C664" i="2"/>
  <c r="C284" i="2"/>
  <c r="C462" i="2"/>
  <c r="C124" i="2"/>
  <c r="C744" i="2"/>
  <c r="C165" i="2"/>
  <c r="C286" i="2"/>
  <c r="C669" i="2"/>
  <c r="C101" i="2"/>
  <c r="C660" i="2"/>
  <c r="C512" i="2"/>
  <c r="C21" i="2" l="1"/>
  <c r="C334" i="2"/>
  <c r="C138" i="2"/>
  <c r="C587" i="2"/>
  <c r="C111" i="2"/>
  <c r="C330" i="2"/>
  <c r="C156" i="2"/>
  <c r="C503" i="2"/>
  <c r="C676" i="2"/>
  <c r="C206" i="2"/>
  <c r="C595" i="2"/>
  <c r="C321" i="2"/>
  <c r="C691" i="2"/>
  <c r="C597" i="2" l="1"/>
  <c r="C141" i="2"/>
  <c r="C761" i="2"/>
  <c r="C464" i="2"/>
  <c r="C584" i="2"/>
  <c r="C5" i="2"/>
  <c r="C26" i="2"/>
  <c r="C648" i="2" l="1"/>
  <c r="C226" i="2"/>
  <c r="C216" i="2"/>
  <c r="C302" i="2"/>
  <c r="C448" i="2"/>
  <c r="C758" i="2"/>
  <c r="C209" i="2"/>
  <c r="C499" i="2" l="1"/>
  <c r="C153" i="2"/>
  <c r="C537" i="2"/>
  <c r="C117" i="2"/>
  <c r="C684" i="2"/>
  <c r="C325" i="2"/>
  <c r="C186" i="2"/>
  <c r="C84" i="2"/>
  <c r="C716" i="2"/>
  <c r="C7" i="2" l="1"/>
  <c r="C143" i="2"/>
  <c r="C696" i="2"/>
  <c r="C511" i="2"/>
  <c r="C20" i="2"/>
  <c r="C397" i="2" l="1"/>
  <c r="C432" i="2"/>
  <c r="C11" i="2"/>
  <c r="C171" i="2"/>
  <c r="C63" i="2"/>
  <c r="C391" i="2" l="1"/>
  <c r="C410" i="2"/>
  <c r="C546" i="2"/>
  <c r="C285" i="2"/>
  <c r="C33" i="2"/>
  <c r="C572" i="2"/>
  <c r="C304" i="2" l="1"/>
  <c r="C53" i="2"/>
  <c r="C615" i="2"/>
  <c r="C298" i="2"/>
  <c r="C501" i="2"/>
  <c r="C104" i="2" l="1"/>
  <c r="C276" i="2"/>
  <c r="C640" i="2"/>
  <c r="C215" i="2" l="1"/>
  <c r="C411" i="2"/>
  <c r="C628" i="2"/>
  <c r="C741" i="2" l="1"/>
  <c r="C486" i="2"/>
  <c r="C6" i="2"/>
  <c r="C722" i="2"/>
  <c r="C701" i="2"/>
  <c r="C498" i="2" l="1"/>
  <c r="C469" i="2" l="1"/>
  <c r="C35" i="2" l="1"/>
  <c r="C570" i="2" l="1"/>
  <c r="C98" i="2" l="1"/>
  <c r="C592" i="2" l="1"/>
  <c r="C480" i="2" l="1"/>
  <c r="C728" i="2" l="1"/>
  <c r="C346" i="2" l="1"/>
  <c r="G40" i="5" s="1"/>
  <c r="C232" i="18" l="1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743" i="2"/>
  <c r="G43" i="5" s="1"/>
  <c r="C249" i="18" l="1"/>
  <c r="D249" i="18" s="1"/>
  <c r="C250" i="18"/>
  <c r="D250" i="18" s="1"/>
  <c r="C253" i="18"/>
  <c r="D253" i="18" s="1"/>
  <c r="C248" i="18"/>
  <c r="D248" i="18" s="1"/>
  <c r="C252" i="18"/>
  <c r="D252" i="18" s="1"/>
  <c r="C251" i="18"/>
  <c r="D251" i="18" s="1"/>
  <c r="C135" i="2"/>
  <c r="G46" i="5" s="1"/>
  <c r="C266" i="18" l="1"/>
  <c r="D266" i="18" s="1"/>
  <c r="C269" i="18"/>
  <c r="D269" i="18" s="1"/>
  <c r="C271" i="18"/>
  <c r="D271" i="18" s="1"/>
  <c r="C270" i="18"/>
  <c r="D270" i="18" s="1"/>
  <c r="C268" i="18"/>
  <c r="D268" i="18" s="1"/>
  <c r="C267" i="18"/>
  <c r="D267" i="18" s="1"/>
  <c r="C562" i="2"/>
  <c r="G49" i="5" s="1"/>
  <c r="C287" i="18" l="1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383" i="2"/>
  <c r="C16" i="2" l="1"/>
  <c r="C119" i="2" l="1"/>
  <c r="C55" i="2"/>
  <c r="G52" i="5"/>
  <c r="G51" i="5"/>
  <c r="C307" i="18"/>
  <c r="D307" i="18" s="1"/>
  <c r="G9" i="5"/>
  <c r="C45" i="18"/>
  <c r="D45" i="18" s="1"/>
  <c r="G35" i="5"/>
  <c r="C203" i="18" s="1"/>
  <c r="D203" i="18" s="1"/>
  <c r="C749" i="2"/>
  <c r="C80" i="2"/>
  <c r="G74" i="5" s="1"/>
  <c r="C439" i="18" s="1"/>
  <c r="D439" i="18" s="1"/>
  <c r="C161" i="2"/>
  <c r="G10" i="5"/>
  <c r="G25" i="5"/>
  <c r="C141" i="18" s="1"/>
  <c r="D141" i="18" s="1"/>
  <c r="C40" i="2"/>
  <c r="G85" i="5" s="1"/>
  <c r="C503" i="18" s="1"/>
  <c r="D503" i="18" s="1"/>
  <c r="C146" i="2"/>
  <c r="G71" i="5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 s="1"/>
  <c r="D179" i="18" s="1"/>
  <c r="C278" i="2"/>
  <c r="G63" i="5" s="1"/>
  <c r="C373" i="18" s="1"/>
  <c r="D373" i="18" s="1"/>
  <c r="G6" i="5"/>
  <c r="C387" i="2"/>
  <c r="G23" i="5" s="1"/>
  <c r="G4" i="5"/>
  <c r="C17" i="18" s="1"/>
  <c r="D17" i="18" s="1"/>
  <c r="C305" i="18"/>
  <c r="D305" i="18" s="1"/>
  <c r="G22" i="5"/>
  <c r="C573" i="2"/>
  <c r="G59" i="5" s="1"/>
  <c r="C346" i="18" s="1"/>
  <c r="D346" i="18" s="1"/>
  <c r="C207" i="2"/>
  <c r="G8" i="5" s="1"/>
  <c r="G73" i="5"/>
  <c r="G24" i="5"/>
  <c r="C134" i="18" s="1"/>
  <c r="D134" i="18" s="1"/>
  <c r="C177" i="18"/>
  <c r="D177" i="18" s="1"/>
  <c r="G96" i="5"/>
  <c r="C570" i="18" s="1"/>
  <c r="D570" i="18" s="1"/>
  <c r="C407" i="2"/>
  <c r="G67" i="5" s="1"/>
  <c r="C423" i="2"/>
  <c r="G66" i="5"/>
  <c r="C388" i="18" s="1"/>
  <c r="D388" i="18" s="1"/>
  <c r="C50" i="18"/>
  <c r="D50" i="18" s="1"/>
  <c r="G26" i="5"/>
  <c r="C151" i="18" s="1"/>
  <c r="D151" i="18" s="1"/>
  <c r="C699" i="2"/>
  <c r="G61" i="5" s="1"/>
  <c r="C361" i="18" s="1"/>
  <c r="D361" i="18" s="1"/>
  <c r="C27" i="18"/>
  <c r="D27" i="18" s="1"/>
  <c r="G99" i="5"/>
  <c r="C584" i="18" s="1"/>
  <c r="D584" i="18" s="1"/>
  <c r="C127" i="18"/>
  <c r="D127" i="18" s="1"/>
  <c r="G137" i="5"/>
  <c r="C812" i="18" s="1"/>
  <c r="D812" i="18" s="1"/>
  <c r="G28" i="5"/>
  <c r="C158" i="18" s="1"/>
  <c r="D158" i="18" s="1"/>
  <c r="G7" i="5"/>
  <c r="C37" i="18" s="1"/>
  <c r="D37" i="18" s="1"/>
  <c r="C420" i="2"/>
  <c r="C144" i="18"/>
  <c r="D144" i="18" s="1"/>
  <c r="G53" i="5"/>
  <c r="C311" i="18" s="1"/>
  <c r="D311" i="18" s="1"/>
  <c r="G92" i="5"/>
  <c r="C542" i="18" s="1"/>
  <c r="D542" i="18" s="1"/>
  <c r="C47" i="18"/>
  <c r="D47" i="18" s="1"/>
  <c r="C30" i="18"/>
  <c r="D30" i="18" s="1"/>
  <c r="C300" i="18"/>
  <c r="D300" i="18" s="1"/>
  <c r="G109" i="5"/>
  <c r="C649" i="18" s="1"/>
  <c r="D649" i="18" s="1"/>
  <c r="C435" i="18"/>
  <c r="D435" i="18" s="1"/>
  <c r="C263" i="2"/>
  <c r="G91" i="5" s="1"/>
  <c r="C536" i="18" s="1"/>
  <c r="D536" i="18" s="1"/>
  <c r="G55" i="5"/>
  <c r="C49" i="18"/>
  <c r="D49" i="18" s="1"/>
  <c r="C53" i="18"/>
  <c r="D53" i="18" s="1"/>
  <c r="C458" i="2"/>
  <c r="G82" i="5" s="1"/>
  <c r="C16" i="18"/>
  <c r="D16" i="18" s="1"/>
  <c r="G200" i="5"/>
  <c r="C1190" i="18" s="1"/>
  <c r="D1190" i="18" s="1"/>
  <c r="C28" i="18"/>
  <c r="D28" i="18" s="1"/>
  <c r="C52" i="18"/>
  <c r="D52" i="18" s="1"/>
  <c r="C178" i="18"/>
  <c r="D178" i="18" s="1"/>
  <c r="C51" i="18"/>
  <c r="D51" i="18" s="1"/>
  <c r="G197" i="5"/>
  <c r="C1174" i="18" s="1"/>
  <c r="D1174" i="18" s="1"/>
  <c r="C205" i="18"/>
  <c r="D205" i="18" s="1"/>
  <c r="C126" i="18"/>
  <c r="D126" i="18" s="1"/>
  <c r="C554" i="2"/>
  <c r="G89" i="5" s="1"/>
  <c r="C150" i="18"/>
  <c r="D150" i="18" s="1"/>
  <c r="G20" i="5"/>
  <c r="C115" i="18" s="1"/>
  <c r="D115" i="18" s="1"/>
  <c r="C44" i="18"/>
  <c r="D44" i="18" s="1"/>
  <c r="C26" i="18"/>
  <c r="D26" i="18" s="1"/>
  <c r="G34" i="5"/>
  <c r="C199" i="18" s="1"/>
  <c r="D199" i="18" s="1"/>
  <c r="C138" i="18"/>
  <c r="D138" i="18" s="1"/>
  <c r="G54" i="5"/>
  <c r="C314" i="18" s="1"/>
  <c r="D314" i="18" s="1"/>
  <c r="C29" i="18"/>
  <c r="D29" i="18" s="1"/>
  <c r="C48" i="18"/>
  <c r="D48" i="18" s="1"/>
  <c r="C301" i="18"/>
  <c r="D301" i="18" s="1"/>
  <c r="C54" i="18"/>
  <c r="D54" i="18" s="1"/>
  <c r="C587" i="18"/>
  <c r="D587" i="18" s="1"/>
  <c r="C54" i="2"/>
  <c r="G83" i="5" s="1"/>
  <c r="C32" i="18"/>
  <c r="D32" i="18" s="1"/>
  <c r="C150" i="2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495" i="2"/>
  <c r="G72" i="5" s="1"/>
  <c r="G637" i="5"/>
  <c r="C3817" i="18" s="1"/>
  <c r="D3817" i="18" s="1"/>
  <c r="C538" i="18"/>
  <c r="D538" i="18" s="1"/>
  <c r="G675" i="5"/>
  <c r="C4042" i="18" s="1"/>
  <c r="D4042" i="18" s="1"/>
  <c r="C468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C588" i="18"/>
  <c r="D588" i="18" s="1"/>
  <c r="C585" i="18"/>
  <c r="D585" i="18" s="1"/>
  <c r="C589" i="18"/>
  <c r="D589" i="18" s="1"/>
  <c r="C586" i="18"/>
  <c r="D58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50" i="2"/>
  <c r="G663" i="5" s="1"/>
  <c r="C3971" i="18" s="1"/>
  <c r="D3971" i="18" s="1"/>
  <c r="G64" i="5"/>
  <c r="C377" i="18" s="1"/>
  <c r="D377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32" i="2"/>
  <c r="G88" i="5" s="1"/>
  <c r="G665" i="5"/>
  <c r="C3984" i="18" s="1"/>
  <c r="D3984" i="18" s="1"/>
  <c r="G297" i="5"/>
  <c r="G578" i="5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8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495" i="5"/>
  <c r="C2962" i="18" s="1"/>
  <c r="D2962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292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533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693" i="2"/>
  <c r="G32" i="5" s="1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28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671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636" i="2"/>
  <c r="G649" i="5" s="1"/>
  <c r="G62" i="5"/>
  <c r="C366" i="18" s="1"/>
  <c r="D366" i="18" s="1"/>
  <c r="G385" i="5"/>
  <c r="C2303" i="18" s="1"/>
  <c r="D2303" i="18" s="1"/>
  <c r="G321" i="5"/>
  <c r="C685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177" i="2"/>
  <c r="G79" i="5" s="1"/>
  <c r="G437" i="5"/>
  <c r="C2615" i="18" s="1"/>
  <c r="D2615" i="18" s="1"/>
  <c r="G309" i="5"/>
  <c r="C1849" i="18" s="1"/>
  <c r="D1849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4" i="2"/>
  <c r="G571" i="5" s="1"/>
  <c r="C14" i="2"/>
  <c r="G685" i="5" s="1"/>
  <c r="C19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151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688" i="2"/>
  <c r="G660" i="5" s="1"/>
  <c r="C571" i="2"/>
  <c r="G484" i="5" s="1"/>
  <c r="G607" i="5"/>
  <c r="C3634" i="18" s="1"/>
  <c r="D3634" i="18" s="1"/>
  <c r="C118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426" i="2"/>
  <c r="G298" i="5"/>
  <c r="C1781" i="18" s="1"/>
  <c r="D1781" i="18" s="1"/>
  <c r="C444" i="2"/>
  <c r="G163" i="5" s="1"/>
  <c r="C347" i="2"/>
  <c r="G191" i="5" s="1"/>
  <c r="C576" i="2"/>
  <c r="G581" i="5" s="1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490" i="2"/>
  <c r="G635" i="5" s="1"/>
  <c r="C650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514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23" i="2"/>
  <c r="G695" i="5" s="1"/>
  <c r="C217" i="2"/>
  <c r="G566" i="5" s="1"/>
  <c r="C235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10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370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142" i="2"/>
  <c r="G325" i="5" s="1"/>
  <c r="C258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G97" i="5"/>
  <c r="C572" i="18" s="1"/>
  <c r="D572" i="18" s="1"/>
  <c r="G323" i="5"/>
  <c r="C1932" i="18" s="1"/>
  <c r="D1932" i="18" s="1"/>
  <c r="C2" i="2"/>
  <c r="G511" i="5" s="1"/>
  <c r="C240" i="2"/>
  <c r="G650" i="5" s="1"/>
  <c r="C2456" i="18"/>
  <c r="D2456" i="18" s="1"/>
  <c r="C551" i="2"/>
  <c r="G565" i="5" s="1"/>
  <c r="C361" i="2"/>
  <c r="G646" i="5" s="1"/>
  <c r="C654" i="2"/>
  <c r="G610" i="5" s="1"/>
  <c r="C614" i="2"/>
  <c r="G600" i="5" s="1"/>
  <c r="C199" i="2"/>
  <c r="G30" i="5" s="1"/>
  <c r="C618" i="2"/>
  <c r="G551" i="5" s="1"/>
  <c r="C665" i="2"/>
  <c r="G679" i="5" s="1"/>
  <c r="C700" i="2"/>
  <c r="G652" i="5" s="1"/>
  <c r="C231" i="2"/>
  <c r="G628" i="5" s="1"/>
  <c r="C560" i="2"/>
  <c r="G368" i="5" s="1"/>
  <c r="C591" i="2"/>
  <c r="G599" i="5" s="1"/>
  <c r="C569" i="2"/>
  <c r="G497" i="5" s="1"/>
  <c r="C558" i="2"/>
  <c r="G654" i="5" s="1"/>
  <c r="C689" i="2"/>
  <c r="G673" i="5" s="1"/>
  <c r="C453" i="2"/>
  <c r="G316" i="5" s="1"/>
  <c r="C434" i="2"/>
  <c r="G381" i="5" s="1"/>
  <c r="G406" i="5"/>
  <c r="C2431" i="18" s="1"/>
  <c r="D2431" i="18" s="1"/>
  <c r="G488" i="5"/>
  <c r="G29" i="5"/>
  <c r="G167" i="5"/>
  <c r="C994" i="18" s="1"/>
  <c r="D994" i="18" s="1"/>
  <c r="G233" i="5"/>
  <c r="G602" i="5"/>
  <c r="C3603" i="18" s="1"/>
  <c r="D3603" i="18" s="1"/>
  <c r="G472" i="5"/>
  <c r="G138" i="5"/>
  <c r="C821" i="18" s="1"/>
  <c r="D821" i="18" s="1"/>
  <c r="C279" i="2"/>
  <c r="G77" i="5"/>
  <c r="C452" i="18" s="1"/>
  <c r="D452" i="18" s="1"/>
  <c r="G629" i="5"/>
  <c r="G513" i="5"/>
  <c r="C3070" i="18" s="1"/>
  <c r="D3070" i="18" s="1"/>
  <c r="G532" i="5"/>
  <c r="G443" i="5"/>
  <c r="C2648" i="18" s="1"/>
  <c r="D2648" i="18" s="1"/>
  <c r="G231" i="5"/>
  <c r="C1377" i="18" s="1"/>
  <c r="D1377" i="18" s="1"/>
  <c r="C243" i="2"/>
  <c r="G228" i="5" s="1"/>
  <c r="C553" i="2"/>
  <c r="G659" i="5" s="1"/>
  <c r="C697" i="2"/>
  <c r="G583" i="5" s="1"/>
  <c r="C599" i="2"/>
  <c r="G623" i="5" s="1"/>
  <c r="C447" i="2"/>
  <c r="G42" i="5" s="1"/>
  <c r="C75" i="2"/>
  <c r="G636" i="5" s="1"/>
  <c r="C568" i="2"/>
  <c r="G313" i="5" s="1"/>
  <c r="C681" i="2"/>
  <c r="G550" i="5" s="1"/>
  <c r="C565" i="2"/>
  <c r="G604" i="5" s="1"/>
  <c r="C327" i="2"/>
  <c r="G116" i="5" s="1"/>
  <c r="C271" i="2"/>
  <c r="G218" i="5" s="1"/>
  <c r="C639" i="2"/>
  <c r="G684" i="5" s="1"/>
  <c r="C535" i="2"/>
  <c r="G577" i="5" s="1"/>
  <c r="C745" i="2"/>
  <c r="G265" i="5" s="1"/>
  <c r="C255" i="2"/>
  <c r="G678" i="5" s="1"/>
  <c r="C27" i="2"/>
  <c r="G561" i="5" s="1"/>
  <c r="C746" i="2"/>
  <c r="G354" i="5" s="1"/>
  <c r="C195" i="2"/>
  <c r="G156" i="5" s="1"/>
  <c r="C194" i="2"/>
  <c r="G667" i="5" s="1"/>
  <c r="C22" i="2"/>
  <c r="G580" i="5" s="1"/>
  <c r="C523" i="2"/>
  <c r="G462" i="5" s="1"/>
  <c r="C311" i="2"/>
  <c r="G518" i="5" s="1"/>
  <c r="C406" i="2"/>
  <c r="G677" i="5" s="1"/>
  <c r="C47" i="2"/>
  <c r="G292" i="5" s="1"/>
  <c r="C579" i="2"/>
  <c r="G627" i="5" s="1"/>
  <c r="C116" i="2"/>
  <c r="G180" i="5" s="1"/>
  <c r="C378" i="2"/>
  <c r="G630" i="5" s="1"/>
  <c r="C524" i="2"/>
  <c r="G690" i="5" s="1"/>
  <c r="C476" i="2"/>
  <c r="G21" i="5" s="1"/>
  <c r="C559" i="2"/>
  <c r="G124" i="5" s="1"/>
  <c r="C183" i="2"/>
  <c r="G645" i="5" s="1"/>
  <c r="C137" i="2"/>
  <c r="G590" i="5" s="1"/>
  <c r="C755" i="2"/>
  <c r="G340" i="5" s="1"/>
  <c r="C646" i="2"/>
  <c r="G415" i="5" s="1"/>
  <c r="C272" i="2"/>
  <c r="G395" i="5" s="1"/>
  <c r="C473" i="2"/>
  <c r="G666" i="5" s="1"/>
  <c r="C424" i="2"/>
  <c r="C574" i="2"/>
  <c r="C318" i="2"/>
  <c r="G631" i="5" s="1"/>
  <c r="C262" i="2"/>
  <c r="C651" i="2"/>
  <c r="G120" i="5" s="1"/>
  <c r="C760" i="2"/>
  <c r="G653" i="5" s="1"/>
  <c r="C168" i="2"/>
  <c r="G440" i="5" s="1"/>
  <c r="C60" i="2"/>
  <c r="G45" i="5" s="1"/>
  <c r="C366" i="2"/>
  <c r="G554" i="5" s="1"/>
  <c r="C223" i="2"/>
  <c r="G208" i="5" s="1"/>
  <c r="C590" i="2"/>
  <c r="G534" i="5" s="1"/>
  <c r="C543" i="2"/>
  <c r="G683" i="5" s="1"/>
  <c r="C265" i="2"/>
  <c r="G100" i="5" s="1"/>
  <c r="C398" i="2"/>
  <c r="G90" i="5" s="1"/>
  <c r="C609" i="2"/>
  <c r="G589" i="5" s="1"/>
  <c r="C414" i="2"/>
  <c r="G111" i="5" s="1"/>
  <c r="C443" i="2"/>
  <c r="G159" i="5" s="1"/>
  <c r="C596" i="2"/>
  <c r="G672" i="5" s="1"/>
  <c r="C110" i="2"/>
  <c r="G328" i="5" s="1"/>
  <c r="C649" i="2"/>
  <c r="G638" i="5" s="1"/>
  <c r="C582" i="2"/>
  <c r="C707" i="2"/>
  <c r="G593" i="5" s="1"/>
  <c r="C4034" i="18"/>
  <c r="D4034" i="18" s="1"/>
  <c r="C730" i="2"/>
  <c r="G514" i="5" s="1"/>
  <c r="C437" i="2"/>
  <c r="G670" i="5" s="1"/>
  <c r="C505" i="2"/>
  <c r="G613" i="5" s="1"/>
  <c r="C742" i="2"/>
  <c r="G661" i="5" s="1"/>
  <c r="C198" i="2"/>
  <c r="G494" i="5" s="1"/>
  <c r="C283" i="2"/>
  <c r="G135" i="5" s="1"/>
  <c r="C619" i="2"/>
  <c r="G643" i="5" s="1"/>
  <c r="C189" i="2"/>
  <c r="G18" i="5" s="1"/>
  <c r="C452" i="2"/>
  <c r="G142" i="5" s="1"/>
  <c r="C709" i="2"/>
  <c r="G152" i="5" s="1"/>
  <c r="C236" i="2"/>
  <c r="G603" i="5" s="1"/>
  <c r="C242" i="2"/>
  <c r="G176" i="5" s="1"/>
  <c r="C246" i="2"/>
  <c r="G166" i="5" s="1"/>
  <c r="C261" i="2"/>
  <c r="G169" i="5" s="1"/>
  <c r="C322" i="2"/>
  <c r="G144" i="5" s="1"/>
  <c r="C737" i="2"/>
  <c r="G640" i="5" s="1"/>
  <c r="C438" i="2"/>
  <c r="G698" i="5" s="1"/>
  <c r="C627" i="2"/>
  <c r="G430" i="5" s="1"/>
  <c r="C457" i="2"/>
  <c r="G609" i="5" s="1"/>
  <c r="C248" i="2"/>
  <c r="G522" i="5" s="1"/>
  <c r="C371" i="2"/>
  <c r="C333" i="2"/>
  <c r="G594" i="5" s="1"/>
  <c r="C374" i="2"/>
  <c r="G490" i="5" s="1"/>
  <c r="C580" i="2"/>
  <c r="G647" i="5" s="1"/>
  <c r="C735" i="2"/>
  <c r="G78" i="5" s="1"/>
  <c r="C695" i="2"/>
  <c r="G614" i="5" s="1"/>
  <c r="C277" i="2"/>
  <c r="G569" i="5" s="1"/>
  <c r="C79" i="2"/>
  <c r="G538" i="5" s="1"/>
  <c r="C222" i="2"/>
  <c r="G187" i="5" s="1"/>
  <c r="C87" i="2"/>
  <c r="C678" i="2"/>
  <c r="G129" i="5" s="1"/>
  <c r="C373" i="2"/>
  <c r="G478" i="5" s="1"/>
  <c r="C3" i="2"/>
  <c r="G556" i="5" s="1"/>
  <c r="C677" i="2"/>
  <c r="G619" i="5" s="1"/>
  <c r="C200" i="2"/>
  <c r="G425" i="5" s="1"/>
  <c r="C112" i="2"/>
  <c r="G409" i="5" s="1"/>
  <c r="C459" i="2"/>
  <c r="G95" i="5" s="1"/>
  <c r="C113" i="2"/>
  <c r="G410" i="5" s="1"/>
  <c r="C712" i="2"/>
  <c r="G446" i="5" s="1"/>
  <c r="C550" i="2"/>
  <c r="G147" i="5" s="1"/>
  <c r="C540" i="2"/>
  <c r="G507" i="5" s="1"/>
  <c r="C394" i="2"/>
  <c r="G12" i="5" s="1"/>
  <c r="C629" i="2"/>
  <c r="C542" i="2"/>
  <c r="G199" i="5" s="1"/>
  <c r="C703" i="2"/>
  <c r="G106" i="5" s="1"/>
  <c r="C513" i="2"/>
  <c r="G141" i="5" s="1"/>
  <c r="C408" i="2"/>
  <c r="G689" i="5" s="1"/>
  <c r="C125" i="2"/>
  <c r="G33" i="5" s="1"/>
  <c r="C725" i="2"/>
  <c r="G620" i="5" s="1"/>
  <c r="C229" i="2"/>
  <c r="G2" i="5" s="1"/>
  <c r="C422" i="2"/>
  <c r="G467" i="5" s="1"/>
  <c r="C389" i="2"/>
  <c r="G474" i="5" s="1"/>
  <c r="C85" i="2"/>
  <c r="G424" i="5" s="1"/>
  <c r="C625" i="2"/>
  <c r="G688" i="5" s="1"/>
  <c r="C581" i="2"/>
  <c r="G5" i="5" s="1"/>
  <c r="C34" i="2"/>
  <c r="C588" i="2"/>
  <c r="G622" i="5" s="1"/>
  <c r="C205" i="2"/>
  <c r="G301" i="5" s="1"/>
  <c r="C42" i="2"/>
  <c r="G132" i="5" s="1"/>
  <c r="C494" i="2"/>
  <c r="G702" i="5" s="1"/>
  <c r="C655" i="2"/>
  <c r="G693" i="5" s="1"/>
  <c r="C72" i="2"/>
  <c r="G639" i="5" s="1"/>
  <c r="C214" i="2"/>
  <c r="G576" i="5" s="1"/>
  <c r="C368" i="2"/>
  <c r="G304" i="5" s="1"/>
  <c r="C620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54" i="18"/>
  <c r="D154" i="18" s="1"/>
  <c r="C155" i="18"/>
  <c r="D155" i="18" s="1"/>
  <c r="C156" i="18"/>
  <c r="D156" i="18" s="1"/>
  <c r="C157" i="18"/>
  <c r="D157" i="18" s="1"/>
  <c r="C3186" i="18"/>
  <c r="D3186" i="18" s="1"/>
  <c r="C3187" i="18"/>
  <c r="D3187" i="18" s="1"/>
  <c r="C3182" i="18"/>
  <c r="D3182" i="18" s="1"/>
  <c r="C3184" i="18"/>
  <c r="D3184" i="18" s="1"/>
  <c r="C3185" i="18"/>
  <c r="D3185" i="18" s="1"/>
  <c r="C3183" i="18"/>
  <c r="D3183" i="18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13" i="18"/>
  <c r="D113" i="18" s="1"/>
  <c r="C111" i="18"/>
  <c r="D111" i="18" s="1"/>
  <c r="C114" i="18"/>
  <c r="D114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069" i="18"/>
  <c r="D3069" i="18" s="1"/>
  <c r="C3071" i="18"/>
  <c r="D3071" i="18" s="1"/>
  <c r="C157" i="2"/>
  <c r="G500" i="5" s="1"/>
  <c r="C90" i="2"/>
  <c r="G699" i="5" s="1"/>
  <c r="C657" i="2"/>
  <c r="G253" i="5" s="1"/>
  <c r="C446" i="2"/>
  <c r="G562" i="5" s="1"/>
  <c r="C757" i="2"/>
  <c r="G487" i="5" s="1"/>
  <c r="C638" i="2"/>
  <c r="C487" i="2"/>
  <c r="G108" i="5" s="1"/>
  <c r="C210" i="2"/>
  <c r="G682" i="5" s="1"/>
  <c r="C341" i="2"/>
  <c r="G545" i="5" s="1"/>
  <c r="C726" i="2"/>
  <c r="G657" i="5" s="1"/>
  <c r="C267" i="2"/>
  <c r="G450" i="5" s="1"/>
  <c r="C134" i="2"/>
  <c r="G400" i="5" s="1"/>
  <c r="C204" i="2"/>
  <c r="G289" i="5" s="1"/>
  <c r="C303" i="2"/>
  <c r="G502" i="5" s="1"/>
  <c r="C455" i="2"/>
  <c r="G486" i="5" s="1"/>
  <c r="C10" i="18"/>
  <c r="D10" i="18" s="1"/>
  <c r="C1392" i="18"/>
  <c r="D1392" i="18" s="1"/>
  <c r="C1391" i="18"/>
  <c r="D1391" i="18" s="1"/>
  <c r="C1389" i="18"/>
  <c r="D1389" i="18" s="1"/>
  <c r="C1393" i="18"/>
  <c r="D1393" i="18" s="1"/>
  <c r="C1390" i="18"/>
  <c r="D1390" i="18" s="1"/>
  <c r="C1388" i="18"/>
  <c r="D1388" i="18" s="1"/>
  <c r="C393" i="2"/>
  <c r="G632" i="5" s="1"/>
  <c r="C41" i="2"/>
  <c r="G130" i="5" s="1"/>
  <c r="C463" i="2"/>
  <c r="G540" i="5" s="1"/>
  <c r="C318" i="10"/>
  <c r="E318" i="10" s="1"/>
  <c r="C46" i="18"/>
  <c r="D46" i="18" s="1"/>
  <c r="C706" i="2"/>
  <c r="G396" i="5" s="1"/>
  <c r="C201" i="2"/>
  <c r="G535" i="5" s="1"/>
  <c r="C454" i="18"/>
  <c r="D454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18" i="18"/>
  <c r="D2918" i="18" s="1"/>
  <c r="C2923" i="18"/>
  <c r="D2923" i="18" s="1"/>
  <c r="C2920" i="18"/>
  <c r="D2920" i="18" s="1"/>
  <c r="C2922" i="18"/>
  <c r="D2922" i="18" s="1"/>
  <c r="C180" i="18"/>
  <c r="D180" i="18" s="1"/>
  <c r="C176" i="18"/>
  <c r="D176" i="18" s="1"/>
  <c r="C181" i="18"/>
  <c r="D181" i="18" s="1"/>
  <c r="C202" i="18"/>
  <c r="D202" i="18" s="1"/>
  <c r="C201" i="18"/>
  <c r="D201" i="18" s="1"/>
  <c r="C204" i="18"/>
  <c r="D204" i="18" s="1"/>
  <c r="C196" i="18"/>
  <c r="D196" i="18" s="1"/>
  <c r="C194" i="18"/>
  <c r="D194" i="18" s="1"/>
  <c r="C197" i="18"/>
  <c r="D197" i="18" s="1"/>
  <c r="C198" i="18"/>
  <c r="D198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173" i="2"/>
  <c r="G458" i="5" s="1"/>
  <c r="C611" i="2"/>
  <c r="G671" i="5" s="1"/>
  <c r="C160" i="2"/>
  <c r="G280" i="5" s="1"/>
  <c r="C2649" i="18"/>
  <c r="D2649" i="18" s="1"/>
  <c r="C692" i="2"/>
  <c r="G481" i="5" s="1"/>
  <c r="C126" i="2"/>
  <c r="G259" i="5" s="1"/>
  <c r="C431" i="2"/>
  <c r="G552" i="5" s="1"/>
  <c r="C624" i="2"/>
  <c r="G664" i="5" s="1"/>
  <c r="C545" i="2"/>
  <c r="G271" i="5" s="1"/>
  <c r="C57" i="2"/>
  <c r="G567" i="5" s="1"/>
  <c r="C124" i="10" s="1"/>
  <c r="E124" i="10" s="1"/>
  <c r="C415" i="2"/>
  <c r="G503" i="5" s="1"/>
  <c r="C731" i="2"/>
  <c r="G105" i="5" s="1"/>
  <c r="C139" i="2"/>
  <c r="G117" i="5" s="1"/>
  <c r="C3480" i="18" l="1"/>
  <c r="D3480" i="18" s="1"/>
  <c r="C3479" i="18"/>
  <c r="D3479" i="18" s="1"/>
  <c r="C3477" i="18"/>
  <c r="D3477" i="18" s="1"/>
  <c r="C2651" i="18"/>
  <c r="D2651" i="18" s="1"/>
  <c r="C2652" i="18"/>
  <c r="D2652" i="18" s="1"/>
  <c r="C3607" i="18"/>
  <c r="D3607" i="18" s="1"/>
  <c r="C33" i="18"/>
  <c r="D33" i="18" s="1"/>
  <c r="C2653" i="18"/>
  <c r="D2653" i="18" s="1"/>
  <c r="C34" i="18"/>
  <c r="D34" i="18" s="1"/>
  <c r="C2650" i="18"/>
  <c r="D2650" i="18" s="1"/>
  <c r="C35" i="18"/>
  <c r="D35" i="18" s="1"/>
  <c r="G681" i="5"/>
  <c r="C4077" i="18" s="1"/>
  <c r="D4077" i="18" s="1"/>
  <c r="C119" i="18"/>
  <c r="D119" i="18" s="1"/>
  <c r="C117" i="18"/>
  <c r="D117" i="18" s="1"/>
  <c r="C121" i="18"/>
  <c r="D121" i="18" s="1"/>
  <c r="C120" i="18"/>
  <c r="D120" i="18" s="1"/>
  <c r="C116" i="18"/>
  <c r="D116" i="18" s="1"/>
  <c r="C175" i="18"/>
  <c r="D17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92" i="18"/>
  <c r="D192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132" i="18"/>
  <c r="D132" i="18" s="1"/>
  <c r="C129" i="18"/>
  <c r="D129" i="18" s="1"/>
  <c r="C130" i="18"/>
  <c r="D130" i="18" s="1"/>
  <c r="C131" i="18"/>
  <c r="D131" i="18" s="1"/>
  <c r="C133" i="18"/>
  <c r="D133" i="18" s="1"/>
  <c r="C128" i="18"/>
  <c r="D128" i="18" s="1"/>
  <c r="C24" i="18"/>
  <c r="D24" i="18" s="1"/>
  <c r="C22" i="18"/>
  <c r="D22" i="18" s="1"/>
  <c r="C38" i="18"/>
  <c r="D38" i="18" s="1"/>
  <c r="C42" i="18"/>
  <c r="D42" i="18" s="1"/>
  <c r="C41" i="18"/>
  <c r="D41" i="18" s="1"/>
  <c r="C43" i="18"/>
  <c r="D43" i="18" s="1"/>
  <c r="C39" i="18"/>
  <c r="D39" i="18" s="1"/>
  <c r="C40" i="18"/>
  <c r="D40" i="18" s="1"/>
  <c r="C6" i="18"/>
  <c r="D6" i="18" s="1"/>
  <c r="C5" i="18"/>
  <c r="D5" i="18" s="1"/>
  <c r="D2" i="11"/>
  <c r="C3" i="18"/>
  <c r="D3" i="18" s="1"/>
  <c r="C7" i="18"/>
  <c r="D7" i="18" s="1"/>
  <c r="C184" i="18"/>
  <c r="D184" i="18" s="1"/>
  <c r="C187" i="18"/>
  <c r="D187" i="18" s="1"/>
  <c r="C185" i="18"/>
  <c r="D185" i="18" s="1"/>
  <c r="C183" i="18"/>
  <c r="D183" i="18" s="1"/>
  <c r="C186" i="18"/>
  <c r="D186" i="18" s="1"/>
  <c r="G11" i="5"/>
  <c r="G87" i="5"/>
  <c r="G50" i="5"/>
  <c r="G58" i="5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244" i="18"/>
  <c r="D244" i="18" s="1"/>
  <c r="C246" i="18"/>
  <c r="D246" i="18" s="1"/>
  <c r="C247" i="18"/>
  <c r="D247" i="18" s="1"/>
  <c r="C242" i="18"/>
  <c r="D242" i="18" s="1"/>
  <c r="C245" i="18"/>
  <c r="D245" i="18" s="1"/>
  <c r="C243" i="18"/>
  <c r="D243" i="18" s="1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G75" i="5"/>
  <c r="G14" i="5"/>
  <c r="C98" i="18"/>
  <c r="D98" i="18" s="1"/>
  <c r="C102" i="18"/>
  <c r="D102" i="18" s="1"/>
  <c r="C100" i="18"/>
  <c r="D100" i="18" s="1"/>
  <c r="C101" i="18"/>
  <c r="D101" i="18" s="1"/>
  <c r="C99" i="18"/>
  <c r="D99" i="18" s="1"/>
  <c r="C103" i="18"/>
  <c r="D103" i="18" s="1"/>
  <c r="C822" i="18"/>
  <c r="D822" i="18" s="1"/>
  <c r="C818" i="18"/>
  <c r="D818" i="18" s="1"/>
  <c r="C1378" i="18"/>
  <c r="D1378" i="18" s="1"/>
  <c r="C823" i="18"/>
  <c r="D823" i="18" s="1"/>
  <c r="C1376" i="18"/>
  <c r="D1376" i="18" s="1"/>
  <c r="C819" i="18"/>
  <c r="D819" i="18" s="1"/>
  <c r="C9" i="10"/>
  <c r="E9" i="10" s="1"/>
  <c r="C543" i="18"/>
  <c r="D543" i="18" s="1"/>
  <c r="C3602" i="18"/>
  <c r="D3602" i="18" s="1"/>
  <c r="C3604" i="18"/>
  <c r="D3604" i="18" s="1"/>
  <c r="C3605" i="18"/>
  <c r="D3605" i="18" s="1"/>
  <c r="C3606" i="18"/>
  <c r="D3606" i="18" s="1"/>
  <c r="G687" i="5"/>
  <c r="C10" i="10"/>
  <c r="E10" i="10" s="1"/>
  <c r="C455" i="18"/>
  <c r="D455" i="18" s="1"/>
  <c r="C3481" i="18"/>
  <c r="D3481" i="18" s="1"/>
  <c r="C547" i="18"/>
  <c r="D547" i="18" s="1"/>
  <c r="C544" i="18"/>
  <c r="D544" i="18" s="1"/>
  <c r="C453" i="18"/>
  <c r="D453" i="18" s="1"/>
  <c r="C3478" i="18"/>
  <c r="D3478" i="18" s="1"/>
  <c r="C546" i="18"/>
  <c r="D546" i="18" s="1"/>
  <c r="C456" i="18"/>
  <c r="D456" i="18" s="1"/>
  <c r="C3476" i="18"/>
  <c r="D3476" i="18" s="1"/>
  <c r="C349" i="18"/>
  <c r="D349" i="18" s="1"/>
  <c r="C545" i="18"/>
  <c r="D545" i="18" s="1"/>
  <c r="C820" i="18"/>
  <c r="D820" i="18" s="1"/>
  <c r="C57" i="18"/>
  <c r="D57" i="18" s="1"/>
  <c r="C2430" i="18"/>
  <c r="D2430" i="18" s="1"/>
  <c r="C344" i="18"/>
  <c r="D344" i="18" s="1"/>
  <c r="C303" i="10"/>
  <c r="E303" i="10" s="1"/>
  <c r="C36" i="18"/>
  <c r="D36" i="18" s="1"/>
  <c r="C3068" i="18"/>
  <c r="D3068" i="18" s="1"/>
  <c r="C345" i="18"/>
  <c r="D345" i="18" s="1"/>
  <c r="C540" i="18"/>
  <c r="D540" i="18" s="1"/>
  <c r="C60" i="18"/>
  <c r="D60" i="18" s="1"/>
  <c r="C3072" i="18"/>
  <c r="D3072" i="18" s="1"/>
  <c r="C347" i="18"/>
  <c r="D347" i="18" s="1"/>
  <c r="C539" i="18"/>
  <c r="D539" i="18" s="1"/>
  <c r="C348" i="18"/>
  <c r="D348" i="18" s="1"/>
  <c r="C541" i="18"/>
  <c r="D541" i="18" s="1"/>
  <c r="C997" i="18"/>
  <c r="D997" i="18" s="1"/>
  <c r="C996" i="18"/>
  <c r="D996" i="18" s="1"/>
  <c r="C3073" i="18"/>
  <c r="D3073" i="18" s="1"/>
  <c r="C993" i="18"/>
  <c r="D993" i="18" s="1"/>
  <c r="C25" i="18"/>
  <c r="D25" i="18" s="1"/>
  <c r="C386" i="18"/>
  <c r="D386" i="18" s="1"/>
  <c r="C995" i="18"/>
  <c r="D995" i="18" s="1"/>
  <c r="G656" i="5"/>
  <c r="C3929" i="18" s="1"/>
  <c r="D3929" i="18" s="1"/>
  <c r="C2964" i="18"/>
  <c r="D2964" i="18" s="1"/>
  <c r="C290" i="10"/>
  <c r="E290" i="10" s="1"/>
  <c r="C2429" i="18"/>
  <c r="D2429" i="18" s="1"/>
  <c r="C2426" i="18"/>
  <c r="D2426" i="18" s="1"/>
  <c r="C2428" i="18"/>
  <c r="D2428" i="18" s="1"/>
  <c r="C382" i="10"/>
  <c r="E382" i="10" s="1"/>
  <c r="C2591" i="18"/>
  <c r="D2591" i="18" s="1"/>
  <c r="C1846" i="18"/>
  <c r="D1846" i="18" s="1"/>
  <c r="C1379" i="18"/>
  <c r="D1379" i="18" s="1"/>
  <c r="C21" i="18"/>
  <c r="D21" i="18" s="1"/>
  <c r="C20" i="18"/>
  <c r="D20" i="18" s="1"/>
  <c r="C1381" i="18"/>
  <c r="D1381" i="18" s="1"/>
  <c r="C159" i="18"/>
  <c r="D159" i="18" s="1"/>
  <c r="C2427" i="18"/>
  <c r="D2427" i="18" s="1"/>
  <c r="C1380" i="18"/>
  <c r="D1380" i="18" s="1"/>
  <c r="C162" i="18"/>
  <c r="D162" i="18" s="1"/>
  <c r="C23" i="18"/>
  <c r="D23" i="18" s="1"/>
  <c r="C153" i="18"/>
  <c r="D153" i="18" s="1"/>
  <c r="C409" i="10"/>
  <c r="E409" i="10" s="1"/>
  <c r="C366" i="10"/>
  <c r="E366" i="10" s="1"/>
  <c r="C147" i="10"/>
  <c r="E147" i="10" s="1"/>
  <c r="C95" i="10"/>
  <c r="E95" i="10" s="1"/>
  <c r="C214" i="10"/>
  <c r="E214" i="10" s="1"/>
  <c r="C430" i="10"/>
  <c r="E430" i="10" s="1"/>
  <c r="C4" i="18"/>
  <c r="D4" i="18" s="1"/>
  <c r="D3" i="11"/>
  <c r="C58" i="7" s="1"/>
  <c r="C18" i="18"/>
  <c r="D18" i="18" s="1"/>
  <c r="C19" i="18"/>
  <c r="D19" i="18" s="1"/>
  <c r="C13" i="18"/>
  <c r="D13" i="18" s="1"/>
  <c r="C14" i="18"/>
  <c r="D14" i="18" s="1"/>
  <c r="C143" i="18"/>
  <c r="D143" i="18" s="1"/>
  <c r="C148" i="18"/>
  <c r="D148" i="18" s="1"/>
  <c r="C9" i="18"/>
  <c r="D9" i="18" s="1"/>
  <c r="C140" i="18"/>
  <c r="D140" i="18" s="1"/>
  <c r="C15" i="10"/>
  <c r="E15" i="10" s="1"/>
  <c r="C11" i="18"/>
  <c r="D11" i="18" s="1"/>
  <c r="C139" i="10"/>
  <c r="E139" i="10" s="1"/>
  <c r="C469" i="10"/>
  <c r="E469" i="10" s="1"/>
  <c r="C173" i="10"/>
  <c r="E173" i="10" s="1"/>
  <c r="C199" i="10"/>
  <c r="E199" i="10" s="1"/>
  <c r="C122" i="10"/>
  <c r="E122" i="10" s="1"/>
  <c r="C457" i="10"/>
  <c r="E457" i="10" s="1"/>
  <c r="C1480" i="18"/>
  <c r="D1480" i="18" s="1"/>
  <c r="C47" i="10"/>
  <c r="E47" i="10" s="1"/>
  <c r="C29" i="10"/>
  <c r="E29" i="10" s="1"/>
  <c r="C267" i="10"/>
  <c r="E267" i="10" s="1"/>
  <c r="C1834" i="18"/>
  <c r="D1834" i="18" s="1"/>
  <c r="C2665" i="18"/>
  <c r="D2665" i="18" s="1"/>
  <c r="C41" i="10"/>
  <c r="E41" i="10" s="1"/>
  <c r="C781" i="18"/>
  <c r="D781" i="18" s="1"/>
  <c r="C3718" i="18"/>
  <c r="D3718" i="18" s="1"/>
  <c r="C3466" i="18"/>
  <c r="D3466" i="18" s="1"/>
  <c r="C992" i="18"/>
  <c r="D992" i="18" s="1"/>
  <c r="C91" i="10"/>
  <c r="E91" i="10" s="1"/>
  <c r="C3844" i="18"/>
  <c r="D3844" i="18" s="1"/>
  <c r="C3188" i="18"/>
  <c r="D3188" i="18" s="1"/>
  <c r="C2218" i="18"/>
  <c r="D2218" i="18" s="1"/>
  <c r="C4166" i="18"/>
  <c r="D4166" i="18" s="1"/>
  <c r="C1012" i="18"/>
  <c r="D1012" i="18" s="1"/>
  <c r="C2888" i="18"/>
  <c r="D2888" i="18" s="1"/>
  <c r="C1429" i="18"/>
  <c r="D1429" i="18" s="1"/>
  <c r="C673" i="18"/>
  <c r="D673" i="18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146" i="10"/>
  <c r="E146" i="10" s="1"/>
  <c r="C179" i="10"/>
  <c r="E179" i="10" s="1"/>
  <c r="C2892" i="18"/>
  <c r="D2892" i="18" s="1"/>
  <c r="C3091" i="18"/>
  <c r="D3091" i="18" s="1"/>
  <c r="C1147" i="18"/>
  <c r="D1147" i="18" s="1"/>
  <c r="C266" i="10"/>
  <c r="E266" i="10" s="1"/>
  <c r="C1555" i="18"/>
  <c r="D1555" i="18" s="1"/>
  <c r="C1615" i="18"/>
  <c r="D1615" i="18" s="1"/>
  <c r="C4039" i="18"/>
  <c r="D4039" i="18" s="1"/>
  <c r="C500" i="10"/>
  <c r="E500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177" i="10"/>
  <c r="E177" i="10" s="1"/>
  <c r="C3081" i="18"/>
  <c r="D3081" i="18" s="1"/>
  <c r="C2546" i="18"/>
  <c r="D2546" i="18" s="1"/>
  <c r="C1475" i="18"/>
  <c r="D1475" i="18" s="1"/>
  <c r="C3560" i="18"/>
  <c r="D3560" i="18" s="1"/>
  <c r="C1317" i="18"/>
  <c r="D1317" i="18" s="1"/>
  <c r="C222" i="10"/>
  <c r="E222" i="10" s="1"/>
  <c r="C3751" i="18"/>
  <c r="D3751" i="18" s="1"/>
  <c r="C3377" i="18"/>
  <c r="D3377" i="18" s="1"/>
  <c r="C617" i="18"/>
  <c r="D617" i="18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2817" i="18"/>
  <c r="D2817" i="18" s="1"/>
  <c r="C667" i="18"/>
  <c r="D667" i="18" s="1"/>
  <c r="C2802" i="18"/>
  <c r="D2802" i="18" s="1"/>
  <c r="C669" i="18"/>
  <c r="D669" i="18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189" i="10"/>
  <c r="E189" i="10" s="1"/>
  <c r="C322" i="10"/>
  <c r="E322" i="10" s="1"/>
  <c r="C2255" i="18"/>
  <c r="D2255" i="18" s="1"/>
  <c r="C2620" i="18"/>
  <c r="D2620" i="18" s="1"/>
  <c r="C2800" i="18"/>
  <c r="D2800" i="18" s="1"/>
  <c r="C1142" i="18"/>
  <c r="D1142" i="18" s="1"/>
  <c r="C228" i="10"/>
  <c r="E228" i="10" s="1"/>
  <c r="C2256" i="18"/>
  <c r="D2256" i="18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1438" i="18"/>
  <c r="D1438" i="18" s="1"/>
  <c r="C618" i="18"/>
  <c r="D618" i="18" s="1"/>
  <c r="C329" i="10"/>
  <c r="E329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2000" i="18"/>
  <c r="D2000" i="18" s="1"/>
  <c r="C1503" i="18"/>
  <c r="D1503" i="18" s="1"/>
  <c r="C2389" i="18"/>
  <c r="D2389" i="18" s="1"/>
  <c r="C2494" i="18"/>
  <c r="D2494" i="18" s="1"/>
  <c r="C2773" i="18"/>
  <c r="D2773" i="18" s="1"/>
  <c r="C982" i="18"/>
  <c r="D982" i="18" s="1"/>
  <c r="C171" i="10"/>
  <c r="E171" i="10" s="1"/>
  <c r="C577" i="18"/>
  <c r="D577" i="18" s="1"/>
  <c r="C1506" i="18"/>
  <c r="D1506" i="18" s="1"/>
  <c r="C155" i="10"/>
  <c r="E155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232" i="10"/>
  <c r="E232" i="10" s="1"/>
  <c r="C1502" i="18"/>
  <c r="D1502" i="18" s="1"/>
  <c r="C756" i="18"/>
  <c r="D756" i="18" s="1"/>
  <c r="C2565" i="18"/>
  <c r="D2565" i="18" s="1"/>
  <c r="C851" i="18"/>
  <c r="D851" i="18" s="1"/>
  <c r="C81" i="10"/>
  <c r="E81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299" i="10"/>
  <c r="E299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002" i="18"/>
  <c r="D2002" i="18" s="1"/>
  <c r="C2082" i="18"/>
  <c r="D2082" i="18" s="1"/>
  <c r="C4154" i="18"/>
  <c r="D4154" i="18" s="1"/>
  <c r="C1387" i="18"/>
  <c r="D1387" i="18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411" i="10"/>
  <c r="E411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96" i="10"/>
  <c r="E96" i="10" s="1"/>
  <c r="C462" i="10"/>
  <c r="E462" i="10" s="1"/>
  <c r="C966" i="18"/>
  <c r="D966" i="18" s="1"/>
  <c r="C3267" i="18"/>
  <c r="D3267" i="18" s="1"/>
  <c r="C2952" i="18"/>
  <c r="D2952" i="18" s="1"/>
  <c r="C1226" i="18"/>
  <c r="D1226" i="18" s="1"/>
  <c r="C473" i="10"/>
  <c r="E473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408" i="10"/>
  <c r="E408" i="10" s="1"/>
  <c r="C3211" i="18"/>
  <c r="D3211" i="18" s="1"/>
  <c r="C2097" i="18"/>
  <c r="D2097" i="18" s="1"/>
  <c r="C2157" i="18"/>
  <c r="D2157" i="18" s="1"/>
  <c r="C201" i="10"/>
  <c r="E201" i="10" s="1"/>
  <c r="C2400" i="18"/>
  <c r="D2400" i="18" s="1"/>
  <c r="C2749" i="18"/>
  <c r="D2749" i="18" s="1"/>
  <c r="C1086" i="18"/>
  <c r="D1086" i="18" s="1"/>
  <c r="C610" i="18"/>
  <c r="D610" i="18" s="1"/>
  <c r="C2241" i="18"/>
  <c r="D2241" i="18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461" i="10"/>
  <c r="E461" i="10" s="1"/>
  <c r="C2090" i="18"/>
  <c r="D2090" i="18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1422" i="18"/>
  <c r="D1422" i="18" s="1"/>
  <c r="C130" i="10"/>
  <c r="E13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438" i="10"/>
  <c r="E438" i="10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1697" i="18"/>
  <c r="D1697" i="18" s="1"/>
  <c r="C894" i="18"/>
  <c r="D894" i="18" s="1"/>
  <c r="C2191" i="18"/>
  <c r="D2191" i="18" s="1"/>
  <c r="C446" i="10"/>
  <c r="E446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170" i="10"/>
  <c r="E170" i="10" s="1"/>
  <c r="C3313" i="18"/>
  <c r="D3313" i="18" s="1"/>
  <c r="C2676" i="18"/>
  <c r="D2676" i="18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472" i="10"/>
  <c r="E472" i="10" s="1"/>
  <c r="C2836" i="18"/>
  <c r="D2836" i="18" s="1"/>
  <c r="C429" i="10"/>
  <c r="E429" i="10" s="1"/>
  <c r="C2518" i="18"/>
  <c r="D2518" i="18" s="1"/>
  <c r="C6" i="10"/>
  <c r="E6" i="10" s="1"/>
  <c r="C36" i="10"/>
  <c r="E36" i="10" s="1"/>
  <c r="C3693" i="18"/>
  <c r="D3693" i="18" s="1"/>
  <c r="C432" i="10"/>
  <c r="E432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413" i="10"/>
  <c r="E413" i="10" s="1"/>
  <c r="C3207" i="18"/>
  <c r="D3207" i="18" s="1"/>
  <c r="C2701" i="18"/>
  <c r="D2701" i="18" s="1"/>
  <c r="C2744" i="18"/>
  <c r="D2744" i="18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56" i="10"/>
  <c r="E56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164" i="10"/>
  <c r="E164" i="10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557" i="18"/>
  <c r="D557" i="18" s="1"/>
  <c r="C3703" i="18"/>
  <c r="D3703" i="18" s="1"/>
  <c r="C418" i="10"/>
  <c r="E418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1735" i="18"/>
  <c r="D1735" i="18" s="1"/>
  <c r="C383" i="10"/>
  <c r="E383" i="10" s="1"/>
  <c r="C559" i="18"/>
  <c r="D559" i="18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2" i="10"/>
  <c r="E2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194" i="10"/>
  <c r="E1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1757" i="18"/>
  <c r="D1757" i="18" s="1"/>
  <c r="C2089" i="18"/>
  <c r="D2089" i="18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2162" i="18"/>
  <c r="D2162" i="18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2684" i="18"/>
  <c r="D2684" i="18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3" i="10"/>
  <c r="E43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125" i="10"/>
  <c r="E125" i="10" s="1"/>
  <c r="C468" i="10"/>
  <c r="E468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485" i="10"/>
  <c r="E485" i="10" s="1"/>
  <c r="C2158" i="18"/>
  <c r="D2158" i="18" s="1"/>
  <c r="C271" i="10"/>
  <c r="E271" i="10" s="1"/>
  <c r="C193" i="10"/>
  <c r="E193" i="10" s="1"/>
  <c r="C450" i="10"/>
  <c r="E450" i="10" s="1"/>
  <c r="C794" i="18"/>
  <c r="D794" i="18" s="1"/>
  <c r="C797" i="18"/>
  <c r="D797" i="18" s="1"/>
  <c r="C799" i="18"/>
  <c r="D799" i="18" s="1"/>
  <c r="C796" i="18"/>
  <c r="D796" i="18" s="1"/>
  <c r="C279" i="10"/>
  <c r="E279" i="10" s="1"/>
  <c r="C129" i="10"/>
  <c r="E129" i="10" s="1"/>
  <c r="C2696" i="18"/>
  <c r="D2696" i="18" s="1"/>
  <c r="C2722" i="18"/>
  <c r="D2722" i="18" s="1"/>
  <c r="C1662" i="18"/>
  <c r="D1662" i="18" s="1"/>
  <c r="C495" i="10"/>
  <c r="E495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333" i="10"/>
  <c r="E333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140" i="10"/>
  <c r="E140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78" i="10"/>
  <c r="E178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365" i="10"/>
  <c r="E365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6" i="10"/>
  <c r="E176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187" i="10"/>
  <c r="E187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339" i="10"/>
  <c r="E339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3839" i="18"/>
  <c r="D3839" i="18" s="1"/>
  <c r="C2865" i="18"/>
  <c r="D2865" i="18" s="1"/>
  <c r="C3440" i="18"/>
  <c r="D3440" i="18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90" i="10"/>
  <c r="E90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489" i="10"/>
  <c r="E489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52" i="10"/>
  <c r="E452" i="10" s="1"/>
  <c r="C4187" i="18"/>
  <c r="D4187" i="18" s="1"/>
  <c r="C4189" i="18"/>
  <c r="D4189" i="18" s="1"/>
  <c r="C4188" i="18"/>
  <c r="D4188" i="18" s="1"/>
  <c r="C4186" i="18"/>
  <c r="D4186" i="18" s="1"/>
  <c r="C310" i="10"/>
  <c r="E310" i="10" s="1"/>
  <c r="C4185" i="18"/>
  <c r="D4185" i="18" s="1"/>
  <c r="C4184" i="18"/>
  <c r="D4184" i="18" s="1"/>
  <c r="C137" i="10"/>
  <c r="E137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8" i="10"/>
  <c r="E48" i="10" s="1"/>
  <c r="C2990" i="18"/>
  <c r="D2990" i="18" s="1"/>
  <c r="C2992" i="18"/>
  <c r="D2992" i="18" s="1"/>
  <c r="C156" i="10"/>
  <c r="E156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488" i="10"/>
  <c r="E488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06" i="10"/>
  <c r="E206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13" i="10"/>
  <c r="E13" i="10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109" i="10"/>
  <c r="E109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118" i="10"/>
  <c r="E118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3671" i="18"/>
  <c r="D3671" i="18" s="1"/>
  <c r="C3670" i="18"/>
  <c r="D3670" i="18" s="1"/>
  <c r="C3673" i="18"/>
  <c r="D3673" i="18" s="1"/>
  <c r="C3668" i="18"/>
  <c r="D3668" i="18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21" i="10"/>
  <c r="E21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27" i="10"/>
  <c r="E27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441" i="10"/>
  <c r="E441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276" i="10"/>
  <c r="E276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8" i="10"/>
  <c r="E8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39" i="10"/>
  <c r="E39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241" i="10"/>
  <c r="E24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88" i="10"/>
  <c r="E88" i="10" s="1"/>
  <c r="C575" i="18"/>
  <c r="D575" i="18" s="1"/>
  <c r="C3280" i="18"/>
  <c r="D3280" i="18" s="1"/>
  <c r="C3279" i="18"/>
  <c r="D3279" i="18" s="1"/>
  <c r="C3278" i="18"/>
  <c r="D3278" i="18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325" i="10"/>
  <c r="E325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154" i="10"/>
  <c r="E154" i="10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75" i="10"/>
  <c r="E475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68" i="10"/>
  <c r="E68" i="10" s="1"/>
  <c r="C695" i="18"/>
  <c r="C693" i="18"/>
  <c r="D693" i="18" s="1"/>
  <c r="C697" i="18"/>
  <c r="D697" i="18" s="1"/>
  <c r="C694" i="18"/>
  <c r="D694" i="18" s="1"/>
  <c r="C696" i="18"/>
  <c r="D696" i="18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421" i="10"/>
  <c r="E421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58" i="10"/>
  <c r="E58" i="10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42" i="10"/>
  <c r="E42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G697" i="5"/>
  <c r="C400" i="10" s="1"/>
  <c r="E400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362" i="10"/>
  <c r="E362" i="10" s="1"/>
  <c r="C1977" i="18"/>
  <c r="D1977" i="18" s="1"/>
  <c r="C733" i="18"/>
  <c r="D733" i="18" s="1"/>
  <c r="C731" i="18"/>
  <c r="D731" i="18" s="1"/>
  <c r="C264" i="10"/>
  <c r="E264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369" i="10"/>
  <c r="E369" i="10" s="1"/>
  <c r="C3062" i="18"/>
  <c r="D3062" i="18" s="1"/>
  <c r="C3636" i="18"/>
  <c r="D3636" i="18" s="1"/>
  <c r="C3415" i="18"/>
  <c r="D3415" i="18" s="1"/>
  <c r="C3413" i="18"/>
  <c r="D3413" i="18" s="1"/>
  <c r="C482" i="10"/>
  <c r="E482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252" i="10"/>
  <c r="E25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11" i="10" s="1"/>
  <c r="E11" i="10" s="1"/>
  <c r="G669" i="5"/>
  <c r="C229" i="10" s="1"/>
  <c r="E229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72" i="10"/>
  <c r="E72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C51" i="10" s="1"/>
  <c r="E51" i="10" s="1"/>
  <c r="G634" i="5"/>
  <c r="C331" i="10" s="1"/>
  <c r="E331" i="10" s="1"/>
  <c r="C1714" i="18"/>
  <c r="D1714" i="18" s="1"/>
  <c r="C3019" i="18"/>
  <c r="D3019" i="18" s="1"/>
  <c r="C2240" i="18"/>
  <c r="D2240" i="18" s="1"/>
  <c r="C19" i="10"/>
  <c r="E19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05" i="10"/>
  <c r="E305" i="10" s="1"/>
  <c r="C2503" i="18"/>
  <c r="D2503" i="18" s="1"/>
  <c r="C806" i="18"/>
  <c r="D806" i="18" s="1"/>
  <c r="C2600" i="18"/>
  <c r="D2600" i="18" s="1"/>
  <c r="C346" i="10"/>
  <c r="E346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77" i="10"/>
  <c r="E77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416" i="10" s="1"/>
  <c r="E41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02" i="10"/>
  <c r="E302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61" i="10" s="1"/>
  <c r="E61" i="10" s="1"/>
  <c r="C79" i="10"/>
  <c r="E79" i="10" s="1"/>
  <c r="C1154" i="18"/>
  <c r="D1154" i="18" s="1"/>
  <c r="C1157" i="18"/>
  <c r="D1157" i="18" s="1"/>
  <c r="C131" i="10"/>
  <c r="E131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289" i="10"/>
  <c r="E289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367" i="10"/>
  <c r="E367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448" i="10"/>
  <c r="E448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312" i="10"/>
  <c r="E312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280" i="10" s="1"/>
  <c r="E280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108" i="10"/>
  <c r="E108" i="10" s="1"/>
  <c r="C825" i="18"/>
  <c r="C238" i="10"/>
  <c r="E238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4" i="18"/>
  <c r="D384" i="18" s="1"/>
  <c r="C382" i="18"/>
  <c r="C296" i="10"/>
  <c r="E296" i="10" s="1"/>
  <c r="C381" i="18"/>
  <c r="D381" i="18" s="1"/>
  <c r="C385" i="18"/>
  <c r="D385" i="18" s="1"/>
  <c r="C383" i="18"/>
  <c r="C37" i="10"/>
  <c r="E3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116" i="10"/>
  <c r="E116" i="10" s="1"/>
  <c r="C350" i="18"/>
  <c r="D350" i="18" s="1"/>
  <c r="C149" i="10"/>
  <c r="E149" i="10" s="1"/>
  <c r="C351" i="18"/>
  <c r="C352" i="18"/>
  <c r="C399" i="18"/>
  <c r="D399" i="18" s="1"/>
  <c r="C400" i="18"/>
  <c r="C64" i="10"/>
  <c r="E64" i="10" s="1"/>
  <c r="C403" i="18"/>
  <c r="C401" i="18"/>
  <c r="D401" i="18" s="1"/>
  <c r="C402" i="18"/>
  <c r="D402" i="18" s="1"/>
  <c r="C398" i="18"/>
  <c r="D398" i="18" s="1"/>
  <c r="C509" i="18"/>
  <c r="D509" i="18" s="1"/>
  <c r="C480" i="18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378" i="10"/>
  <c r="E378" i="10" s="1"/>
  <c r="C495" i="18"/>
  <c r="D495" i="18" s="1"/>
  <c r="C424" i="10"/>
  <c r="E424" i="10" s="1"/>
  <c r="C184" i="10"/>
  <c r="E184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6" i="10"/>
  <c r="E126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377" i="10" l="1"/>
  <c r="E377" i="10" s="1"/>
  <c r="C356" i="10"/>
  <c r="E356" i="10" s="1"/>
  <c r="C244" i="10"/>
  <c r="E244" i="10" s="1"/>
  <c r="C478" i="18"/>
  <c r="D478" i="18" s="1"/>
  <c r="C481" i="18"/>
  <c r="C479" i="18"/>
  <c r="D479" i="18" s="1"/>
  <c r="C355" i="18"/>
  <c r="D355" i="18" s="1"/>
  <c r="C354" i="18"/>
  <c r="D354" i="18" s="1"/>
  <c r="C115" i="10"/>
  <c r="E115" i="10" s="1"/>
  <c r="C209" i="10"/>
  <c r="E209" i="10" s="1"/>
  <c r="C476" i="18"/>
  <c r="D476" i="18" s="1"/>
  <c r="C353" i="18"/>
  <c r="C168" i="10"/>
  <c r="E168" i="10" s="1"/>
  <c r="C374" i="10"/>
  <c r="E374" i="10" s="1"/>
  <c r="C316" i="10"/>
  <c r="E316" i="10" s="1"/>
  <c r="C388" i="10"/>
  <c r="E388" i="10" s="1"/>
  <c r="C181" i="10"/>
  <c r="E181" i="10" s="1"/>
  <c r="C327" i="10"/>
  <c r="E327" i="10" s="1"/>
  <c r="C224" i="10"/>
  <c r="E224" i="10" s="1"/>
  <c r="C237" i="10"/>
  <c r="E237" i="10" s="1"/>
  <c r="C282" i="10"/>
  <c r="E282" i="10" s="1"/>
  <c r="C234" i="10"/>
  <c r="E234" i="10" s="1"/>
  <c r="C380" i="18"/>
  <c r="C326" i="10"/>
  <c r="E326" i="10" s="1"/>
  <c r="C403" i="10"/>
  <c r="E403" i="10" s="1"/>
  <c r="C442" i="18"/>
  <c r="D442" i="18" s="1"/>
  <c r="C440" i="18"/>
  <c r="D440" i="18" s="1"/>
  <c r="C445" i="18"/>
  <c r="D445" i="18" s="1"/>
  <c r="C444" i="18"/>
  <c r="D444" i="18" s="1"/>
  <c r="C443" i="18"/>
  <c r="D443" i="18" s="1"/>
  <c r="C441" i="18"/>
  <c r="D441" i="18" s="1"/>
  <c r="C397" i="10"/>
  <c r="E397" i="10" s="1"/>
  <c r="C343" i="18"/>
  <c r="D343" i="18" s="1"/>
  <c r="C339" i="18"/>
  <c r="D339" i="18" s="1"/>
  <c r="C342" i="18"/>
  <c r="D342" i="18" s="1"/>
  <c r="C341" i="18"/>
  <c r="D341" i="18" s="1"/>
  <c r="C340" i="18"/>
  <c r="D340" i="18" s="1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517" i="18"/>
  <c r="D517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C59" i="18"/>
  <c r="D59" i="18" s="1"/>
  <c r="C58" i="18"/>
  <c r="D58" i="18" s="1"/>
  <c r="C61" i="18"/>
  <c r="D61" i="18" s="1"/>
  <c r="C56" i="18"/>
  <c r="D56" i="18" s="1"/>
  <c r="C78" i="18"/>
  <c r="D78" i="18" s="1"/>
  <c r="C74" i="18"/>
  <c r="D74" i="18" s="1"/>
  <c r="C75" i="18"/>
  <c r="D75" i="18" s="1"/>
  <c r="C76" i="18"/>
  <c r="D76" i="18" s="1"/>
  <c r="C79" i="18"/>
  <c r="D79" i="18" s="1"/>
  <c r="C77" i="18"/>
  <c r="D77" i="18" s="1"/>
  <c r="C265" i="10"/>
  <c r="E265" i="10" s="1"/>
  <c r="C426" i="10"/>
  <c r="E426" i="10" s="1"/>
  <c r="C510" i="18"/>
  <c r="D510" i="18" s="1"/>
  <c r="C508" i="18"/>
  <c r="D508" i="18" s="1"/>
  <c r="C143" i="10"/>
  <c r="E143" i="10" s="1"/>
  <c r="C506" i="18"/>
  <c r="D506" i="18" s="1"/>
  <c r="C511" i="18"/>
  <c r="D511" i="18" s="1"/>
  <c r="C167" i="10"/>
  <c r="E167" i="10" s="1"/>
  <c r="C119" i="10"/>
  <c r="E119" i="10" s="1"/>
  <c r="C507" i="18"/>
  <c r="D507" i="18" s="1"/>
  <c r="C297" i="10"/>
  <c r="E297" i="10" s="1"/>
  <c r="C287" i="10"/>
  <c r="E287" i="10" s="1"/>
  <c r="C306" i="10"/>
  <c r="E306" i="10" s="1"/>
  <c r="C385" i="10"/>
  <c r="E385" i="10" s="1"/>
  <c r="C345" i="10"/>
  <c r="E345" i="10" s="1"/>
  <c r="C33" i="10"/>
  <c r="E33" i="10" s="1"/>
  <c r="C18" i="10"/>
  <c r="E18" i="10" s="1"/>
  <c r="C185" i="10"/>
  <c r="E185" i="10" s="1"/>
  <c r="C320" i="10"/>
  <c r="E320" i="10" s="1"/>
  <c r="C460" i="10"/>
  <c r="E460" i="10" s="1"/>
  <c r="C142" i="10"/>
  <c r="E142" i="10" s="1"/>
  <c r="C251" i="10"/>
  <c r="E251" i="10" s="1"/>
  <c r="C444" i="10"/>
  <c r="E444" i="10" s="1"/>
  <c r="C211" i="10"/>
  <c r="E211" i="10" s="1"/>
  <c r="C456" i="10"/>
  <c r="E456" i="10" s="1"/>
  <c r="C23" i="10"/>
  <c r="E23" i="10" s="1"/>
  <c r="C394" i="10"/>
  <c r="E394" i="10" s="1"/>
  <c r="C141" i="10"/>
  <c r="E141" i="10" s="1"/>
  <c r="C235" i="10"/>
  <c r="E235" i="10" s="1"/>
  <c r="C454" i="10"/>
  <c r="E454" i="10" s="1"/>
  <c r="C379" i="10"/>
  <c r="E379" i="10" s="1"/>
  <c r="C283" i="10"/>
  <c r="E283" i="10" s="1"/>
  <c r="C59" i="10"/>
  <c r="E59" i="10" s="1"/>
  <c r="C420" i="10"/>
  <c r="E420" i="10" s="1"/>
  <c r="C67" i="10"/>
  <c r="E67" i="10" s="1"/>
  <c r="C98" i="10"/>
  <c r="E98" i="10" s="1"/>
  <c r="C484" i="10"/>
  <c r="E484" i="10" s="1"/>
  <c r="C423" i="10"/>
  <c r="E423" i="10" s="1"/>
  <c r="C309" i="10"/>
  <c r="E309" i="10" s="1"/>
  <c r="C486" i="10"/>
  <c r="E486" i="10" s="1"/>
  <c r="C453" i="10"/>
  <c r="E453" i="10" s="1"/>
  <c r="C32" i="10"/>
  <c r="E32" i="10" s="1"/>
  <c r="C477" i="18"/>
  <c r="D477" i="18" s="1"/>
  <c r="C25" i="10"/>
  <c r="E25" i="10" s="1"/>
  <c r="C474" i="10"/>
  <c r="E474" i="10" s="1"/>
  <c r="C208" i="10"/>
  <c r="E208" i="10" s="1"/>
  <c r="C414" i="10"/>
  <c r="E414" i="10" s="1"/>
  <c r="C401" i="10"/>
  <c r="E401" i="10" s="1"/>
  <c r="C340" i="10"/>
  <c r="E340" i="10" s="1"/>
  <c r="C478" i="10"/>
  <c r="E478" i="10" s="1"/>
  <c r="C323" i="10"/>
  <c r="E323" i="10" s="1"/>
  <c r="C258" i="10"/>
  <c r="E258" i="10" s="1"/>
  <c r="C172" i="10"/>
  <c r="E172" i="10" s="1"/>
  <c r="C22" i="10"/>
  <c r="E22" i="10" s="1"/>
  <c r="C240" i="10"/>
  <c r="E240" i="10" s="1"/>
  <c r="C437" i="10"/>
  <c r="E437" i="10" s="1"/>
  <c r="C30" i="10"/>
  <c r="E30" i="10" s="1"/>
  <c r="C87" i="10"/>
  <c r="E87" i="10" s="1"/>
  <c r="C274" i="10"/>
  <c r="E274" i="10" s="1"/>
  <c r="C435" i="10"/>
  <c r="E435" i="10" s="1"/>
  <c r="C273" i="10"/>
  <c r="E273" i="10" s="1"/>
  <c r="C466" i="10"/>
  <c r="E466" i="10" s="1"/>
  <c r="C203" i="10"/>
  <c r="E203" i="10" s="1"/>
  <c r="C80" i="10"/>
  <c r="E80" i="10" s="1"/>
  <c r="C174" i="10"/>
  <c r="E174" i="10" s="1"/>
  <c r="C60" i="10"/>
  <c r="E60" i="10" s="1"/>
  <c r="C440" i="10"/>
  <c r="E440" i="10" s="1"/>
  <c r="C104" i="10"/>
  <c r="E104" i="10" s="1"/>
  <c r="C491" i="10"/>
  <c r="E491" i="10" s="1"/>
  <c r="C399" i="10"/>
  <c r="E399" i="10" s="1"/>
  <c r="C70" i="10"/>
  <c r="E70" i="10" s="1"/>
  <c r="C40" i="10"/>
  <c r="E40" i="10" s="1"/>
  <c r="C439" i="10"/>
  <c r="E439" i="10" s="1"/>
  <c r="C175" i="10"/>
  <c r="E175" i="10" s="1"/>
  <c r="C277" i="10"/>
  <c r="E277" i="10" s="1"/>
  <c r="C376" i="10"/>
  <c r="E376" i="10" s="1"/>
  <c r="C343" i="10"/>
  <c r="E343" i="10" s="1"/>
  <c r="C220" i="10"/>
  <c r="E220" i="10" s="1"/>
  <c r="C348" i="10"/>
  <c r="E348" i="10" s="1"/>
  <c r="C357" i="10"/>
  <c r="E357" i="10" s="1"/>
  <c r="C28" i="10"/>
  <c r="E28" i="10" s="1"/>
  <c r="C3" i="10"/>
  <c r="E3" i="10" s="1"/>
  <c r="C243" i="10"/>
  <c r="E243" i="10" s="1"/>
  <c r="C336" i="10"/>
  <c r="E336" i="10" s="1"/>
  <c r="C65" i="10"/>
  <c r="E65" i="10" s="1"/>
  <c r="C94" i="10"/>
  <c r="E94" i="10" s="1"/>
  <c r="C431" i="10"/>
  <c r="E431" i="10" s="1"/>
  <c r="C195" i="10"/>
  <c r="E195" i="10" s="1"/>
  <c r="C89" i="10"/>
  <c r="E89" i="10" s="1"/>
  <c r="C436" i="10"/>
  <c r="E436" i="10" s="1"/>
  <c r="C464" i="10"/>
  <c r="E464" i="10" s="1"/>
  <c r="C300" i="10"/>
  <c r="E300" i="10" s="1"/>
  <c r="C105" i="10"/>
  <c r="E105" i="10" s="1"/>
  <c r="C449" i="10"/>
  <c r="E449" i="10" s="1"/>
  <c r="C442" i="10"/>
  <c r="E442" i="10" s="1"/>
  <c r="C263" i="10"/>
  <c r="E263" i="10" s="1"/>
  <c r="C425" i="10"/>
  <c r="E425" i="10" s="1"/>
  <c r="C324" i="10"/>
  <c r="E324" i="10" s="1"/>
  <c r="C225" i="10"/>
  <c r="E225" i="10" s="1"/>
  <c r="C145" i="10"/>
  <c r="E145" i="10" s="1"/>
  <c r="C226" i="10"/>
  <c r="E226" i="10" s="1"/>
  <c r="C477" i="10"/>
  <c r="E477" i="10" s="1"/>
  <c r="C334" i="10"/>
  <c r="E334" i="10" s="1"/>
  <c r="C26" i="10"/>
  <c r="E26" i="10" s="1"/>
  <c r="C410" i="10"/>
  <c r="E410" i="10" s="1"/>
  <c r="C349" i="10"/>
  <c r="E349" i="10" s="1"/>
  <c r="C163" i="10"/>
  <c r="E163" i="10" s="1"/>
  <c r="C483" i="10"/>
  <c r="E483" i="10" s="1"/>
  <c r="C165" i="10"/>
  <c r="E165" i="10" s="1"/>
  <c r="C207" i="10"/>
  <c r="E207" i="10" s="1"/>
  <c r="C16" i="10"/>
  <c r="E16" i="10" s="1"/>
  <c r="C162" i="10"/>
  <c r="E162" i="10" s="1"/>
  <c r="C335" i="10"/>
  <c r="E335" i="10" s="1"/>
  <c r="C160" i="10"/>
  <c r="E160" i="10" s="1"/>
  <c r="C389" i="10"/>
  <c r="E389" i="10" s="1"/>
  <c r="C498" i="10"/>
  <c r="E498" i="10" s="1"/>
  <c r="C402" i="10"/>
  <c r="E402" i="10" s="1"/>
  <c r="C292" i="10"/>
  <c r="E292" i="10" s="1"/>
  <c r="C319" i="10"/>
  <c r="E319" i="10" s="1"/>
  <c r="C200" i="10"/>
  <c r="E200" i="10" s="1"/>
  <c r="C196" i="10"/>
  <c r="E196" i="10" s="1"/>
  <c r="C169" i="10"/>
  <c r="E169" i="10" s="1"/>
  <c r="C197" i="10"/>
  <c r="E197" i="10" s="1"/>
  <c r="C182" i="10"/>
  <c r="E182" i="10" s="1"/>
  <c r="C205" i="10"/>
  <c r="E205" i="10" s="1"/>
  <c r="C254" i="10"/>
  <c r="E254" i="10" s="1"/>
  <c r="C412" i="10"/>
  <c r="E412" i="10" s="1"/>
  <c r="C354" i="10"/>
  <c r="E354" i="10" s="1"/>
  <c r="C311" i="10"/>
  <c r="E311" i="10" s="1"/>
  <c r="C481" i="10"/>
  <c r="E481" i="10" s="1"/>
  <c r="C321" i="10"/>
  <c r="E321" i="10" s="1"/>
  <c r="C55" i="10"/>
  <c r="E55" i="10" s="1"/>
  <c r="C471" i="10"/>
  <c r="E471" i="10" s="1"/>
  <c r="C128" i="10"/>
  <c r="E128" i="10" s="1"/>
  <c r="C71" i="10"/>
  <c r="E71" i="10" s="1"/>
  <c r="C117" i="10"/>
  <c r="E117" i="10" s="1"/>
  <c r="C301" i="10"/>
  <c r="E301" i="10" s="1"/>
  <c r="C186" i="10"/>
  <c r="E186" i="10" s="1"/>
  <c r="C4" i="10"/>
  <c r="E4" i="10" s="1"/>
  <c r="C298" i="10"/>
  <c r="E298" i="10" s="1"/>
  <c r="C136" i="10"/>
  <c r="E136" i="10" s="1"/>
  <c r="C144" i="10"/>
  <c r="E144" i="10" s="1"/>
  <c r="C490" i="10"/>
  <c r="E490" i="10" s="1"/>
  <c r="C255" i="10"/>
  <c r="E255" i="10" s="1"/>
  <c r="C242" i="10"/>
  <c r="E242" i="10" s="1"/>
  <c r="C123" i="10"/>
  <c r="E123" i="10" s="1"/>
  <c r="C396" i="10"/>
  <c r="E396" i="10" s="1"/>
  <c r="C281" i="10"/>
  <c r="E281" i="10" s="1"/>
  <c r="C360" i="10"/>
  <c r="E360" i="10" s="1"/>
  <c r="C239" i="10"/>
  <c r="E239" i="10" s="1"/>
  <c r="C487" i="10"/>
  <c r="E487" i="10" s="1"/>
  <c r="C5" i="10"/>
  <c r="E5" i="10" s="1"/>
  <c r="C493" i="10"/>
  <c r="E493" i="10" s="1"/>
  <c r="C24" i="10"/>
  <c r="E24" i="10" s="1"/>
  <c r="C249" i="10"/>
  <c r="E249" i="10" s="1"/>
  <c r="C53" i="10"/>
  <c r="E53" i="10" s="1"/>
  <c r="C352" i="10"/>
  <c r="E352" i="10" s="1"/>
  <c r="C386" i="10"/>
  <c r="E386" i="10" s="1"/>
  <c r="C405" i="10"/>
  <c r="E405" i="10" s="1"/>
  <c r="C97" i="10"/>
  <c r="E97" i="10" s="1"/>
  <c r="C215" i="10"/>
  <c r="E215" i="10" s="1"/>
  <c r="C212" i="10"/>
  <c r="E212" i="10" s="1"/>
  <c r="C479" i="10"/>
  <c r="E479" i="10" s="1"/>
  <c r="C218" i="10"/>
  <c r="E218" i="10" s="1"/>
  <c r="C259" i="10"/>
  <c r="E259" i="10" s="1"/>
  <c r="C294" i="10"/>
  <c r="E294" i="10" s="1"/>
  <c r="C467" i="10"/>
  <c r="E467" i="10" s="1"/>
  <c r="C66" i="10"/>
  <c r="E66" i="10" s="1"/>
  <c r="C373" i="10"/>
  <c r="E373" i="10" s="1"/>
  <c r="C499" i="10"/>
  <c r="E499" i="10" s="1"/>
  <c r="C54" i="10"/>
  <c r="E54" i="10" s="1"/>
  <c r="C465" i="10"/>
  <c r="E465" i="10" s="1"/>
  <c r="C293" i="10"/>
  <c r="E293" i="10" s="1"/>
  <c r="C288" i="10"/>
  <c r="E288" i="10" s="1"/>
  <c r="C202" i="10"/>
  <c r="E202" i="10" s="1"/>
  <c r="C110" i="10"/>
  <c r="E110" i="10" s="1"/>
  <c r="C213" i="10"/>
  <c r="E213" i="10" s="1"/>
  <c r="C52" i="10"/>
  <c r="E52" i="10" s="1"/>
  <c r="C407" i="18"/>
  <c r="D407" i="18" s="1"/>
  <c r="C148" i="10"/>
  <c r="E148" i="10" s="1"/>
  <c r="C387" i="10"/>
  <c r="E387" i="10" s="1"/>
  <c r="C46" i="10"/>
  <c r="E46" i="10" s="1"/>
  <c r="C134" i="10"/>
  <c r="E134" i="10" s="1"/>
  <c r="C12" i="10"/>
  <c r="E12" i="10" s="1"/>
  <c r="C368" i="10"/>
  <c r="E368" i="10" s="1"/>
  <c r="C492" i="10"/>
  <c r="E492" i="10" s="1"/>
  <c r="C57" i="10"/>
  <c r="E57" i="10" s="1"/>
  <c r="C372" i="10"/>
  <c r="E372" i="10" s="1"/>
  <c r="C361" i="10"/>
  <c r="E361" i="10" s="1"/>
  <c r="C342" i="10"/>
  <c r="E342" i="10" s="1"/>
  <c r="C364" i="10"/>
  <c r="E364" i="10" s="1"/>
  <c r="C198" i="10"/>
  <c r="E198" i="10" s="1"/>
  <c r="C76" i="10"/>
  <c r="E76" i="10" s="1"/>
  <c r="C384" i="10"/>
  <c r="E384" i="10" s="1"/>
  <c r="C284" i="10"/>
  <c r="E284" i="10" s="1"/>
  <c r="C256" i="10"/>
  <c r="E256" i="10" s="1"/>
  <c r="C393" i="10"/>
  <c r="E393" i="10" s="1"/>
  <c r="C86" i="10"/>
  <c r="E86" i="10" s="1"/>
  <c r="C161" i="10"/>
  <c r="E161" i="10" s="1"/>
  <c r="C359" i="10"/>
  <c r="E359" i="10" s="1"/>
  <c r="D447" i="18"/>
  <c r="D369" i="18"/>
  <c r="D383" i="18"/>
  <c r="D695" i="18"/>
  <c r="D927" i="18"/>
  <c r="D1206" i="18"/>
  <c r="D362" i="18"/>
  <c r="D484" i="18"/>
  <c r="D400" i="18"/>
  <c r="D411" i="18"/>
  <c r="C45" i="10"/>
  <c r="E45" i="10" s="1"/>
  <c r="D825" i="18"/>
  <c r="D380" i="18"/>
  <c r="D480" i="18"/>
  <c r="D421" i="18"/>
  <c r="D499" i="18"/>
  <c r="D494" i="18"/>
  <c r="D481" i="18"/>
  <c r="C419" i="10"/>
  <c r="E419" i="10" s="1"/>
  <c r="D470" i="18"/>
  <c r="D351" i="18"/>
  <c r="D118" i="18"/>
  <c r="D352" i="18"/>
  <c r="D469" i="18"/>
  <c r="D412" i="18"/>
  <c r="D603" i="18"/>
  <c r="D623" i="18"/>
  <c r="D535" i="18"/>
  <c r="D353" i="18"/>
  <c r="C102" i="10"/>
  <c r="E102" i="10" s="1"/>
  <c r="D382" i="18"/>
  <c r="D15" i="18"/>
  <c r="D370" i="18"/>
  <c r="D403" i="18"/>
  <c r="D683" i="18"/>
  <c r="D802" i="18"/>
  <c r="C92" i="10"/>
  <c r="E92" i="10" s="1"/>
  <c r="C112" i="10"/>
  <c r="E112" i="10" s="1"/>
  <c r="C270" i="10"/>
  <c r="E2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84" i="10"/>
  <c r="E84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34" i="10"/>
  <c r="E34" i="10" s="1"/>
  <c r="C353" i="10"/>
  <c r="E353" i="10" s="1"/>
  <c r="C347" i="10"/>
  <c r="E347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" i="10"/>
  <c r="E17" i="10" s="1"/>
  <c r="C408" i="18"/>
  <c r="D408" i="18" s="1"/>
  <c r="C69" i="10"/>
  <c r="E69" i="10" s="1"/>
  <c r="C337" i="10"/>
  <c r="E337" i="10" s="1"/>
  <c r="C180" i="10"/>
  <c r="E180" i="10" s="1"/>
  <c r="C114" i="10"/>
  <c r="E114" i="10" s="1"/>
  <c r="C121" i="10"/>
  <c r="E121" i="10" s="1"/>
  <c r="C278" i="10"/>
  <c r="E278" i="10" s="1"/>
  <c r="C223" i="10"/>
  <c r="E223" i="10" s="1"/>
  <c r="C451" i="10"/>
  <c r="E451" i="10" s="1"/>
  <c r="C433" i="10"/>
  <c r="E433" i="10" s="1"/>
  <c r="C307" i="10"/>
  <c r="E307" i="10" s="1"/>
  <c r="C78" i="10"/>
  <c r="E78" i="10" s="1"/>
  <c r="C44" i="10"/>
  <c r="E44" i="10" s="1"/>
  <c r="C133" i="10"/>
  <c r="E133" i="10" s="1"/>
  <c r="C371" i="10"/>
  <c r="E371" i="10" s="1"/>
  <c r="C250" i="10"/>
  <c r="E250" i="10" s="1"/>
  <c r="C159" i="10"/>
  <c r="E159" i="10" s="1"/>
  <c r="C443" i="10"/>
  <c r="E443" i="10" s="1"/>
  <c r="C248" i="10"/>
  <c r="E248" i="10" s="1"/>
  <c r="C295" i="10"/>
  <c r="E295" i="10" s="1"/>
  <c r="C268" i="10"/>
  <c r="E268" i="10" s="1"/>
  <c r="C113" i="10"/>
  <c r="E113" i="10" s="1"/>
  <c r="C217" i="10"/>
  <c r="E217" i="10" s="1"/>
  <c r="C38" i="10"/>
  <c r="E38" i="10" s="1"/>
  <c r="C455" i="10"/>
  <c r="E455" i="10" s="1"/>
  <c r="C341" i="10"/>
  <c r="E341" i="10" s="1"/>
  <c r="C332" i="10"/>
  <c r="E332" i="10" s="1"/>
  <c r="C253" i="10"/>
  <c r="E253" i="10" s="1"/>
  <c r="C221" i="10"/>
  <c r="E221" i="10" s="1"/>
  <c r="C236" i="10"/>
  <c r="E236" i="10" s="1"/>
  <c r="C100" i="10"/>
  <c r="E100" i="10" s="1"/>
  <c r="C459" i="10"/>
  <c r="E459" i="10" s="1"/>
  <c r="C315" i="10"/>
  <c r="E315" i="10" s="1"/>
  <c r="C363" i="10"/>
  <c r="E363" i="10" s="1"/>
  <c r="C246" i="10"/>
  <c r="E246" i="10" s="1"/>
  <c r="C106" i="10"/>
  <c r="E106" i="10" s="1"/>
  <c r="C375" i="10"/>
  <c r="E375" i="10" s="1"/>
  <c r="C380" i="10"/>
  <c r="E380" i="10" s="1"/>
  <c r="C82" i="10"/>
  <c r="E82" i="10" s="1"/>
  <c r="C192" i="10"/>
  <c r="E192" i="10" s="1"/>
  <c r="C107" i="10"/>
  <c r="E107" i="10" s="1"/>
  <c r="C245" i="10"/>
  <c r="E245" i="10" s="1"/>
  <c r="C304" i="10"/>
  <c r="E304" i="10" s="1"/>
  <c r="C261" i="10"/>
  <c r="E261" i="10" s="1"/>
  <c r="C247" i="10"/>
  <c r="E247" i="10" s="1"/>
  <c r="C50" i="10"/>
  <c r="E50" i="10" s="1"/>
  <c r="C447" i="10"/>
  <c r="E447" i="10" s="1"/>
  <c r="C158" i="10"/>
  <c r="E158" i="10" s="1"/>
  <c r="C395" i="10"/>
  <c r="E395" i="10" s="1"/>
  <c r="C285" i="10"/>
  <c r="E285" i="10" s="1"/>
  <c r="C458" i="10"/>
  <c r="E458" i="10" s="1"/>
  <c r="C138" i="10"/>
  <c r="E138" i="10" s="1"/>
  <c r="C269" i="10"/>
  <c r="E269" i="10" s="1"/>
  <c r="C257" i="10"/>
  <c r="E257" i="10" s="1"/>
  <c r="C260" i="10"/>
  <c r="E260" i="10" s="1"/>
  <c r="C20" i="10"/>
  <c r="E20" i="10" s="1"/>
  <c r="C152" i="10"/>
  <c r="E152" i="10" s="1"/>
  <c r="C415" i="10"/>
  <c r="E415" i="10" s="1"/>
  <c r="C470" i="10"/>
  <c r="E470" i="10" s="1"/>
  <c r="C101" i="10"/>
  <c r="E101" i="10" s="1"/>
  <c r="C463" i="10"/>
  <c r="E463" i="10" s="1"/>
  <c r="C120" i="10"/>
  <c r="E120" i="10" s="1"/>
  <c r="C151" i="10"/>
  <c r="E151" i="10" s="1"/>
  <c r="C150" i="10"/>
  <c r="E150" i="10" s="1"/>
  <c r="C409" i="18"/>
  <c r="C317" i="10"/>
  <c r="E317" i="10" s="1"/>
  <c r="C63" i="10"/>
  <c r="E63" i="10" s="1"/>
  <c r="C132" i="10"/>
  <c r="E132" i="10" s="1"/>
  <c r="C153" i="10"/>
  <c r="E153" i="10" s="1"/>
  <c r="C216" i="10"/>
  <c r="E216" i="10" s="1"/>
  <c r="C7" i="10"/>
  <c r="C392" i="10"/>
  <c r="E392" i="10" s="1"/>
  <c r="C358" i="10"/>
  <c r="E358" i="10" s="1"/>
  <c r="C135" i="10"/>
  <c r="E135" i="10" s="1"/>
  <c r="C127" i="10"/>
  <c r="E127" i="10" s="1"/>
  <c r="C75" i="10"/>
  <c r="E75" i="10" s="1"/>
  <c r="C404" i="10"/>
  <c r="E404" i="10" s="1"/>
  <c r="C328" i="10"/>
  <c r="E328" i="10" s="1"/>
  <c r="C166" i="10"/>
  <c r="E166" i="10" s="1"/>
  <c r="C73" i="10"/>
  <c r="E73" i="10" s="1"/>
  <c r="C103" i="10"/>
  <c r="E103" i="10" s="1"/>
  <c r="C233" i="10"/>
  <c r="E233" i="10" s="1"/>
  <c r="C405" i="18"/>
  <c r="C406" i="10"/>
  <c r="E406" i="10" s="1"/>
  <c r="C227" i="10"/>
  <c r="E227" i="10" s="1"/>
  <c r="C434" i="10"/>
  <c r="E434" i="10" s="1"/>
  <c r="C314" i="10"/>
  <c r="E314" i="10" s="1"/>
  <c r="C313" i="10"/>
  <c r="E313" i="10" s="1"/>
  <c r="C183" i="10"/>
  <c r="E183" i="10" s="1"/>
  <c r="C49" i="10"/>
  <c r="E49" i="10" s="1"/>
  <c r="C344" i="10"/>
  <c r="E344" i="10" s="1"/>
  <c r="C99" i="10"/>
  <c r="E99" i="10" s="1"/>
  <c r="C262" i="10"/>
  <c r="E262" i="10" s="1"/>
  <c r="C204" i="10"/>
  <c r="E204" i="10" s="1"/>
  <c r="C391" i="10"/>
  <c r="E391" i="10" s="1"/>
  <c r="C210" i="10"/>
  <c r="E210" i="10" s="1"/>
  <c r="C370" i="10"/>
  <c r="E370" i="10" s="1"/>
  <c r="C14" i="10"/>
  <c r="E14" i="10" s="1"/>
  <c r="C427" i="10"/>
  <c r="E427" i="10" s="1"/>
  <c r="C350" i="10"/>
  <c r="E350" i="10" s="1"/>
  <c r="C428" i="10"/>
  <c r="E428" i="10" s="1"/>
  <c r="C111" i="10"/>
  <c r="E111" i="10" s="1"/>
  <c r="C191" i="10"/>
  <c r="E191" i="10" s="1"/>
  <c r="C355" i="10"/>
  <c r="E355" i="10" s="1"/>
  <c r="C390" i="10"/>
  <c r="E390" i="10" s="1"/>
  <c r="C157" i="10"/>
  <c r="E157" i="10" s="1"/>
  <c r="C190" i="10"/>
  <c r="E190" i="10" s="1"/>
  <c r="C93" i="10"/>
  <c r="C496" i="10"/>
  <c r="E496" i="10" s="1"/>
  <c r="C231" i="10"/>
  <c r="E231" i="10" s="1"/>
  <c r="C381" i="10"/>
  <c r="E381" i="10" s="1"/>
  <c r="C404" i="18"/>
  <c r="D404" i="18" s="1"/>
  <c r="C330" i="10"/>
  <c r="E330" i="10" s="1"/>
  <c r="C275" i="10"/>
  <c r="E275" i="10" s="1"/>
  <c r="C406" i="18"/>
  <c r="C338" i="10"/>
  <c r="E338" i="10" s="1"/>
  <c r="C291" i="10"/>
  <c r="E291" i="10" s="1"/>
  <c r="C445" i="10"/>
  <c r="E445" i="10" s="1"/>
  <c r="C308" i="10"/>
  <c r="E308" i="10" s="1"/>
  <c r="C398" i="10"/>
  <c r="E398" i="10" s="1"/>
  <c r="C480" i="10"/>
  <c r="E480" i="10" s="1"/>
  <c r="C62" i="10"/>
  <c r="E62" i="10" s="1"/>
  <c r="C272" i="10"/>
  <c r="E272" i="10" s="1"/>
  <c r="C494" i="10"/>
  <c r="E494" i="10" s="1"/>
  <c r="C230" i="10"/>
  <c r="E230" i="10" s="1"/>
  <c r="C35" i="10"/>
  <c r="E35" i="10" s="1"/>
  <c r="C85" i="10"/>
  <c r="E85" i="10" s="1"/>
  <c r="C74" i="10"/>
  <c r="E74" i="10" s="1"/>
  <c r="C219" i="10"/>
  <c r="E219" i="10" s="1"/>
  <c r="C417" i="10"/>
  <c r="E417" i="10" s="1"/>
  <c r="C351" i="10"/>
  <c r="E351" i="10" s="1"/>
  <c r="C497" i="10"/>
  <c r="E497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188" i="10"/>
  <c r="E188" i="10" s="1"/>
  <c r="C286" i="10"/>
  <c r="E286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476" i="10"/>
  <c r="E476" i="10" s="1"/>
  <c r="C422" i="10"/>
  <c r="E422" i="10" s="1"/>
  <c r="C31" i="10"/>
  <c r="E31" i="10" s="1"/>
  <c r="C4172" i="18"/>
  <c r="D4172" i="18" s="1"/>
  <c r="C407" i="10"/>
  <c r="E40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93" i="10"/>
  <c r="E7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155" i="19" s="1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198" i="19" s="1"/>
  <c r="D198" i="19" s="1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378" i="19" s="1"/>
  <c r="D1378" i="19" s="1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C196" i="19" l="1"/>
  <c r="D196" i="19" s="1"/>
  <c r="C197" i="19"/>
  <c r="D197" i="19" s="1"/>
  <c r="C1376" i="19"/>
  <c r="D1376" i="19" s="1"/>
  <c r="C192" i="19"/>
  <c r="D192" i="19" s="1"/>
  <c r="C194" i="19"/>
  <c r="D194" i="19" s="1"/>
  <c r="C191" i="19"/>
  <c r="D191" i="19" s="1"/>
  <c r="C193" i="19"/>
  <c r="D193" i="19" s="1"/>
  <c r="C199" i="19"/>
  <c r="D199" i="19" s="1"/>
  <c r="C195" i="19"/>
  <c r="D195" i="19" s="1"/>
  <c r="C1374" i="19"/>
  <c r="D1374" i="19" s="1"/>
  <c r="C1370" i="19"/>
  <c r="D1370" i="19" s="1"/>
  <c r="C1372" i="19"/>
  <c r="D1372" i="19" s="1"/>
  <c r="C1371" i="19"/>
  <c r="D1371" i="19" s="1"/>
  <c r="C1373" i="19"/>
  <c r="D1373" i="19" s="1"/>
  <c r="C1375" i="19"/>
  <c r="D1375" i="19" s="1"/>
  <c r="C156" i="19"/>
  <c r="D156" i="19" s="1"/>
  <c r="C1377" i="19"/>
  <c r="D1377" i="19" s="1"/>
  <c r="D587" i="19"/>
  <c r="D398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background="1" saveData="1">
    <dbPr connection="provider=Microsoft.Mashup.OleDb.1;data source=$EmbeddedMashup(18cef100-ac02-44d3-92c7-1650454cd9eb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<sst xmlns="http://schemas.openxmlformats.org/spreadsheetml/2006/main" count="419" uniqueCount="353">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</sst>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</cellXfs>
  <cellStyles count="2">
    <cellStyle name="Link" xfId="1" builtinId="8"/>
    <cellStyle name="Standard" xfId="0" builtinId="0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0" tint="-0.34998626667073579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7"/>
      <tableStyleElement type="headerRow" dxfId="76"/>
      <tableStyleElement type="firstRowStripe" dxfId="75"/>
    </tableStyle>
    <tableStyle name="TableStyleQueryResult" pivot="0" count="3">
      <tableStyleElement type="wholeTable" dxfId="74"/>
      <tableStyleElement type="headerRow" dxfId="73"/>
      <tableStyleElement type="firstRow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131"/>
      <queryTableField id="2" name="ID_Methods" tableColumnId="132"/>
      <queryTableField id="13" dataBound="0" tableColumnId="133"/>
      <queryTableField id="12" dataBound="0" tableColumnId="134"/>
      <queryTableField id="11" dataBound="0" tableColumnId="135"/>
      <queryTableField id="10" dataBound="0" tableColumnId="136"/>
      <queryTableField id="9" dataBound="0" tableColumnId="137"/>
      <queryTableField id="8" dataBound="0" tableColumnId="138"/>
      <queryTableField id="7" dataBound="0" tableColumnId="139"/>
      <queryTableField id="6" dataBound="0" tableColumnId="140"/>
      <queryTableField id="5" dataBound="0" tableColumnId="141"/>
      <queryTableField id="4" dataBound="0" tableColumnId="142"/>
      <queryTableField id="3" dataBound="0" tableColumnId="14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10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69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8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7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6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5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4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3">
      <calculatedColumnFormula>IF(table_Units[[#This Row],[unit_factor]]&gt;0,1,0)</calculatedColumnFormula>
    </tableColumn>
    <tableColumn id="6" name="direction_invers" dataDxfId="62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61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702" totalsRowShown="0">
  <autoFilter ref="A1:I702"/>
  <tableColumns count="9">
    <tableColumn id="1" name="ID"/>
    <tableColumn id="2" name="name"/>
    <tableColumn id="3" name="investcost" dataDxfId="60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59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58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57">
      <calculatedColumnFormula>COUNTIF(dict_zuord_Meth_Pos[ignored_help],table_Positions[[#This Row],[ID]])&gt;0</calculatedColumnFormula>
    </tableColumn>
    <tableColumn id="4" name="temp_lb" dataDxfId="56">
      <calculatedColumnFormula>20+RANDBETWEEN(0,10)*RANDBETWEEN(0,10)-RANDBETWEEN(0,20)</calculatedColumnFormula>
    </tableColumn>
    <tableColumn id="5" name="temp_ub" dataDxfId="55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54">
      <calculatedColumnFormula>COUNTIF(dict_zuord_Meth_Transfers[ignored_help],table_Transfers[[#This Row],[ID]])&gt;0</calculatedColumnFormula>
    </tableColumn>
    <tableColumn id="3" name="bandwidth_ub" dataDxfId="53">
      <calculatedColumnFormula>2^RANDBETWEEN(6,12)*100*RANDBETWEEN(10,100)</calculatedColumnFormula>
    </tableColumn>
    <tableColumn id="4" name="investcost" dataDxfId="52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1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50">
      <calculatedColumnFormula>CONCATENATE("Storage ",table_Storages[[#This Row],[ID]])</calculatedColumnFormula>
    </tableColumn>
    <tableColumn id="6" name="kval_active" dataDxfId="49">
      <calculatedColumnFormula>COUNTIF(dict_zuord_Transfers_Storages[ignored_help],table_Storages[[#This Row],[ID]])&gt;0</calculatedColumnFormula>
    </tableColumn>
    <tableColumn id="3" name="bandwidth_ub" dataDxfId="48">
      <calculatedColumnFormula>2^RANDBETWEEN(4,12)*1000*RANDBETWEEN(10,100)</calculatedColumnFormula>
    </tableColumn>
    <tableColumn id="4" name="investcost" dataDxfId="47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43" dataDxfId="42">
  <autoFilter ref="A1:M1521"/>
  <sortState ref="A2:M1521">
    <sortCondition ref="A1:A1521"/>
  </sortState>
  <tableColumns count="13">
    <tableColumn id="131" uniqueName="131" name="ID_DataQualities" queryTableFieldId="1" dataDxfId="41"/>
    <tableColumn id="132" uniqueName="132" name="ID_Methods" queryTableFieldId="2" dataDxfId="40"/>
    <tableColumn id="133" uniqueName="133" name="kval_active" queryTableFieldId="13" dataDxfId="39"/>
    <tableColumn id="134" uniqueName="134" name="z_J_worst" queryTableFieldId="12" dataDxfId="38"/>
    <tableColumn id="135" uniqueName="135" name="z_J_best" queryTableFieldId="11" dataDxfId="37"/>
    <tableColumn id="136" uniqueName="136" name="z_J_lb" queryTableFieldId="10" dataDxfId="36"/>
    <tableColumn id="137" uniqueName="137" name="z_J_ub" queryTableFieldId="9" dataDxfId="35"/>
    <tableColumn id="138" uniqueName="138" name="ignore_unit" queryTableFieldId="8" dataDxfId="34"/>
    <tableColumn id="139" uniqueName="139" name="processcost_per_unit" queryTableFieldId="7" dataDxfId="33"/>
    <tableColumn id="140" uniqueName="140" name="bandwidth_fix" queryTableFieldId="6" dataDxfId="32"/>
    <tableColumn id="141" uniqueName="141" name="bandwidth_per_z" queryTableFieldId="5" dataDxfId="31"/>
    <tableColumn id="142" uniqueName="142" name="Vergleich_lb" queryTableFieldId="4" dataDxfId="30"/>
    <tableColumn id="143" uniqueName="143" name="Vergleich_ub" queryTableFieldId="3" dataDxfId="29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A1:A761"/>
  </sortState>
  <tableColumns count="5">
    <tableColumn id="1" name="ID_Variables" dataDxfId="28">
      <calculatedColumnFormula>VLOOKUP(dict_zul_Var_Meth[[#This Row],[ignored_rank]],help_zuord_Var_Meth[],2)</calculatedColumnFormula>
    </tableColumn>
    <tableColumn id="2" name="ID_Methods"/>
    <tableColumn id="6" name="kval_active" dataDxfId="27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26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25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24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D500">
    <sortCondition ref="B1:B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23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22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761" totalsRowShown="0">
  <autoFilter ref="A1:D761"/>
  <sortState ref="A2:C14">
    <sortCondition ref="A1:A14"/>
  </sortState>
  <tableColumns count="4">
    <tableColumn id="1" name="ID_Methods" dataDxfId="2">
      <calculatedColumnFormula>dict_zul_Var_Meth[ID_Methods]</calculatedColumnFormula>
    </tableColumn>
    <tableColumn id="2" name="ID_Positions" dataDxfId="1">
      <calculatedColumnFormula>dict_zul_Var_Meth[ID_Variables]</calculatedColumnFormula>
    </tableColumn>
    <tableColumn id="3" name="kval_active" dataDxfId="0">
      <calculatedColumnFormula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calculatedColumnFormula>
    </tableColumn>
    <tableColumn id="4" name="ignored_help" dataDxfId="21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20">
      <calculatedColumnFormula>RANDBETWEEN(0,200)</calculatedColumnFormula>
    </tableColumn>
    <tableColumn id="3" name="kval_active" dataDxfId="19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18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17">
      <calculatedColumnFormula>RANDBETWEEN(0,100)</calculatedColumnFormula>
    </tableColumn>
    <tableColumn id="3" name="kval_active" dataDxfId="16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15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14">
      <calculatedColumnFormula>IFERROR(table_DataQualities[ID],"")</calculatedColumnFormula>
    </tableColumn>
    <tableColumn id="2" name="ID_Units" dataDxfId="13">
      <calculatedColumnFormula>IFERROR(table_DataQualities[unit_ID],"")</calculatedColumnFormula>
    </tableColumn>
    <tableColumn id="3" name="kval_active" dataDxfId="12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8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7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6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5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4">
      <calculatedColumnFormula>VLOOKUP(dict_DQ_Meth_max_deprecated[[#This Row],[ID_DataQualities]],table_DataQualities!$A:$I,8,FALSE)</calculatedColumnFormula>
    </tableColumn>
    <tableColumn id="15" name="Vergleich_ub" dataDxfId="3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5"/>
  <sheetViews>
    <sheetView workbookViewId="0"/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349</v>
      </c>
    </row>
    <row r="3" spans="1:1" x14ac:dyDescent="0.45">
      <c r="A3" t="s">
        <v>350</v>
      </c>
    </row>
    <row r="4" spans="1:1" x14ac:dyDescent="0.45">
      <c r="A4" t="s">
        <v>351</v>
      </c>
    </row>
    <row r="5" spans="1:1" x14ac:dyDescent="0.45">
      <c r="A5" t="s">
        <v>352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XFD26"/>
  <sheetViews>
    <sheetView workbookViewId="0">
      <selection activeCell="A17" sqref="A17"/>
    </sheetView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347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workbookViewId="0">
      <selection activeCell="B7" sqref="B7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hidden="1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hidden="1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hidden="1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hidden="1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hidden="1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hidden="1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hidden="1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hidden="1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hidden="1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hidden="1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hidden="1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hidden="1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hidden="1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hidden="1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hidden="1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hidden="1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hidden="1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hidden="1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hidden="1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hidden="1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hidden="1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hidden="1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hidden="1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hidden="1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hidden="1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hidden="1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hidden="1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hidden="1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hidden="1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hidden="1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hidden="1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hidden="1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hidden="1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hidden="1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hidden="1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hidden="1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hidden="1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hidden="1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hidden="1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hidden="1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hidden="1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hidden="1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hidden="1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hidden="1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hidden="1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hidden="1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hidden="1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hidden="1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hidden="1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hidden="1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hidden="1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hidden="1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hidden="1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hidden="1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hidden="1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hidden="1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hidden="1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hidden="1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hidden="1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hidden="1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hidden="1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hidden="1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hidden="1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hidden="1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hidden="1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hidden="1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hidden="1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hidden="1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hidden="1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hidden="1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hidden="1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hidden="1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hidden="1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hidden="1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hidden="1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hidden="1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hidden="1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hidden="1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hidden="1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hidden="1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hidden="1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hidden="1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hidden="1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hidden="1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hidden="1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hidden="1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hidden="1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hidden="1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hidden="1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hidden="1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hidden="1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hidden="1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hidden="1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hidden="1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hidden="1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hidden="1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hidden="1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hidden="1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hidden="1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hidden="1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hidden="1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hidden="1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hidden="1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hidden="1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hidden="1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hidden="1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hidden="1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hidden="1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hidden="1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hidden="1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hidden="1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hidden="1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hidden="1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hidden="1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hidden="1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hidden="1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hidden="1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hidden="1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hidden="1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hidden="1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hidden="1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hidden="1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hidden="1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hidden="1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hidden="1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hidden="1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hidden="1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hidden="1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hidden="1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hidden="1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hidden="1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hidden="1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hidden="1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hidden="1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hidden="1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hidden="1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hidden="1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hidden="1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hidden="1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hidden="1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hidden="1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hidden="1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hidden="1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hidden="1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hidden="1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hidden="1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hidden="1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hidden="1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hidden="1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hidden="1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hidden="1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hidden="1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hidden="1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hidden="1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hidden="1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hidden="1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hidden="1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hidden="1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hidden="1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hidden="1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hidden="1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hidden="1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hidden="1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hidden="1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hidden="1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hidden="1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hidden="1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hidden="1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hidden="1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hidden="1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hidden="1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hidden="1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hidden="1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hidden="1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hidden="1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hidden="1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hidden="1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hidden="1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hidden="1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hidden="1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hidden="1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hidden="1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hidden="1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hidden="1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hidden="1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hidden="1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hidden="1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hidden="1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hidden="1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hidden="1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C000"/>
  </sheetPr>
  <dimension ref="A1:O403"/>
  <sheetViews>
    <sheetView workbookViewId="0">
      <selection activeCell="A9" sqref="A9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4750.2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4750.2</v>
      </c>
      <c r="K2">
        <f t="shared" ref="K2:K13" ca="1" si="0">ROUND(RAND(),2)</f>
        <v>0.96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1.7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0_Längenmessgenauigkeit mm</v>
      </c>
      <c r="C3">
        <f ca="1">RANDBETWEEN(5,10)*100</f>
        <v>900</v>
      </c>
      <c r="D3" s="3" t="str">
        <f ca="1">VLOOKUP(table_DataQualities[[#This Row],[unit_ID]],table_Units[#All],2)</f>
        <v>+/- mm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8.9700000000000006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9.7000000000000003E-2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8.9700000000000006</v>
      </c>
      <c r="K3">
        <f t="shared" ca="1" si="0"/>
        <v>0.41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4.5999999999999996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0.376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208.7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0.376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208.7</v>
      </c>
      <c r="K4">
        <f t="shared" ca="1" si="0"/>
        <v>0.75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1.7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1_Durchflussmessgenauigkeit cm³/s</v>
      </c>
      <c r="C5">
        <f t="shared" ref="C5" ca="1" si="2">RANDBETWEEN(5,10)*100</f>
        <v>800</v>
      </c>
      <c r="D5" s="3" t="str">
        <f ca="1">VLOOKUP(table_DataQualities[[#This Row],[unit_ID]],table_Units[#All],2)</f>
        <v>+/- cm³/s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0.97599999999999998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8.2000000000000007E-3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8.2000000000000007E-3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0.97599999999999998</v>
      </c>
      <c r="K5">
        <f t="shared" ca="1" si="0"/>
        <v>0.65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1.7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0.39800000000000002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3206.3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0.39800000000000002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3206.3</v>
      </c>
      <c r="K6">
        <f t="shared" ca="1" si="0"/>
        <v>0.47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2.8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2_Längenmessgenauigkeit mm</v>
      </c>
      <c r="C7">
        <f t="shared" ref="C7" ca="1" si="3">RANDBETWEEN(5,10)*100</f>
        <v>900</v>
      </c>
      <c r="D7" s="3" t="str">
        <f ca="1">VLOOKUP(table_DataQualities[[#This Row],[unit_ID]],table_Units[#All],2)</f>
        <v>+/- mm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8.6199999999999992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7.3999999999999996E-2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8.6199999999999992</v>
      </c>
      <c r="K7">
        <f t="shared" ca="1" si="0"/>
        <v>0.08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3.4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0.53500000000000003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3910.7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0.53500000000000003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3910.7</v>
      </c>
      <c r="K8">
        <f t="shared" ca="1" si="0"/>
        <v>0.1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1</v>
      </c>
      <c r="O8">
        <f t="shared" ca="1" si="1"/>
        <v>4.9000000000000004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3_Temperaturmessgenauigkeit °C</v>
      </c>
      <c r="C9">
        <f ca="1">RANDBETWEEN(5,10)*100</f>
        <v>500</v>
      </c>
      <c r="D9" s="3" t="str">
        <f ca="1">VLOOKUP(table_DataQualities[[#This Row],[unit_ID]],table_Units[#All],2)</f>
        <v>+/- °C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9">
        <f t="shared" ca="1" si="0"/>
        <v>0.71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1</v>
      </c>
      <c r="O9">
        <f t="shared" ca="1" si="1"/>
        <v>4.5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0.82399999999999995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5905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0.82399999999999995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5905</v>
      </c>
      <c r="K10">
        <f t="shared" ca="1" si="0"/>
        <v>0.62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1</v>
      </c>
      <c r="O10">
        <f t="shared" ca="1" si="1"/>
        <v>3.7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4_Temperaturmessgenauigkeit °C</v>
      </c>
      <c r="C11">
        <f t="shared" ref="C11" ca="1" si="4">RANDBETWEEN(5,10)*100</f>
        <v>500</v>
      </c>
      <c r="D11" s="3" t="str">
        <f ca="1">VLOOKUP(table_DataQualities[[#This Row],[unit_ID]],table_Units[#All],2)</f>
        <v>+/- °C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11">
        <f t="shared" ca="1" si="0"/>
        <v>0.74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1</v>
      </c>
      <c r="O11">
        <f t="shared" ca="1" si="1"/>
        <v>2.8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7.5999999999999998E-2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9830.1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7.5999999999999998E-2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9830.1</v>
      </c>
      <c r="K12">
        <f t="shared" ca="1" si="0"/>
        <v>0.28000000000000003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1</v>
      </c>
      <c r="O12">
        <f t="shared" ca="1" si="1"/>
        <v>1.6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5_Geschwindigkeitsmessgenauigkeit mm/s</v>
      </c>
      <c r="C13">
        <f t="shared" ref="C13" ca="1" si="5">RANDBETWEEN(5,10)*100</f>
        <v>700</v>
      </c>
      <c r="D13" s="3" t="str">
        <f ca="1">VLOOKUP(table_DataQualities[[#This Row],[unit_ID]],table_Units[#All],2)</f>
        <v>+/- mm/s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8.6999999999999993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0.47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8.6999999999999993</v>
      </c>
      <c r="K13">
        <f t="shared" ca="1" si="0"/>
        <v>0.67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1</v>
      </c>
      <c r="O13">
        <f t="shared" ca="1" si="1"/>
        <v>4.0999999999999996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4647.8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4647.8</v>
      </c>
      <c r="K14">
        <f ca="1">ROUND(RAND(),2)</f>
        <v>0.94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1</v>
      </c>
      <c r="O14">
        <f t="shared" ca="1" si="1"/>
        <v>2.6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6_Temperaturmessgenauigkeit °C</v>
      </c>
      <c r="C15">
        <f ca="1">RANDBETWEEN(5,10)*100</f>
        <v>500</v>
      </c>
      <c r="D15" s="3" t="str">
        <f ca="1">VLOOKUP(table_DataQualities[[#This Row],[unit_ID]],table_Units[#All],2)</f>
        <v>+/- °C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5">
        <f t="shared" ref="K15:K78" ca="1" si="6">ROUND(RAND(),2)</f>
        <v>0.81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1</v>
      </c>
      <c r="O15">
        <f t="shared" ca="1" si="1"/>
        <v>2.1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0.26800000000000002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3300.8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0.26800000000000002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3300.8</v>
      </c>
      <c r="K16">
        <f t="shared" ca="1" si="6"/>
        <v>0.95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1</v>
      </c>
      <c r="O16">
        <f t="shared" ca="1" si="1"/>
        <v>2.9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7_Bildgröße</v>
      </c>
      <c r="C17">
        <f t="shared" ref="C17:C27" ca="1" si="7">RANDBETWEEN(5,10)*100</f>
        <v>1000</v>
      </c>
      <c r="D17" s="3" t="str">
        <f ca="1">VLOOKUP(table_DataQualities[[#This Row],[unit_ID]],table_Units[#All],2)</f>
        <v>bit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13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8085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13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8085</v>
      </c>
      <c r="K17">
        <f t="shared" ca="1" si="6"/>
        <v>0.52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1</v>
      </c>
      <c r="O17">
        <f t="shared" ca="1" si="1"/>
        <v>3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0.113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5436.9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0.113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5436.9</v>
      </c>
      <c r="K18">
        <f t="shared" ca="1" si="6"/>
        <v>0.74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1</v>
      </c>
      <c r="O18">
        <f t="shared" ca="1" si="1"/>
        <v>4.5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8_Durchflussmessgenauigkeit cm³/s</v>
      </c>
      <c r="C19">
        <f t="shared" ref="C19" ca="1" si="8">RANDBETWEEN(5,10)*100</f>
        <v>800</v>
      </c>
      <c r="D19" s="3" t="str">
        <f ca="1">VLOOKUP(table_DataQualities[[#This Row],[unit_ID]],table_Units[#All],2)</f>
        <v>+/- cm³/s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0.42699999999999999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6.7000000000000002E-3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6.7000000000000002E-3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0.42699999999999999</v>
      </c>
      <c r="K19">
        <f t="shared" ca="1" si="6"/>
        <v>0.12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1</v>
      </c>
      <c r="O19">
        <f t="shared" ca="1" si="1"/>
        <v>3.4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813.5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813.5</v>
      </c>
      <c r="K20">
        <f t="shared" ca="1" si="6"/>
        <v>0.56000000000000005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1</v>
      </c>
      <c r="O20">
        <f t="shared" ca="1" si="1"/>
        <v>2.4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9_Bildgröße</v>
      </c>
      <c r="C21">
        <f t="shared" ca="1" si="7"/>
        <v>1000</v>
      </c>
      <c r="D21" s="3" t="str">
        <f ca="1">VLOOKUP(table_DataQualities[[#This Row],[unit_ID]],table_Units[#All],2)</f>
        <v>bit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63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6038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63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6038</v>
      </c>
      <c r="K21">
        <f t="shared" ca="1" si="6"/>
        <v>7.0000000000000007E-2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1</v>
      </c>
      <c r="O21">
        <f t="shared" ca="1" si="1"/>
        <v>4.3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0.43099999999999999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2246.5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0.43099999999999999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2246.5</v>
      </c>
      <c r="K22">
        <f t="shared" ca="1" si="6"/>
        <v>0.65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0</v>
      </c>
      <c r="O22">
        <f t="shared" ca="1" si="1"/>
        <v>2.1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10_Leistungsmessgenauigkeit W</v>
      </c>
      <c r="C23">
        <f t="shared" ref="C23" ca="1" si="9">RANDBETWEEN(5,10)*100</f>
        <v>600</v>
      </c>
      <c r="D23" s="3" t="str">
        <f ca="1">VLOOKUP(table_DataQualities[[#This Row],[unit_ID]],table_Units[#All],2)</f>
        <v>+/- W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7.81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7.81</v>
      </c>
      <c r="K23">
        <f t="shared" ca="1" si="6"/>
        <v>0.74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0</v>
      </c>
      <c r="O23">
        <f t="shared" ca="1" si="1"/>
        <v>4.7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0.29299999999999998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998.4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0.29299999999999998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998.4</v>
      </c>
      <c r="K24">
        <f t="shared" ca="1" si="6"/>
        <v>0.81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0</v>
      </c>
      <c r="O24">
        <f t="shared" ca="1" si="1"/>
        <v>1.3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11_Durchflussmessgenauigkeit cm³/s</v>
      </c>
      <c r="C25">
        <f t="shared" ca="1" si="7"/>
        <v>800</v>
      </c>
      <c r="D25" s="3" t="str">
        <f ca="1">VLOOKUP(table_DataQualities[[#This Row],[unit_ID]],table_Units[#All],2)</f>
        <v>+/- cm³/s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0.28499999999999998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7.3000000000000001E-3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7.3000000000000001E-3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0.28499999999999998</v>
      </c>
      <c r="K25">
        <f t="shared" ca="1" si="6"/>
        <v>0.42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0</v>
      </c>
      <c r="O25">
        <f t="shared" ca="1" si="1"/>
        <v>2.5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0.69799999999999995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6174.8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0.69799999999999995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6174.8</v>
      </c>
      <c r="K26">
        <f t="shared" ca="1" si="6"/>
        <v>0.76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0</v>
      </c>
      <c r="O26">
        <f t="shared" ca="1" si="1"/>
        <v>3.1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12_Geschwindigkeitsmessgenauigkeit mm/s</v>
      </c>
      <c r="C27">
        <f t="shared" ca="1" si="7"/>
        <v>700</v>
      </c>
      <c r="D27" s="3" t="str">
        <f ca="1">VLOOKUP(table_DataQualities[[#This Row],[unit_ID]],table_Units[#All],2)</f>
        <v>+/- mm/s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0.15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27">
        <f t="shared" ca="1" si="6"/>
        <v>0.87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0</v>
      </c>
      <c r="O27">
        <f t="shared" ca="1" si="1"/>
        <v>3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0.80400000000000005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5902.7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0.80400000000000005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5902.7</v>
      </c>
      <c r="K28">
        <f t="shared" ca="1" si="6"/>
        <v>0.26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0</v>
      </c>
      <c r="O28">
        <f t="shared" ca="1" si="1"/>
        <v>4.5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13_Leistungsmessgenauigkeit W</v>
      </c>
      <c r="C29">
        <f ca="1">RANDBETWEEN(5,10)*100</f>
        <v>600</v>
      </c>
      <c r="D29" s="3" t="str">
        <f ca="1">VLOOKUP(table_DataQualities[[#This Row],[unit_ID]],table_Units[#All],2)</f>
        <v>+/- W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4.21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4.2000000000000003E-2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4.21</v>
      </c>
      <c r="K29">
        <f t="shared" ca="1" si="6"/>
        <v>0.3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0</v>
      </c>
      <c r="O29">
        <f t="shared" ca="1" si="1"/>
        <v>2.9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0.53200000000000003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8882.5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0.53200000000000003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8882.5</v>
      </c>
      <c r="K30">
        <f t="shared" ca="1" si="6"/>
        <v>0.19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0</v>
      </c>
      <c r="O30">
        <f t="shared" ca="1" si="1"/>
        <v>3.6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14_Temperaturmessgenauigkeit °C</v>
      </c>
      <c r="C31">
        <f t="shared" ref="C31:C41" ca="1" si="10">RANDBETWEEN(5,10)*100</f>
        <v>500</v>
      </c>
      <c r="D31" s="3" t="str">
        <f ca="1">VLOOKUP(table_DataQualities[[#This Row],[unit_ID]],table_Units[#All],2)</f>
        <v>+/- °C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1">
        <f t="shared" ca="1" si="6"/>
        <v>0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0</v>
      </c>
      <c r="O31">
        <f t="shared" ca="1" si="1"/>
        <v>3.5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0.877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6012.4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0.877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6012.4</v>
      </c>
      <c r="K32">
        <f t="shared" ca="1" si="6"/>
        <v>0.95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0</v>
      </c>
      <c r="O32">
        <f t="shared" ca="1" si="1"/>
        <v>3.9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15_Bildgröße</v>
      </c>
      <c r="C33">
        <f t="shared" ref="C33" ca="1" si="11">RANDBETWEEN(5,10)*100</f>
        <v>1000</v>
      </c>
      <c r="D33" s="3" t="str">
        <f ca="1">VLOOKUP(table_DataQualities[[#This Row],[unit_ID]],table_Units[#All],2)</f>
        <v>bit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51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5045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51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5045</v>
      </c>
      <c r="K33">
        <f t="shared" ca="1" si="6"/>
        <v>0.3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0</v>
      </c>
      <c r="O33">
        <f t="shared" ca="1" si="1"/>
        <v>2.7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0.61799999999999999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7014.4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0.61799999999999999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7014.4</v>
      </c>
      <c r="K34">
        <f t="shared" ca="1" si="6"/>
        <v>0.25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0</v>
      </c>
      <c r="O34">
        <f t="shared" ca="1" si="1"/>
        <v>1.8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16_Temperaturmessgenauigkeit °C</v>
      </c>
      <c r="C35">
        <f t="shared" ca="1" si="10"/>
        <v>500</v>
      </c>
      <c r="D35" s="3" t="str">
        <f ca="1">VLOOKUP(table_DataQualities[[#This Row],[unit_ID]],table_Units[#All],2)</f>
        <v>+/- °C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5">
        <f t="shared" ca="1" si="6"/>
        <v>0.7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0</v>
      </c>
      <c r="O35">
        <f t="shared" ca="1" si="1"/>
        <v>2.2999999999999998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0.78900000000000003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7071.8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0.78900000000000003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7071.8</v>
      </c>
      <c r="K36">
        <f t="shared" ca="1" si="6"/>
        <v>0.28999999999999998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0</v>
      </c>
      <c r="O36">
        <f t="shared" ca="1" si="1"/>
        <v>3.7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17_Längenmessgenauigkeit mm</v>
      </c>
      <c r="C37">
        <f t="shared" ref="C37" ca="1" si="12">RANDBETWEEN(5,10)*100</f>
        <v>900</v>
      </c>
      <c r="D37" s="3" t="str">
        <f ca="1">VLOOKUP(table_DataQualities[[#This Row],[unit_ID]],table_Units[#All],2)</f>
        <v>+/- mm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4.93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4.4999999999999998E-2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4.93</v>
      </c>
      <c r="K37">
        <f t="shared" ca="1" si="6"/>
        <v>0.63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0</v>
      </c>
      <c r="O37">
        <f t="shared" ca="1" si="1"/>
        <v>2.9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0.72599999999999998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1473.2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0.72599999999999998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1473.2</v>
      </c>
      <c r="K38">
        <f t="shared" ca="1" si="6"/>
        <v>0.92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0</v>
      </c>
      <c r="O38">
        <f t="shared" ca="1" si="1"/>
        <v>3.1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18_Bildgröße</v>
      </c>
      <c r="C39">
        <f t="shared" ca="1" si="10"/>
        <v>1000</v>
      </c>
      <c r="D39" s="3" t="str">
        <f ca="1">VLOOKUP(table_DataQualities[[#This Row],[unit_ID]],table_Units[#All],2)</f>
        <v>bit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15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1537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15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1537</v>
      </c>
      <c r="K39">
        <f t="shared" ca="1" si="6"/>
        <v>0.02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0</v>
      </c>
      <c r="O39">
        <f t="shared" ca="1" si="1"/>
        <v>4.5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0.38500000000000001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356.6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0.38500000000000001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356.6</v>
      </c>
      <c r="K40">
        <f t="shared" ca="1" si="6"/>
        <v>0.47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0</v>
      </c>
      <c r="O40">
        <f t="shared" ca="1" si="1"/>
        <v>4.5999999999999996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19_Durchflussmessgenauigkeit cm³/s</v>
      </c>
      <c r="C41">
        <f t="shared" ca="1" si="10"/>
        <v>800</v>
      </c>
      <c r="D41" s="3" t="str">
        <f ca="1">VLOOKUP(table_DataQualities[[#This Row],[unit_ID]],table_Units[#All],2)</f>
        <v>+/- cm³/s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0.91300000000000003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5.5999999999999999E-3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5.5999999999999999E-3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0.91300000000000003</v>
      </c>
      <c r="K41">
        <f t="shared" ca="1" si="6"/>
        <v>0.1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0</v>
      </c>
      <c r="O41">
        <f t="shared" ca="1" si="1"/>
        <v>3.1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0.96099999999999997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6779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0.96099999999999997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6779</v>
      </c>
      <c r="K42">
        <f t="shared" ca="1" si="6"/>
        <v>0.96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0</v>
      </c>
      <c r="O42">
        <f t="shared" ca="1" si="1"/>
        <v>5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20_Längenmessgenauigkeit mm</v>
      </c>
      <c r="C43">
        <f ca="1">RANDBETWEEN(5,10)*100</f>
        <v>900</v>
      </c>
      <c r="D43" s="3" t="str">
        <f ca="1">VLOOKUP(table_DataQualities[[#This Row],[unit_ID]],table_Units[#All],2)</f>
        <v>+/- mm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5.75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3.1E-2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3.1E-2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5.75</v>
      </c>
      <c r="K43">
        <f t="shared" ca="1" si="6"/>
        <v>0.92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0</v>
      </c>
      <c r="O43">
        <f t="shared" ca="1" si="1"/>
        <v>4.3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0.873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8654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0.873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8654</v>
      </c>
      <c r="K44">
        <f t="shared" ca="1" si="6"/>
        <v>0.16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0</v>
      </c>
      <c r="O44">
        <f t="shared" ca="1" si="1"/>
        <v>3.4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21_Temperaturmessgenauigkeit °C</v>
      </c>
      <c r="C45">
        <f t="shared" ref="C45:C55" ca="1" si="13">RANDBETWEEN(5,10)*100</f>
        <v>500</v>
      </c>
      <c r="D45" s="3" t="str">
        <f ca="1">VLOOKUP(table_DataQualities[[#This Row],[unit_ID]],table_Units[#All],2)</f>
        <v>+/- °C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45">
        <f t="shared" ca="1" si="6"/>
        <v>0.93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0</v>
      </c>
      <c r="O45">
        <f t="shared" ca="1" si="1"/>
        <v>4.7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0.91900000000000004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6357.4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0.91900000000000004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6357.4</v>
      </c>
      <c r="K46">
        <f t="shared" ca="1" si="6"/>
        <v>0.16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0</v>
      </c>
      <c r="O46">
        <f t="shared" ca="1" si="1"/>
        <v>3.1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22_Leistungsmessgenauigkeit W</v>
      </c>
      <c r="C47">
        <f t="shared" ref="C47" ca="1" si="14">RANDBETWEEN(5,10)*100</f>
        <v>600</v>
      </c>
      <c r="D47" s="3" t="str">
        <f ca="1">VLOOKUP(table_DataQualities[[#This Row],[unit_ID]],table_Units[#All],2)</f>
        <v>+/- W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9.74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9.74</v>
      </c>
      <c r="K47">
        <f t="shared" ca="1" si="6"/>
        <v>0.35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0</v>
      </c>
      <c r="O47">
        <f t="shared" ca="1" si="1"/>
        <v>3.5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0.93500000000000005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9161.1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0.93500000000000005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9161.1</v>
      </c>
      <c r="K48">
        <f t="shared" ca="1" si="6"/>
        <v>0.24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0</v>
      </c>
      <c r="O48">
        <f t="shared" ca="1" si="1"/>
        <v>3.7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23_Längenmessgenauigkeit mm</v>
      </c>
      <c r="C49">
        <f t="shared" ca="1" si="13"/>
        <v>900</v>
      </c>
      <c r="D49" s="3" t="str">
        <f ca="1">VLOOKUP(table_DataQualities[[#This Row],[unit_ID]],table_Units[#All],2)</f>
        <v>+/- mm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6.54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1.4E-2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1.4E-2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6.54</v>
      </c>
      <c r="K49">
        <f t="shared" ca="1" si="6"/>
        <v>0.88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0</v>
      </c>
      <c r="O49">
        <f t="shared" ca="1" si="1"/>
        <v>1.7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0.51300000000000001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2453.6999999999998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0.51300000000000001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2453.6999999999998</v>
      </c>
      <c r="K50">
        <f t="shared" ca="1" si="6"/>
        <v>0.72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0</v>
      </c>
      <c r="O50">
        <f t="shared" ca="1" si="1"/>
        <v>5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24_Längenmessgenauigkeit mm</v>
      </c>
      <c r="C51">
        <f t="shared" ref="C51" ca="1" si="15">RANDBETWEEN(5,10)*100</f>
        <v>900</v>
      </c>
      <c r="D51" s="3" t="str">
        <f ca="1">VLOOKUP(table_DataQualities[[#This Row],[unit_ID]],table_Units[#All],2)</f>
        <v>+/- mm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8.32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6.5000000000000002E-2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6.5000000000000002E-2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8.32</v>
      </c>
      <c r="K51">
        <f t="shared" ca="1" si="6"/>
        <v>0.42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0</v>
      </c>
      <c r="O51">
        <f t="shared" ca="1" si="1"/>
        <v>3.4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0.65300000000000002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8309.7000000000007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0.65300000000000002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8309.7000000000007</v>
      </c>
      <c r="K52">
        <f t="shared" ca="1" si="6"/>
        <v>0.81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0</v>
      </c>
      <c r="O52">
        <f t="shared" ca="1" si="1"/>
        <v>3.9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25_Leistungsmessgenauigkeit W</v>
      </c>
      <c r="C53">
        <f t="shared" ca="1" si="13"/>
        <v>600</v>
      </c>
      <c r="D53" s="3" t="str">
        <f ca="1">VLOOKUP(table_DataQualities[[#This Row],[unit_ID]],table_Units[#All],2)</f>
        <v>+/- W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6.53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6.53</v>
      </c>
      <c r="K53">
        <f t="shared" ca="1" si="6"/>
        <v>0.46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0</v>
      </c>
      <c r="O53">
        <f t="shared" ca="1" si="1"/>
        <v>3.3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5.6000000000000001E-2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4190.7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4190.7</v>
      </c>
      <c r="K54">
        <f t="shared" ca="1" si="6"/>
        <v>0.84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0</v>
      </c>
      <c r="O54">
        <f t="shared" ca="1" si="1"/>
        <v>4.4000000000000004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26_Durchflussmessgenauigkeit cm³/s</v>
      </c>
      <c r="C55">
        <f t="shared" ca="1" si="13"/>
        <v>800</v>
      </c>
      <c r="D55" s="3" t="str">
        <f ca="1">VLOOKUP(table_DataQualities[[#This Row],[unit_ID]],table_Units[#All],2)</f>
        <v>+/- cm³/s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0.52800000000000002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0.52800000000000002</v>
      </c>
      <c r="K55">
        <f t="shared" ca="1" si="6"/>
        <v>0.83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0</v>
      </c>
      <c r="O55">
        <f t="shared" ca="1" si="1"/>
        <v>2.9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0.82299999999999995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404.4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0.82299999999999995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404.4</v>
      </c>
      <c r="K56">
        <f t="shared" ca="1" si="6"/>
        <v>0.83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0</v>
      </c>
      <c r="O56">
        <f t="shared" ca="1" si="1"/>
        <v>1.4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27_Bildgröße</v>
      </c>
      <c r="C57">
        <f ca="1">RANDBETWEEN(5,10)*100</f>
        <v>1000</v>
      </c>
      <c r="D57" s="3" t="str">
        <f ca="1">VLOOKUP(table_DataQualities[[#This Row],[unit_ID]],table_Units[#All],2)</f>
        <v>bit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51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9330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51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9330</v>
      </c>
      <c r="K57">
        <f t="shared" ca="1" si="6"/>
        <v>0.84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0</v>
      </c>
      <c r="O57">
        <f t="shared" ca="1" si="1"/>
        <v>5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0.22600000000000001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6775.1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0.22600000000000001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6775.1</v>
      </c>
      <c r="K58">
        <f t="shared" ca="1" si="6"/>
        <v>0.87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0</v>
      </c>
      <c r="O58">
        <f t="shared" ca="1" si="1"/>
        <v>2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28_Temperaturmessgenauigkeit °C</v>
      </c>
      <c r="C59">
        <f t="shared" ref="C59:C69" ca="1" si="16">RANDBETWEEN(5,10)*100</f>
        <v>500</v>
      </c>
      <c r="D59" s="3" t="str">
        <f ca="1">VLOOKUP(table_DataQualities[[#This Row],[unit_ID]],table_Units[#All],2)</f>
        <v>+/- °C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59">
        <f t="shared" ca="1" si="6"/>
        <v>0.04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0</v>
      </c>
      <c r="O59">
        <f t="shared" ca="1" si="1"/>
        <v>4.9000000000000004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0.50900000000000001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3551.9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0.50900000000000001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3551.9</v>
      </c>
      <c r="K60">
        <f t="shared" ca="1" si="6"/>
        <v>0.9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0</v>
      </c>
      <c r="O60">
        <f t="shared" ca="1" si="1"/>
        <v>4.9000000000000004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29_Geschwindigkeitsmessgenauigkeit mm/s</v>
      </c>
      <c r="C61">
        <f t="shared" ref="C61" ca="1" si="17">RANDBETWEEN(5,10)*100</f>
        <v>700</v>
      </c>
      <c r="D61" s="3" t="str">
        <f ca="1">VLOOKUP(table_DataQualities[[#This Row],[unit_ID]],table_Units[#All],2)</f>
        <v>+/- mm/s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0.86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</v>
      </c>
      <c r="K61">
        <f t="shared" ca="1" si="6"/>
        <v>0.56000000000000005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0</v>
      </c>
      <c r="O61">
        <f t="shared" ca="1" si="1"/>
        <v>1.9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0.159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3661.9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0.159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3661.9</v>
      </c>
      <c r="K62">
        <f t="shared" ca="1" si="6"/>
        <v>0.84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0</v>
      </c>
      <c r="O62">
        <f t="shared" ca="1" si="1"/>
        <v>3.3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30_Leistungsmessgenauigkeit W</v>
      </c>
      <c r="C63">
        <f t="shared" ca="1" si="16"/>
        <v>600</v>
      </c>
      <c r="D63" s="3" t="str">
        <f ca="1">VLOOKUP(table_DataQualities[[#This Row],[unit_ID]],table_Units[#All],2)</f>
        <v>+/- W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8.15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4.2000000000000003E-2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8.15</v>
      </c>
      <c r="K63">
        <f t="shared" ca="1" si="6"/>
        <v>0.04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0</v>
      </c>
      <c r="O63">
        <f t="shared" ca="1" si="1"/>
        <v>2.6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7.6999999999999999E-2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9318.4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7.6999999999999999E-2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9318.4</v>
      </c>
      <c r="K64">
        <f t="shared" ca="1" si="6"/>
        <v>0.59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0</v>
      </c>
      <c r="O64">
        <f t="shared" ca="1" si="1"/>
        <v>1.4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31_Temperaturmessgenauigkeit °C</v>
      </c>
      <c r="C65">
        <f t="shared" ref="C65" ca="1" si="18">RANDBETWEEN(5,10)*100</f>
        <v>500</v>
      </c>
      <c r="D65" s="3" t="str">
        <f ca="1">VLOOKUP(table_DataQualities[[#This Row],[unit_ID]],table_Units[#All],2)</f>
        <v>+/- °C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65">
        <f t="shared" ca="1" si="6"/>
        <v>0.68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0</v>
      </c>
      <c r="O65">
        <f t="shared" ca="1" si="1"/>
        <v>2.5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5351.6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5351.6</v>
      </c>
      <c r="K66">
        <f t="shared" ca="1" si="6"/>
        <v>0.62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0</v>
      </c>
      <c r="O66">
        <f t="shared" ca="1" si="1"/>
        <v>2.2999999999999998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32_Durchflussmessgenauigkeit cm³/s</v>
      </c>
      <c r="C67">
        <f t="shared" ca="1" si="16"/>
        <v>800</v>
      </c>
      <c r="D67" s="3" t="str">
        <f ca="1">VLOOKUP(table_DataQualities[[#This Row],[unit_ID]],table_Units[#All],2)</f>
        <v>+/- cm³/s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0.29699999999999999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3.5999999999999999E-3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3.5999999999999999E-3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0.29699999999999999</v>
      </c>
      <c r="K67">
        <f t="shared" ca="1" si="6"/>
        <v>0.66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0</v>
      </c>
      <c r="O67">
        <f t="shared" ref="O67:O130" ca="1" si="19">RANDBETWEEN(12,50)/10</f>
        <v>3.9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7339.7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7339.7</v>
      </c>
      <c r="K68">
        <f t="shared" ca="1" si="6"/>
        <v>0.96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0</v>
      </c>
      <c r="O68">
        <f t="shared" ca="1" si="19"/>
        <v>3.9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33_Bildgröße</v>
      </c>
      <c r="C69">
        <f t="shared" ca="1" si="16"/>
        <v>1000</v>
      </c>
      <c r="D69" s="3" t="str">
        <f ca="1">VLOOKUP(table_DataQualities[[#This Row],[unit_ID]],table_Units[#All],2)</f>
        <v>bit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49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5292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49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5292</v>
      </c>
      <c r="K69">
        <f t="shared" ca="1" si="6"/>
        <v>0.6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0</v>
      </c>
      <c r="O69">
        <f t="shared" ca="1" si="19"/>
        <v>1.9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0.748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6644.9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0.748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6644.9</v>
      </c>
      <c r="K70">
        <f t="shared" ca="1" si="6"/>
        <v>0.59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0</v>
      </c>
      <c r="O70">
        <f t="shared" ca="1" si="19"/>
        <v>3.9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34_Geschwindigkeitsmessgenauigkeit mm/s</v>
      </c>
      <c r="C71">
        <f ca="1">RANDBETWEEN(5,10)*100</f>
        <v>700</v>
      </c>
      <c r="D71" s="3" t="str">
        <f ca="1">VLOOKUP(table_DataQualities[[#This Row],[unit_ID]],table_Units[#All],2)</f>
        <v>+/- mm/s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0.47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71">
        <f t="shared" ca="1" si="6"/>
        <v>0.55000000000000004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0</v>
      </c>
      <c r="O71">
        <f t="shared" ca="1" si="19"/>
        <v>3.4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0.91900000000000004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6793.7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0.91900000000000004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6793.7</v>
      </c>
      <c r="K72">
        <f t="shared" ca="1" si="6"/>
        <v>0.88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0</v>
      </c>
      <c r="O72">
        <f t="shared" ca="1" si="19"/>
        <v>2.4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35_Bildgröße</v>
      </c>
      <c r="C73">
        <f t="shared" ref="C73:C83" ca="1" si="20">RANDBETWEEN(5,10)*100</f>
        <v>1000</v>
      </c>
      <c r="D73" s="3" t="str">
        <f ca="1">VLOOKUP(table_DataQualities[[#This Row],[unit_ID]],table_Units[#All],2)</f>
        <v>bit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5988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5988</v>
      </c>
      <c r="K73">
        <f t="shared" ca="1" si="6"/>
        <v>0.23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0</v>
      </c>
      <c r="O73">
        <f t="shared" ca="1" si="19"/>
        <v>3.4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0.90200000000000002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7499.2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0.90200000000000002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7499.2</v>
      </c>
      <c r="K74">
        <f t="shared" ca="1" si="6"/>
        <v>0.74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0</v>
      </c>
      <c r="O74">
        <f t="shared" ca="1" si="19"/>
        <v>4.0999999999999996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36_Temperaturmessgenauigkeit °C</v>
      </c>
      <c r="C75">
        <f t="shared" ref="C75" ca="1" si="21">RANDBETWEEN(5,10)*100</f>
        <v>500</v>
      </c>
      <c r="D75" s="3" t="str">
        <f ca="1">VLOOKUP(table_DataQualities[[#This Row],[unit_ID]],table_Units[#All],2)</f>
        <v>+/- °C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75">
        <f t="shared" ca="1" si="6"/>
        <v>0.35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0</v>
      </c>
      <c r="O75">
        <f t="shared" ca="1" si="19"/>
        <v>1.9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0.91700000000000004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923.6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0.91700000000000004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923.6</v>
      </c>
      <c r="K76">
        <f t="shared" ca="1" si="6"/>
        <v>0.62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0</v>
      </c>
      <c r="O76">
        <f t="shared" ca="1" si="19"/>
        <v>3.9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37_Geschwindigkeitsmessgenauigkeit mm/s</v>
      </c>
      <c r="C77">
        <f t="shared" ca="1" si="20"/>
        <v>700</v>
      </c>
      <c r="D77" s="3" t="str">
        <f ca="1">VLOOKUP(table_DataQualities[[#This Row],[unit_ID]],table_Units[#All],2)</f>
        <v>+/- mm/s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2.1</v>
      </c>
      <c r="K77">
        <f t="shared" ca="1" si="6"/>
        <v>0.63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0</v>
      </c>
      <c r="O77">
        <f t="shared" ca="1" si="19"/>
        <v>4.5999999999999996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0.86699999999999999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8467.1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0.86699999999999999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8467.1</v>
      </c>
      <c r="K78">
        <f t="shared" ca="1" si="6"/>
        <v>0.12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0</v>
      </c>
      <c r="O78">
        <f t="shared" ca="1" si="19"/>
        <v>4.8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38_Temperaturmessgenauigkeit °C</v>
      </c>
      <c r="C79">
        <f t="shared" ref="C79" ca="1" si="22">RANDBETWEEN(5,10)*100</f>
        <v>500</v>
      </c>
      <c r="D79" s="3" t="str">
        <f ca="1">VLOOKUP(table_DataQualities[[#This Row],[unit_ID]],table_Units[#All],2)</f>
        <v>+/- °C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79">
        <f t="shared" ref="K79:K142" ca="1" si="23">ROUND(RAND(),2)</f>
        <v>0.03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0</v>
      </c>
      <c r="O79">
        <f t="shared" ca="1" si="19"/>
        <v>4.3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0.47099999999999997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8309.7000000000007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0.47099999999999997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8309.7000000000007</v>
      </c>
      <c r="K80">
        <f t="shared" ca="1" si="23"/>
        <v>0.59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0</v>
      </c>
      <c r="O80">
        <f t="shared" ca="1" si="19"/>
        <v>3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39_Leistungsmessgenauigkeit W</v>
      </c>
      <c r="C81">
        <f t="shared" ca="1" si="20"/>
        <v>600</v>
      </c>
      <c r="D81" s="3" t="str">
        <f ca="1">VLOOKUP(table_DataQualities[[#This Row],[unit_ID]],table_Units[#All],2)</f>
        <v>+/- W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8.1999999999999993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4.5999999999999999E-2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4.5999999999999999E-2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8.1999999999999993</v>
      </c>
      <c r="K81">
        <f t="shared" ca="1" si="23"/>
        <v>0.7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0</v>
      </c>
      <c r="O81">
        <f t="shared" ca="1" si="19"/>
        <v>3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0.371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3250.5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0.371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3250.5</v>
      </c>
      <c r="K82">
        <f t="shared" ca="1" si="23"/>
        <v>0.59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0</v>
      </c>
      <c r="O82">
        <f t="shared" ca="1" si="19"/>
        <v>4.5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40_Temperaturmessgenauigkeit °C</v>
      </c>
      <c r="C83">
        <f t="shared" ca="1" si="20"/>
        <v>500</v>
      </c>
      <c r="D83" s="3" t="str">
        <f ca="1">VLOOKUP(table_DataQualities[[#This Row],[unit_ID]],table_Units[#All],2)</f>
        <v>+/- °C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83">
        <f t="shared" ca="1" si="23"/>
        <v>0.55000000000000004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0</v>
      </c>
      <c r="O83">
        <f t="shared" ca="1" si="19"/>
        <v>4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0.13600000000000001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2081.3000000000002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0.13600000000000001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2081.3000000000002</v>
      </c>
      <c r="K84">
        <f t="shared" ca="1" si="23"/>
        <v>0.62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0</v>
      </c>
      <c r="O84">
        <f t="shared" ca="1" si="19"/>
        <v>1.6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41_Leistungsmessgenauigkeit W</v>
      </c>
      <c r="C85">
        <f ca="1">RANDBETWEEN(5,10)*100</f>
        <v>600</v>
      </c>
      <c r="D85" s="3" t="str">
        <f ca="1">VLOOKUP(table_DataQualities[[#This Row],[unit_ID]],table_Units[#All],2)</f>
        <v>+/- W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4.0599999999999996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6.7000000000000004E-2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4.0599999999999996</v>
      </c>
      <c r="K85">
        <f t="shared" ca="1" si="23"/>
        <v>0.45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0</v>
      </c>
      <c r="O85">
        <f t="shared" ca="1" si="19"/>
        <v>1.5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0.91200000000000003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4375.3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0.91200000000000003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4375.3</v>
      </c>
      <c r="K86">
        <f t="shared" ca="1" si="23"/>
        <v>0.82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0</v>
      </c>
      <c r="O86">
        <f t="shared" ca="1" si="19"/>
        <v>2.7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42_Durchflussmessgenauigkeit cm³/s</v>
      </c>
      <c r="C87">
        <f t="shared" ref="C87:C97" ca="1" si="24">RANDBETWEEN(5,10)*100</f>
        <v>800</v>
      </c>
      <c r="D87" s="3" t="str">
        <f ca="1">VLOOKUP(table_DataQualities[[#This Row],[unit_ID]],table_Units[#All],2)</f>
        <v>+/- cm³/s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0.57399999999999995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5.3E-3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5.3E-3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0.57399999999999995</v>
      </c>
      <c r="K87">
        <f t="shared" ca="1" si="23"/>
        <v>0.06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0</v>
      </c>
      <c r="O87">
        <f t="shared" ca="1" si="19"/>
        <v>1.6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0.76200000000000001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6394.5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0.76200000000000001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6394.5</v>
      </c>
      <c r="K88">
        <f t="shared" ca="1" si="23"/>
        <v>0.49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0</v>
      </c>
      <c r="O88">
        <f t="shared" ca="1" si="19"/>
        <v>2.2000000000000002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43_Durchflussmessgenauigkeit cm³/s</v>
      </c>
      <c r="C89">
        <f t="shared" ref="C89" ca="1" si="25">RANDBETWEEN(5,10)*100</f>
        <v>800</v>
      </c>
      <c r="D89" s="3" t="str">
        <f ca="1">VLOOKUP(table_DataQualities[[#This Row],[unit_ID]],table_Units[#All],2)</f>
        <v>+/- cm³/s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0.34499999999999997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0.34499999999999997</v>
      </c>
      <c r="K89">
        <f t="shared" ca="1" si="23"/>
        <v>0.3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0</v>
      </c>
      <c r="O89">
        <f t="shared" ca="1" si="19"/>
        <v>1.4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0.44600000000000001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2787.8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0.44600000000000001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2787.8</v>
      </c>
      <c r="K90">
        <f t="shared" ca="1" si="23"/>
        <v>0.61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0</v>
      </c>
      <c r="O90">
        <f t="shared" ca="1" si="19"/>
        <v>3.4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44_Bildgröße</v>
      </c>
      <c r="C91">
        <f t="shared" ca="1" si="24"/>
        <v>1000</v>
      </c>
      <c r="D91" s="3" t="str">
        <f ca="1">VLOOKUP(table_DataQualities[[#This Row],[unit_ID]],table_Units[#All],2)</f>
        <v>bit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94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6929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94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6929</v>
      </c>
      <c r="K91">
        <f t="shared" ca="1" si="23"/>
        <v>0.65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0</v>
      </c>
      <c r="O91">
        <f t="shared" ca="1" si="19"/>
        <v>2.9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0.69599999999999995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7808.6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0.69599999999999995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7808.6</v>
      </c>
      <c r="K92">
        <f t="shared" ca="1" si="23"/>
        <v>0.11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0</v>
      </c>
      <c r="O92">
        <f t="shared" ca="1" si="19"/>
        <v>2.7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45_Längenmessgenauigkeit mm</v>
      </c>
      <c r="C93">
        <f t="shared" ref="C93" ca="1" si="26">RANDBETWEEN(5,10)*100</f>
        <v>900</v>
      </c>
      <c r="D93" s="3" t="str">
        <f ca="1">VLOOKUP(table_DataQualities[[#This Row],[unit_ID]],table_Units[#All],2)</f>
        <v>+/- mm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1.25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1.25</v>
      </c>
      <c r="K93">
        <f t="shared" ca="1" si="23"/>
        <v>0.7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0</v>
      </c>
      <c r="O93">
        <f t="shared" ca="1" si="19"/>
        <v>4.8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7102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7102</v>
      </c>
      <c r="K94">
        <f t="shared" ca="1" si="23"/>
        <v>0.88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0</v>
      </c>
      <c r="O94">
        <f t="shared" ca="1" si="19"/>
        <v>1.6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46_Durchflussmessgenauigkeit cm³/s</v>
      </c>
      <c r="C95">
        <f t="shared" ca="1" si="24"/>
        <v>800</v>
      </c>
      <c r="D95" s="3" t="str">
        <f ca="1">VLOOKUP(table_DataQualities[[#This Row],[unit_ID]],table_Units[#All],2)</f>
        <v>+/- cm³/s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0.65400000000000003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2.5999999999999999E-3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2.5999999999999999E-3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0.65400000000000003</v>
      </c>
      <c r="K95">
        <f t="shared" ca="1" si="23"/>
        <v>0.38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0</v>
      </c>
      <c r="O95">
        <f t="shared" ca="1" si="19"/>
        <v>2.2000000000000002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0.20499999999999999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5119.8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0.20499999999999999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5119.8</v>
      </c>
      <c r="K96">
        <f t="shared" ca="1" si="23"/>
        <v>0.6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0</v>
      </c>
      <c r="O96">
        <f t="shared" ca="1" si="19"/>
        <v>1.6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47_Leistungsmessgenauigkeit W</v>
      </c>
      <c r="C97">
        <f t="shared" ca="1" si="24"/>
        <v>600</v>
      </c>
      <c r="D97" s="3" t="str">
        <f ca="1">VLOOKUP(table_DataQualities[[#This Row],[unit_ID]],table_Units[#All],2)</f>
        <v>+/- W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8.9499999999999993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8.9499999999999993</v>
      </c>
      <c r="K97">
        <f t="shared" ca="1" si="23"/>
        <v>0.55000000000000004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0</v>
      </c>
      <c r="O97">
        <f t="shared" ca="1" si="19"/>
        <v>3.7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0.254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8277.7999999999993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0.254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8277.7999999999993</v>
      </c>
      <c r="K98">
        <f t="shared" ca="1" si="23"/>
        <v>0.09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0</v>
      </c>
      <c r="O98">
        <f t="shared" ca="1" si="19"/>
        <v>3.4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48_Leistungsmessgenauigkeit W</v>
      </c>
      <c r="C99">
        <f ca="1">RANDBETWEEN(5,10)*100</f>
        <v>600</v>
      </c>
      <c r="D99" s="3" t="str">
        <f ca="1">VLOOKUP(table_DataQualities[[#This Row],[unit_ID]],table_Units[#All],2)</f>
        <v>+/- W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6.98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2.4E-2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2.4E-2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6.98</v>
      </c>
      <c r="K99">
        <f t="shared" ca="1" si="23"/>
        <v>0.17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0</v>
      </c>
      <c r="O99">
        <f t="shared" ca="1" si="19"/>
        <v>1.7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0.505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7148.7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0.505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7148.7</v>
      </c>
      <c r="K100">
        <f t="shared" ca="1" si="23"/>
        <v>0.25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0</v>
      </c>
      <c r="O100">
        <f t="shared" ca="1" si="19"/>
        <v>2.7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49_Leistungsmessgenauigkeit W</v>
      </c>
      <c r="C101">
        <f t="shared" ref="C101:C111" ca="1" si="27">RANDBETWEEN(5,10)*100</f>
        <v>600</v>
      </c>
      <c r="D101" s="3" t="str">
        <f ca="1">VLOOKUP(table_DataQualities[[#This Row],[unit_ID]],table_Units[#All],2)</f>
        <v>+/- W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4.95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4.95</v>
      </c>
      <c r="K101">
        <f t="shared" ca="1" si="23"/>
        <v>0.24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0</v>
      </c>
      <c r="O101">
        <f t="shared" ca="1" si="19"/>
        <v>3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0.68300000000000005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9653.2999999999993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0.68300000000000005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9653.2999999999993</v>
      </c>
      <c r="K102">
        <f t="shared" ca="1" si="23"/>
        <v>0.43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0</v>
      </c>
      <c r="O102">
        <f t="shared" ca="1" si="19"/>
        <v>3.1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50_Temperaturmessgenauigkeit °C</v>
      </c>
      <c r="C103">
        <f t="shared" ref="C103" ca="1" si="28">RANDBETWEEN(5,10)*100</f>
        <v>500</v>
      </c>
      <c r="D103" s="3" t="str">
        <f ca="1">VLOOKUP(table_DataQualities[[#This Row],[unit_ID]],table_Units[#All],2)</f>
        <v>+/- °C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03">
        <f t="shared" ca="1" si="23"/>
        <v>0.22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0</v>
      </c>
      <c r="O103">
        <f t="shared" ca="1" si="19"/>
        <v>4.0999999999999996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0.78100000000000003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7088.1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0.78100000000000003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7088.1</v>
      </c>
      <c r="K104">
        <f t="shared" ca="1" si="23"/>
        <v>0.86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0</v>
      </c>
      <c r="O104">
        <f t="shared" ca="1" si="19"/>
        <v>2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51_Leistungsmessgenauigkeit W</v>
      </c>
      <c r="C105">
        <f t="shared" ca="1" si="27"/>
        <v>600</v>
      </c>
      <c r="D105" s="3" t="str">
        <f ca="1">VLOOKUP(table_DataQualities[[#This Row],[unit_ID]],table_Units[#All],2)</f>
        <v>+/- W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3.08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5.2999999999999999E-2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3.08</v>
      </c>
      <c r="K105">
        <f t="shared" ca="1" si="23"/>
        <v>0.13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0</v>
      </c>
      <c r="O105">
        <f t="shared" ca="1" si="19"/>
        <v>1.6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0.108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2826.1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0.108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2826.1</v>
      </c>
      <c r="K106">
        <f t="shared" ca="1" si="23"/>
        <v>0.81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0</v>
      </c>
      <c r="O106">
        <f t="shared" ca="1" si="19"/>
        <v>1.8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52_Durchflussmessgenauigkeit cm³/s</v>
      </c>
      <c r="C107">
        <f t="shared" ref="C107" ca="1" si="29">RANDBETWEEN(5,10)*100</f>
        <v>800</v>
      </c>
      <c r="D107" s="3" t="str">
        <f ca="1">VLOOKUP(table_DataQualities[[#This Row],[unit_ID]],table_Units[#All],2)</f>
        <v>+/- cm³/s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0.20699999999999999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0.20699999999999999</v>
      </c>
      <c r="K107">
        <f t="shared" ca="1" si="23"/>
        <v>0.85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0</v>
      </c>
      <c r="O107">
        <f t="shared" ca="1" si="19"/>
        <v>3.1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0.35499999999999998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184.8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0.35499999999999998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184.8</v>
      </c>
      <c r="K108">
        <f t="shared" ca="1" si="23"/>
        <v>0.63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0</v>
      </c>
      <c r="O108">
        <f t="shared" ca="1" si="19"/>
        <v>3.5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53_Temperaturmessgenauigkeit °C</v>
      </c>
      <c r="C109">
        <f t="shared" ca="1" si="27"/>
        <v>500</v>
      </c>
      <c r="D109" s="3" t="str">
        <f ca="1">VLOOKUP(table_DataQualities[[#This Row],[unit_ID]],table_Units[#All],2)</f>
        <v>+/- °C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09">
        <f t="shared" ca="1" si="23"/>
        <v>0.68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0</v>
      </c>
      <c r="O109">
        <f t="shared" ca="1" si="19"/>
        <v>3.8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0.161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6743.7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0.161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6743.7</v>
      </c>
      <c r="K110">
        <f t="shared" ca="1" si="23"/>
        <v>0.3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0</v>
      </c>
      <c r="O110">
        <f t="shared" ca="1" si="19"/>
        <v>2.9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54_Längenmessgenauigkeit mm</v>
      </c>
      <c r="C111">
        <f t="shared" ca="1" si="27"/>
        <v>900</v>
      </c>
      <c r="D111" s="3" t="str">
        <f ca="1">VLOOKUP(table_DataQualities[[#This Row],[unit_ID]],table_Units[#All],2)</f>
        <v>+/- mm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1.7</v>
      </c>
      <c r="K111">
        <f t="shared" ca="1" si="23"/>
        <v>0.65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0</v>
      </c>
      <c r="O111">
        <f t="shared" ca="1" si="19"/>
        <v>3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0.23200000000000001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4681.8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0.23200000000000001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4681.8</v>
      </c>
      <c r="K112">
        <f t="shared" ca="1" si="23"/>
        <v>0.87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0</v>
      </c>
      <c r="O112">
        <f t="shared" ca="1" si="19"/>
        <v>4.5999999999999996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55_Durchflussmessgenauigkeit cm³/s</v>
      </c>
      <c r="C113">
        <f ca="1">RANDBETWEEN(5,10)*100</f>
        <v>800</v>
      </c>
      <c r="D113" s="3" t="str">
        <f ca="1">VLOOKUP(table_DataQualities[[#This Row],[unit_ID]],table_Units[#All],2)</f>
        <v>+/- cm³/s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8.9999999999999993E-3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4.0000000000000001E-3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4.0000000000000001E-3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8.9999999999999993E-3</v>
      </c>
      <c r="K113">
        <f t="shared" ca="1" si="23"/>
        <v>0.47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0</v>
      </c>
      <c r="O113">
        <f t="shared" ca="1" si="19"/>
        <v>2.7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0.26200000000000001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1512.9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0.26200000000000001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1512.9</v>
      </c>
      <c r="K114">
        <f t="shared" ca="1" si="23"/>
        <v>0.44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0</v>
      </c>
      <c r="O114">
        <f t="shared" ca="1" si="19"/>
        <v>3.2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56_Geschwindigkeitsmessgenauigkeit mm/s</v>
      </c>
      <c r="C115">
        <f t="shared" ref="C115:C125" ca="1" si="30">RANDBETWEEN(5,10)*100</f>
        <v>700</v>
      </c>
      <c r="D115" s="3" t="str">
        <f ca="1">VLOOKUP(table_DataQualities[[#This Row],[unit_ID]],table_Units[#All],2)</f>
        <v>+/- mm/s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0.71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</v>
      </c>
      <c r="K115">
        <f t="shared" ca="1" si="23"/>
        <v>0.01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0</v>
      </c>
      <c r="O115">
        <f t="shared" ca="1" si="19"/>
        <v>4.5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0.94599999999999995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5440.9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0.94599999999999995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5440.9</v>
      </c>
      <c r="K116">
        <f t="shared" ca="1" si="23"/>
        <v>0.61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0</v>
      </c>
      <c r="O116">
        <f t="shared" ca="1" si="19"/>
        <v>4.5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57_Temperaturmessgenauigkeit °C</v>
      </c>
      <c r="C117">
        <f t="shared" ref="C117" ca="1" si="31">RANDBETWEEN(5,10)*100</f>
        <v>500</v>
      </c>
      <c r="D117" s="3" t="str">
        <f ca="1">VLOOKUP(table_DataQualities[[#This Row],[unit_ID]],table_Units[#All],2)</f>
        <v>+/- °C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17">
        <f t="shared" ca="1" si="23"/>
        <v>0.91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0</v>
      </c>
      <c r="O117">
        <f t="shared" ca="1" si="19"/>
        <v>1.3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0.315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9156.2999999999993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0.315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9156.2999999999993</v>
      </c>
      <c r="K118">
        <f t="shared" ca="1" si="23"/>
        <v>0.15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0</v>
      </c>
      <c r="O118">
        <f t="shared" ca="1" si="19"/>
        <v>4.3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58_Durchflussmessgenauigkeit cm³/s</v>
      </c>
      <c r="C119">
        <f t="shared" ca="1" si="30"/>
        <v>800</v>
      </c>
      <c r="D119" s="3" t="str">
        <f ca="1">VLOOKUP(table_DataQualities[[#This Row],[unit_ID]],table_Units[#All],2)</f>
        <v>+/- cm³/s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1.2E-2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7.7000000000000002E-3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7.7000000000000002E-3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1.2E-2</v>
      </c>
      <c r="K119">
        <f t="shared" ca="1" si="23"/>
        <v>0.21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0</v>
      </c>
      <c r="O119">
        <f t="shared" ca="1" si="19"/>
        <v>1.2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0.22500000000000001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8369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0.22500000000000001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8369</v>
      </c>
      <c r="K120">
        <f t="shared" ca="1" si="23"/>
        <v>0.1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0</v>
      </c>
      <c r="O120">
        <f t="shared" ca="1" si="19"/>
        <v>3.8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59_Bildgröße</v>
      </c>
      <c r="C121">
        <f t="shared" ref="C121" ca="1" si="32">RANDBETWEEN(5,10)*100</f>
        <v>1000</v>
      </c>
      <c r="D121" s="3" t="str">
        <f ca="1">VLOOKUP(table_DataQualities[[#This Row],[unit_ID]],table_Units[#All],2)</f>
        <v>bit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92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1443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92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1443</v>
      </c>
      <c r="K121">
        <f t="shared" ca="1" si="23"/>
        <v>0.5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0</v>
      </c>
      <c r="O121">
        <f t="shared" ca="1" si="19"/>
        <v>4.4000000000000004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0.89400000000000002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3287.7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0.89400000000000002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3287.7</v>
      </c>
      <c r="K122">
        <f t="shared" ca="1" si="23"/>
        <v>0.96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0</v>
      </c>
      <c r="O122">
        <f t="shared" ca="1" si="19"/>
        <v>3.3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60_Längenmessgenauigkeit mm</v>
      </c>
      <c r="C123">
        <f t="shared" ca="1" si="30"/>
        <v>900</v>
      </c>
      <c r="D123" s="3" t="str">
        <f ca="1">VLOOKUP(table_DataQualities[[#This Row],[unit_ID]],table_Units[#All],2)</f>
        <v>+/- mm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5.29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7.2999999999999995E-2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5.29</v>
      </c>
      <c r="K123">
        <f t="shared" ca="1" si="23"/>
        <v>0.14000000000000001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0</v>
      </c>
      <c r="O123">
        <f t="shared" ca="1" si="19"/>
        <v>4.0999999999999996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0.19700000000000001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3315.5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0.19700000000000001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3315.5</v>
      </c>
      <c r="K124">
        <f t="shared" ca="1" si="23"/>
        <v>0.16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0</v>
      </c>
      <c r="O124">
        <f t="shared" ca="1" si="19"/>
        <v>4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61_Leistungsmessgenauigkeit W</v>
      </c>
      <c r="C125">
        <f t="shared" ca="1" si="30"/>
        <v>600</v>
      </c>
      <c r="D125" s="3" t="str">
        <f ca="1">VLOOKUP(table_DataQualities[[#This Row],[unit_ID]],table_Units[#All],2)</f>
        <v>+/- W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9.6999999999999993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9.1999999999999998E-2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9.1999999999999998E-2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9.6999999999999993</v>
      </c>
      <c r="K125">
        <f t="shared" ca="1" si="23"/>
        <v>0.75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0</v>
      </c>
      <c r="O125">
        <f t="shared" ca="1" si="19"/>
        <v>2.4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0.70699999999999996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7799.9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0.70699999999999996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7799.9</v>
      </c>
      <c r="K126">
        <f t="shared" ca="1" si="23"/>
        <v>0.24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0</v>
      </c>
      <c r="O126">
        <f t="shared" ca="1" si="19"/>
        <v>2.6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62_Durchflussmessgenauigkeit cm³/s</v>
      </c>
      <c r="C127">
        <f ca="1">RANDBETWEEN(5,10)*100</f>
        <v>800</v>
      </c>
      <c r="D127" s="3" t="str">
        <f ca="1">VLOOKUP(table_DataQualities[[#This Row],[unit_ID]],table_Units[#All],2)</f>
        <v>+/- cm³/s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0.80700000000000005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1.4E-3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1.4E-3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0.80700000000000005</v>
      </c>
      <c r="K127">
        <f t="shared" ca="1" si="23"/>
        <v>0.33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0</v>
      </c>
      <c r="O127">
        <f t="shared" ca="1" si="19"/>
        <v>4.5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0.86499999999999999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4652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0.86499999999999999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4652</v>
      </c>
      <c r="K128">
        <f t="shared" ca="1" si="23"/>
        <v>0.94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0</v>
      </c>
      <c r="O128">
        <f t="shared" ca="1" si="19"/>
        <v>2.5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63_Durchflussmessgenauigkeit cm³/s</v>
      </c>
      <c r="C129">
        <f t="shared" ref="C129:C139" ca="1" si="33">RANDBETWEEN(5,10)*100</f>
        <v>800</v>
      </c>
      <c r="D129" s="3" t="str">
        <f ca="1">VLOOKUP(table_DataQualities[[#This Row],[unit_ID]],table_Units[#All],2)</f>
        <v>+/- cm³/s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0.154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8.8000000000000005E-3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8.8000000000000005E-3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0.154</v>
      </c>
      <c r="K129">
        <f t="shared" ca="1" si="23"/>
        <v>0.39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0</v>
      </c>
      <c r="O129">
        <f t="shared" ca="1" si="19"/>
        <v>2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0.122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5107.8999999999996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0.122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5107.8999999999996</v>
      </c>
      <c r="K130">
        <f t="shared" ca="1" si="23"/>
        <v>0.83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0</v>
      </c>
      <c r="O130">
        <f t="shared" ca="1" si="19"/>
        <v>4.9000000000000004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64_Geschwindigkeitsmessgenauigkeit mm/s</v>
      </c>
      <c r="C131">
        <f t="shared" ref="C131" ca="1" si="34">RANDBETWEEN(5,10)*100</f>
        <v>700</v>
      </c>
      <c r="D131" s="3" t="str">
        <f ca="1">VLOOKUP(table_DataQualities[[#This Row],[unit_ID]],table_Units[#All],2)</f>
        <v>+/- mm/s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0.96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9.5</v>
      </c>
      <c r="K131">
        <f t="shared" ca="1" si="23"/>
        <v>0.46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0</v>
      </c>
      <c r="O131">
        <f t="shared" ref="O131:O194" ca="1" si="35">RANDBETWEEN(12,50)/10</f>
        <v>1.9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0.09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9409.2999999999993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9409.2999999999993</v>
      </c>
      <c r="K132">
        <f t="shared" ca="1" si="23"/>
        <v>0.88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0</v>
      </c>
      <c r="O132">
        <f t="shared" ca="1" si="35"/>
        <v>3.1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65_Temperaturmessgenauigkeit °C</v>
      </c>
      <c r="C133">
        <f t="shared" ca="1" si="33"/>
        <v>500</v>
      </c>
      <c r="D133" s="3" t="str">
        <f ca="1">VLOOKUP(table_DataQualities[[#This Row],[unit_ID]],table_Units[#All],2)</f>
        <v>+/- °C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33">
        <f t="shared" ca="1" si="23"/>
        <v>0.88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0</v>
      </c>
      <c r="O133">
        <f t="shared" ca="1" si="35"/>
        <v>4.3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0.75600000000000001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4529.3999999999996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0.75600000000000001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4529.3999999999996</v>
      </c>
      <c r="K134">
        <f t="shared" ca="1" si="23"/>
        <v>0.64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0</v>
      </c>
      <c r="O134">
        <f t="shared" ca="1" si="35"/>
        <v>2.7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66_Bildgröße</v>
      </c>
      <c r="C135">
        <f t="shared" ref="C135" ca="1" si="36">RANDBETWEEN(5,10)*100</f>
        <v>1000</v>
      </c>
      <c r="D135" s="3" t="str">
        <f ca="1">VLOOKUP(table_DataQualities[[#This Row],[unit_ID]],table_Units[#All],2)</f>
        <v>bit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57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9652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57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9652</v>
      </c>
      <c r="K135">
        <f t="shared" ca="1" si="23"/>
        <v>0.71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0</v>
      </c>
      <c r="O135">
        <f t="shared" ca="1" si="35"/>
        <v>3.4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0.76500000000000001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6751.6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0.76500000000000001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6751.6</v>
      </c>
      <c r="K136">
        <f t="shared" ca="1" si="23"/>
        <v>0.86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0</v>
      </c>
      <c r="O136">
        <f t="shared" ca="1" si="35"/>
        <v>3.2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67_Bildgröße</v>
      </c>
      <c r="C137">
        <f t="shared" ca="1" si="33"/>
        <v>1000</v>
      </c>
      <c r="D137" s="3" t="str">
        <f ca="1">VLOOKUP(table_DataQualities[[#This Row],[unit_ID]],table_Units[#All],2)</f>
        <v>bit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19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9988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19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9988</v>
      </c>
      <c r="K137">
        <f t="shared" ca="1" si="23"/>
        <v>0.32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0</v>
      </c>
      <c r="O137">
        <f t="shared" ca="1" si="35"/>
        <v>1.4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6247.7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6247.7</v>
      </c>
      <c r="K138">
        <f t="shared" ca="1" si="23"/>
        <v>0.99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0</v>
      </c>
      <c r="O138">
        <f t="shared" ca="1" si="35"/>
        <v>1.5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68_Geschwindigkeitsmessgenauigkeit mm/s</v>
      </c>
      <c r="C139">
        <f t="shared" ca="1" si="33"/>
        <v>700</v>
      </c>
      <c r="D139" s="3" t="str">
        <f ca="1">VLOOKUP(table_DataQualities[[#This Row],[unit_ID]],table_Units[#All],2)</f>
        <v>+/- mm/s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0.24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</v>
      </c>
      <c r="K139">
        <f t="shared" ca="1" si="23"/>
        <v>0.49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0</v>
      </c>
      <c r="O139">
        <f t="shared" ca="1" si="35"/>
        <v>3.3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0.38200000000000001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7499.8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0.38200000000000001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7499.8</v>
      </c>
      <c r="K140">
        <f t="shared" ca="1" si="23"/>
        <v>0.82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0</v>
      </c>
      <c r="O140">
        <f t="shared" ca="1" si="35"/>
        <v>4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69_Temperaturmessgenauigkeit °C</v>
      </c>
      <c r="C141">
        <f ca="1">RANDBETWEEN(5,10)*100</f>
        <v>500</v>
      </c>
      <c r="D141" s="3" t="str">
        <f ca="1">VLOOKUP(table_DataQualities[[#This Row],[unit_ID]],table_Units[#All],2)</f>
        <v>+/- °C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41">
        <f t="shared" ca="1" si="23"/>
        <v>0.66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0</v>
      </c>
      <c r="O141">
        <f t="shared" ca="1" si="35"/>
        <v>4.7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6904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6904</v>
      </c>
      <c r="K142">
        <f t="shared" ca="1" si="23"/>
        <v>0.63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0</v>
      </c>
      <c r="O142">
        <f t="shared" ca="1" si="35"/>
        <v>3.2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70_Leistungsmessgenauigkeit W</v>
      </c>
      <c r="C143">
        <f t="shared" ref="C143:C153" ca="1" si="37">RANDBETWEEN(5,10)*100</f>
        <v>600</v>
      </c>
      <c r="D143" s="3" t="str">
        <f ca="1">VLOOKUP(table_DataQualities[[#This Row],[unit_ID]],table_Units[#All],2)</f>
        <v>+/- W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</v>
      </c>
      <c r="K143">
        <f t="shared" ref="K143:K206" ca="1" si="38">ROUND(RAND(),2)</f>
        <v>0.9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0</v>
      </c>
      <c r="O143">
        <f t="shared" ca="1" si="35"/>
        <v>4.2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0.44900000000000001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3465.4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0.44900000000000001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3465.4</v>
      </c>
      <c r="K144">
        <f t="shared" ca="1" si="38"/>
        <v>0.25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0</v>
      </c>
      <c r="O144">
        <f t="shared" ca="1" si="35"/>
        <v>4.8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71_Bildgröße</v>
      </c>
      <c r="C145">
        <f t="shared" ref="C145" ca="1" si="39">RANDBETWEEN(5,10)*100</f>
        <v>1000</v>
      </c>
      <c r="D145" s="3" t="str">
        <f ca="1">VLOOKUP(table_DataQualities[[#This Row],[unit_ID]],table_Units[#All],2)</f>
        <v>bit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56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2150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56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2150</v>
      </c>
      <c r="K145">
        <f t="shared" ca="1" si="38"/>
        <v>0.42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0</v>
      </c>
      <c r="O145">
        <f t="shared" ca="1" si="35"/>
        <v>3.3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0.47099999999999997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9694.7999999999993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0.47099999999999997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9694.7999999999993</v>
      </c>
      <c r="K146">
        <f t="shared" ca="1" si="38"/>
        <v>0.55000000000000004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0</v>
      </c>
      <c r="O146">
        <f t="shared" ca="1" si="35"/>
        <v>2.2999999999999998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72_Geschwindigkeitsmessgenauigkeit mm/s</v>
      </c>
      <c r="C147">
        <f t="shared" ca="1" si="37"/>
        <v>700</v>
      </c>
      <c r="D147" s="3" t="str">
        <f ca="1">VLOOKUP(table_DataQualities[[#This Row],[unit_ID]],table_Units[#All],2)</f>
        <v>+/- mm/s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0.53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7.1</v>
      </c>
      <c r="K147">
        <f t="shared" ca="1" si="38"/>
        <v>0.3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0</v>
      </c>
      <c r="O147">
        <f t="shared" ca="1" si="35"/>
        <v>1.7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0.70799999999999996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5536.8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0.70799999999999996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5536.8</v>
      </c>
      <c r="K148">
        <f t="shared" ca="1" si="38"/>
        <v>0.36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0</v>
      </c>
      <c r="O148">
        <f t="shared" ca="1" si="35"/>
        <v>3.6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73_Längenmessgenauigkeit mm</v>
      </c>
      <c r="C149">
        <f t="shared" ref="C149" ca="1" si="40">RANDBETWEEN(5,10)*100</f>
        <v>900</v>
      </c>
      <c r="D149" s="3" t="str">
        <f ca="1">VLOOKUP(table_DataQualities[[#This Row],[unit_ID]],table_Units[#All],2)</f>
        <v>+/- mm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5.63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5.63</v>
      </c>
      <c r="K149">
        <f t="shared" ca="1" si="38"/>
        <v>0.97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0</v>
      </c>
      <c r="O149">
        <f t="shared" ca="1" si="35"/>
        <v>2.7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0.38100000000000001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4610.6000000000004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0.38100000000000001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4610.6000000000004</v>
      </c>
      <c r="K150">
        <f t="shared" ca="1" si="38"/>
        <v>0.61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0</v>
      </c>
      <c r="O150">
        <f t="shared" ca="1" si="35"/>
        <v>4.4000000000000004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74_Geschwindigkeitsmessgenauigkeit mm/s</v>
      </c>
      <c r="C151">
        <f t="shared" ca="1" si="37"/>
        <v>700</v>
      </c>
      <c r="D151" s="3" t="str">
        <f ca="1">VLOOKUP(table_DataQualities[[#This Row],[unit_ID]],table_Units[#All],2)</f>
        <v>+/- mm/s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0.34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</v>
      </c>
      <c r="K151">
        <f t="shared" ca="1" si="38"/>
        <v>0.47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0</v>
      </c>
      <c r="O151">
        <f t="shared" ca="1" si="35"/>
        <v>4.8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0.39200000000000002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8752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0.39200000000000002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8752</v>
      </c>
      <c r="K152">
        <f t="shared" ca="1" si="38"/>
        <v>0.77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0</v>
      </c>
      <c r="O152">
        <f t="shared" ca="1" si="35"/>
        <v>4.2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75_Längenmessgenauigkeit mm</v>
      </c>
      <c r="C153">
        <f t="shared" ca="1" si="37"/>
        <v>900</v>
      </c>
      <c r="D153" s="3" t="str">
        <f ca="1">VLOOKUP(table_DataQualities[[#This Row],[unit_ID]],table_Units[#All],2)</f>
        <v>+/- mm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0.43</v>
      </c>
      <c r="K153">
        <f t="shared" ca="1" si="38"/>
        <v>0.21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0</v>
      </c>
      <c r="O153">
        <f t="shared" ca="1" si="35"/>
        <v>3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0.95399999999999996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9036.9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0.95399999999999996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9036.9</v>
      </c>
      <c r="K154">
        <f t="shared" ca="1" si="38"/>
        <v>0.02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0</v>
      </c>
      <c r="O154">
        <f t="shared" ca="1" si="35"/>
        <v>4.5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76_Längenmessgenauigkeit mm</v>
      </c>
      <c r="C155">
        <f ca="1">RANDBETWEEN(5,10)*100</f>
        <v>900</v>
      </c>
      <c r="D155" s="3" t="str">
        <f ca="1">VLOOKUP(table_DataQualities[[#This Row],[unit_ID]],table_Units[#All],2)</f>
        <v>+/- mm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5.18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6.2E-2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6.2E-2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5.18</v>
      </c>
      <c r="K155">
        <f t="shared" ca="1" si="38"/>
        <v>0.79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0</v>
      </c>
      <c r="O155">
        <f t="shared" ca="1" si="35"/>
        <v>3.9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0.51300000000000001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6135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0.51300000000000001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6135</v>
      </c>
      <c r="K156">
        <f t="shared" ca="1" si="38"/>
        <v>0.43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0</v>
      </c>
      <c r="O156">
        <f t="shared" ca="1" si="35"/>
        <v>4.5999999999999996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77_Längenmessgenauigkeit mm</v>
      </c>
      <c r="C157">
        <f t="shared" ref="C157:C167" ca="1" si="41">RANDBETWEEN(5,10)*100</f>
        <v>900</v>
      </c>
      <c r="D157" s="3" t="str">
        <f ca="1">VLOOKUP(table_DataQualities[[#This Row],[unit_ID]],table_Units[#All],2)</f>
        <v>+/- mm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1.1100000000000001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8.5999999999999993E-2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8.5999999999999993E-2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1.1100000000000001</v>
      </c>
      <c r="K157">
        <f t="shared" ca="1" si="38"/>
        <v>0.33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0</v>
      </c>
      <c r="O157">
        <f t="shared" ca="1" si="35"/>
        <v>1.7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9076.5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9076.5</v>
      </c>
      <c r="K158">
        <f t="shared" ca="1" si="38"/>
        <v>0.83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0</v>
      </c>
      <c r="O158">
        <f t="shared" ca="1" si="35"/>
        <v>2.2999999999999998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78_Längenmessgenauigkeit mm</v>
      </c>
      <c r="C159">
        <f t="shared" ref="C159" ca="1" si="42">RANDBETWEEN(5,10)*100</f>
        <v>900</v>
      </c>
      <c r="D159" s="3" t="str">
        <f ca="1">VLOOKUP(table_DataQualities[[#This Row],[unit_ID]],table_Units[#All],2)</f>
        <v>+/- mm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8.34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8.9999999999999993E-3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8.9999999999999993E-3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8.34</v>
      </c>
      <c r="K159">
        <f t="shared" ca="1" si="38"/>
        <v>0.71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0</v>
      </c>
      <c r="O159">
        <f t="shared" ca="1" si="35"/>
        <v>2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0.59599999999999997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2851.2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0.59599999999999997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2851.2</v>
      </c>
      <c r="K160">
        <f t="shared" ca="1" si="38"/>
        <v>0.89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0</v>
      </c>
      <c r="O160">
        <f t="shared" ca="1" si="35"/>
        <v>4.2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79_Leistungsmessgenauigkeit W</v>
      </c>
      <c r="C161">
        <f t="shared" ca="1" si="41"/>
        <v>600</v>
      </c>
      <c r="D161" s="3" t="str">
        <f ca="1">VLOOKUP(table_DataQualities[[#This Row],[unit_ID]],table_Units[#All],2)</f>
        <v>+/- W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2.17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6.7000000000000004E-2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2.17</v>
      </c>
      <c r="K161">
        <f t="shared" ca="1" si="38"/>
        <v>0.85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0</v>
      </c>
      <c r="O161">
        <f t="shared" ca="1" si="35"/>
        <v>1.3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317.2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317.2</v>
      </c>
      <c r="K162">
        <f t="shared" ca="1" si="38"/>
        <v>0.11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0</v>
      </c>
      <c r="O162">
        <f t="shared" ca="1" si="35"/>
        <v>2.4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80_Geschwindigkeitsmessgenauigkeit mm/s</v>
      </c>
      <c r="C163">
        <f t="shared" ref="C163" ca="1" si="43">RANDBETWEEN(5,10)*100</f>
        <v>700</v>
      </c>
      <c r="D163" s="3" t="str">
        <f ca="1">VLOOKUP(table_DataQualities[[#This Row],[unit_ID]],table_Units[#All],2)</f>
        <v>+/- mm/s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0.98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</v>
      </c>
      <c r="K163">
        <f t="shared" ca="1" si="38"/>
        <v>0.76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0</v>
      </c>
      <c r="O163">
        <f t="shared" ca="1" si="35"/>
        <v>3.8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0.505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7968.4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0.505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7968.4</v>
      </c>
      <c r="K164">
        <f t="shared" ca="1" si="38"/>
        <v>0.63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0</v>
      </c>
      <c r="O164">
        <f t="shared" ca="1" si="35"/>
        <v>2.9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81_Längenmessgenauigkeit mm</v>
      </c>
      <c r="C165">
        <f t="shared" ca="1" si="41"/>
        <v>900</v>
      </c>
      <c r="D165" s="3" t="str">
        <f ca="1">VLOOKUP(table_DataQualities[[#This Row],[unit_ID]],table_Units[#All],2)</f>
        <v>+/- mm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9.73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9.73</v>
      </c>
      <c r="K165">
        <f t="shared" ca="1" si="38"/>
        <v>0.6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0</v>
      </c>
      <c r="O165">
        <f t="shared" ca="1" si="35"/>
        <v>4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0.72199999999999998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7270.3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0.72199999999999998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7270.3</v>
      </c>
      <c r="K166">
        <f t="shared" ca="1" si="38"/>
        <v>0.27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0</v>
      </c>
      <c r="O166">
        <f t="shared" ca="1" si="35"/>
        <v>3.2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82_Geschwindigkeitsmessgenauigkeit mm/s</v>
      </c>
      <c r="C167">
        <f t="shared" ca="1" si="41"/>
        <v>700</v>
      </c>
      <c r="D167" s="3" t="str">
        <f ca="1">VLOOKUP(table_DataQualities[[#This Row],[unit_ID]],table_Units[#All],2)</f>
        <v>+/- mm/s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0.28999999999999998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0.28999999999999998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</v>
      </c>
      <c r="K167">
        <f t="shared" ca="1" si="38"/>
        <v>0.95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0</v>
      </c>
      <c r="O167">
        <f t="shared" ca="1" si="35"/>
        <v>3.6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2528.6999999999998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2528.6999999999998</v>
      </c>
      <c r="K168">
        <f t="shared" ca="1" si="38"/>
        <v>0.89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0</v>
      </c>
      <c r="O168">
        <f t="shared" ca="1" si="35"/>
        <v>4.5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83_Temperaturmessgenauigkeit °C</v>
      </c>
      <c r="C169">
        <f ca="1">RANDBETWEEN(5,10)*100</f>
        <v>500</v>
      </c>
      <c r="D169" s="3" t="str">
        <f ca="1">VLOOKUP(table_DataQualities[[#This Row],[unit_ID]],table_Units[#All],2)</f>
        <v>+/- °C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69">
        <f t="shared" ca="1" si="38"/>
        <v>0.78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0</v>
      </c>
      <c r="O169">
        <f t="shared" ca="1" si="35"/>
        <v>2.6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0.56699999999999995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4841.5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0.56699999999999995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4841.5</v>
      </c>
      <c r="K170">
        <f t="shared" ca="1" si="38"/>
        <v>0.7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0</v>
      </c>
      <c r="O170">
        <f t="shared" ca="1" si="35"/>
        <v>4.8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84_Bildgröße</v>
      </c>
      <c r="C171">
        <f t="shared" ref="C171:C181" ca="1" si="44">RANDBETWEEN(5,10)*100</f>
        <v>1000</v>
      </c>
      <c r="D171" s="3" t="str">
        <f ca="1">VLOOKUP(table_DataQualities[[#This Row],[unit_ID]],table_Units[#All],2)</f>
        <v>bit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33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1718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33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1718</v>
      </c>
      <c r="K171">
        <f t="shared" ca="1" si="38"/>
        <v>0.6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0</v>
      </c>
      <c r="O171">
        <f t="shared" ca="1" si="35"/>
        <v>4.4000000000000004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0.41399999999999998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8631.2999999999993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0.41399999999999998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8631.2999999999993</v>
      </c>
      <c r="K172">
        <f t="shared" ca="1" si="38"/>
        <v>0.34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0</v>
      </c>
      <c r="O172">
        <f t="shared" ca="1" si="35"/>
        <v>2.1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85_Längenmessgenauigkeit mm</v>
      </c>
      <c r="C173">
        <f t="shared" ref="C173" ca="1" si="45">RANDBETWEEN(5,10)*100</f>
        <v>900</v>
      </c>
      <c r="D173" s="3" t="str">
        <f ca="1">VLOOKUP(table_DataQualities[[#This Row],[unit_ID]],table_Units[#All],2)</f>
        <v>+/- mm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1.1100000000000001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5.2999999999999999E-2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1.1100000000000001</v>
      </c>
      <c r="K173">
        <f t="shared" ca="1" si="38"/>
        <v>0.36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0</v>
      </c>
      <c r="O173">
        <f t="shared" ca="1" si="35"/>
        <v>3.6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0.77600000000000002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3583.7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0.77600000000000002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3583.7</v>
      </c>
      <c r="K174">
        <f t="shared" ca="1" si="38"/>
        <v>0.41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0</v>
      </c>
      <c r="O174">
        <f t="shared" ca="1" si="35"/>
        <v>4.3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86_Durchflussmessgenauigkeit cm³/s</v>
      </c>
      <c r="C175">
        <f t="shared" ca="1" si="44"/>
        <v>800</v>
      </c>
      <c r="D175" s="3" t="str">
        <f ca="1">VLOOKUP(table_DataQualities[[#This Row],[unit_ID]],table_Units[#All],2)</f>
        <v>+/- cm³/s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4.1000000000000002E-2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6.8999999999999999E-3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6.8999999999999999E-3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4.1000000000000002E-2</v>
      </c>
      <c r="K175">
        <f t="shared" ca="1" si="38"/>
        <v>0.2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0</v>
      </c>
      <c r="O175">
        <f t="shared" ca="1" si="35"/>
        <v>1.8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0.85099999999999998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7018.7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0.85099999999999998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7018.7</v>
      </c>
      <c r="K176">
        <f t="shared" ca="1" si="38"/>
        <v>0.96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0</v>
      </c>
      <c r="O176">
        <f t="shared" ca="1" si="35"/>
        <v>3.2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87_Leistungsmessgenauigkeit W</v>
      </c>
      <c r="C177">
        <f t="shared" ref="C177" ca="1" si="46">RANDBETWEEN(5,10)*100</f>
        <v>600</v>
      </c>
      <c r="D177" s="3" t="str">
        <f ca="1">VLOOKUP(table_DataQualities[[#This Row],[unit_ID]],table_Units[#All],2)</f>
        <v>+/- W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6.57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6.57</v>
      </c>
      <c r="K177">
        <f t="shared" ca="1" si="38"/>
        <v>0.32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0</v>
      </c>
      <c r="O177">
        <f t="shared" ca="1" si="35"/>
        <v>1.3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0.76400000000000001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4015.5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0.76400000000000001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4015.5</v>
      </c>
      <c r="K178">
        <f t="shared" ca="1" si="38"/>
        <v>0.55000000000000004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0</v>
      </c>
      <c r="O178">
        <f t="shared" ca="1" si="35"/>
        <v>3.4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88_Bildgröße</v>
      </c>
      <c r="C179">
        <f t="shared" ca="1" si="44"/>
        <v>1000</v>
      </c>
      <c r="D179" s="3" t="str">
        <f ca="1">VLOOKUP(table_DataQualities[[#This Row],[unit_ID]],table_Units[#All],2)</f>
        <v>bit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91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1887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91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1887</v>
      </c>
      <c r="K179">
        <f t="shared" ca="1" si="38"/>
        <v>0.34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0</v>
      </c>
      <c r="O179">
        <f t="shared" ca="1" si="35"/>
        <v>3.3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3.2000000000000001E-2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9307.7000000000007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3.2000000000000001E-2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9307.7000000000007</v>
      </c>
      <c r="K180">
        <f t="shared" ca="1" si="38"/>
        <v>0.56000000000000005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0</v>
      </c>
      <c r="O180">
        <f t="shared" ca="1" si="35"/>
        <v>4.9000000000000004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89_Leistungsmessgenauigkeit W</v>
      </c>
      <c r="C181">
        <f t="shared" ca="1" si="44"/>
        <v>600</v>
      </c>
      <c r="D181" s="3" t="str">
        <f ca="1">VLOOKUP(table_DataQualities[[#This Row],[unit_ID]],table_Units[#All],2)</f>
        <v>+/- W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7.49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3.5000000000000003E-2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7.49</v>
      </c>
      <c r="K181">
        <f t="shared" ca="1" si="38"/>
        <v>0.83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0</v>
      </c>
      <c r="O181">
        <f t="shared" ca="1" si="35"/>
        <v>2.2000000000000002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0.21099999999999999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6720.7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0.21099999999999999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6720.7</v>
      </c>
      <c r="K182">
        <f t="shared" ca="1" si="38"/>
        <v>0.38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0</v>
      </c>
      <c r="O182">
        <f t="shared" ca="1" si="35"/>
        <v>3.7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90_Temperaturmessgenauigkeit °C</v>
      </c>
      <c r="C183">
        <f ca="1">RANDBETWEEN(5,10)*100</f>
        <v>500</v>
      </c>
      <c r="D183" s="3" t="str">
        <f ca="1">VLOOKUP(table_DataQualities[[#This Row],[unit_ID]],table_Units[#All],2)</f>
        <v>+/- °C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83">
        <f t="shared" ca="1" si="38"/>
        <v>0.32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0</v>
      </c>
      <c r="O183">
        <f t="shared" ca="1" si="35"/>
        <v>1.5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0.64200000000000002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6799.3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0.64200000000000002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6799.3</v>
      </c>
      <c r="K184">
        <f t="shared" ca="1" si="38"/>
        <v>0.19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0</v>
      </c>
      <c r="O184">
        <f t="shared" ca="1" si="35"/>
        <v>2.2000000000000002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91_Längenmessgenauigkeit mm</v>
      </c>
      <c r="C185">
        <f t="shared" ref="C185:C195" ca="1" si="47">RANDBETWEEN(5,10)*100</f>
        <v>900</v>
      </c>
      <c r="D185" s="3" t="str">
        <f ca="1">VLOOKUP(table_DataQualities[[#This Row],[unit_ID]],table_Units[#All],2)</f>
        <v>+/- mm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4.62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3.9E-2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3.9E-2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4.62</v>
      </c>
      <c r="K185">
        <f t="shared" ca="1" si="38"/>
        <v>0.24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0</v>
      </c>
      <c r="O185">
        <f t="shared" ca="1" si="35"/>
        <v>4.5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0.42599999999999999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4194.7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0.42599999999999999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4194.7</v>
      </c>
      <c r="K186">
        <f t="shared" ca="1" si="38"/>
        <v>0.24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0</v>
      </c>
      <c r="O186">
        <f t="shared" ca="1" si="35"/>
        <v>3.7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92_Leistungsmessgenauigkeit W</v>
      </c>
      <c r="C187">
        <f t="shared" ref="C187" ca="1" si="48">RANDBETWEEN(5,10)*100</f>
        <v>600</v>
      </c>
      <c r="D187" s="3" t="str">
        <f ca="1">VLOOKUP(table_DataQualities[[#This Row],[unit_ID]],table_Units[#All],2)</f>
        <v>+/- W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4.29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3.7999999999999999E-2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4.29</v>
      </c>
      <c r="K187">
        <f t="shared" ca="1" si="38"/>
        <v>0.25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0</v>
      </c>
      <c r="O187">
        <f t="shared" ca="1" si="35"/>
        <v>3.8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0.47299999999999998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8120.4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0.47299999999999998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8120.4</v>
      </c>
      <c r="K188">
        <f t="shared" ca="1" si="38"/>
        <v>7.0000000000000007E-2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0</v>
      </c>
      <c r="O188">
        <f t="shared" ca="1" si="35"/>
        <v>3.2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93_Temperaturmessgenauigkeit °C</v>
      </c>
      <c r="C189">
        <f t="shared" ca="1" si="47"/>
        <v>500</v>
      </c>
      <c r="D189" s="3" t="str">
        <f ca="1">VLOOKUP(table_DataQualities[[#This Row],[unit_ID]],table_Units[#All],2)</f>
        <v>+/- °C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89">
        <f t="shared" ca="1" si="38"/>
        <v>0.06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0</v>
      </c>
      <c r="O189">
        <f t="shared" ca="1" si="35"/>
        <v>1.6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0.31900000000000001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963.4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0.31900000000000001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963.4</v>
      </c>
      <c r="K190">
        <f t="shared" ca="1" si="38"/>
        <v>0.06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0</v>
      </c>
      <c r="O190">
        <f t="shared" ca="1" si="35"/>
        <v>3.2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94_Längenmessgenauigkeit mm</v>
      </c>
      <c r="C191">
        <f t="shared" ref="C191" ca="1" si="49">RANDBETWEEN(5,10)*100</f>
        <v>900</v>
      </c>
      <c r="D191" s="3" t="str">
        <f ca="1">VLOOKUP(table_DataQualities[[#This Row],[unit_ID]],table_Units[#All],2)</f>
        <v>+/- mm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1.58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9.4E-2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9.4E-2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1.58</v>
      </c>
      <c r="K191">
        <f t="shared" ca="1" si="38"/>
        <v>0.74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0</v>
      </c>
      <c r="O191">
        <f t="shared" ca="1" si="35"/>
        <v>4.4000000000000004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0.80800000000000005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2186.1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0.80800000000000005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2186.1</v>
      </c>
      <c r="K192">
        <f t="shared" ca="1" si="38"/>
        <v>0.26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0</v>
      </c>
      <c r="O192">
        <f t="shared" ca="1" si="35"/>
        <v>4.9000000000000004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95_Temperaturmessgenauigkeit °C</v>
      </c>
      <c r="C193">
        <f t="shared" ca="1" si="47"/>
        <v>500</v>
      </c>
      <c r="D193" s="3" t="str">
        <f ca="1">VLOOKUP(table_DataQualities[[#This Row],[unit_ID]],table_Units[#All],2)</f>
        <v>+/- °C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93">
        <f t="shared" ca="1" si="38"/>
        <v>0.41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0</v>
      </c>
      <c r="O193">
        <f t="shared" ca="1" si="35"/>
        <v>4.3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0.45800000000000002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1399.6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0.45800000000000002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1399.6</v>
      </c>
      <c r="K194">
        <f t="shared" ca="1" si="38"/>
        <v>0.73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0</v>
      </c>
      <c r="O194">
        <f t="shared" ca="1" si="35"/>
        <v>2.4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96_Durchflussmessgenauigkeit cm³/s</v>
      </c>
      <c r="C195">
        <f t="shared" ca="1" si="47"/>
        <v>800</v>
      </c>
      <c r="D195" s="3" t="str">
        <f ca="1">VLOOKUP(table_DataQualities[[#This Row],[unit_ID]],table_Units[#All],2)</f>
        <v>+/- cm³/s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6.8000000000000005E-2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4.1000000000000003E-3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4.1000000000000003E-3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6.8000000000000005E-2</v>
      </c>
      <c r="K195">
        <f t="shared" ca="1" si="38"/>
        <v>0.39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0</v>
      </c>
      <c r="O195">
        <f t="shared" ref="O195:O258" ca="1" si="50">RANDBETWEEN(12,50)/10</f>
        <v>1.4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0.68500000000000005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2106.5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0.68500000000000005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2106.5</v>
      </c>
      <c r="K196">
        <f t="shared" ca="1" si="38"/>
        <v>0.47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0</v>
      </c>
      <c r="O196">
        <f t="shared" ca="1" si="50"/>
        <v>3.8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97_Längenmessgenauigkeit mm</v>
      </c>
      <c r="C197">
        <f ca="1">RANDBETWEEN(5,10)*100</f>
        <v>900</v>
      </c>
      <c r="D197" s="3" t="str">
        <f ca="1">VLOOKUP(table_DataQualities[[#This Row],[unit_ID]],table_Units[#All],2)</f>
        <v>+/- mm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2.15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3.7999999999999999E-2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2.15</v>
      </c>
      <c r="K197">
        <f t="shared" ca="1" si="38"/>
        <v>0.4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0</v>
      </c>
      <c r="O197">
        <f t="shared" ca="1" si="50"/>
        <v>4.2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0.99299999999999999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1780.1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0.99299999999999999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1780.1</v>
      </c>
      <c r="K198">
        <f t="shared" ca="1" si="38"/>
        <v>0.34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0</v>
      </c>
      <c r="O198">
        <f t="shared" ca="1" si="50"/>
        <v>3.2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98_Geschwindigkeitsmessgenauigkeit mm/s</v>
      </c>
      <c r="C199">
        <f t="shared" ref="C199:C209" ca="1" si="51">RANDBETWEEN(5,10)*100</f>
        <v>700</v>
      </c>
      <c r="D199" s="3" t="str">
        <f ca="1">VLOOKUP(table_DataQualities[[#This Row],[unit_ID]],table_Units[#All],2)</f>
        <v>+/- mm/s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2.6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2.6</v>
      </c>
      <c r="K199">
        <f t="shared" ca="1" si="38"/>
        <v>0.39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0</v>
      </c>
      <c r="O199">
        <f t="shared" ca="1" si="50"/>
        <v>1.4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0.39500000000000002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1713.4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0.39500000000000002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1713.4</v>
      </c>
      <c r="K200">
        <f t="shared" ca="1" si="38"/>
        <v>0.23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0</v>
      </c>
      <c r="O200">
        <f t="shared" ca="1" si="50"/>
        <v>1.4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99_Leistungsmessgenauigkeit W</v>
      </c>
      <c r="C201">
        <f t="shared" ref="C201" ca="1" si="52">RANDBETWEEN(5,10)*100</f>
        <v>600</v>
      </c>
      <c r="D201" s="3" t="str">
        <f ca="1">VLOOKUP(table_DataQualities[[#This Row],[unit_ID]],table_Units[#All],2)</f>
        <v>+/- W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0.83</v>
      </c>
      <c r="K201">
        <f t="shared" ca="1" si="38"/>
        <v>0.27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0</v>
      </c>
      <c r="O201">
        <f t="shared" ca="1" si="50"/>
        <v>4.3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0.59799999999999998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8064.4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0.59799999999999998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8064.4</v>
      </c>
      <c r="K202">
        <f t="shared" ca="1" si="38"/>
        <v>0.63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0</v>
      </c>
      <c r="O202">
        <f t="shared" ca="1" si="50"/>
        <v>2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100_Bildgröße</v>
      </c>
      <c r="C203">
        <f t="shared" ca="1" si="51"/>
        <v>1000</v>
      </c>
      <c r="D203" s="3" t="str">
        <f ca="1">VLOOKUP(table_DataQualities[[#This Row],[unit_ID]],table_Units[#All],2)</f>
        <v>bit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49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8046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49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8046</v>
      </c>
      <c r="K203">
        <f t="shared" ca="1" si="38"/>
        <v>0.72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0</v>
      </c>
      <c r="O203">
        <f t="shared" ca="1" si="50"/>
        <v>3.9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0.873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2056.1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0.873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2056.1</v>
      </c>
      <c r="K204">
        <f t="shared" ca="1" si="38"/>
        <v>0.92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0</v>
      </c>
      <c r="O204">
        <f t="shared" ca="1" si="50"/>
        <v>2.1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101_Leistungsmessgenauigkeit W</v>
      </c>
      <c r="C205">
        <f t="shared" ref="C205" ca="1" si="53">RANDBETWEEN(5,10)*100</f>
        <v>600</v>
      </c>
      <c r="D205" s="3" t="str">
        <f ca="1">VLOOKUP(table_DataQualities[[#This Row],[unit_ID]],table_Units[#All],2)</f>
        <v>+/- W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1.2E-2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05">
        <f t="shared" ca="1" si="38"/>
        <v>0.28999999999999998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0</v>
      </c>
      <c r="O205">
        <f t="shared" ca="1" si="50"/>
        <v>4.5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2720.6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2720.6</v>
      </c>
      <c r="K206">
        <f t="shared" ca="1" si="38"/>
        <v>7.0000000000000007E-2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0</v>
      </c>
      <c r="O206">
        <f t="shared" ca="1" si="50"/>
        <v>4.0999999999999996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102_Bildgröße</v>
      </c>
      <c r="C207">
        <f t="shared" ca="1" si="51"/>
        <v>1000</v>
      </c>
      <c r="D207" s="3" t="str">
        <f ca="1">VLOOKUP(table_DataQualities[[#This Row],[unit_ID]],table_Units[#All],2)</f>
        <v>bit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69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4330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69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4330</v>
      </c>
      <c r="K207">
        <f t="shared" ref="K207:K270" ca="1" si="54">ROUND(RAND(),2)</f>
        <v>0.59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0</v>
      </c>
      <c r="O207">
        <f t="shared" ca="1" si="50"/>
        <v>1.8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0.14599999999999999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7921.1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0.14599999999999999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7921.1</v>
      </c>
      <c r="K208">
        <f t="shared" ca="1" si="54"/>
        <v>0.22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0</v>
      </c>
      <c r="O208">
        <f t="shared" ca="1" si="50"/>
        <v>2.1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103_Geschwindigkeitsmessgenauigkeit mm/s</v>
      </c>
      <c r="C209">
        <f t="shared" ca="1" si="51"/>
        <v>700</v>
      </c>
      <c r="D209" s="3" t="str">
        <f ca="1">VLOOKUP(table_DataQualities[[#This Row],[unit_ID]],table_Units[#All],2)</f>
        <v>+/- mm/s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9.3000000000000007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0.31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9.3000000000000007</v>
      </c>
      <c r="K209">
        <f t="shared" ca="1" si="54"/>
        <v>0.93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0</v>
      </c>
      <c r="O209">
        <f t="shared" ca="1" si="50"/>
        <v>1.5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0.80700000000000005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2739.3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0.80700000000000005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2739.3</v>
      </c>
      <c r="K210">
        <f t="shared" ca="1" si="54"/>
        <v>0.94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0</v>
      </c>
      <c r="O210">
        <f t="shared" ca="1" si="50"/>
        <v>2.7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104_Temperaturmessgenauigkeit °C</v>
      </c>
      <c r="C211">
        <f ca="1">RANDBETWEEN(5,10)*100</f>
        <v>500</v>
      </c>
      <c r="D211" s="3" t="str">
        <f ca="1">VLOOKUP(table_DataQualities[[#This Row],[unit_ID]],table_Units[#All],2)</f>
        <v>+/- °C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11">
        <f t="shared" ca="1" si="54"/>
        <v>0.9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0</v>
      </c>
      <c r="O211">
        <f t="shared" ca="1" si="50"/>
        <v>1.8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1841.8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1841.8</v>
      </c>
      <c r="K212">
        <f t="shared" ca="1" si="54"/>
        <v>0.36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0</v>
      </c>
      <c r="O212">
        <f t="shared" ca="1" si="50"/>
        <v>1.7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105_Leistungsmessgenauigkeit W</v>
      </c>
      <c r="C213">
        <f t="shared" ref="C213:C223" ca="1" si="55">RANDBETWEEN(5,10)*100</f>
        <v>600</v>
      </c>
      <c r="D213" s="3" t="str">
        <f ca="1">VLOOKUP(table_DataQualities[[#This Row],[unit_ID]],table_Units[#All],2)</f>
        <v>+/- W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4.0599999999999996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7.0999999999999994E-2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7.0999999999999994E-2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4.0599999999999996</v>
      </c>
      <c r="K213">
        <f t="shared" ca="1" si="54"/>
        <v>0.31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0</v>
      </c>
      <c r="O213">
        <f t="shared" ca="1" si="50"/>
        <v>4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0.71599999999999997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4845.7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0.71599999999999997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4845.7</v>
      </c>
      <c r="K214">
        <f t="shared" ca="1" si="54"/>
        <v>0.64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0</v>
      </c>
      <c r="O214">
        <f t="shared" ca="1" si="50"/>
        <v>2.4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106_Temperaturmessgenauigkeit °C</v>
      </c>
      <c r="C215">
        <f t="shared" ref="C215" ca="1" si="56">RANDBETWEEN(5,10)*100</f>
        <v>500</v>
      </c>
      <c r="D215" s="3" t="str">
        <f ca="1">VLOOKUP(table_DataQualities[[#This Row],[unit_ID]],table_Units[#All],2)</f>
        <v>+/- °C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15">
        <f t="shared" ca="1" si="54"/>
        <v>0.61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0</v>
      </c>
      <c r="O215">
        <f t="shared" ca="1" si="50"/>
        <v>3.9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6353.5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6353.5</v>
      </c>
      <c r="K216">
        <f t="shared" ca="1" si="54"/>
        <v>0.41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0</v>
      </c>
      <c r="O216">
        <f t="shared" ca="1" si="50"/>
        <v>4.8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107_Durchflussmessgenauigkeit cm³/s</v>
      </c>
      <c r="C217">
        <f t="shared" ca="1" si="55"/>
        <v>800</v>
      </c>
      <c r="D217" s="3" t="str">
        <f ca="1">VLOOKUP(table_DataQualities[[#This Row],[unit_ID]],table_Units[#All],2)</f>
        <v>+/- cm³/s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0.24099999999999999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4.1000000000000003E-3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4.1000000000000003E-3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0.24099999999999999</v>
      </c>
      <c r="K217">
        <f t="shared" ca="1" si="54"/>
        <v>0.63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0</v>
      </c>
      <c r="O217">
        <f t="shared" ca="1" si="50"/>
        <v>3.2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0.92500000000000004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3548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0.92500000000000004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3548</v>
      </c>
      <c r="K218">
        <f t="shared" ca="1" si="54"/>
        <v>0.42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0</v>
      </c>
      <c r="O218">
        <f t="shared" ca="1" si="50"/>
        <v>3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108_Temperaturmessgenauigkeit °C</v>
      </c>
      <c r="C219">
        <f t="shared" ref="C219" ca="1" si="57">RANDBETWEEN(5,10)*100</f>
        <v>500</v>
      </c>
      <c r="D219" s="3" t="str">
        <f ca="1">VLOOKUP(table_DataQualities[[#This Row],[unit_ID]],table_Units[#All],2)</f>
        <v>+/- °C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219">
        <f t="shared" ca="1" si="54"/>
        <v>0.04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0</v>
      </c>
      <c r="O219">
        <f t="shared" ca="1" si="50"/>
        <v>1.7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0.19700000000000001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7323.4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0.19700000000000001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7323.4</v>
      </c>
      <c r="K220">
        <f t="shared" ca="1" si="54"/>
        <v>0.73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0</v>
      </c>
      <c r="O220">
        <f t="shared" ca="1" si="50"/>
        <v>2.7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109_Leistungsmessgenauigkeit W</v>
      </c>
      <c r="C221">
        <f t="shared" ca="1" si="55"/>
        <v>600</v>
      </c>
      <c r="D221" s="3" t="str">
        <f ca="1">VLOOKUP(table_DataQualities[[#This Row],[unit_ID]],table_Units[#All],2)</f>
        <v>+/- W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6.75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9.2999999999999999E-2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9.2999999999999999E-2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6.75</v>
      </c>
      <c r="K221">
        <f t="shared" ca="1" si="54"/>
        <v>0.21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0</v>
      </c>
      <c r="O221">
        <f t="shared" ca="1" si="50"/>
        <v>2.2999999999999998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0.81399999999999995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4730.3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0.81399999999999995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4730.3</v>
      </c>
      <c r="K222">
        <f t="shared" ca="1" si="54"/>
        <v>0.93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0</v>
      </c>
      <c r="O222">
        <f t="shared" ca="1" si="50"/>
        <v>3.5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110_Leistungsmessgenauigkeit W</v>
      </c>
      <c r="C223">
        <f t="shared" ca="1" si="55"/>
        <v>600</v>
      </c>
      <c r="D223" s="3" t="str">
        <f ca="1">VLOOKUP(table_DataQualities[[#This Row],[unit_ID]],table_Units[#All],2)</f>
        <v>+/- W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3.6999999999999998E-2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3.6999999999999998E-2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0.88</v>
      </c>
      <c r="K223">
        <f t="shared" ca="1" si="54"/>
        <v>0.76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0</v>
      </c>
      <c r="O223">
        <f t="shared" ca="1" si="50"/>
        <v>4.4000000000000004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3999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3999</v>
      </c>
      <c r="K224">
        <f t="shared" ca="1" si="54"/>
        <v>0.39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0</v>
      </c>
      <c r="O224">
        <f t="shared" ca="1" si="50"/>
        <v>3.5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111_Bildgröße</v>
      </c>
      <c r="C225">
        <f ca="1">RANDBETWEEN(5,10)*100</f>
        <v>1000</v>
      </c>
      <c r="D225" s="3" t="str">
        <f ca="1">VLOOKUP(table_DataQualities[[#This Row],[unit_ID]],table_Units[#All],2)</f>
        <v>bit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75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2038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75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2038</v>
      </c>
      <c r="K225">
        <f t="shared" ca="1" si="54"/>
        <v>0.52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0</v>
      </c>
      <c r="O225">
        <f t="shared" ca="1" si="50"/>
        <v>1.7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171.8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171.8</v>
      </c>
      <c r="K226">
        <f t="shared" ca="1" si="54"/>
        <v>0.27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0</v>
      </c>
      <c r="O226">
        <f t="shared" ca="1" si="50"/>
        <v>2.2000000000000002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112_Geschwindigkeitsmessgenauigkeit mm/s</v>
      </c>
      <c r="C227">
        <f t="shared" ref="C227:C237" ca="1" si="58">RANDBETWEEN(5,10)*100</f>
        <v>700</v>
      </c>
      <c r="D227" s="3" t="str">
        <f ca="1">VLOOKUP(table_DataQualities[[#This Row],[unit_ID]],table_Units[#All],2)</f>
        <v>+/- mm/s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0.42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</v>
      </c>
      <c r="K227">
        <f t="shared" ca="1" si="54"/>
        <v>0.71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0</v>
      </c>
      <c r="O227">
        <f t="shared" ca="1" si="50"/>
        <v>3.2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0.42199999999999999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1559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0.42199999999999999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1559</v>
      </c>
      <c r="K228">
        <f t="shared" ca="1" si="54"/>
        <v>0.55000000000000004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0</v>
      </c>
      <c r="O228">
        <f t="shared" ca="1" si="50"/>
        <v>2.6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113_Temperaturmessgenauigkeit °C</v>
      </c>
      <c r="C229">
        <f t="shared" ref="C229" ca="1" si="59">RANDBETWEEN(5,10)*100</f>
        <v>500</v>
      </c>
      <c r="D229" s="3" t="str">
        <f ca="1">VLOOKUP(table_DataQualities[[#This Row],[unit_ID]],table_Units[#All],2)</f>
        <v>+/- °C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29">
        <f t="shared" ca="1" si="54"/>
        <v>0.04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0</v>
      </c>
      <c r="O229">
        <f t="shared" ca="1" si="50"/>
        <v>1.7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2.5000000000000001E-2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6883.1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2.5000000000000001E-2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6883.1</v>
      </c>
      <c r="K230">
        <f t="shared" ca="1" si="54"/>
        <v>0.53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0</v>
      </c>
      <c r="O230">
        <f t="shared" ca="1" si="50"/>
        <v>3.7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114_Geschwindigkeitsmessgenauigkeit mm/s</v>
      </c>
      <c r="C231">
        <f t="shared" ca="1" si="58"/>
        <v>700</v>
      </c>
      <c r="D231" s="3" t="str">
        <f ca="1">VLOOKUP(table_DataQualities[[#This Row],[unit_ID]],table_Units[#All],2)</f>
        <v>+/- mm/s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0.34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</v>
      </c>
      <c r="K231">
        <f t="shared" ca="1" si="54"/>
        <v>0.01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0</v>
      </c>
      <c r="O231">
        <f t="shared" ca="1" si="50"/>
        <v>2.9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0.57399999999999995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3742.1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0.57399999999999995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3742.1</v>
      </c>
      <c r="K232">
        <f t="shared" ca="1" si="54"/>
        <v>0.61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0</v>
      </c>
      <c r="O232">
        <f t="shared" ca="1" si="50"/>
        <v>1.8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115_Temperaturmessgenauigkeit °C</v>
      </c>
      <c r="C233">
        <f t="shared" ref="C233" ca="1" si="60">RANDBETWEEN(5,10)*100</f>
        <v>500</v>
      </c>
      <c r="D233" s="3" t="str">
        <f ca="1">VLOOKUP(table_DataQualities[[#This Row],[unit_ID]],table_Units[#All],2)</f>
        <v>+/- °C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233">
        <f t="shared" ca="1" si="54"/>
        <v>0.37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0</v>
      </c>
      <c r="O233">
        <f t="shared" ca="1" si="50"/>
        <v>2.1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0.72599999999999998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4873.3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0.72599999999999998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4873.3</v>
      </c>
      <c r="K234">
        <f t="shared" ca="1" si="54"/>
        <v>0.27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0</v>
      </c>
      <c r="O234">
        <f t="shared" ca="1" si="50"/>
        <v>4.0999999999999996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116_Bildgröße</v>
      </c>
      <c r="C235">
        <f t="shared" ca="1" si="58"/>
        <v>1000</v>
      </c>
      <c r="D235" s="3" t="str">
        <f ca="1">VLOOKUP(table_DataQualities[[#This Row],[unit_ID]],table_Units[#All],2)</f>
        <v>bit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47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1864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47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1864</v>
      </c>
      <c r="K235">
        <f t="shared" ca="1" si="54"/>
        <v>0.82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0</v>
      </c>
      <c r="O235">
        <f t="shared" ca="1" si="50"/>
        <v>3.3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0.40500000000000003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6315.7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0.40500000000000003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6315.7</v>
      </c>
      <c r="K236">
        <f t="shared" ca="1" si="54"/>
        <v>0.9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0</v>
      </c>
      <c r="O236">
        <f t="shared" ca="1" si="50"/>
        <v>2.2000000000000002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117_Leistungsmessgenauigkeit W</v>
      </c>
      <c r="C237">
        <f t="shared" ca="1" si="58"/>
        <v>600</v>
      </c>
      <c r="D237" s="3" t="str">
        <f ca="1">VLOOKUP(table_DataQualities[[#This Row],[unit_ID]],table_Units[#All],2)</f>
        <v>+/- W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0.88</v>
      </c>
      <c r="K237">
        <f t="shared" ca="1" si="54"/>
        <v>0.77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0</v>
      </c>
      <c r="O237">
        <f t="shared" ca="1" si="50"/>
        <v>3.1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0.56100000000000005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1162.3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0.56100000000000005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1162.3</v>
      </c>
      <c r="K238">
        <f t="shared" ca="1" si="54"/>
        <v>0.62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0</v>
      </c>
      <c r="O238">
        <f t="shared" ca="1" si="50"/>
        <v>4.5999999999999996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118_Leistungsmessgenauigkeit W</v>
      </c>
      <c r="C239">
        <f ca="1">RANDBETWEEN(5,10)*100</f>
        <v>600</v>
      </c>
      <c r="D239" s="3" t="str">
        <f ca="1">VLOOKUP(table_DataQualities[[#This Row],[unit_ID]],table_Units[#All],2)</f>
        <v>+/- W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4.87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9.1999999999999998E-2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9.1999999999999998E-2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4.87</v>
      </c>
      <c r="K239">
        <f t="shared" ca="1" si="54"/>
        <v>0.35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0</v>
      </c>
      <c r="O239">
        <f t="shared" ca="1" si="50"/>
        <v>2.2999999999999998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0.217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7088.5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0.217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7088.5</v>
      </c>
      <c r="K240">
        <f t="shared" ca="1" si="54"/>
        <v>0.51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0</v>
      </c>
      <c r="O240">
        <f t="shared" ca="1" si="50"/>
        <v>2.7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119_Längenmessgenauigkeit mm</v>
      </c>
      <c r="C241">
        <f t="shared" ref="C241:C251" ca="1" si="61">RANDBETWEEN(5,10)*100</f>
        <v>900</v>
      </c>
      <c r="D241" s="3" t="str">
        <f ca="1">VLOOKUP(table_DataQualities[[#This Row],[unit_ID]],table_Units[#All],2)</f>
        <v>+/- mm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5.19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5.19</v>
      </c>
      <c r="K241">
        <f t="shared" ca="1" si="54"/>
        <v>0.14000000000000001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0</v>
      </c>
      <c r="O241">
        <f t="shared" ca="1" si="50"/>
        <v>1.7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0.22800000000000001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3602.8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0.22800000000000001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3602.8</v>
      </c>
      <c r="K242">
        <f t="shared" ca="1" si="54"/>
        <v>0.74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0</v>
      </c>
      <c r="O242">
        <f t="shared" ca="1" si="50"/>
        <v>2.2999999999999998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120_Temperaturmessgenauigkeit °C</v>
      </c>
      <c r="C243">
        <f t="shared" ref="C243" ca="1" si="62">RANDBETWEEN(5,10)*100</f>
        <v>500</v>
      </c>
      <c r="D243" s="3" t="str">
        <f ca="1">VLOOKUP(table_DataQualities[[#This Row],[unit_ID]],table_Units[#All],2)</f>
        <v>+/- °C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43">
        <f t="shared" ca="1" si="54"/>
        <v>0.78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0</v>
      </c>
      <c r="O243">
        <f t="shared" ca="1" si="50"/>
        <v>3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0.65400000000000003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9801.1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0.65400000000000003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9801.1</v>
      </c>
      <c r="K244">
        <f t="shared" ca="1" si="54"/>
        <v>0.44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0</v>
      </c>
      <c r="O244">
        <f t="shared" ca="1" si="50"/>
        <v>1.8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121_Durchflussmessgenauigkeit cm³/s</v>
      </c>
      <c r="C245">
        <f t="shared" ca="1" si="61"/>
        <v>800</v>
      </c>
      <c r="D245" s="3" t="str">
        <f ca="1">VLOOKUP(table_DataQualities[[#This Row],[unit_ID]],table_Units[#All],2)</f>
        <v>+/- cm³/s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0.19700000000000001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3.7000000000000002E-3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3.7000000000000002E-3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0.19700000000000001</v>
      </c>
      <c r="K245">
        <f t="shared" ca="1" si="54"/>
        <v>0.43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0</v>
      </c>
      <c r="O245">
        <f t="shared" ca="1" si="50"/>
        <v>1.8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0.26900000000000002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7234.9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0.26900000000000002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7234.9</v>
      </c>
      <c r="K246">
        <f t="shared" ca="1" si="54"/>
        <v>0.1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0</v>
      </c>
      <c r="O246">
        <f t="shared" ca="1" si="50"/>
        <v>2.9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122_Durchflussmessgenauigkeit cm³/s</v>
      </c>
      <c r="C247">
        <f t="shared" ref="C247" ca="1" si="63">RANDBETWEEN(5,10)*100</f>
        <v>800</v>
      </c>
      <c r="D247" s="3" t="str">
        <f ca="1">VLOOKUP(table_DataQualities[[#This Row],[unit_ID]],table_Units[#All],2)</f>
        <v>+/- cm³/s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0.312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0.312</v>
      </c>
      <c r="K247">
        <f t="shared" ca="1" si="54"/>
        <v>0.52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0</v>
      </c>
      <c r="O247">
        <f t="shared" ca="1" si="50"/>
        <v>4.8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0.70799999999999996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4446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0.70799999999999996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4446</v>
      </c>
      <c r="K248">
        <f t="shared" ca="1" si="54"/>
        <v>0.41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0</v>
      </c>
      <c r="O248">
        <f t="shared" ca="1" si="50"/>
        <v>4.3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123_Geschwindigkeitsmessgenauigkeit mm/s</v>
      </c>
      <c r="C249">
        <f t="shared" ca="1" si="61"/>
        <v>700</v>
      </c>
      <c r="D249" s="3" t="str">
        <f ca="1">VLOOKUP(table_DataQualities[[#This Row],[unit_ID]],table_Units[#All],2)</f>
        <v>+/- mm/s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</v>
      </c>
      <c r="K249">
        <f t="shared" ca="1" si="54"/>
        <v>0.89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0</v>
      </c>
      <c r="O249">
        <f t="shared" ca="1" si="50"/>
        <v>4.9000000000000004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0.60399999999999998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2539.9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0.60399999999999998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2539.9</v>
      </c>
      <c r="K250">
        <f t="shared" ca="1" si="54"/>
        <v>0.13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0</v>
      </c>
      <c r="O250">
        <f t="shared" ca="1" si="50"/>
        <v>1.4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124_Leistungsmessgenauigkeit W</v>
      </c>
      <c r="C251">
        <f t="shared" ca="1" si="61"/>
        <v>600</v>
      </c>
      <c r="D251" s="3" t="str">
        <f ca="1">VLOOKUP(table_DataQualities[[#This Row],[unit_ID]],table_Units[#All],2)</f>
        <v>+/- W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3.53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3.53</v>
      </c>
      <c r="K251">
        <f t="shared" ca="1" si="54"/>
        <v>0.9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0</v>
      </c>
      <c r="O251">
        <f t="shared" ca="1" si="50"/>
        <v>4.5999999999999996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0.84099999999999997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7958.4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0.84099999999999997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7958.4</v>
      </c>
      <c r="K252">
        <f t="shared" ca="1" si="54"/>
        <v>0.87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0</v>
      </c>
      <c r="O252">
        <f t="shared" ca="1" si="50"/>
        <v>2.6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125_Durchflussmessgenauigkeit cm³/s</v>
      </c>
      <c r="C253">
        <f ca="1">RANDBETWEEN(5,10)*100</f>
        <v>800</v>
      </c>
      <c r="D253" s="3" t="str">
        <f ca="1">VLOOKUP(table_DataQualities[[#This Row],[unit_ID]],table_Units[#All],2)</f>
        <v>+/- cm³/s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0.40899999999999997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8.3999999999999995E-3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8.3999999999999995E-3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0.40899999999999997</v>
      </c>
      <c r="K253">
        <f t="shared" ca="1" si="54"/>
        <v>0.99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0</v>
      </c>
      <c r="O253">
        <f t="shared" ca="1" si="50"/>
        <v>1.2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0.27800000000000002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5507.8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0.27800000000000002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5507.8</v>
      </c>
      <c r="K254">
        <f t="shared" ca="1" si="54"/>
        <v>0.88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0</v>
      </c>
      <c r="O254">
        <f t="shared" ca="1" si="50"/>
        <v>1.4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126_Längenmessgenauigkeit mm</v>
      </c>
      <c r="C255">
        <f t="shared" ref="C255:C265" ca="1" si="64">RANDBETWEEN(5,10)*100</f>
        <v>900</v>
      </c>
      <c r="D255" s="3" t="str">
        <f ca="1">VLOOKUP(table_DataQualities[[#This Row],[unit_ID]],table_Units[#All],2)</f>
        <v>+/- mm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4.25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4.7E-2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4.25</v>
      </c>
      <c r="K255">
        <f t="shared" ca="1" si="54"/>
        <v>0.41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0</v>
      </c>
      <c r="O255">
        <f t="shared" ca="1" si="50"/>
        <v>4.0999999999999996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0.184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6305.5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0.184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6305.5</v>
      </c>
      <c r="K256">
        <f t="shared" ca="1" si="54"/>
        <v>0.6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0</v>
      </c>
      <c r="O256">
        <f t="shared" ca="1" si="50"/>
        <v>2.9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127_Geschwindigkeitsmessgenauigkeit mm/s</v>
      </c>
      <c r="C257">
        <f t="shared" ref="C257" ca="1" si="65">RANDBETWEEN(5,10)*100</f>
        <v>700</v>
      </c>
      <c r="D257" s="3" t="str">
        <f ca="1">VLOOKUP(table_DataQualities[[#This Row],[unit_ID]],table_Units[#All],2)</f>
        <v>+/- mm/s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0.49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</v>
      </c>
      <c r="K257">
        <f t="shared" ca="1" si="54"/>
        <v>0.53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0</v>
      </c>
      <c r="O257">
        <f t="shared" ca="1" si="50"/>
        <v>4.5999999999999996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1203.2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1203.2</v>
      </c>
      <c r="K258">
        <f t="shared" ca="1" si="54"/>
        <v>0.01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0</v>
      </c>
      <c r="O258">
        <f t="shared" ca="1" si="50"/>
        <v>1.2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128_Durchflussmessgenauigkeit cm³/s</v>
      </c>
      <c r="C259">
        <f t="shared" ca="1" si="64"/>
        <v>800</v>
      </c>
      <c r="D259" s="3" t="str">
        <f ca="1">VLOOKUP(table_DataQualities[[#This Row],[unit_ID]],table_Units[#All],2)</f>
        <v>+/- cm³/s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0.36399999999999999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9.7000000000000003E-3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9.7000000000000003E-3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0.36399999999999999</v>
      </c>
      <c r="K259">
        <f t="shared" ca="1" si="54"/>
        <v>0.79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0</v>
      </c>
      <c r="O259">
        <f t="shared" ref="O259:O322" ca="1" si="66">RANDBETWEEN(12,50)/10</f>
        <v>3.1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6.8000000000000005E-2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5683.5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5683.5</v>
      </c>
      <c r="K260">
        <f t="shared" ca="1" si="54"/>
        <v>7.0000000000000007E-2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0</v>
      </c>
      <c r="O260">
        <f t="shared" ca="1" si="66"/>
        <v>4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129_Temperaturmessgenauigkeit °C</v>
      </c>
      <c r="C261">
        <f t="shared" ref="C261" ca="1" si="67">RANDBETWEEN(5,10)*100</f>
        <v>500</v>
      </c>
      <c r="D261" s="3" t="str">
        <f ca="1">VLOOKUP(table_DataQualities[[#This Row],[unit_ID]],table_Units[#All],2)</f>
        <v>+/- °C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261">
        <f t="shared" ca="1" si="54"/>
        <v>0.46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0</v>
      </c>
      <c r="O261">
        <f t="shared" ca="1" si="66"/>
        <v>2.5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0.251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5443.1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0.251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5443.1</v>
      </c>
      <c r="K262">
        <f t="shared" ca="1" si="54"/>
        <v>0.91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0</v>
      </c>
      <c r="O262">
        <f t="shared" ca="1" si="66"/>
        <v>3.6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130_Temperaturmessgenauigkeit °C</v>
      </c>
      <c r="C263">
        <f t="shared" ca="1" si="64"/>
        <v>500</v>
      </c>
      <c r="D263" s="3" t="str">
        <f ca="1">VLOOKUP(table_DataQualities[[#This Row],[unit_ID]],table_Units[#All],2)</f>
        <v>+/- °C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263">
        <f t="shared" ca="1" si="54"/>
        <v>0.88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0</v>
      </c>
      <c r="O263">
        <f t="shared" ca="1" si="66"/>
        <v>2.9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0.65300000000000002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2784.2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0.65300000000000002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2784.2</v>
      </c>
      <c r="K264">
        <f t="shared" ca="1" si="54"/>
        <v>0.66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0</v>
      </c>
      <c r="O264">
        <f t="shared" ca="1" si="66"/>
        <v>1.6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131_Bildgröße</v>
      </c>
      <c r="C265">
        <f t="shared" ca="1" si="64"/>
        <v>1000</v>
      </c>
      <c r="D265" s="3" t="str">
        <f ca="1">VLOOKUP(table_DataQualities[[#This Row],[unit_ID]],table_Units[#All],2)</f>
        <v>bit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27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6701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27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6701</v>
      </c>
      <c r="K265">
        <f t="shared" ca="1" si="54"/>
        <v>0.66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0</v>
      </c>
      <c r="O265">
        <f t="shared" ca="1" si="66"/>
        <v>3.7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9.2999999999999999E-2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2087.1999999999998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9.2999999999999999E-2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2087.1999999999998</v>
      </c>
      <c r="K266">
        <f t="shared" ca="1" si="54"/>
        <v>0.11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0</v>
      </c>
      <c r="O266">
        <f t="shared" ca="1" si="66"/>
        <v>1.9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132_Geschwindigkeitsmessgenauigkeit mm/s</v>
      </c>
      <c r="C267">
        <f ca="1">RANDBETWEEN(5,10)*100</f>
        <v>700</v>
      </c>
      <c r="D267" s="3" t="str">
        <f ca="1">VLOOKUP(table_DataQualities[[#This Row],[unit_ID]],table_Units[#All],2)</f>
        <v>+/- mm/s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8.8000000000000007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8.8000000000000007</v>
      </c>
      <c r="K267">
        <f t="shared" ca="1" si="54"/>
        <v>0.48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0</v>
      </c>
      <c r="O267">
        <f t="shared" ca="1" si="66"/>
        <v>4.0999999999999996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9.7000000000000003E-2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6636.9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6636.9</v>
      </c>
      <c r="K268">
        <f t="shared" ca="1" si="54"/>
        <v>0.86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0</v>
      </c>
      <c r="O268">
        <f t="shared" ca="1" si="66"/>
        <v>2.2000000000000002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133_Leistungsmessgenauigkeit W</v>
      </c>
      <c r="C269">
        <f t="shared" ref="C269:C277" ca="1" si="68">RANDBETWEEN(5,10)*100</f>
        <v>600</v>
      </c>
      <c r="D269" s="3" t="str">
        <f ca="1">VLOOKUP(table_DataQualities[[#This Row],[unit_ID]],table_Units[#All],2)</f>
        <v>+/- W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5.0999999999999996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1.4E-2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1.4E-2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5.0999999999999996</v>
      </c>
      <c r="K269">
        <f t="shared" ca="1" si="54"/>
        <v>0.25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0</v>
      </c>
      <c r="O269">
        <f t="shared" ca="1" si="66"/>
        <v>2.7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0.441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3740.9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0.441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3740.9</v>
      </c>
      <c r="K270">
        <f t="shared" ca="1" si="54"/>
        <v>0.48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0</v>
      </c>
      <c r="O270">
        <f t="shared" ca="1" si="66"/>
        <v>3.5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134_Bildgröße</v>
      </c>
      <c r="C271">
        <f t="shared" ref="C271" ca="1" si="69">RANDBETWEEN(5,10)*100</f>
        <v>1000</v>
      </c>
      <c r="D271" s="3" t="str">
        <f ca="1">VLOOKUP(table_DataQualities[[#This Row],[unit_ID]],table_Units[#All],2)</f>
        <v>bit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54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7473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54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7473</v>
      </c>
      <c r="K271">
        <f t="shared" ref="K271:K334" ca="1" si="70">ROUND(RAND(),2)</f>
        <v>0.51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0</v>
      </c>
      <c r="O271">
        <f t="shared" ca="1" si="66"/>
        <v>1.9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0.72399999999999998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7931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0.72399999999999998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7931</v>
      </c>
      <c r="K272">
        <f t="shared" ca="1" si="70"/>
        <v>0.55000000000000004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0</v>
      </c>
      <c r="O272">
        <f t="shared" ca="1" si="66"/>
        <v>2.2000000000000002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135_Leistungsmessgenauigkeit W</v>
      </c>
      <c r="C273">
        <f t="shared" ca="1" si="68"/>
        <v>600</v>
      </c>
      <c r="D273" s="3" t="str">
        <f ca="1">VLOOKUP(table_DataQualities[[#This Row],[unit_ID]],table_Units[#All],2)</f>
        <v>+/- W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5.32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4.1000000000000002E-2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4.1000000000000002E-2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5.32</v>
      </c>
      <c r="K273">
        <f t="shared" ca="1" si="70"/>
        <v>0.03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0</v>
      </c>
      <c r="O273">
        <f t="shared" ca="1" si="66"/>
        <v>1.4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0.41399999999999998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6145.2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0.41399999999999998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6145.2</v>
      </c>
      <c r="K274">
        <f t="shared" ca="1" si="70"/>
        <v>0.02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0</v>
      </c>
      <c r="O274">
        <f t="shared" ca="1" si="66"/>
        <v>4.0999999999999996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136_Leistungsmessgenauigkeit W</v>
      </c>
      <c r="C275">
        <f t="shared" ref="C275" ca="1" si="71">RANDBETWEEN(5,10)*100</f>
        <v>600</v>
      </c>
      <c r="D275" s="3" t="str">
        <f ca="1">VLOOKUP(table_DataQualities[[#This Row],[unit_ID]],table_Units[#All],2)</f>
        <v>+/- W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1.1200000000000001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3.9E-2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3.9E-2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1.1200000000000001</v>
      </c>
      <c r="K275">
        <f t="shared" ca="1" si="70"/>
        <v>0.87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0</v>
      </c>
      <c r="O275">
        <f t="shared" ca="1" si="66"/>
        <v>1.3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0.96699999999999997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6400.8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0.96699999999999997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6400.8</v>
      </c>
      <c r="K276">
        <f t="shared" ca="1" si="70"/>
        <v>0.16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0</v>
      </c>
      <c r="O276">
        <f t="shared" ca="1" si="66"/>
        <v>1.6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137_Geschwindigkeitsmessgenauigkeit mm/s</v>
      </c>
      <c r="C277">
        <f t="shared" ca="1" si="68"/>
        <v>700</v>
      </c>
      <c r="D277" s="3" t="str">
        <f ca="1">VLOOKUP(table_DataQualities[[#This Row],[unit_ID]],table_Units[#All],2)</f>
        <v>+/- mm/s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0.89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</v>
      </c>
      <c r="K277">
        <f t="shared" ca="1" si="70"/>
        <v>0.22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0</v>
      </c>
      <c r="O277">
        <f t="shared" ca="1" si="66"/>
        <v>3.3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0.79900000000000004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3729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0.79900000000000004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3729</v>
      </c>
      <c r="K278">
        <f t="shared" ca="1" si="70"/>
        <v>0.83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0</v>
      </c>
      <c r="O278">
        <f t="shared" ca="1" si="66"/>
        <v>4.9000000000000004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138_Bildgröße</v>
      </c>
      <c r="C279">
        <f t="shared" ref="C279:C285" ca="1" si="72">RANDBETWEEN(5,10)*100</f>
        <v>1000</v>
      </c>
      <c r="D279" s="3" t="str">
        <f ca="1">VLOOKUP(table_DataQualities[[#This Row],[unit_ID]],table_Units[#All],2)</f>
        <v>bit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61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4115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61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4115</v>
      </c>
      <c r="K279">
        <f t="shared" ca="1" si="70"/>
        <v>0.84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0</v>
      </c>
      <c r="O279">
        <f t="shared" ca="1" si="66"/>
        <v>4.7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0.36199999999999999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8451.2999999999993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0.36199999999999999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8451.2999999999993</v>
      </c>
      <c r="K280">
        <f t="shared" ca="1" si="70"/>
        <v>0.8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0</v>
      </c>
      <c r="O280">
        <f t="shared" ca="1" si="66"/>
        <v>2.9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139_Geschwindigkeitsmessgenauigkeit mm/s</v>
      </c>
      <c r="C281">
        <f t="shared" ref="C281:C283" ca="1" si="73">RANDBETWEEN(5,10)*100</f>
        <v>700</v>
      </c>
      <c r="D281" s="3" t="str">
        <f ca="1">VLOOKUP(table_DataQualities[[#This Row],[unit_ID]],table_Units[#All],2)</f>
        <v>+/- mm/s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0.13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</v>
      </c>
      <c r="K281">
        <f t="shared" ca="1" si="70"/>
        <v>0.11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0</v>
      </c>
      <c r="O281">
        <f t="shared" ca="1" si="66"/>
        <v>3.9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0.95199999999999996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9302.2999999999993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0.95199999999999996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9302.2999999999993</v>
      </c>
      <c r="K282">
        <f t="shared" ca="1" si="70"/>
        <v>0.92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0</v>
      </c>
      <c r="O282">
        <f t="shared" ca="1" si="66"/>
        <v>5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140_Längenmessgenauigkeit mm</v>
      </c>
      <c r="C283">
        <f t="shared" ca="1" si="73"/>
        <v>900</v>
      </c>
      <c r="D283" s="3" t="str">
        <f ca="1">VLOOKUP(table_DataQualities[[#This Row],[unit_ID]],table_Units[#All],2)</f>
        <v>+/- mm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5.27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9.1999999999999998E-2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9.1999999999999998E-2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5.27</v>
      </c>
      <c r="K283">
        <f t="shared" ca="1" si="70"/>
        <v>0.75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0</v>
      </c>
      <c r="O283">
        <f t="shared" ca="1" si="66"/>
        <v>1.9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0.28799999999999998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8141.4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0.28799999999999998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8141.4</v>
      </c>
      <c r="K284">
        <f t="shared" ca="1" si="70"/>
        <v>0.67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0</v>
      </c>
      <c r="O284">
        <f t="shared" ca="1" si="66"/>
        <v>1.6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141_Längenmessgenauigkeit mm</v>
      </c>
      <c r="C285">
        <f t="shared" ca="1" si="72"/>
        <v>900</v>
      </c>
      <c r="D285" s="3" t="str">
        <f ca="1">VLOOKUP(table_DataQualities[[#This Row],[unit_ID]],table_Units[#All],2)</f>
        <v>+/- mm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8.58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8.58</v>
      </c>
      <c r="K285">
        <f t="shared" ca="1" si="70"/>
        <v>0.45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0</v>
      </c>
      <c r="O285">
        <f t="shared" ca="1" si="66"/>
        <v>4.9000000000000004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0.88400000000000001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420.9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0.88400000000000001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420.9</v>
      </c>
      <c r="K286">
        <f t="shared" ca="1" si="70"/>
        <v>0.67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0</v>
      </c>
      <c r="O286">
        <f t="shared" ca="1" si="66"/>
        <v>3.3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142_Längenmessgenauigkeit mm</v>
      </c>
      <c r="C287">
        <f ca="1">RANDBETWEEN(5,10)*100</f>
        <v>900</v>
      </c>
      <c r="D287" s="3" t="str">
        <f ca="1">VLOOKUP(table_DataQualities[[#This Row],[unit_ID]],table_Units[#All],2)</f>
        <v>+/- mm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3.64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3.64</v>
      </c>
      <c r="K287">
        <f t="shared" ca="1" si="70"/>
        <v>0.96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0</v>
      </c>
      <c r="O287">
        <f t="shared" ca="1" si="66"/>
        <v>3.9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1431.8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1431.8</v>
      </c>
      <c r="K288">
        <f t="shared" ca="1" si="70"/>
        <v>0.95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0</v>
      </c>
      <c r="O288">
        <f t="shared" ca="1" si="66"/>
        <v>1.5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143_Längenmessgenauigkeit mm</v>
      </c>
      <c r="C289">
        <f t="shared" ref="C289:C299" ca="1" si="74">RANDBETWEEN(5,10)*100</f>
        <v>900</v>
      </c>
      <c r="D289" s="3" t="str">
        <f ca="1">VLOOKUP(table_DataQualities[[#This Row],[unit_ID]],table_Units[#All],2)</f>
        <v>+/- mm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5.43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7.8E-2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7.8E-2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5.43</v>
      </c>
      <c r="K289">
        <f t="shared" ca="1" si="70"/>
        <v>0.6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0</v>
      </c>
      <c r="O289">
        <f t="shared" ca="1" si="66"/>
        <v>3.4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0.23599999999999999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3737.8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0.23599999999999999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3737.8</v>
      </c>
      <c r="K290">
        <f t="shared" ca="1" si="70"/>
        <v>0.87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0</v>
      </c>
      <c r="O290">
        <f t="shared" ca="1" si="66"/>
        <v>3.5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144_Leistungsmessgenauigkeit W</v>
      </c>
      <c r="C291">
        <f t="shared" ref="C291" ca="1" si="75">RANDBETWEEN(5,10)*100</f>
        <v>600</v>
      </c>
      <c r="D291" s="3" t="str">
        <f ca="1">VLOOKUP(table_DataQualities[[#This Row],[unit_ID]],table_Units[#All],2)</f>
        <v>+/- W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6.12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2.8000000000000001E-2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2.8000000000000001E-2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6.12</v>
      </c>
      <c r="K291">
        <f t="shared" ca="1" si="70"/>
        <v>0.06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0</v>
      </c>
      <c r="O291">
        <f t="shared" ca="1" si="66"/>
        <v>3.2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8749.2000000000007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8749.2000000000007</v>
      </c>
      <c r="K292">
        <f t="shared" ca="1" si="70"/>
        <v>0.77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0</v>
      </c>
      <c r="O292">
        <f t="shared" ca="1" si="66"/>
        <v>3.7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145_Leistungsmessgenauigkeit W</v>
      </c>
      <c r="C293">
        <f t="shared" ca="1" si="74"/>
        <v>600</v>
      </c>
      <c r="D293" s="3" t="str">
        <f ca="1">VLOOKUP(table_DataQualities[[#This Row],[unit_ID]],table_Units[#All],2)</f>
        <v>+/- W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8.34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2.3E-2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2.3E-2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8.34</v>
      </c>
      <c r="K293">
        <f t="shared" ca="1" si="70"/>
        <v>0.68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0</v>
      </c>
      <c r="O293">
        <f t="shared" ca="1" si="66"/>
        <v>2.2999999999999998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0.30099999999999999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5307.8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0.30099999999999999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5307.8</v>
      </c>
      <c r="K294">
        <f t="shared" ca="1" si="70"/>
        <v>0.04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0</v>
      </c>
      <c r="O294">
        <f t="shared" ca="1" si="66"/>
        <v>4.2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146_Temperaturmessgenauigkeit °C</v>
      </c>
      <c r="C295">
        <f t="shared" ref="C295" ca="1" si="76">RANDBETWEEN(5,10)*100</f>
        <v>500</v>
      </c>
      <c r="D295" s="3" t="str">
        <f ca="1">VLOOKUP(table_DataQualities[[#This Row],[unit_ID]],table_Units[#All],2)</f>
        <v>+/- °C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295">
        <f t="shared" ca="1" si="70"/>
        <v>0.28000000000000003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0</v>
      </c>
      <c r="O295">
        <f t="shared" ca="1" si="66"/>
        <v>4.3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0.54700000000000004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5626.7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0.54700000000000004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5626.7</v>
      </c>
      <c r="K296">
        <f t="shared" ca="1" si="70"/>
        <v>0.34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0</v>
      </c>
      <c r="O296">
        <f t="shared" ca="1" si="66"/>
        <v>3.2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147_Bildgröße</v>
      </c>
      <c r="C297">
        <f t="shared" ca="1" si="74"/>
        <v>1000</v>
      </c>
      <c r="D297" s="3" t="str">
        <f ca="1">VLOOKUP(table_DataQualities[[#This Row],[unit_ID]],table_Units[#All],2)</f>
        <v>bit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79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8829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79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8829</v>
      </c>
      <c r="K297">
        <f t="shared" ca="1" si="70"/>
        <v>0.3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0</v>
      </c>
      <c r="O297">
        <f t="shared" ca="1" si="66"/>
        <v>2.4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0.129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2819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0.129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2819</v>
      </c>
      <c r="K298">
        <f t="shared" ca="1" si="70"/>
        <v>0.73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0</v>
      </c>
      <c r="O298">
        <f t="shared" ca="1" si="66"/>
        <v>1.3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148_Leistungsmessgenauigkeit W</v>
      </c>
      <c r="C299">
        <f t="shared" ca="1" si="74"/>
        <v>600</v>
      </c>
      <c r="D299" s="3" t="str">
        <f ca="1">VLOOKUP(table_DataQualities[[#This Row],[unit_ID]],table_Units[#All],2)</f>
        <v>+/- W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8.6999999999999993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8.6999999999999993</v>
      </c>
      <c r="K299">
        <f t="shared" ca="1" si="70"/>
        <v>0.56999999999999995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0</v>
      </c>
      <c r="O299">
        <f t="shared" ca="1" si="66"/>
        <v>2.8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0.35099999999999998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2778.7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0.35099999999999998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2778.7</v>
      </c>
      <c r="K300">
        <f t="shared" ca="1" si="70"/>
        <v>0.3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0</v>
      </c>
      <c r="O300">
        <f t="shared" ca="1" si="66"/>
        <v>2.8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149_Leistungsmessgenauigkeit W</v>
      </c>
      <c r="C301">
        <f ca="1">RANDBETWEEN(5,10)*100</f>
        <v>600</v>
      </c>
      <c r="D301" s="3" t="str">
        <f ca="1">VLOOKUP(table_DataQualities[[#This Row],[unit_ID]],table_Units[#All],2)</f>
        <v>+/- W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6.49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6.49</v>
      </c>
      <c r="K301">
        <f t="shared" ca="1" si="70"/>
        <v>0.32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0</v>
      </c>
      <c r="O301">
        <f t="shared" ca="1" si="66"/>
        <v>3.6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0.56499999999999995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5025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0.56499999999999995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5025</v>
      </c>
      <c r="K302">
        <f t="shared" ca="1" si="70"/>
        <v>0.19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0</v>
      </c>
      <c r="O302">
        <f t="shared" ca="1" si="66"/>
        <v>1.9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150_Temperaturmessgenauigkeit °C</v>
      </c>
      <c r="C303">
        <f t="shared" ref="C303:C313" ca="1" si="77">RANDBETWEEN(5,10)*100</f>
        <v>500</v>
      </c>
      <c r="D303" s="3" t="str">
        <f ca="1">VLOOKUP(table_DataQualities[[#This Row],[unit_ID]],table_Units[#All],2)</f>
        <v>+/- °C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03">
        <f t="shared" ca="1" si="70"/>
        <v>0.14000000000000001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0</v>
      </c>
      <c r="O303">
        <f t="shared" ca="1" si="66"/>
        <v>2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0.152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4220.7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0.152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4220.7</v>
      </c>
      <c r="K304">
        <f t="shared" ca="1" si="70"/>
        <v>0.08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0</v>
      </c>
      <c r="O304">
        <f t="shared" ca="1" si="66"/>
        <v>1.2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151_Längenmessgenauigkeit mm</v>
      </c>
      <c r="C305">
        <f t="shared" ref="C305" ca="1" si="78">RANDBETWEEN(5,10)*100</f>
        <v>900</v>
      </c>
      <c r="D305" s="3" t="str">
        <f ca="1">VLOOKUP(table_DataQualities[[#This Row],[unit_ID]],table_Units[#All],2)</f>
        <v>+/- mm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5.32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8.9999999999999993E-3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8.9999999999999993E-3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5.32</v>
      </c>
      <c r="K305">
        <f t="shared" ca="1" si="70"/>
        <v>0.28999999999999998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0</v>
      </c>
      <c r="O305">
        <f t="shared" ca="1" si="66"/>
        <v>2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0.77800000000000002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2114.6999999999998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0.77800000000000002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2114.6999999999998</v>
      </c>
      <c r="K306">
        <f t="shared" ca="1" si="70"/>
        <v>0.06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0</v>
      </c>
      <c r="O306">
        <f t="shared" ca="1" si="66"/>
        <v>2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152_Geschwindigkeitsmessgenauigkeit mm/s</v>
      </c>
      <c r="C307">
        <f t="shared" ca="1" si="77"/>
        <v>700</v>
      </c>
      <c r="D307" s="3" t="str">
        <f ca="1">VLOOKUP(table_DataQualities[[#This Row],[unit_ID]],table_Units[#All],2)</f>
        <v>+/- mm/s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5.0999999999999996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0.89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5.0999999999999996</v>
      </c>
      <c r="K307">
        <f t="shared" ca="1" si="70"/>
        <v>0.26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0</v>
      </c>
      <c r="O307">
        <f t="shared" ca="1" si="66"/>
        <v>4.3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0.48199999999999998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1389.8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0.48199999999999998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1389.8</v>
      </c>
      <c r="K308">
        <f t="shared" ca="1" si="70"/>
        <v>0.31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0</v>
      </c>
      <c r="O308">
        <f t="shared" ca="1" si="66"/>
        <v>3.4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153_Längenmessgenauigkeit mm</v>
      </c>
      <c r="C309">
        <f t="shared" ref="C309" ca="1" si="79">RANDBETWEEN(5,10)*100</f>
        <v>900</v>
      </c>
      <c r="D309" s="3" t="str">
        <f ca="1">VLOOKUP(table_DataQualities[[#This Row],[unit_ID]],table_Units[#All],2)</f>
        <v>+/- mm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2.74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2.74</v>
      </c>
      <c r="K309">
        <f t="shared" ca="1" si="70"/>
        <v>0.73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0</v>
      </c>
      <c r="O309">
        <f t="shared" ca="1" si="66"/>
        <v>3.1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0.35899999999999999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4359.3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0.35899999999999999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4359.3</v>
      </c>
      <c r="K310">
        <f t="shared" ca="1" si="70"/>
        <v>0.26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0</v>
      </c>
      <c r="O310">
        <f t="shared" ca="1" si="66"/>
        <v>3.2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154_Längenmessgenauigkeit mm</v>
      </c>
      <c r="C311">
        <f t="shared" ca="1" si="77"/>
        <v>900</v>
      </c>
      <c r="D311" s="3" t="str">
        <f ca="1">VLOOKUP(table_DataQualities[[#This Row],[unit_ID]],table_Units[#All],2)</f>
        <v>+/- mm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7.74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7.74</v>
      </c>
      <c r="K311">
        <f t="shared" ca="1" si="70"/>
        <v>0.91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0</v>
      </c>
      <c r="O311">
        <f t="shared" ca="1" si="66"/>
        <v>2.1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0.93700000000000006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6862.9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0.93700000000000006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6862.9</v>
      </c>
      <c r="K312">
        <f t="shared" ca="1" si="70"/>
        <v>0.32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0</v>
      </c>
      <c r="O312">
        <f t="shared" ca="1" si="66"/>
        <v>1.8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155_Temperaturmessgenauigkeit °C</v>
      </c>
      <c r="C313">
        <f t="shared" ca="1" si="77"/>
        <v>500</v>
      </c>
      <c r="D313" s="3" t="str">
        <f ca="1">VLOOKUP(table_DataQualities[[#This Row],[unit_ID]],table_Units[#All],2)</f>
        <v>+/- °C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313">
        <f t="shared" ca="1" si="70"/>
        <v>0.41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0</v>
      </c>
      <c r="O313">
        <f t="shared" ca="1" si="66"/>
        <v>1.7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0.28000000000000003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9360.2000000000007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0.28000000000000003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9360.2000000000007</v>
      </c>
      <c r="K314">
        <f t="shared" ca="1" si="70"/>
        <v>0.95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0</v>
      </c>
      <c r="O314">
        <f t="shared" ca="1" si="66"/>
        <v>1.3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156_Temperaturmessgenauigkeit °C</v>
      </c>
      <c r="C315">
        <f ca="1">RANDBETWEEN(5,10)*100</f>
        <v>500</v>
      </c>
      <c r="D315" s="3" t="str">
        <f ca="1">VLOOKUP(table_DataQualities[[#This Row],[unit_ID]],table_Units[#All],2)</f>
        <v>+/- °C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15">
        <f t="shared" ca="1" si="70"/>
        <v>0.26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0</v>
      </c>
      <c r="O315">
        <f t="shared" ca="1" si="66"/>
        <v>1.2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0.29199999999999998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5441.2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0.29199999999999998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5441.2</v>
      </c>
      <c r="K316">
        <f t="shared" ca="1" si="70"/>
        <v>0.3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0</v>
      </c>
      <c r="O316">
        <f t="shared" ca="1" si="66"/>
        <v>3.8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157_Geschwindigkeitsmessgenauigkeit mm/s</v>
      </c>
      <c r="C317">
        <f t="shared" ref="C317:C327" ca="1" si="80">RANDBETWEEN(5,10)*100</f>
        <v>700</v>
      </c>
      <c r="D317" s="3" t="str">
        <f ca="1">VLOOKUP(table_DataQualities[[#This Row],[unit_ID]],table_Units[#All],2)</f>
        <v>+/- mm/s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0.95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</v>
      </c>
      <c r="K317">
        <f t="shared" ca="1" si="70"/>
        <v>0.35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0</v>
      </c>
      <c r="O317">
        <f t="shared" ca="1" si="66"/>
        <v>3.7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0.441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7983.8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0.441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7983.8</v>
      </c>
      <c r="K318">
        <f t="shared" ca="1" si="70"/>
        <v>0.15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0</v>
      </c>
      <c r="O318">
        <f t="shared" ca="1" si="66"/>
        <v>2.7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158_Geschwindigkeitsmessgenauigkeit mm/s</v>
      </c>
      <c r="C319">
        <f t="shared" ref="C319" ca="1" si="81">RANDBETWEEN(5,10)*100</f>
        <v>700</v>
      </c>
      <c r="D319" s="3" t="str">
        <f ca="1">VLOOKUP(table_DataQualities[[#This Row],[unit_ID]],table_Units[#All],2)</f>
        <v>+/- mm/s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0.23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1.7</v>
      </c>
      <c r="K319">
        <f t="shared" ca="1" si="70"/>
        <v>0.48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0</v>
      </c>
      <c r="O319">
        <f t="shared" ca="1" si="66"/>
        <v>4.8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0.92200000000000004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6933.1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0.92200000000000004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6933.1</v>
      </c>
      <c r="K320">
        <f t="shared" ca="1" si="70"/>
        <v>0.56000000000000005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0</v>
      </c>
      <c r="O320">
        <f t="shared" ca="1" si="66"/>
        <v>4.8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159_Temperaturmessgenauigkeit °C</v>
      </c>
      <c r="C321">
        <f t="shared" ca="1" si="80"/>
        <v>500</v>
      </c>
      <c r="D321" s="3" t="str">
        <f ca="1">VLOOKUP(table_DataQualities[[#This Row],[unit_ID]],table_Units[#All],2)</f>
        <v>+/- °C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21">
        <f t="shared" ca="1" si="70"/>
        <v>0.4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0</v>
      </c>
      <c r="O321">
        <f t="shared" ca="1" si="66"/>
        <v>4.3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0.247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2157.9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0.247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2157.9</v>
      </c>
      <c r="K322">
        <f t="shared" ca="1" si="70"/>
        <v>0.44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0</v>
      </c>
      <c r="O322">
        <f t="shared" ca="1" si="66"/>
        <v>3.9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160_Leistungsmessgenauigkeit W</v>
      </c>
      <c r="C323">
        <f t="shared" ref="C323" ca="1" si="82">RANDBETWEEN(5,10)*100</f>
        <v>600</v>
      </c>
      <c r="D323" s="3" t="str">
        <f ca="1">VLOOKUP(table_DataQualities[[#This Row],[unit_ID]],table_Units[#All],2)</f>
        <v>+/- W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3.49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3.5000000000000003E-2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3.49</v>
      </c>
      <c r="K323">
        <f t="shared" ca="1" si="70"/>
        <v>0.25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0</v>
      </c>
      <c r="O323">
        <f t="shared" ref="O323:O386" ca="1" si="83">RANDBETWEEN(12,50)/10</f>
        <v>3.8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0.312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2966.3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0.312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2966.3</v>
      </c>
      <c r="K324">
        <f t="shared" ca="1" si="70"/>
        <v>0.24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0</v>
      </c>
      <c r="O324">
        <f t="shared" ca="1" si="83"/>
        <v>3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161_Bildgröße</v>
      </c>
      <c r="C325">
        <f t="shared" ca="1" si="80"/>
        <v>1000</v>
      </c>
      <c r="D325" s="3" t="str">
        <f ca="1">VLOOKUP(table_DataQualities[[#This Row],[unit_ID]],table_Units[#All],2)</f>
        <v>bit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69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3646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69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3646</v>
      </c>
      <c r="K325">
        <f t="shared" ca="1" si="70"/>
        <v>0.32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0</v>
      </c>
      <c r="O325">
        <f t="shared" ca="1" si="83"/>
        <v>1.5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0.01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6729.7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6729.7</v>
      </c>
      <c r="K326">
        <f t="shared" ca="1" si="70"/>
        <v>0.44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0</v>
      </c>
      <c r="O326">
        <f t="shared" ca="1" si="83"/>
        <v>4.8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162_Durchflussmessgenauigkeit cm³/s</v>
      </c>
      <c r="C327">
        <f t="shared" ca="1" si="80"/>
        <v>800</v>
      </c>
      <c r="D327" s="3" t="str">
        <f ca="1">VLOOKUP(table_DataQualities[[#This Row],[unit_ID]],table_Units[#All],2)</f>
        <v>+/- cm³/s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0.97299999999999998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2.7000000000000001E-3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2.7000000000000001E-3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0.97299999999999998</v>
      </c>
      <c r="K327">
        <f t="shared" ca="1" si="70"/>
        <v>0.6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0</v>
      </c>
      <c r="O327">
        <f t="shared" ca="1" si="83"/>
        <v>1.4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0.28599999999999998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7014.5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0.28599999999999998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7014.5</v>
      </c>
      <c r="K328">
        <f t="shared" ca="1" si="70"/>
        <v>0.43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0</v>
      </c>
      <c r="O328">
        <f t="shared" ca="1" si="83"/>
        <v>4.0999999999999996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163_Leistungsmessgenauigkeit W</v>
      </c>
      <c r="C329">
        <f ca="1">RANDBETWEEN(5,10)*100</f>
        <v>600</v>
      </c>
      <c r="D329" s="3" t="str">
        <f ca="1">VLOOKUP(table_DataQualities[[#This Row],[unit_ID]],table_Units[#All],2)</f>
        <v>+/- W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1.94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9.2999999999999999E-2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9.2999999999999999E-2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1.94</v>
      </c>
      <c r="K329">
        <f t="shared" ca="1" si="70"/>
        <v>0.11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0</v>
      </c>
      <c r="O329">
        <f t="shared" ca="1" si="83"/>
        <v>2.7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0.39600000000000002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2239.8000000000002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0.39600000000000002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2239.8000000000002</v>
      </c>
      <c r="K330">
        <f t="shared" ca="1" si="70"/>
        <v>0.45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0</v>
      </c>
      <c r="O330">
        <f t="shared" ca="1" si="83"/>
        <v>2.4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164_Längenmessgenauigkeit mm</v>
      </c>
      <c r="C331">
        <f t="shared" ref="C331:C341" ca="1" si="84">RANDBETWEEN(5,10)*100</f>
        <v>900</v>
      </c>
      <c r="D331" s="3" t="str">
        <f ca="1">VLOOKUP(table_DataQualities[[#This Row],[unit_ID]],table_Units[#All],2)</f>
        <v>+/- mm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7.8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7.8</v>
      </c>
      <c r="K331">
        <f t="shared" ca="1" si="70"/>
        <v>0.62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0</v>
      </c>
      <c r="O331">
        <f t="shared" ca="1" si="83"/>
        <v>1.8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0.11899999999999999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7423.2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0.11899999999999999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7423.2</v>
      </c>
      <c r="K332">
        <f t="shared" ca="1" si="70"/>
        <v>0.54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0</v>
      </c>
      <c r="O332">
        <f t="shared" ca="1" si="83"/>
        <v>3.9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165_Durchflussmessgenauigkeit cm³/s</v>
      </c>
      <c r="C333">
        <f t="shared" ref="C333" ca="1" si="85">RANDBETWEEN(5,10)*100</f>
        <v>800</v>
      </c>
      <c r="D333" s="3" t="str">
        <f ca="1">VLOOKUP(table_DataQualities[[#This Row],[unit_ID]],table_Units[#All],2)</f>
        <v>+/- cm³/s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0.442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8.0999999999999996E-3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8.0999999999999996E-3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0.442</v>
      </c>
      <c r="K333">
        <f t="shared" ca="1" si="70"/>
        <v>0.05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0</v>
      </c>
      <c r="O333">
        <f t="shared" ca="1" si="83"/>
        <v>4.4000000000000004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0.27900000000000003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3137.6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0.27900000000000003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3137.6</v>
      </c>
      <c r="K334">
        <f t="shared" ca="1" si="70"/>
        <v>0.02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0</v>
      </c>
      <c r="O334">
        <f t="shared" ca="1" si="83"/>
        <v>3.4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166_Bildgröße</v>
      </c>
      <c r="C335">
        <f t="shared" ca="1" si="84"/>
        <v>1000</v>
      </c>
      <c r="D335" s="3" t="str">
        <f ca="1">VLOOKUP(table_DataQualities[[#This Row],[unit_ID]],table_Units[#All],2)</f>
        <v>bit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87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3687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87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3687</v>
      </c>
      <c r="K335">
        <f t="shared" ref="K335:K398" ca="1" si="86">ROUND(RAND(),2)</f>
        <v>0.38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0</v>
      </c>
      <c r="O335">
        <f t="shared" ca="1" si="83"/>
        <v>1.2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0.78400000000000003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870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0.78400000000000003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870</v>
      </c>
      <c r="K336">
        <f t="shared" ca="1" si="86"/>
        <v>0.16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0</v>
      </c>
      <c r="O336">
        <f t="shared" ca="1" si="83"/>
        <v>3.3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167_Temperaturmessgenauigkeit °C</v>
      </c>
      <c r="C337">
        <f t="shared" ref="C337" ca="1" si="87">RANDBETWEEN(5,10)*100</f>
        <v>500</v>
      </c>
      <c r="D337" s="3" t="str">
        <f ca="1">VLOOKUP(table_DataQualities[[#This Row],[unit_ID]],table_Units[#All],2)</f>
        <v>+/- °C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37">
        <f t="shared" ca="1" si="86"/>
        <v>0.26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0</v>
      </c>
      <c r="O337">
        <f t="shared" ca="1" si="83"/>
        <v>2.7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0.81200000000000006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8679.7999999999993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0.81200000000000006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8679.7999999999993</v>
      </c>
      <c r="K338">
        <f t="shared" ca="1" si="86"/>
        <v>0.9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0</v>
      </c>
      <c r="O338">
        <f t="shared" ca="1" si="83"/>
        <v>4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168_Geschwindigkeitsmessgenauigkeit mm/s</v>
      </c>
      <c r="C339">
        <f t="shared" ca="1" si="84"/>
        <v>700</v>
      </c>
      <c r="D339" s="3" t="str">
        <f ca="1">VLOOKUP(table_DataQualities[[#This Row],[unit_ID]],table_Units[#All],2)</f>
        <v>+/- mm/s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0.15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</v>
      </c>
      <c r="K339">
        <f t="shared" ca="1" si="86"/>
        <v>0.25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0</v>
      </c>
      <c r="O339">
        <f t="shared" ca="1" si="83"/>
        <v>5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0.29299999999999998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5148.8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0.29299999999999998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5148.8</v>
      </c>
      <c r="K340">
        <f t="shared" ca="1" si="86"/>
        <v>7.0000000000000007E-2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0</v>
      </c>
      <c r="O340">
        <f t="shared" ca="1" si="83"/>
        <v>1.8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169_Geschwindigkeitsmessgenauigkeit mm/s</v>
      </c>
      <c r="C341">
        <f t="shared" ca="1" si="84"/>
        <v>700</v>
      </c>
      <c r="D341" s="3" t="str">
        <f ca="1">VLOOKUP(table_DataQualities[[#This Row],[unit_ID]],table_Units[#All],2)</f>
        <v>+/- mm/s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0.19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</v>
      </c>
      <c r="K341">
        <f t="shared" ca="1" si="86"/>
        <v>0.4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0</v>
      </c>
      <c r="O341">
        <f t="shared" ca="1" si="83"/>
        <v>4.4000000000000004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6.4000000000000001E-2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1307.3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1307.3</v>
      </c>
      <c r="K342">
        <f t="shared" ca="1" si="86"/>
        <v>0.31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0</v>
      </c>
      <c r="O342">
        <f t="shared" ca="1" si="83"/>
        <v>2.4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170_Leistungsmessgenauigkeit W</v>
      </c>
      <c r="C343">
        <f ca="1">RANDBETWEEN(5,10)*100</f>
        <v>600</v>
      </c>
      <c r="D343" s="3" t="str">
        <f ca="1">VLOOKUP(table_DataQualities[[#This Row],[unit_ID]],table_Units[#All],2)</f>
        <v>+/- W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2.38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4.5999999999999999E-2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4.5999999999999999E-2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2.38</v>
      </c>
      <c r="K343">
        <f t="shared" ca="1" si="86"/>
        <v>0.82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0</v>
      </c>
      <c r="O343">
        <f t="shared" ca="1" si="83"/>
        <v>2.2000000000000002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0.68500000000000005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2848.3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0.68500000000000005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2848.3</v>
      </c>
      <c r="K344">
        <f t="shared" ca="1" si="86"/>
        <v>0.96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0</v>
      </c>
      <c r="O344">
        <f t="shared" ca="1" si="83"/>
        <v>1.3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171_Geschwindigkeitsmessgenauigkeit mm/s</v>
      </c>
      <c r="C345">
        <f t="shared" ref="C345:C355" ca="1" si="88">RANDBETWEEN(5,10)*100</f>
        <v>700</v>
      </c>
      <c r="D345" s="3" t="str">
        <f ca="1">VLOOKUP(table_DataQualities[[#This Row],[unit_ID]],table_Units[#All],2)</f>
        <v>+/- mm/s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0.49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</v>
      </c>
      <c r="K345">
        <f t="shared" ca="1" si="86"/>
        <v>0.42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0</v>
      </c>
      <c r="O345">
        <f t="shared" ca="1" si="83"/>
        <v>1.4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6.7000000000000004E-2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3575.8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3575.8</v>
      </c>
      <c r="K346">
        <f t="shared" ca="1" si="86"/>
        <v>0.65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0</v>
      </c>
      <c r="O346">
        <f t="shared" ca="1" si="83"/>
        <v>2.1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172_Geschwindigkeitsmessgenauigkeit mm/s</v>
      </c>
      <c r="C347">
        <f t="shared" ref="C347" ca="1" si="89">RANDBETWEEN(5,10)*100</f>
        <v>700</v>
      </c>
      <c r="D347" s="3" t="str">
        <f ca="1">VLOOKUP(table_DataQualities[[#This Row],[unit_ID]],table_Units[#All],2)</f>
        <v>+/- mm/s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0.13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</v>
      </c>
      <c r="K347">
        <f t="shared" ca="1" si="86"/>
        <v>0.18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0</v>
      </c>
      <c r="O347">
        <f t="shared" ca="1" si="83"/>
        <v>3.9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5752.1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5752.1</v>
      </c>
      <c r="K348">
        <f t="shared" ca="1" si="86"/>
        <v>0.57999999999999996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0</v>
      </c>
      <c r="O348">
        <f t="shared" ca="1" si="83"/>
        <v>3.5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173_Geschwindigkeitsmessgenauigkeit mm/s</v>
      </c>
      <c r="C349">
        <f t="shared" ca="1" si="88"/>
        <v>700</v>
      </c>
      <c r="D349" s="3" t="str">
        <f ca="1">VLOOKUP(table_DataQualities[[#This Row],[unit_ID]],table_Units[#All],2)</f>
        <v>+/- mm/s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9.8000000000000007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0.16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9.8000000000000007</v>
      </c>
      <c r="K349">
        <f t="shared" ca="1" si="86"/>
        <v>0.68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0</v>
      </c>
      <c r="O349">
        <f t="shared" ca="1" si="83"/>
        <v>3.1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4.2999999999999997E-2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5221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5221</v>
      </c>
      <c r="K350">
        <f t="shared" ca="1" si="86"/>
        <v>0.72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0</v>
      </c>
      <c r="O350">
        <f t="shared" ca="1" si="83"/>
        <v>4.3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174_Längenmessgenauigkeit mm</v>
      </c>
      <c r="C351">
        <f t="shared" ref="C351" ca="1" si="90">RANDBETWEEN(5,10)*100</f>
        <v>900</v>
      </c>
      <c r="D351" s="3" t="str">
        <f ca="1">VLOOKUP(table_DataQualities[[#This Row],[unit_ID]],table_Units[#All],2)</f>
        <v>+/- mm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2.4500000000000002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3.3000000000000002E-2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2.4500000000000002</v>
      </c>
      <c r="K351">
        <f t="shared" ca="1" si="86"/>
        <v>0.28000000000000003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0</v>
      </c>
      <c r="O351">
        <f t="shared" ca="1" si="83"/>
        <v>2.6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0.67200000000000004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6273.9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0.67200000000000004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6273.9</v>
      </c>
      <c r="K352">
        <f t="shared" ca="1" si="86"/>
        <v>0.92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0</v>
      </c>
      <c r="O352">
        <f t="shared" ca="1" si="83"/>
        <v>1.6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175_Leistungsmessgenauigkeit W</v>
      </c>
      <c r="C353">
        <f t="shared" ca="1" si="88"/>
        <v>600</v>
      </c>
      <c r="D353" s="3" t="str">
        <f ca="1">VLOOKUP(table_DataQualities[[#This Row],[unit_ID]],table_Units[#All],2)</f>
        <v>+/- W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6.34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6.34</v>
      </c>
      <c r="K353">
        <f t="shared" ca="1" si="86"/>
        <v>0.89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0</v>
      </c>
      <c r="O353">
        <f t="shared" ca="1" si="83"/>
        <v>3.5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0.69299999999999995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2216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0.69299999999999995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2216</v>
      </c>
      <c r="K354">
        <f t="shared" ca="1" si="86"/>
        <v>0.81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0</v>
      </c>
      <c r="O354">
        <f t="shared" ca="1" si="83"/>
        <v>3.8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176_Längenmessgenauigkeit mm</v>
      </c>
      <c r="C355">
        <f t="shared" ca="1" si="88"/>
        <v>900</v>
      </c>
      <c r="D355" s="3" t="str">
        <f ca="1">VLOOKUP(table_DataQualities[[#This Row],[unit_ID]],table_Units[#All],2)</f>
        <v>+/- mm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8.11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8.11</v>
      </c>
      <c r="K355">
        <f t="shared" ca="1" si="86"/>
        <v>0.65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0</v>
      </c>
      <c r="O355">
        <f t="shared" ca="1" si="83"/>
        <v>3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0.26100000000000001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8600.7999999999993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0.26100000000000001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8600.7999999999993</v>
      </c>
      <c r="K356">
        <f t="shared" ca="1" si="86"/>
        <v>0.14000000000000001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0</v>
      </c>
      <c r="O356">
        <f t="shared" ca="1" si="83"/>
        <v>1.6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177_Geschwindigkeitsmessgenauigkeit mm/s</v>
      </c>
      <c r="C357">
        <f ca="1">RANDBETWEEN(5,10)*100</f>
        <v>700</v>
      </c>
      <c r="D357" s="3" t="str">
        <f ca="1">VLOOKUP(table_DataQualities[[#This Row],[unit_ID]],table_Units[#All],2)</f>
        <v>+/- mm/s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0.28000000000000003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0.28000000000000003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</v>
      </c>
      <c r="K357">
        <f t="shared" ca="1" si="86"/>
        <v>0.19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0</v>
      </c>
      <c r="O357">
        <f t="shared" ca="1" si="83"/>
        <v>4.5999999999999996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0.59899999999999998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5390.4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0.59899999999999998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5390.4</v>
      </c>
      <c r="K358">
        <f t="shared" ca="1" si="86"/>
        <v>0.6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0</v>
      </c>
      <c r="O358">
        <f t="shared" ca="1" si="83"/>
        <v>1.5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178_Durchflussmessgenauigkeit cm³/s</v>
      </c>
      <c r="C359">
        <f t="shared" ref="C359:C369" ca="1" si="91">RANDBETWEEN(5,10)*100</f>
        <v>800</v>
      </c>
      <c r="D359" s="3" t="str">
        <f ca="1">VLOOKUP(table_DataQualities[[#This Row],[unit_ID]],table_Units[#All],2)</f>
        <v>+/- cm³/s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0.51600000000000001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9.5999999999999992E-3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9.5999999999999992E-3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0.51600000000000001</v>
      </c>
      <c r="K359">
        <f t="shared" ca="1" si="86"/>
        <v>0.85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0</v>
      </c>
      <c r="O359">
        <f t="shared" ca="1" si="83"/>
        <v>4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0.79600000000000004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3649.7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0.79600000000000004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3649.7</v>
      </c>
      <c r="K360">
        <f t="shared" ca="1" si="86"/>
        <v>0.94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0</v>
      </c>
      <c r="O360">
        <f t="shared" ca="1" si="83"/>
        <v>4.5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179_Durchflussmessgenauigkeit cm³/s</v>
      </c>
      <c r="C361">
        <f t="shared" ref="C361" ca="1" si="92">RANDBETWEEN(5,10)*100</f>
        <v>800</v>
      </c>
      <c r="D361" s="3" t="str">
        <f ca="1">VLOOKUP(table_DataQualities[[#This Row],[unit_ID]],table_Units[#All],2)</f>
        <v>+/- cm³/s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0.182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0.182</v>
      </c>
      <c r="K361">
        <f t="shared" ca="1" si="86"/>
        <v>0.12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0</v>
      </c>
      <c r="O361">
        <f t="shared" ca="1" si="83"/>
        <v>5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0.56699999999999995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8866.4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0.56699999999999995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8866.4</v>
      </c>
      <c r="K362">
        <f t="shared" ca="1" si="86"/>
        <v>0.34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0</v>
      </c>
      <c r="O362">
        <f t="shared" ca="1" si="83"/>
        <v>1.7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180_Längenmessgenauigkeit mm</v>
      </c>
      <c r="C363">
        <f t="shared" ca="1" si="91"/>
        <v>900</v>
      </c>
      <c r="D363" s="3" t="str">
        <f ca="1">VLOOKUP(table_DataQualities[[#This Row],[unit_ID]],table_Units[#All],2)</f>
        <v>+/- mm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4.7300000000000004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8.5000000000000006E-2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4.7300000000000004</v>
      </c>
      <c r="K363">
        <f t="shared" ca="1" si="86"/>
        <v>7.0000000000000007E-2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0</v>
      </c>
      <c r="O363">
        <f t="shared" ca="1" si="83"/>
        <v>3.4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1.4999999999999999E-2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3223.9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3223.9</v>
      </c>
      <c r="K364">
        <f t="shared" ca="1" si="86"/>
        <v>0.4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0</v>
      </c>
      <c r="O364">
        <f t="shared" ca="1" si="83"/>
        <v>1.6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181_Bildgröße</v>
      </c>
      <c r="C365">
        <f t="shared" ref="C365" ca="1" si="93">RANDBETWEEN(5,10)*100</f>
        <v>1000</v>
      </c>
      <c r="D365" s="3" t="str">
        <f ca="1">VLOOKUP(table_DataQualities[[#This Row],[unit_ID]],table_Units[#All],2)</f>
        <v>bit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80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3899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80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3899</v>
      </c>
      <c r="K365">
        <f t="shared" ca="1" si="86"/>
        <v>0.79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0</v>
      </c>
      <c r="O365">
        <f t="shared" ca="1" si="83"/>
        <v>3.1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4.2999999999999997E-2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1538.9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1538.9</v>
      </c>
      <c r="K366">
        <f t="shared" ca="1" si="86"/>
        <v>0.04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0</v>
      </c>
      <c r="O366">
        <f t="shared" ca="1" si="83"/>
        <v>4.8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182_Längenmessgenauigkeit mm</v>
      </c>
      <c r="C367">
        <f t="shared" ca="1" si="91"/>
        <v>900</v>
      </c>
      <c r="D367" s="3" t="str">
        <f ca="1">VLOOKUP(table_DataQualities[[#This Row],[unit_ID]],table_Units[#All],2)</f>
        <v>+/- mm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2.99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5.0999999999999997E-2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5.0999999999999997E-2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2.99</v>
      </c>
      <c r="K367">
        <f t="shared" ca="1" si="86"/>
        <v>0.99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0</v>
      </c>
      <c r="O367">
        <f t="shared" ca="1" si="83"/>
        <v>3.3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0.621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3287.2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0.621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3287.2</v>
      </c>
      <c r="K368">
        <f t="shared" ca="1" si="86"/>
        <v>0.84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0</v>
      </c>
      <c r="O368">
        <f t="shared" ca="1" si="83"/>
        <v>3.8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183_Temperaturmessgenauigkeit °C</v>
      </c>
      <c r="C369">
        <f t="shared" ca="1" si="91"/>
        <v>500</v>
      </c>
      <c r="D369" s="3" t="str">
        <f ca="1">VLOOKUP(table_DataQualities[[#This Row],[unit_ID]],table_Units[#All],2)</f>
        <v>+/- °C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369">
        <f t="shared" ca="1" si="86"/>
        <v>0.3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0</v>
      </c>
      <c r="O369">
        <f t="shared" ca="1" si="83"/>
        <v>4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0.161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2096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0.161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2096</v>
      </c>
      <c r="K370">
        <f t="shared" ca="1" si="86"/>
        <v>0.61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0</v>
      </c>
      <c r="O370">
        <f t="shared" ca="1" si="83"/>
        <v>1.6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184_Leistungsmessgenauigkeit W</v>
      </c>
      <c r="C371">
        <f ca="1">RANDBETWEEN(5,10)*100</f>
        <v>600</v>
      </c>
      <c r="D371" s="3" t="str">
        <f ca="1">VLOOKUP(table_DataQualities[[#This Row],[unit_ID]],table_Units[#All],2)</f>
        <v>+/- W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1.92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9.6000000000000002E-2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9.6000000000000002E-2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1.92</v>
      </c>
      <c r="K371">
        <f t="shared" ca="1" si="86"/>
        <v>0.81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0</v>
      </c>
      <c r="O371">
        <f t="shared" ca="1" si="83"/>
        <v>4.0999999999999996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0.75600000000000001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6821.9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0.75600000000000001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6821.9</v>
      </c>
      <c r="K372">
        <f t="shared" ca="1" si="86"/>
        <v>0.27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0</v>
      </c>
      <c r="O372">
        <f t="shared" ca="1" si="83"/>
        <v>3.4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185_Geschwindigkeitsmessgenauigkeit mm/s</v>
      </c>
      <c r="C373">
        <f t="shared" ref="C373:C383" ca="1" si="94">RANDBETWEEN(5,10)*100</f>
        <v>700</v>
      </c>
      <c r="D373" s="3" t="str">
        <f ca="1">VLOOKUP(table_DataQualities[[#This Row],[unit_ID]],table_Units[#All],2)</f>
        <v>+/- mm/s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0.88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</v>
      </c>
      <c r="K373">
        <f t="shared" ca="1" si="86"/>
        <v>0.83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0</v>
      </c>
      <c r="O373">
        <f t="shared" ca="1" si="83"/>
        <v>2.9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0.80300000000000005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6451.6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0.80300000000000005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6451.6</v>
      </c>
      <c r="K374">
        <f t="shared" ca="1" si="86"/>
        <v>0.99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0</v>
      </c>
      <c r="O374">
        <f t="shared" ca="1" si="83"/>
        <v>3.1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186_Längenmessgenauigkeit mm</v>
      </c>
      <c r="C375">
        <f t="shared" ref="C375" ca="1" si="95">RANDBETWEEN(5,10)*100</f>
        <v>900</v>
      </c>
      <c r="D375" s="3" t="str">
        <f ca="1">VLOOKUP(table_DataQualities[[#This Row],[unit_ID]],table_Units[#All],2)</f>
        <v>+/- mm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2.2000000000000002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2.1000000000000001E-2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2.1000000000000001E-2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2.2000000000000002</v>
      </c>
      <c r="K375">
        <f t="shared" ca="1" si="86"/>
        <v>0.04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0</v>
      </c>
      <c r="O375">
        <f t="shared" ca="1" si="83"/>
        <v>4.3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0.222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738.3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0.222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738.3</v>
      </c>
      <c r="K376">
        <f t="shared" ca="1" si="86"/>
        <v>0.67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0</v>
      </c>
      <c r="O376">
        <f t="shared" ca="1" si="83"/>
        <v>3.9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187_Bildgröße</v>
      </c>
      <c r="C377">
        <f t="shared" ca="1" si="94"/>
        <v>1000</v>
      </c>
      <c r="D377" s="3" t="str">
        <f ca="1">VLOOKUP(table_DataQualities[[#This Row],[unit_ID]],table_Units[#All],2)</f>
        <v>bit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57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8493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57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8493</v>
      </c>
      <c r="K377">
        <f t="shared" ca="1" si="86"/>
        <v>0.66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0</v>
      </c>
      <c r="O377">
        <f t="shared" ca="1" si="83"/>
        <v>2.6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0.89200000000000002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7285.8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0.89200000000000002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7285.8</v>
      </c>
      <c r="K378">
        <f t="shared" ca="1" si="86"/>
        <v>0.17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0</v>
      </c>
      <c r="O378">
        <f t="shared" ca="1" si="83"/>
        <v>2.7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188_Temperaturmessgenauigkeit °C</v>
      </c>
      <c r="C379">
        <f t="shared" ref="C379" ca="1" si="96">RANDBETWEEN(5,10)*100</f>
        <v>500</v>
      </c>
      <c r="D379" s="3" t="str">
        <f ca="1">VLOOKUP(table_DataQualities[[#This Row],[unit_ID]],table_Units[#All],2)</f>
        <v>+/- °C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379">
        <f t="shared" ca="1" si="86"/>
        <v>0.56000000000000005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0</v>
      </c>
      <c r="O379">
        <f t="shared" ca="1" si="83"/>
        <v>3.3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2.5999999999999999E-2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894.3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2.5999999999999999E-2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894.3</v>
      </c>
      <c r="K380">
        <f t="shared" ca="1" si="86"/>
        <v>0.82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0</v>
      </c>
      <c r="O380">
        <f t="shared" ca="1" si="83"/>
        <v>4.4000000000000004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189_Temperaturmessgenauigkeit °C</v>
      </c>
      <c r="C381">
        <f t="shared" ca="1" si="94"/>
        <v>500</v>
      </c>
      <c r="D381" s="3" t="str">
        <f ca="1">VLOOKUP(table_DataQualities[[#This Row],[unit_ID]],table_Units[#All],2)</f>
        <v>+/- °C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81">
        <f t="shared" ca="1" si="86"/>
        <v>0.97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0</v>
      </c>
      <c r="O381">
        <f t="shared" ca="1" si="83"/>
        <v>4.5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0.10100000000000001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6211.5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0.10100000000000001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6211.5</v>
      </c>
      <c r="K382">
        <f t="shared" ca="1" si="86"/>
        <v>0.76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0</v>
      </c>
      <c r="O382">
        <f t="shared" ca="1" si="83"/>
        <v>3.6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190_Leistungsmessgenauigkeit W</v>
      </c>
      <c r="C383">
        <f t="shared" ca="1" si="94"/>
        <v>600</v>
      </c>
      <c r="D383" s="3" t="str">
        <f ca="1">VLOOKUP(table_DataQualities[[#This Row],[unit_ID]],table_Units[#All],2)</f>
        <v>+/- W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5.47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5.47</v>
      </c>
      <c r="K383">
        <f t="shared" ca="1" si="86"/>
        <v>0.86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0</v>
      </c>
      <c r="O383">
        <f t="shared" ca="1" si="83"/>
        <v>3.8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0.64900000000000002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1099.5999999999999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0.64900000000000002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1099.5999999999999</v>
      </c>
      <c r="K384">
        <f t="shared" ca="1" si="86"/>
        <v>0.17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0</v>
      </c>
      <c r="O384">
        <f t="shared" ca="1" si="83"/>
        <v>2.6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191_Leistungsmessgenauigkeit W</v>
      </c>
      <c r="C385">
        <f ca="1">RANDBETWEEN(5,10)*100</f>
        <v>600</v>
      </c>
      <c r="D385" s="3" t="str">
        <f ca="1">VLOOKUP(table_DataQualities[[#This Row],[unit_ID]],table_Units[#All],2)</f>
        <v>+/- W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1.05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3.5999999999999997E-2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3.5999999999999997E-2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1.05</v>
      </c>
      <c r="K385">
        <f t="shared" ca="1" si="86"/>
        <v>0.8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0</v>
      </c>
      <c r="O385">
        <f t="shared" ca="1" si="83"/>
        <v>4.3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0.69099999999999995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5218.3999999999996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0.69099999999999995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5218.3999999999996</v>
      </c>
      <c r="K386">
        <f t="shared" ca="1" si="86"/>
        <v>0.19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0</v>
      </c>
      <c r="O386">
        <f t="shared" ca="1" si="83"/>
        <v>3.5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192_Bildgröße</v>
      </c>
      <c r="C387">
        <f t="shared" ref="C387:C397" ca="1" si="97">RANDBETWEEN(5,10)*100</f>
        <v>1000</v>
      </c>
      <c r="D387" s="3" t="str">
        <f ca="1">VLOOKUP(table_DataQualities[[#This Row],[unit_ID]],table_Units[#All],2)</f>
        <v>bit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36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2921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36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2921</v>
      </c>
      <c r="K387">
        <f t="shared" ca="1" si="86"/>
        <v>0.7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0</v>
      </c>
      <c r="O387">
        <f t="shared" ref="O387:O403" ca="1" si="98">RANDBETWEEN(12,50)/10</f>
        <v>2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0.30399999999999999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2322.1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0.30399999999999999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2322.1</v>
      </c>
      <c r="K388">
        <f t="shared" ca="1" si="86"/>
        <v>0.86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0</v>
      </c>
      <c r="O388">
        <f t="shared" ca="1" si="98"/>
        <v>2.4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193_Geschwindigkeitsmessgenauigkeit mm/s</v>
      </c>
      <c r="C389">
        <f t="shared" ref="C389" ca="1" si="99">RANDBETWEEN(5,10)*100</f>
        <v>700</v>
      </c>
      <c r="D389" s="3" t="str">
        <f ca="1">VLOOKUP(table_DataQualities[[#This Row],[unit_ID]],table_Units[#All],2)</f>
        <v>+/- mm/s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0.14000000000000001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0.14000000000000001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</v>
      </c>
      <c r="K389">
        <f t="shared" ca="1" si="86"/>
        <v>0.88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0</v>
      </c>
      <c r="O389">
        <f t="shared" ca="1" si="98"/>
        <v>4.5999999999999996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4.4999999999999998E-2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207.3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207.3</v>
      </c>
      <c r="K390">
        <f t="shared" ca="1" si="86"/>
        <v>0.84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0</v>
      </c>
      <c r="O390">
        <f t="shared" ca="1" si="98"/>
        <v>3.4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194_Durchflussmessgenauigkeit cm³/s</v>
      </c>
      <c r="C391">
        <f t="shared" ca="1" si="97"/>
        <v>800</v>
      </c>
      <c r="D391" s="3" t="str">
        <f ca="1">VLOOKUP(table_DataQualities[[#This Row],[unit_ID]],table_Units[#All],2)</f>
        <v>+/- cm³/s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0.26300000000000001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5.5999999999999999E-3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5.5999999999999999E-3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0.26300000000000001</v>
      </c>
      <c r="K391">
        <f t="shared" ca="1" si="86"/>
        <v>0.03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0</v>
      </c>
      <c r="O391">
        <f t="shared" ca="1" si="98"/>
        <v>2.9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0.45500000000000002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291.60000000000002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0.45500000000000002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291.60000000000002</v>
      </c>
      <c r="K392">
        <f t="shared" ca="1" si="86"/>
        <v>0.88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0</v>
      </c>
      <c r="O392">
        <f t="shared" ca="1" si="98"/>
        <v>1.8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195_Geschwindigkeitsmessgenauigkeit mm/s</v>
      </c>
      <c r="C393">
        <f t="shared" ref="C393" ca="1" si="100">RANDBETWEEN(5,10)*100</f>
        <v>700</v>
      </c>
      <c r="D393" s="3" t="str">
        <f ca="1">VLOOKUP(table_DataQualities[[#This Row],[unit_ID]],table_Units[#All],2)</f>
        <v>+/- mm/s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4.9000000000000004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4.9000000000000004</v>
      </c>
      <c r="K393">
        <f t="shared" ca="1" si="86"/>
        <v>0.8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0</v>
      </c>
      <c r="O393">
        <f t="shared" ca="1" si="98"/>
        <v>2.1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0.151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1895.4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0.151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1895.4</v>
      </c>
      <c r="K394">
        <f t="shared" ca="1" si="86"/>
        <v>0.16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0</v>
      </c>
      <c r="O394">
        <f t="shared" ca="1" si="98"/>
        <v>1.8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196_Leistungsmessgenauigkeit W</v>
      </c>
      <c r="C395">
        <f t="shared" ca="1" si="97"/>
        <v>600</v>
      </c>
      <c r="D395" s="3" t="str">
        <f ca="1">VLOOKUP(table_DataQualities[[#This Row],[unit_ID]],table_Units[#All],2)</f>
        <v>+/- W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1.83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6.0000000000000001E-3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6.0000000000000001E-3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1.83</v>
      </c>
      <c r="K395">
        <f t="shared" ca="1" si="86"/>
        <v>0.57999999999999996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0</v>
      </c>
      <c r="O395">
        <f t="shared" ca="1" si="98"/>
        <v>3.2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0.25900000000000001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3315.4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0.25900000000000001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3315.4</v>
      </c>
      <c r="K396">
        <f t="shared" ca="1" si="86"/>
        <v>0.91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0</v>
      </c>
      <c r="O396">
        <f t="shared" ca="1" si="98"/>
        <v>2.1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197_Temperaturmessgenauigkeit °C</v>
      </c>
      <c r="C397">
        <f t="shared" ca="1" si="97"/>
        <v>500</v>
      </c>
      <c r="D397" s="3" t="str">
        <f ca="1">VLOOKUP(table_DataQualities[[#This Row],[unit_ID]],table_Units[#All],2)</f>
        <v>+/- °C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97">
        <f t="shared" ca="1" si="86"/>
        <v>0.86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0</v>
      </c>
      <c r="O397">
        <f t="shared" ca="1" si="98"/>
        <v>1.9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0.61799999999999999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8350.4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0.61799999999999999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8350.4</v>
      </c>
      <c r="K398">
        <f t="shared" ca="1" si="86"/>
        <v>0.34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0</v>
      </c>
      <c r="O398">
        <f t="shared" ca="1" si="98"/>
        <v>4.3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198_Geschwindigkeitsmessgenauigkeit mm/s</v>
      </c>
      <c r="C399">
        <f ca="1">RANDBETWEEN(5,10)*100</f>
        <v>700</v>
      </c>
      <c r="D399" s="3" t="str">
        <f ca="1">VLOOKUP(table_DataQualities[[#This Row],[unit_ID]],table_Units[#All],2)</f>
        <v>+/- mm/s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0.91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</v>
      </c>
      <c r="K399">
        <f t="shared" ref="K399:K403" ca="1" si="101">ROUND(RAND(),2)</f>
        <v>0.59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0</v>
      </c>
      <c r="O399">
        <f t="shared" ca="1" si="98"/>
        <v>4.3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0.58899999999999997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2932.7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0.58899999999999997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2932.7</v>
      </c>
      <c r="K400">
        <f t="shared" ca="1" si="101"/>
        <v>0.26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0</v>
      </c>
      <c r="O400">
        <f t="shared" ca="1" si="98"/>
        <v>1.4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199_Längenmessgenauigkeit mm</v>
      </c>
      <c r="C401">
        <f t="shared" ref="C401" ca="1" si="102">RANDBETWEEN(5,10)*100</f>
        <v>900</v>
      </c>
      <c r="D401" s="3" t="str">
        <f ca="1">VLOOKUP(table_DataQualities[[#This Row],[unit_ID]],table_Units[#All],2)</f>
        <v>+/- mm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7.27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7.27</v>
      </c>
      <c r="K401">
        <f t="shared" ca="1" si="101"/>
        <v>0.84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0</v>
      </c>
      <c r="O401">
        <f t="shared" ca="1" si="98"/>
        <v>3.3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0.58699999999999997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3611.6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0.58699999999999997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3611.6</v>
      </c>
      <c r="K402">
        <f t="shared" ca="1" si="101"/>
        <v>0.64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4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200_Geschwindigkeitsmessgenauigkeit mm/s</v>
      </c>
      <c r="C403">
        <f t="shared" ref="C403" ca="1" si="103">RANDBETWEEN(5,10)*100</f>
        <v>700</v>
      </c>
      <c r="D403" s="3" t="str">
        <f ca="1">VLOOKUP(table_DataQualities[[#This Row],[unit_ID]],table_Units[#All],2)</f>
        <v>+/- mm/s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4.4000000000000004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0.56999999999999995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0.56999999999999995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4.4000000000000004</v>
      </c>
      <c r="K403">
        <f t="shared" ca="1" si="101"/>
        <v>0.4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3.9</v>
      </c>
    </row>
  </sheetData>
  <conditionalFormatting sqref="I1:I1048576">
    <cfRule type="cellIs" dxfId="71" priority="2" operator="lessThan">
      <formula>$H1</formula>
    </cfRule>
  </conditionalFormatting>
  <conditionalFormatting sqref="H1:H1048576">
    <cfRule type="cellIs" dxfId="70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F18"/>
  <sheetViews>
    <sheetView workbookViewId="0">
      <selection activeCell="D15" sqref="D15"/>
    </sheetView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D37"/>
  <sheetViews>
    <sheetView workbookViewId="0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A1:I702"/>
  <sheetViews>
    <sheetView tabSelected="1" topLeftCell="A16" workbookViewId="0">
      <selection activeCell="G41" sqref="G41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</row>
    <row r="2" spans="1:9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720</v>
      </c>
      <c r="D2">
        <f ca="1">RANDBETWEEN(10,1000)/(100)</f>
        <v>4.3899999999999997</v>
      </c>
      <c r="E2">
        <f t="shared" ref="E2:E34" ca="1" si="1">RANDBETWEEN(-10,3)*10</f>
        <v>-100</v>
      </c>
      <c r="F2">
        <f t="shared" ref="F2:F34" ca="1" si="2">RANDBETWEEN(2,100)*10</f>
        <v>860</v>
      </c>
      <c r="G2" t="b">
        <f ca="1">INDEX(dict_zul_Var_Meth[kval_active],MATCH(table_Methods[[#This Row],[ID]],dict_zul_Var_Meth[ID_Methods],0))</f>
        <v>0</v>
      </c>
      <c r="H2">
        <f t="shared" ref="H2:H35" ca="1" si="3">RANDBETWEEN(1,10)*RANDBETWEEN(1,5000)</f>
        <v>17524</v>
      </c>
      <c r="I2">
        <f t="shared" ref="I2:I35" ca="1" si="4">2^RANDBETWEEN(1,10)*RANDBETWEEN(1,100)</f>
        <v>696</v>
      </c>
    </row>
    <row r="3" spans="1:9" x14ac:dyDescent="0.45">
      <c r="A3">
        <v>1</v>
      </c>
      <c r="B3" t="str">
        <f>CONCATENATE("Methode ",table_Methods[[#This Row],[ID]])</f>
        <v>Methode 1</v>
      </c>
      <c r="C3">
        <f t="shared" ca="1" si="0"/>
        <v>990</v>
      </c>
      <c r="D3">
        <f t="shared" ref="D3:D66" ca="1" si="5">RANDBETWEEN(10,1000)/(100)</f>
        <v>3.6</v>
      </c>
      <c r="E3">
        <f t="shared" ca="1" si="1"/>
        <v>-100</v>
      </c>
      <c r="F3">
        <f t="shared" ca="1" si="2"/>
        <v>910</v>
      </c>
      <c r="G3" t="b">
        <f ca="1">INDEX(dict_zul_Var_Meth[kval_active],MATCH(table_Methods[[#This Row],[ID]],dict_zul_Var_Meth[ID_Methods],0))</f>
        <v>0</v>
      </c>
      <c r="H3">
        <f t="shared" ca="1" si="3"/>
        <v>4517</v>
      </c>
      <c r="I3">
        <f t="shared" ca="1" si="4"/>
        <v>6144</v>
      </c>
    </row>
    <row r="4" spans="1:9" x14ac:dyDescent="0.45">
      <c r="A4">
        <v>2</v>
      </c>
      <c r="B4" t="str">
        <f>CONCATENATE("Methode ",table_Methods[[#This Row],[ID]])</f>
        <v>Methode 2</v>
      </c>
      <c r="C4">
        <f t="shared" ca="1" si="0"/>
        <v>8700</v>
      </c>
      <c r="D4">
        <f t="shared" ca="1" si="5"/>
        <v>8.92</v>
      </c>
      <c r="E4">
        <f t="shared" ca="1" si="1"/>
        <v>10</v>
      </c>
      <c r="F4">
        <f t="shared" ca="1" si="2"/>
        <v>230</v>
      </c>
      <c r="G4" t="b">
        <f ca="1">INDEX(dict_zul_Var_Meth[kval_active],MATCH(table_Methods[[#This Row],[ID]],dict_zul_Var_Meth[ID_Methods],0))</f>
        <v>0</v>
      </c>
      <c r="H4">
        <f t="shared" ca="1" si="3"/>
        <v>16512</v>
      </c>
      <c r="I4">
        <f t="shared" ca="1" si="4"/>
        <v>29696</v>
      </c>
    </row>
    <row r="5" spans="1:9" x14ac:dyDescent="0.45">
      <c r="A5">
        <v>3</v>
      </c>
      <c r="B5" t="str">
        <f>CONCATENATE("Methode ",table_Methods[[#This Row],[ID]])</f>
        <v>Methode 3</v>
      </c>
      <c r="C5">
        <f t="shared" ca="1" si="0"/>
        <v>500</v>
      </c>
      <c r="D5">
        <f t="shared" ca="1" si="5"/>
        <v>9.1</v>
      </c>
      <c r="E5">
        <f t="shared" ca="1" si="1"/>
        <v>30</v>
      </c>
      <c r="F5">
        <f t="shared" ca="1" si="2"/>
        <v>190</v>
      </c>
      <c r="G5" t="b">
        <f ca="1">INDEX(dict_zul_Var_Meth[kval_active],MATCH(table_Methods[[#This Row],[ID]],dict_zul_Var_Meth[ID_Methods],0))</f>
        <v>0</v>
      </c>
      <c r="H5">
        <f t="shared" ca="1" si="3"/>
        <v>28944</v>
      </c>
      <c r="I5">
        <f t="shared" ca="1" si="4"/>
        <v>2848</v>
      </c>
    </row>
    <row r="6" spans="1:9" x14ac:dyDescent="0.45">
      <c r="A6">
        <v>4</v>
      </c>
      <c r="B6" t="str">
        <f>CONCATENATE("Methode ",table_Methods[[#This Row],[ID]])</f>
        <v>Methode 4</v>
      </c>
      <c r="C6">
        <f t="shared" ca="1" si="0"/>
        <v>2300</v>
      </c>
      <c r="D6">
        <f t="shared" ca="1" si="5"/>
        <v>3.19</v>
      </c>
      <c r="E6">
        <f t="shared" ca="1" si="1"/>
        <v>20</v>
      </c>
      <c r="F6">
        <f t="shared" ca="1" si="2"/>
        <v>70</v>
      </c>
      <c r="G6" t="b">
        <f ca="1">INDEX(dict_zul_Var_Meth[kval_active],MATCH(table_Methods[[#This Row],[ID]],dict_zul_Var_Meth[ID_Methods],0))</f>
        <v>1</v>
      </c>
      <c r="H6">
        <f t="shared" ca="1" si="3"/>
        <v>11980</v>
      </c>
      <c r="I6">
        <f t="shared" ca="1" si="4"/>
        <v>7168</v>
      </c>
    </row>
    <row r="7" spans="1:9" x14ac:dyDescent="0.45">
      <c r="A7">
        <v>5</v>
      </c>
      <c r="B7" t="str">
        <f>CONCATENATE("Methode ",table_Methods[[#This Row],[ID]])</f>
        <v>Methode 5</v>
      </c>
      <c r="C7">
        <f t="shared" ca="1" si="0"/>
        <v>7200</v>
      </c>
      <c r="D7">
        <f t="shared" ca="1" si="5"/>
        <v>7.57</v>
      </c>
      <c r="E7">
        <f t="shared" ca="1" si="1"/>
        <v>-40</v>
      </c>
      <c r="F7">
        <f t="shared" ca="1" si="2"/>
        <v>240</v>
      </c>
      <c r="G7" t="b">
        <f ca="1">INDEX(dict_zul_Var_Meth[kval_active],MATCH(table_Methods[[#This Row],[ID]],dict_zul_Var_Meth[ID_Methods],0))</f>
        <v>0</v>
      </c>
      <c r="H7">
        <f t="shared" ca="1" si="3"/>
        <v>25640</v>
      </c>
      <c r="I7">
        <f t="shared" ca="1" si="4"/>
        <v>46080</v>
      </c>
    </row>
    <row r="8" spans="1:9" x14ac:dyDescent="0.45">
      <c r="A8">
        <v>6</v>
      </c>
      <c r="B8" t="str">
        <f>CONCATENATE("Methode ",table_Methods[[#This Row],[ID]])</f>
        <v>Methode 6</v>
      </c>
      <c r="C8">
        <f t="shared" ca="1" si="0"/>
        <v>26</v>
      </c>
      <c r="D8">
        <f t="shared" ca="1" si="5"/>
        <v>9.23</v>
      </c>
      <c r="E8">
        <f t="shared" ca="1" si="1"/>
        <v>20</v>
      </c>
      <c r="F8">
        <f t="shared" ca="1" si="2"/>
        <v>570</v>
      </c>
      <c r="G8" t="b">
        <f ca="1">INDEX(dict_zul_Var_Meth[kval_active],MATCH(table_Methods[[#This Row],[ID]],dict_zul_Var_Meth[ID_Methods],0))</f>
        <v>0</v>
      </c>
      <c r="H8">
        <f t="shared" ca="1" si="3"/>
        <v>7335</v>
      </c>
      <c r="I8">
        <f t="shared" ca="1" si="4"/>
        <v>536</v>
      </c>
    </row>
    <row r="9" spans="1:9" x14ac:dyDescent="0.45">
      <c r="A9">
        <v>7</v>
      </c>
      <c r="B9" t="str">
        <f>CONCATENATE("Methode ",table_Methods[[#This Row],[ID]])</f>
        <v>Methode 7</v>
      </c>
      <c r="C9">
        <f t="shared" ca="1" si="0"/>
        <v>2100</v>
      </c>
      <c r="D9">
        <f t="shared" ca="1" si="5"/>
        <v>4.21</v>
      </c>
      <c r="E9">
        <f t="shared" ca="1" si="1"/>
        <v>-20</v>
      </c>
      <c r="F9">
        <f t="shared" ca="1" si="2"/>
        <v>20</v>
      </c>
      <c r="G9" t="b">
        <f ca="1">INDEX(dict_zul_Var_Meth[kval_active],MATCH(table_Methods[[#This Row],[ID]],dict_zul_Var_Meth[ID_Methods],0))</f>
        <v>0</v>
      </c>
      <c r="H9">
        <f t="shared" ca="1" si="3"/>
        <v>15116</v>
      </c>
      <c r="I9">
        <f t="shared" ca="1" si="4"/>
        <v>4736</v>
      </c>
    </row>
    <row r="10" spans="1:9" x14ac:dyDescent="0.45">
      <c r="A10">
        <v>8</v>
      </c>
      <c r="B10" t="str">
        <f>CONCATENATE("Methode ",table_Methods[[#This Row],[ID]])</f>
        <v>Methode 8</v>
      </c>
      <c r="C10">
        <f t="shared" ca="1" si="0"/>
        <v>15</v>
      </c>
      <c r="D10">
        <f t="shared" ca="1" si="5"/>
        <v>1.1200000000000001</v>
      </c>
      <c r="E10">
        <f t="shared" ca="1" si="1"/>
        <v>-10</v>
      </c>
      <c r="F10">
        <f t="shared" ca="1" si="2"/>
        <v>890</v>
      </c>
      <c r="G10" t="b">
        <f ca="1">INDEX(dict_zul_Var_Meth[kval_active],MATCH(table_Methods[[#This Row],[ID]],dict_zul_Var_Meth[ID_Methods],0))</f>
        <v>0</v>
      </c>
      <c r="H10">
        <f t="shared" ca="1" si="3"/>
        <v>24510</v>
      </c>
      <c r="I10">
        <f t="shared" ca="1" si="4"/>
        <v>20</v>
      </c>
    </row>
    <row r="11" spans="1:9" x14ac:dyDescent="0.45">
      <c r="A11">
        <v>9</v>
      </c>
      <c r="B11" t="str">
        <f>CONCATENATE("Methode ",table_Methods[[#This Row],[ID]])</f>
        <v>Methode 9</v>
      </c>
      <c r="C11">
        <f t="shared" ca="1" si="0"/>
        <v>1300</v>
      </c>
      <c r="D11">
        <f t="shared" ca="1" si="5"/>
        <v>1.02</v>
      </c>
      <c r="E11">
        <f t="shared" ca="1" si="1"/>
        <v>-50</v>
      </c>
      <c r="F11">
        <f t="shared" ca="1" si="2"/>
        <v>90</v>
      </c>
      <c r="G11" t="b">
        <f ca="1">INDEX(dict_zul_Var_Meth[kval_active],MATCH(table_Methods[[#This Row],[ID]],dict_zul_Var_Meth[ID_Methods],0))</f>
        <v>0</v>
      </c>
      <c r="H11">
        <f t="shared" ca="1" si="3"/>
        <v>5696</v>
      </c>
      <c r="I11">
        <f t="shared" ca="1" si="4"/>
        <v>190</v>
      </c>
    </row>
    <row r="12" spans="1:9" x14ac:dyDescent="0.45">
      <c r="A12">
        <v>10</v>
      </c>
      <c r="B12" t="str">
        <f>CONCATENATE("Methode ",table_Methods[[#This Row],[ID]])</f>
        <v>Methode 10</v>
      </c>
      <c r="C12">
        <f t="shared" ca="1" si="0"/>
        <v>230</v>
      </c>
      <c r="D12">
        <f t="shared" ca="1" si="5"/>
        <v>1.77</v>
      </c>
      <c r="E12">
        <f t="shared" ca="1" si="1"/>
        <v>10</v>
      </c>
      <c r="F12">
        <f t="shared" ca="1" si="2"/>
        <v>560</v>
      </c>
      <c r="G12" t="b">
        <f ca="1">INDEX(dict_zul_Var_Meth[kval_active],MATCH(table_Methods[[#This Row],[ID]],dict_zul_Var_Meth[ID_Methods],0))</f>
        <v>0</v>
      </c>
      <c r="H12">
        <f t="shared" ca="1" si="3"/>
        <v>39555</v>
      </c>
      <c r="I12">
        <f t="shared" ca="1" si="4"/>
        <v>25088</v>
      </c>
    </row>
    <row r="13" spans="1:9" x14ac:dyDescent="0.45">
      <c r="A13">
        <v>11</v>
      </c>
      <c r="B13" t="str">
        <f>CONCATENATE("Methode ",table_Methods[[#This Row],[ID]])</f>
        <v>Methode 11</v>
      </c>
      <c r="C13">
        <f t="shared" ca="1" si="0"/>
        <v>85</v>
      </c>
      <c r="D13">
        <f t="shared" ca="1" si="5"/>
        <v>3.23</v>
      </c>
      <c r="E13">
        <f t="shared" ca="1" si="1"/>
        <v>10</v>
      </c>
      <c r="F13">
        <f t="shared" ca="1" si="2"/>
        <v>930</v>
      </c>
      <c r="G13" t="b">
        <f ca="1">INDEX(dict_zul_Var_Meth[kval_active],MATCH(table_Methods[[#This Row],[ID]],dict_zul_Var_Meth[ID_Methods],0))</f>
        <v>0</v>
      </c>
      <c r="H13">
        <f t="shared" ca="1" si="3"/>
        <v>2004</v>
      </c>
      <c r="I13">
        <f t="shared" ca="1" si="4"/>
        <v>5312</v>
      </c>
    </row>
    <row r="14" spans="1:9" x14ac:dyDescent="0.45">
      <c r="A14">
        <v>12</v>
      </c>
      <c r="B14" t="str">
        <f>CONCATENATE("Methode ",table_Methods[[#This Row],[ID]])</f>
        <v>Methode 12</v>
      </c>
      <c r="C14">
        <f t="shared" ca="1" si="0"/>
        <v>4500</v>
      </c>
      <c r="D14">
        <f t="shared" ca="1" si="5"/>
        <v>3.22</v>
      </c>
      <c r="E14">
        <f t="shared" ca="1" si="1"/>
        <v>-80</v>
      </c>
      <c r="F14">
        <f t="shared" ca="1" si="2"/>
        <v>350</v>
      </c>
      <c r="G14" t="b">
        <f ca="1">INDEX(dict_zul_Var_Meth[kval_active],MATCH(table_Methods[[#This Row],[ID]],dict_zul_Var_Meth[ID_Methods],0))</f>
        <v>0</v>
      </c>
      <c r="H14">
        <f t="shared" ca="1" si="3"/>
        <v>1570</v>
      </c>
      <c r="I14">
        <f t="shared" ca="1" si="4"/>
        <v>384</v>
      </c>
    </row>
    <row r="15" spans="1:9" x14ac:dyDescent="0.45">
      <c r="A15">
        <v>13</v>
      </c>
      <c r="B15" t="str">
        <f>CONCATENATE("Methode ",table_Methods[[#This Row],[ID]])</f>
        <v>Methode 13</v>
      </c>
      <c r="C15">
        <f t="shared" ca="1" si="0"/>
        <v>3700</v>
      </c>
      <c r="D15">
        <f t="shared" ca="1" si="5"/>
        <v>5.24</v>
      </c>
      <c r="E15">
        <f t="shared" ca="1" si="1"/>
        <v>20</v>
      </c>
      <c r="F15">
        <f t="shared" ca="1" si="2"/>
        <v>460</v>
      </c>
      <c r="G15" t="b">
        <f ca="1">INDEX(dict_zul_Var_Meth[kval_active],MATCH(table_Methods[[#This Row],[ID]],dict_zul_Var_Meth[ID_Methods],0))</f>
        <v>0</v>
      </c>
      <c r="H15">
        <f t="shared" ca="1" si="3"/>
        <v>11592</v>
      </c>
      <c r="I15">
        <f t="shared" ca="1" si="4"/>
        <v>320</v>
      </c>
    </row>
    <row r="16" spans="1:9" x14ac:dyDescent="0.45">
      <c r="A16">
        <v>14</v>
      </c>
      <c r="B16" t="str">
        <f>CONCATENATE("Methode ",table_Methods[[#This Row],[ID]])</f>
        <v>Methode 14</v>
      </c>
      <c r="C16">
        <f t="shared" ca="1" si="0"/>
        <v>40</v>
      </c>
      <c r="D16">
        <f t="shared" ca="1" si="5"/>
        <v>1.33</v>
      </c>
      <c r="E16">
        <f t="shared" ca="1" si="1"/>
        <v>-70</v>
      </c>
      <c r="F16">
        <f t="shared" ca="1" si="2"/>
        <v>530</v>
      </c>
      <c r="G16" t="b">
        <f ca="1">INDEX(dict_zul_Var_Meth[kval_active],MATCH(table_Methods[[#This Row],[ID]],dict_zul_Var_Meth[ID_Methods],0))</f>
        <v>0</v>
      </c>
      <c r="H16">
        <f t="shared" ca="1" si="3"/>
        <v>20275</v>
      </c>
      <c r="I16">
        <f t="shared" ca="1" si="4"/>
        <v>800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240</v>
      </c>
      <c r="D17">
        <f t="shared" ca="1" si="5"/>
        <v>6.04</v>
      </c>
      <c r="E17">
        <f t="shared" ca="1" si="1"/>
        <v>-50</v>
      </c>
      <c r="F17">
        <f t="shared" ca="1" si="2"/>
        <v>740</v>
      </c>
      <c r="G17" t="b">
        <f ca="1">INDEX(dict_zul_Var_Meth[kval_active],MATCH(table_Methods[[#This Row],[ID]],dict_zul_Var_Meth[ID_Methods],0))</f>
        <v>0</v>
      </c>
      <c r="H17">
        <f t="shared" ca="1" si="3"/>
        <v>2268</v>
      </c>
      <c r="I17">
        <f t="shared" ca="1" si="4"/>
        <v>4288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7100</v>
      </c>
      <c r="D18">
        <f t="shared" ca="1" si="5"/>
        <v>6.42</v>
      </c>
      <c r="E18">
        <f t="shared" ca="1" si="1"/>
        <v>-70</v>
      </c>
      <c r="F18">
        <f t="shared" ca="1" si="2"/>
        <v>30</v>
      </c>
      <c r="G18" t="b">
        <f ca="1">INDEX(dict_zul_Var_Meth[kval_active],MATCH(table_Methods[[#This Row],[ID]],dict_zul_Var_Meth[ID_Methods],0))</f>
        <v>0</v>
      </c>
      <c r="H18">
        <f t="shared" ca="1" si="3"/>
        <v>162</v>
      </c>
      <c r="I18">
        <f t="shared" ca="1" si="4"/>
        <v>22528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2300</v>
      </c>
      <c r="D19">
        <f t="shared" ca="1" si="5"/>
        <v>0.18</v>
      </c>
      <c r="E19">
        <f t="shared" ca="1" si="1"/>
        <v>-40</v>
      </c>
      <c r="F19">
        <f t="shared" ca="1" si="2"/>
        <v>610</v>
      </c>
      <c r="G19" t="b">
        <f ca="1">INDEX(dict_zul_Var_Meth[kval_active],MATCH(table_Methods[[#This Row],[ID]],dict_zul_Var_Meth[ID_Methods],0))</f>
        <v>0</v>
      </c>
      <c r="H19">
        <f t="shared" ca="1" si="3"/>
        <v>9110</v>
      </c>
      <c r="I19">
        <f t="shared" ca="1" si="4"/>
        <v>120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71</v>
      </c>
      <c r="D20">
        <f t="shared" ca="1" si="5"/>
        <v>3.04</v>
      </c>
      <c r="E20">
        <f t="shared" ca="1" si="1"/>
        <v>0</v>
      </c>
      <c r="F20">
        <f t="shared" ca="1" si="2"/>
        <v>890</v>
      </c>
      <c r="G20" t="b">
        <f ca="1">INDEX(dict_zul_Var_Meth[kval_active],MATCH(table_Methods[[#This Row],[ID]],dict_zul_Var_Meth[ID_Methods],0))</f>
        <v>0</v>
      </c>
      <c r="H20">
        <f t="shared" ca="1" si="3"/>
        <v>9136</v>
      </c>
      <c r="I20">
        <f t="shared" ca="1" si="4"/>
        <v>36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4800</v>
      </c>
      <c r="D21">
        <f t="shared" ca="1" si="5"/>
        <v>6.46</v>
      </c>
      <c r="E21">
        <f t="shared" ca="1" si="1"/>
        <v>-80</v>
      </c>
      <c r="F21">
        <f t="shared" ca="1" si="2"/>
        <v>490</v>
      </c>
      <c r="G21" t="b">
        <f ca="1">INDEX(dict_zul_Var_Meth[kval_active],MATCH(table_Methods[[#This Row],[ID]],dict_zul_Var_Meth[ID_Methods],0))</f>
        <v>0</v>
      </c>
      <c r="H21">
        <f t="shared" ca="1" si="3"/>
        <v>3120</v>
      </c>
      <c r="I21">
        <f t="shared" ca="1" si="4"/>
        <v>1824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610</v>
      </c>
      <c r="D22">
        <f t="shared" ca="1" si="5"/>
        <v>7</v>
      </c>
      <c r="E22">
        <f t="shared" ca="1" si="1"/>
        <v>-90</v>
      </c>
      <c r="F22">
        <f t="shared" ca="1" si="2"/>
        <v>100</v>
      </c>
      <c r="G22" t="b">
        <f ca="1">INDEX(dict_zul_Var_Meth[kval_active],MATCH(table_Methods[[#This Row],[ID]],dict_zul_Var_Meth[ID_Methods],0))</f>
        <v>1</v>
      </c>
      <c r="H22">
        <f t="shared" ca="1" si="3"/>
        <v>24558</v>
      </c>
      <c r="I22">
        <f t="shared" ca="1" si="4"/>
        <v>12032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210</v>
      </c>
      <c r="D23">
        <f t="shared" ca="1" si="5"/>
        <v>2.69</v>
      </c>
      <c r="E23">
        <f t="shared" ca="1" si="1"/>
        <v>0</v>
      </c>
      <c r="F23">
        <f t="shared" ca="1" si="2"/>
        <v>430</v>
      </c>
      <c r="G23" t="b">
        <f ca="1">INDEX(dict_zul_Var_Meth[kval_active],MATCH(table_Methods[[#This Row],[ID]],dict_zul_Var_Meth[ID_Methods],0))</f>
        <v>0</v>
      </c>
      <c r="H23">
        <f t="shared" ca="1" si="3"/>
        <v>3750</v>
      </c>
      <c r="I23">
        <f t="shared" ca="1" si="4"/>
        <v>160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5200</v>
      </c>
      <c r="D24">
        <f t="shared" ca="1" si="5"/>
        <v>5.37</v>
      </c>
      <c r="E24">
        <f t="shared" ca="1" si="1"/>
        <v>30</v>
      </c>
      <c r="F24">
        <f t="shared" ca="1" si="2"/>
        <v>840</v>
      </c>
      <c r="G24" s="3" t="b">
        <f ca="1">INDEX(dict_zul_Var_Meth[kval_active],MATCH(table_Methods[[#This Row],[ID]],dict_zul_Var_Meth[ID_Methods],0))</f>
        <v>1</v>
      </c>
      <c r="H24">
        <f t="shared" ca="1" si="3"/>
        <v>38907</v>
      </c>
      <c r="I24">
        <f t="shared" ca="1" si="4"/>
        <v>1792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26</v>
      </c>
      <c r="D25">
        <f t="shared" ca="1" si="5"/>
        <v>0.46</v>
      </c>
      <c r="E25">
        <f t="shared" ca="1" si="1"/>
        <v>-10</v>
      </c>
      <c r="F25">
        <f t="shared" ca="1" si="2"/>
        <v>380</v>
      </c>
      <c r="G25" s="3" t="b">
        <f ca="1">INDEX(dict_zul_Var_Meth[kval_active],MATCH(table_Methods[[#This Row],[ID]],dict_zul_Var_Meth[ID_Methods],0))</f>
        <v>0</v>
      </c>
      <c r="H25">
        <f t="shared" ca="1" si="3"/>
        <v>28217</v>
      </c>
      <c r="I25">
        <f t="shared" ca="1" si="4"/>
        <v>312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86</v>
      </c>
      <c r="D26">
        <f t="shared" ca="1" si="5"/>
        <v>5.09</v>
      </c>
      <c r="E26">
        <f t="shared" ca="1" si="1"/>
        <v>30</v>
      </c>
      <c r="F26">
        <f t="shared" ca="1" si="2"/>
        <v>290</v>
      </c>
      <c r="G26" s="3" t="b">
        <f ca="1">INDEX(dict_zul_Var_Meth[kval_active],MATCH(table_Methods[[#This Row],[ID]],dict_zul_Var_Meth[ID_Methods],0))</f>
        <v>1</v>
      </c>
      <c r="H26">
        <f t="shared" ca="1" si="3"/>
        <v>19590</v>
      </c>
      <c r="I26">
        <f t="shared" ca="1" si="4"/>
        <v>9216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5600</v>
      </c>
      <c r="D27">
        <f t="shared" ca="1" si="5"/>
        <v>8.74</v>
      </c>
      <c r="E27">
        <f t="shared" ca="1" si="1"/>
        <v>-20</v>
      </c>
      <c r="F27">
        <f t="shared" ca="1" si="2"/>
        <v>290</v>
      </c>
      <c r="G27" s="3" t="b">
        <f ca="1">INDEX(dict_zul_Var_Meth[kval_active],MATCH(table_Methods[[#This Row],[ID]],dict_zul_Var_Meth[ID_Methods],0))</f>
        <v>0</v>
      </c>
      <c r="H27">
        <f t="shared" ca="1" si="3"/>
        <v>11403</v>
      </c>
      <c r="I27">
        <f t="shared" ca="1" si="4"/>
        <v>144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5400</v>
      </c>
      <c r="D28">
        <f t="shared" ca="1" si="5"/>
        <v>3.51</v>
      </c>
      <c r="E28">
        <f t="shared" ca="1" si="1"/>
        <v>-10</v>
      </c>
      <c r="F28">
        <f t="shared" ca="1" si="2"/>
        <v>250</v>
      </c>
      <c r="G28" s="3" t="b">
        <f ca="1">INDEX(dict_zul_Var_Meth[kval_active],MATCH(table_Methods[[#This Row],[ID]],dict_zul_Var_Meth[ID_Methods],0))</f>
        <v>0</v>
      </c>
      <c r="H28">
        <f t="shared" ca="1" si="3"/>
        <v>2844</v>
      </c>
      <c r="I28">
        <f t="shared" ca="1" si="4"/>
        <v>41984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810</v>
      </c>
      <c r="D29">
        <f t="shared" ca="1" si="5"/>
        <v>3</v>
      </c>
      <c r="E29">
        <f t="shared" ca="1" si="1"/>
        <v>20</v>
      </c>
      <c r="F29">
        <f t="shared" ca="1" si="2"/>
        <v>200</v>
      </c>
      <c r="G29" s="3" t="b">
        <f ca="1">INDEX(dict_zul_Var_Meth[kval_active],MATCH(table_Methods[[#This Row],[ID]],dict_zul_Var_Meth[ID_Methods],0))</f>
        <v>1</v>
      </c>
      <c r="H29">
        <f t="shared" ca="1" si="3"/>
        <v>2582</v>
      </c>
      <c r="I29">
        <f t="shared" ca="1" si="4"/>
        <v>4800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44</v>
      </c>
      <c r="D30">
        <f t="shared" ca="1" si="5"/>
        <v>6.23</v>
      </c>
      <c r="E30">
        <f t="shared" ca="1" si="1"/>
        <v>-70</v>
      </c>
      <c r="F30">
        <f t="shared" ca="1" si="2"/>
        <v>170</v>
      </c>
      <c r="G30" s="3" t="b">
        <f ca="1">INDEX(dict_zul_Var_Meth[kval_active],MATCH(table_Methods[[#This Row],[ID]],dict_zul_Var_Meth[ID_Methods],0))</f>
        <v>0</v>
      </c>
      <c r="H30">
        <f t="shared" ca="1" si="3"/>
        <v>22779</v>
      </c>
      <c r="I30">
        <f t="shared" ca="1" si="4"/>
        <v>28160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990</v>
      </c>
      <c r="D31">
        <f t="shared" ca="1" si="5"/>
        <v>7.54</v>
      </c>
      <c r="E31">
        <f t="shared" ca="1" si="1"/>
        <v>-50</v>
      </c>
      <c r="F31">
        <f t="shared" ca="1" si="2"/>
        <v>230</v>
      </c>
      <c r="G31" s="3" t="b">
        <f ca="1">INDEX(dict_zul_Var_Meth[kval_active],MATCH(table_Methods[[#This Row],[ID]],dict_zul_Var_Meth[ID_Methods],0))</f>
        <v>0</v>
      </c>
      <c r="H31">
        <f t="shared" ca="1" si="3"/>
        <v>27540</v>
      </c>
      <c r="I31">
        <f t="shared" ca="1" si="4"/>
        <v>232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6800</v>
      </c>
      <c r="D32">
        <f t="shared" ca="1" si="5"/>
        <v>9.06</v>
      </c>
      <c r="E32">
        <f t="shared" ca="1" si="1"/>
        <v>-10</v>
      </c>
      <c r="F32">
        <f t="shared" ca="1" si="2"/>
        <v>950</v>
      </c>
      <c r="G32" s="3" t="b">
        <f ca="1">INDEX(dict_zul_Var_Meth[kval_active],MATCH(table_Methods[[#This Row],[ID]],dict_zul_Var_Meth[ID_Methods],0))</f>
        <v>0</v>
      </c>
      <c r="H32">
        <f t="shared" ca="1" si="3"/>
        <v>12312</v>
      </c>
      <c r="I32">
        <f t="shared" ca="1" si="4"/>
        <v>96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4</v>
      </c>
      <c r="D33">
        <f t="shared" ca="1" si="5"/>
        <v>3.14</v>
      </c>
      <c r="E33">
        <f t="shared" ca="1" si="1"/>
        <v>-20</v>
      </c>
      <c r="F33">
        <f t="shared" ca="1" si="2"/>
        <v>200</v>
      </c>
      <c r="G33" s="3" t="b">
        <f ca="1">INDEX(dict_zul_Var_Meth[kval_active],MATCH(table_Methods[[#This Row],[ID]],dict_zul_Var_Meth[ID_Methods],0))</f>
        <v>0</v>
      </c>
      <c r="H33">
        <f t="shared" ca="1" si="3"/>
        <v>39789</v>
      </c>
      <c r="I33">
        <f t="shared" ca="1" si="4"/>
        <v>5248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1</v>
      </c>
      <c r="D34">
        <f t="shared" ca="1" si="5"/>
        <v>4.62</v>
      </c>
      <c r="E34">
        <f t="shared" ca="1" si="1"/>
        <v>-90</v>
      </c>
      <c r="F34">
        <f t="shared" ca="1" si="2"/>
        <v>460</v>
      </c>
      <c r="G34" s="3" t="b">
        <f ca="1">INDEX(dict_zul_Var_Meth[kval_active],MATCH(table_Methods[[#This Row],[ID]],dict_zul_Var_Meth[ID_Methods],0))</f>
        <v>0</v>
      </c>
      <c r="H34">
        <f t="shared" ca="1" si="3"/>
        <v>13392</v>
      </c>
      <c r="I34">
        <f t="shared" ca="1" si="4"/>
        <v>960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2300</v>
      </c>
      <c r="D35">
        <f t="shared" ca="1" si="5"/>
        <v>1.95</v>
      </c>
      <c r="E35">
        <f ca="1">RANDBETWEEN(-10,3)*10</f>
        <v>-20</v>
      </c>
      <c r="F35">
        <f ca="1">RANDBETWEEN(2,100)*10</f>
        <v>370</v>
      </c>
      <c r="G35" s="3" t="b">
        <f ca="1">INDEX(dict_zul_Var_Meth[kval_active],MATCH(table_Methods[[#This Row],[ID]],dict_zul_Var_Meth[ID_Methods],0))</f>
        <v>0</v>
      </c>
      <c r="H35">
        <f t="shared" ca="1" si="3"/>
        <v>33720</v>
      </c>
      <c r="I35">
        <f t="shared" ca="1" si="4"/>
        <v>512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890</v>
      </c>
      <c r="D36">
        <f t="shared" ca="1" si="5"/>
        <v>4.34</v>
      </c>
      <c r="E36">
        <f t="shared" ref="E36:E99" ca="1" si="6">RANDBETWEEN(-10,3)*10</f>
        <v>-90</v>
      </c>
      <c r="F36">
        <f t="shared" ref="F36:F99" ca="1" si="7">RANDBETWEEN(2,100)*10</f>
        <v>480</v>
      </c>
      <c r="G36" s="3" t="b">
        <f ca="1">INDEX(dict_zul_Var_Meth[kval_active],MATCH(table_Methods[[#This Row],[ID]],dict_zul_Var_Meth[ID_Methods],0))</f>
        <v>0</v>
      </c>
      <c r="H36">
        <f t="shared" ref="H36:H99" ca="1" si="8">RANDBETWEEN(1,10)*RANDBETWEEN(1,5000)</f>
        <v>4033</v>
      </c>
      <c r="I36">
        <f t="shared" ref="I36:I99" ca="1" si="9">2^RANDBETWEEN(1,10)*RANDBETWEEN(1,100)</f>
        <v>64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56.000000000000007</v>
      </c>
      <c r="D37">
        <f t="shared" ca="1" si="5"/>
        <v>1.27</v>
      </c>
      <c r="E37">
        <f t="shared" ca="1" si="6"/>
        <v>20</v>
      </c>
      <c r="F37">
        <f t="shared" ca="1" si="7"/>
        <v>670</v>
      </c>
      <c r="G37" s="3" t="b">
        <f ca="1">INDEX(dict_zul_Var_Meth[kval_active],MATCH(table_Methods[[#This Row],[ID]],dict_zul_Var_Meth[ID_Methods],0))</f>
        <v>0</v>
      </c>
      <c r="H37">
        <f t="shared" ca="1" si="8"/>
        <v>26304</v>
      </c>
      <c r="I37">
        <f t="shared" ca="1" si="9"/>
        <v>10880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55</v>
      </c>
      <c r="D38">
        <f t="shared" ca="1" si="5"/>
        <v>4.18</v>
      </c>
      <c r="E38">
        <f t="shared" ca="1" si="6"/>
        <v>-10</v>
      </c>
      <c r="F38">
        <f t="shared" ca="1" si="7"/>
        <v>560</v>
      </c>
      <c r="G38" s="3" t="b">
        <f ca="1">INDEX(dict_zul_Var_Meth[kval_active],MATCH(table_Methods[[#This Row],[ID]],dict_zul_Var_Meth[ID_Methods],0))</f>
        <v>0</v>
      </c>
      <c r="H38">
        <f t="shared" ca="1" si="8"/>
        <v>1339</v>
      </c>
      <c r="I38">
        <f t="shared" ca="1" si="9"/>
        <v>1360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19</v>
      </c>
      <c r="D39">
        <f t="shared" ca="1" si="5"/>
        <v>5.83</v>
      </c>
      <c r="E39">
        <f t="shared" ca="1" si="6"/>
        <v>-70</v>
      </c>
      <c r="F39">
        <f t="shared" ca="1" si="7"/>
        <v>500</v>
      </c>
      <c r="G39" s="3" t="b">
        <f ca="1">INDEX(dict_zul_Var_Meth[kval_active],MATCH(table_Methods[[#This Row],[ID]],dict_zul_Var_Meth[ID_Methods],0))</f>
        <v>0</v>
      </c>
      <c r="H39">
        <f t="shared" ca="1" si="8"/>
        <v>14528</v>
      </c>
      <c r="I39">
        <f t="shared" ca="1" si="9"/>
        <v>480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230</v>
      </c>
      <c r="D40">
        <f t="shared" ca="1" si="5"/>
        <v>3.06</v>
      </c>
      <c r="E40">
        <f t="shared" ca="1" si="6"/>
        <v>-10</v>
      </c>
      <c r="F40">
        <f t="shared" ca="1" si="7"/>
        <v>160</v>
      </c>
      <c r="G40" s="3" t="b">
        <f ca="1">INDEX(dict_zul_Var_Meth[kval_active],MATCH(table_Methods[[#This Row],[ID]],dict_zul_Var_Meth[ID_Methods],0))</f>
        <v>0</v>
      </c>
      <c r="H40">
        <f t="shared" ca="1" si="8"/>
        <v>2116</v>
      </c>
      <c r="I40">
        <f t="shared" ca="1" si="9"/>
        <v>1376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95</v>
      </c>
      <c r="D41">
        <f t="shared" ca="1" si="5"/>
        <v>7.22</v>
      </c>
      <c r="E41">
        <f t="shared" ca="1" si="6"/>
        <v>-80</v>
      </c>
      <c r="F41">
        <f t="shared" ca="1" si="7"/>
        <v>350</v>
      </c>
      <c r="G41" s="3" t="b">
        <f ca="1">INDEX(dict_zul_Var_Meth[kval_active],MATCH(table_Methods[[#This Row],[ID]],dict_zul_Var_Meth[ID_Methods],0))</f>
        <v>1</v>
      </c>
      <c r="H41">
        <f t="shared" ca="1" si="8"/>
        <v>1898</v>
      </c>
      <c r="I41">
        <f t="shared" ca="1" si="9"/>
        <v>6336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720</v>
      </c>
      <c r="D42">
        <f t="shared" ca="1" si="5"/>
        <v>2.87</v>
      </c>
      <c r="E42">
        <f t="shared" ca="1" si="6"/>
        <v>0</v>
      </c>
      <c r="F42">
        <f t="shared" ca="1" si="7"/>
        <v>860</v>
      </c>
      <c r="G42" s="3" t="b">
        <f ca="1">INDEX(dict_zul_Var_Meth[kval_active],MATCH(table_Methods[[#This Row],[ID]],dict_zul_Var_Meth[ID_Methods],0))</f>
        <v>0</v>
      </c>
      <c r="H42">
        <f t="shared" ca="1" si="8"/>
        <v>3814</v>
      </c>
      <c r="I42">
        <f t="shared" ca="1" si="9"/>
        <v>32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7600</v>
      </c>
      <c r="D43">
        <f t="shared" ca="1" si="5"/>
        <v>6.83</v>
      </c>
      <c r="E43">
        <f t="shared" ca="1" si="6"/>
        <v>-50</v>
      </c>
      <c r="F43">
        <f t="shared" ca="1" si="7"/>
        <v>990</v>
      </c>
      <c r="G43" s="3" t="b">
        <f ca="1">INDEX(dict_zul_Var_Meth[kval_active],MATCH(table_Methods[[#This Row],[ID]],dict_zul_Var_Meth[ID_Methods],0))</f>
        <v>0</v>
      </c>
      <c r="H43">
        <f t="shared" ca="1" si="8"/>
        <v>5802</v>
      </c>
      <c r="I43">
        <f t="shared" ca="1" si="9"/>
        <v>1520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7400</v>
      </c>
      <c r="D44">
        <f t="shared" ca="1" si="5"/>
        <v>6.94</v>
      </c>
      <c r="E44">
        <f t="shared" ca="1" si="6"/>
        <v>-100</v>
      </c>
      <c r="F44">
        <f t="shared" ca="1" si="7"/>
        <v>930</v>
      </c>
      <c r="G44" s="3" t="b">
        <f ca="1">INDEX(dict_zul_Var_Meth[kval_active],MATCH(table_Methods[[#This Row],[ID]],dict_zul_Var_Meth[ID_Methods],0))</f>
        <v>0</v>
      </c>
      <c r="H44">
        <f t="shared" ca="1" si="8"/>
        <v>915</v>
      </c>
      <c r="I44">
        <f t="shared" ca="1" si="9"/>
        <v>3072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740</v>
      </c>
      <c r="D45">
        <f t="shared" ca="1" si="5"/>
        <v>5.13</v>
      </c>
      <c r="E45">
        <f t="shared" ca="1" si="6"/>
        <v>-20</v>
      </c>
      <c r="F45">
        <f t="shared" ca="1" si="7"/>
        <v>320</v>
      </c>
      <c r="G45" s="3" t="b">
        <f ca="1">INDEX(dict_zul_Var_Meth[kval_active],MATCH(table_Methods[[#This Row],[ID]],dict_zul_Var_Meth[ID_Methods],0))</f>
        <v>0</v>
      </c>
      <c r="H45">
        <f t="shared" ca="1" si="8"/>
        <v>12645</v>
      </c>
      <c r="I45">
        <f t="shared" ca="1" si="9"/>
        <v>90112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58.000000000000007</v>
      </c>
      <c r="D46">
        <f t="shared" ca="1" si="5"/>
        <v>5.5</v>
      </c>
      <c r="E46">
        <f t="shared" ca="1" si="6"/>
        <v>-50</v>
      </c>
      <c r="F46">
        <f t="shared" ca="1" si="7"/>
        <v>140</v>
      </c>
      <c r="G46" s="3" t="b">
        <f ca="1">INDEX(dict_zul_Var_Meth[kval_active],MATCH(table_Methods[[#This Row],[ID]],dict_zul_Var_Meth[ID_Methods],0))</f>
        <v>0</v>
      </c>
      <c r="H46">
        <f t="shared" ca="1" si="8"/>
        <v>868</v>
      </c>
      <c r="I46">
        <f t="shared" ca="1" si="9"/>
        <v>276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6400</v>
      </c>
      <c r="D47">
        <f t="shared" ca="1" si="5"/>
        <v>2.93</v>
      </c>
      <c r="E47">
        <f t="shared" ca="1" si="6"/>
        <v>30</v>
      </c>
      <c r="F47">
        <f t="shared" ca="1" si="7"/>
        <v>100</v>
      </c>
      <c r="G47" s="3" t="b">
        <f ca="1">INDEX(dict_zul_Var_Meth[kval_active],MATCH(table_Methods[[#This Row],[ID]],dict_zul_Var_Meth[ID_Methods],0))</f>
        <v>0</v>
      </c>
      <c r="H47">
        <f t="shared" ca="1" si="8"/>
        <v>8775</v>
      </c>
      <c r="I47">
        <f t="shared" ca="1" si="9"/>
        <v>3328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250</v>
      </c>
      <c r="D48">
        <f t="shared" ca="1" si="5"/>
        <v>5.71</v>
      </c>
      <c r="E48">
        <f t="shared" ca="1" si="6"/>
        <v>-90</v>
      </c>
      <c r="F48">
        <f t="shared" ca="1" si="7"/>
        <v>350</v>
      </c>
      <c r="G48" s="3" t="b">
        <f ca="1">INDEX(dict_zul_Var_Meth[kval_active],MATCH(table_Methods[[#This Row],[ID]],dict_zul_Var_Meth[ID_Methods],0))</f>
        <v>0</v>
      </c>
      <c r="H48">
        <f t="shared" ca="1" si="8"/>
        <v>6882</v>
      </c>
      <c r="I48">
        <f t="shared" ca="1" si="9"/>
        <v>11264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590</v>
      </c>
      <c r="D49">
        <f t="shared" ca="1" si="5"/>
        <v>6.56</v>
      </c>
      <c r="E49">
        <f t="shared" ca="1" si="6"/>
        <v>30</v>
      </c>
      <c r="F49">
        <f t="shared" ca="1" si="7"/>
        <v>180</v>
      </c>
      <c r="G49" s="3" t="b">
        <f ca="1">INDEX(dict_zul_Var_Meth[kval_active],MATCH(table_Methods[[#This Row],[ID]],dict_zul_Var_Meth[ID_Methods],0))</f>
        <v>0</v>
      </c>
      <c r="H49">
        <f t="shared" ca="1" si="8"/>
        <v>482</v>
      </c>
      <c r="I49">
        <f t="shared" ca="1" si="9"/>
        <v>192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4700</v>
      </c>
      <c r="D50">
        <f t="shared" ca="1" si="5"/>
        <v>8.6999999999999993</v>
      </c>
      <c r="E50">
        <f t="shared" ca="1" si="6"/>
        <v>-40</v>
      </c>
      <c r="F50">
        <f t="shared" ca="1" si="7"/>
        <v>230</v>
      </c>
      <c r="G50" s="3" t="b">
        <f ca="1">INDEX(dict_zul_Var_Meth[kval_active],MATCH(table_Methods[[#This Row],[ID]],dict_zul_Var_Meth[ID_Methods],0))</f>
        <v>0</v>
      </c>
      <c r="H50">
        <f t="shared" ca="1" si="8"/>
        <v>21195</v>
      </c>
      <c r="I50">
        <f t="shared" ca="1" si="9"/>
        <v>9216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55</v>
      </c>
      <c r="D51">
        <f t="shared" ca="1" si="5"/>
        <v>2.36</v>
      </c>
      <c r="E51">
        <f t="shared" ca="1" si="6"/>
        <v>30</v>
      </c>
      <c r="F51">
        <f t="shared" ca="1" si="7"/>
        <v>590</v>
      </c>
      <c r="G51" s="3" t="b">
        <f ca="1">INDEX(dict_zul_Var_Meth[kval_active],MATCH(table_Methods[[#This Row],[ID]],dict_zul_Var_Meth[ID_Methods],0))</f>
        <v>0</v>
      </c>
      <c r="H51">
        <f t="shared" ca="1" si="8"/>
        <v>14008</v>
      </c>
      <c r="I51">
        <f t="shared" ca="1" si="9"/>
        <v>10496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420</v>
      </c>
      <c r="D52">
        <f t="shared" ca="1" si="5"/>
        <v>6.55</v>
      </c>
      <c r="E52">
        <f t="shared" ca="1" si="6"/>
        <v>-70</v>
      </c>
      <c r="F52">
        <f t="shared" ca="1" si="7"/>
        <v>660</v>
      </c>
      <c r="G52" s="3" t="b">
        <f ca="1">INDEX(dict_zul_Var_Meth[kval_active],MATCH(table_Methods[[#This Row],[ID]],dict_zul_Var_Meth[ID_Methods],0))</f>
        <v>1</v>
      </c>
      <c r="H52">
        <f t="shared" ca="1" si="8"/>
        <v>6270</v>
      </c>
      <c r="I52">
        <f t="shared" ca="1" si="9"/>
        <v>4352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11</v>
      </c>
      <c r="D53">
        <f t="shared" ca="1" si="5"/>
        <v>2.64</v>
      </c>
      <c r="E53">
        <f t="shared" ca="1" si="6"/>
        <v>0</v>
      </c>
      <c r="F53">
        <f t="shared" ca="1" si="7"/>
        <v>790</v>
      </c>
      <c r="G53" s="3" t="b">
        <f ca="1">INDEX(dict_zul_Var_Meth[kval_active],MATCH(table_Methods[[#This Row],[ID]],dict_zul_Var_Meth[ID_Methods],0))</f>
        <v>1</v>
      </c>
      <c r="H53">
        <f t="shared" ca="1" si="8"/>
        <v>4140</v>
      </c>
      <c r="I53">
        <f t="shared" ca="1" si="9"/>
        <v>12800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540</v>
      </c>
      <c r="D54">
        <f t="shared" ca="1" si="5"/>
        <v>3.09</v>
      </c>
      <c r="E54">
        <f t="shared" ca="1" si="6"/>
        <v>-50</v>
      </c>
      <c r="F54">
        <f t="shared" ca="1" si="7"/>
        <v>260</v>
      </c>
      <c r="G54" s="3" t="b">
        <f ca="1">INDEX(dict_zul_Var_Meth[kval_active],MATCH(table_Methods[[#This Row],[ID]],dict_zul_Var_Meth[ID_Methods],0))</f>
        <v>0</v>
      </c>
      <c r="H54">
        <f t="shared" ca="1" si="8"/>
        <v>23786</v>
      </c>
      <c r="I54">
        <f t="shared" ca="1" si="9"/>
        <v>33792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870</v>
      </c>
      <c r="D55">
        <f t="shared" ca="1" si="5"/>
        <v>0.32</v>
      </c>
      <c r="E55">
        <f t="shared" ca="1" si="6"/>
        <v>-70</v>
      </c>
      <c r="F55">
        <f t="shared" ca="1" si="7"/>
        <v>190</v>
      </c>
      <c r="G55" s="3" t="b">
        <f ca="1">INDEX(dict_zul_Var_Meth[kval_active],MATCH(table_Methods[[#This Row],[ID]],dict_zul_Var_Meth[ID_Methods],0))</f>
        <v>0</v>
      </c>
      <c r="H55">
        <f t="shared" ca="1" si="8"/>
        <v>28133</v>
      </c>
      <c r="I55">
        <f t="shared" ca="1" si="9"/>
        <v>36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45</v>
      </c>
      <c r="D56">
        <f t="shared" ca="1" si="5"/>
        <v>8.26</v>
      </c>
      <c r="E56">
        <f t="shared" ca="1" si="6"/>
        <v>-100</v>
      </c>
      <c r="F56">
        <f t="shared" ca="1" si="7"/>
        <v>200</v>
      </c>
      <c r="G56" s="3" t="b">
        <f ca="1">INDEX(dict_zul_Var_Meth[kval_active],MATCH(table_Methods[[#This Row],[ID]],dict_zul_Var_Meth[ID_Methods],0))</f>
        <v>0</v>
      </c>
      <c r="H56">
        <f t="shared" ca="1" si="8"/>
        <v>17397</v>
      </c>
      <c r="I56">
        <f t="shared" ca="1" si="9"/>
        <v>1232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52</v>
      </c>
      <c r="D57">
        <f t="shared" ca="1" si="5"/>
        <v>8.83</v>
      </c>
      <c r="E57">
        <f t="shared" ca="1" si="6"/>
        <v>30</v>
      </c>
      <c r="F57">
        <f t="shared" ca="1" si="7"/>
        <v>190</v>
      </c>
      <c r="G57" s="3" t="b">
        <f ca="1">INDEX(dict_zul_Var_Meth[kval_active],MATCH(table_Methods[[#This Row],[ID]],dict_zul_Var_Meth[ID_Methods],0))</f>
        <v>0</v>
      </c>
      <c r="H57">
        <f t="shared" ca="1" si="8"/>
        <v>13065</v>
      </c>
      <c r="I57">
        <f t="shared" ca="1" si="9"/>
        <v>3136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20</v>
      </c>
      <c r="D58">
        <f t="shared" ca="1" si="5"/>
        <v>9.9600000000000009</v>
      </c>
      <c r="E58">
        <f t="shared" ca="1" si="6"/>
        <v>-40</v>
      </c>
      <c r="F58">
        <f t="shared" ca="1" si="7"/>
        <v>200</v>
      </c>
      <c r="G58" s="3" t="b">
        <f ca="1">INDEX(dict_zul_Var_Meth[kval_active],MATCH(table_Methods[[#This Row],[ID]],dict_zul_Var_Meth[ID_Methods],0))</f>
        <v>0</v>
      </c>
      <c r="H58">
        <f t="shared" ca="1" si="8"/>
        <v>12152</v>
      </c>
      <c r="I58">
        <f t="shared" ca="1" si="9"/>
        <v>21504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220</v>
      </c>
      <c r="D59">
        <f t="shared" ca="1" si="5"/>
        <v>1.72</v>
      </c>
      <c r="E59">
        <f t="shared" ca="1" si="6"/>
        <v>-60</v>
      </c>
      <c r="F59">
        <f t="shared" ca="1" si="7"/>
        <v>130</v>
      </c>
      <c r="G59" s="3" t="b">
        <f ca="1">INDEX(dict_zul_Var_Meth[kval_active],MATCH(table_Methods[[#This Row],[ID]],dict_zul_Var_Meth[ID_Methods],0))</f>
        <v>0</v>
      </c>
      <c r="H59">
        <f t="shared" ca="1" si="8"/>
        <v>19640</v>
      </c>
      <c r="I59">
        <f t="shared" ca="1" si="9"/>
        <v>2304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3400</v>
      </c>
      <c r="D60">
        <f t="shared" ca="1" si="5"/>
        <v>0.37</v>
      </c>
      <c r="E60">
        <f t="shared" ca="1" si="6"/>
        <v>10</v>
      </c>
      <c r="F60">
        <f t="shared" ca="1" si="7"/>
        <v>570</v>
      </c>
      <c r="G60" s="3" t="b">
        <f ca="1">INDEX(dict_zul_Var_Meth[kval_active],MATCH(table_Methods[[#This Row],[ID]],dict_zul_Var_Meth[ID_Methods],0))</f>
        <v>0</v>
      </c>
      <c r="H60">
        <f t="shared" ca="1" si="8"/>
        <v>40570</v>
      </c>
      <c r="I60">
        <f t="shared" ca="1" si="9"/>
        <v>76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15</v>
      </c>
      <c r="D61">
        <f t="shared" ca="1" si="5"/>
        <v>1.41</v>
      </c>
      <c r="E61">
        <f t="shared" ca="1" si="6"/>
        <v>-100</v>
      </c>
      <c r="F61">
        <f t="shared" ca="1" si="7"/>
        <v>180</v>
      </c>
      <c r="G61" s="3" t="b">
        <f ca="1">INDEX(dict_zul_Var_Meth[kval_active],MATCH(table_Methods[[#This Row],[ID]],dict_zul_Var_Meth[ID_Methods],0))</f>
        <v>0</v>
      </c>
      <c r="H61">
        <f t="shared" ca="1" si="8"/>
        <v>12481</v>
      </c>
      <c r="I61">
        <f t="shared" ca="1" si="9"/>
        <v>24576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430</v>
      </c>
      <c r="D62">
        <f t="shared" ca="1" si="5"/>
        <v>6.65</v>
      </c>
      <c r="E62">
        <f t="shared" ca="1" si="6"/>
        <v>-40</v>
      </c>
      <c r="F62">
        <f t="shared" ca="1" si="7"/>
        <v>210</v>
      </c>
      <c r="G62" s="3" t="b">
        <f ca="1">INDEX(dict_zul_Var_Meth[kval_active],MATCH(table_Methods[[#This Row],[ID]],dict_zul_Var_Meth[ID_Methods],0))</f>
        <v>0</v>
      </c>
      <c r="H62">
        <f t="shared" ca="1" si="8"/>
        <v>1064</v>
      </c>
      <c r="I62">
        <f t="shared" ca="1" si="9"/>
        <v>63488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9000</v>
      </c>
      <c r="D63">
        <f t="shared" ca="1" si="5"/>
        <v>6.27</v>
      </c>
      <c r="E63">
        <f t="shared" ca="1" si="6"/>
        <v>-40</v>
      </c>
      <c r="F63">
        <f t="shared" ca="1" si="7"/>
        <v>420</v>
      </c>
      <c r="G63" s="3" t="b">
        <f ca="1">INDEX(dict_zul_Var_Meth[kval_active],MATCH(table_Methods[[#This Row],[ID]],dict_zul_Var_Meth[ID_Methods],0))</f>
        <v>0</v>
      </c>
      <c r="H63">
        <f t="shared" ca="1" si="8"/>
        <v>17640</v>
      </c>
      <c r="I63">
        <f t="shared" ca="1" si="9"/>
        <v>1312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38</v>
      </c>
      <c r="D64">
        <f t="shared" ca="1" si="5"/>
        <v>9.7899999999999991</v>
      </c>
      <c r="E64">
        <f t="shared" ca="1" si="6"/>
        <v>-70</v>
      </c>
      <c r="F64">
        <f t="shared" ca="1" si="7"/>
        <v>430</v>
      </c>
      <c r="G64" s="3" t="b">
        <f ca="1">INDEX(dict_zul_Var_Meth[kval_active],MATCH(table_Methods[[#This Row],[ID]],dict_zul_Var_Meth[ID_Methods],0))</f>
        <v>0</v>
      </c>
      <c r="H64">
        <f t="shared" ca="1" si="8"/>
        <v>30058</v>
      </c>
      <c r="I64">
        <f t="shared" ca="1" si="9"/>
        <v>5504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55</v>
      </c>
      <c r="D65">
        <f t="shared" ca="1" si="5"/>
        <v>7.43</v>
      </c>
      <c r="E65">
        <f t="shared" ca="1" si="6"/>
        <v>0</v>
      </c>
      <c r="F65">
        <f t="shared" ca="1" si="7"/>
        <v>460</v>
      </c>
      <c r="G65" s="3" t="b">
        <f ca="1">INDEX(dict_zul_Var_Meth[kval_active],MATCH(table_Methods[[#This Row],[ID]],dict_zul_Var_Meth[ID_Methods],0))</f>
        <v>0</v>
      </c>
      <c r="H65">
        <f t="shared" ca="1" si="8"/>
        <v>19784</v>
      </c>
      <c r="I65">
        <f t="shared" ca="1" si="9"/>
        <v>15872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630</v>
      </c>
      <c r="D66">
        <f t="shared" ca="1" si="5"/>
        <v>1.65</v>
      </c>
      <c r="E66">
        <f t="shared" ca="1" si="6"/>
        <v>-50</v>
      </c>
      <c r="F66">
        <f t="shared" ca="1" si="7"/>
        <v>490</v>
      </c>
      <c r="G66" s="3" t="b">
        <f ca="1">INDEX(dict_zul_Var_Meth[kval_active],MATCH(table_Methods[[#This Row],[ID]],dict_zul_Var_Meth[ID_Methods],0))</f>
        <v>0</v>
      </c>
      <c r="H66">
        <f t="shared" ca="1" si="8"/>
        <v>2665</v>
      </c>
      <c r="I66">
        <f t="shared" ca="1" si="9"/>
        <v>94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93</v>
      </c>
      <c r="D67">
        <f t="shared" ref="D67:D130" ca="1" si="11">RANDBETWEEN(10,1000)/(100)</f>
        <v>7.16</v>
      </c>
      <c r="E67">
        <f t="shared" ca="1" si="6"/>
        <v>-20</v>
      </c>
      <c r="F67">
        <f t="shared" ca="1" si="7"/>
        <v>370</v>
      </c>
      <c r="G67" s="3" t="b">
        <f ca="1">INDEX(dict_zul_Var_Meth[kval_active],MATCH(table_Methods[[#This Row],[ID]],dict_zul_Var_Meth[ID_Methods],0))</f>
        <v>0</v>
      </c>
      <c r="H67">
        <f t="shared" ca="1" si="8"/>
        <v>25134</v>
      </c>
      <c r="I67">
        <f t="shared" ca="1" si="9"/>
        <v>2304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8200</v>
      </c>
      <c r="D68">
        <f t="shared" ca="1" si="11"/>
        <v>5.05</v>
      </c>
      <c r="E68">
        <f t="shared" ca="1" si="6"/>
        <v>-60</v>
      </c>
      <c r="F68">
        <f t="shared" ca="1" si="7"/>
        <v>930</v>
      </c>
      <c r="G68" s="3" t="b">
        <f ca="1">INDEX(dict_zul_Var_Meth[kval_active],MATCH(table_Methods[[#This Row],[ID]],dict_zul_Var_Meth[ID_Methods],0))</f>
        <v>0</v>
      </c>
      <c r="H68">
        <f t="shared" ca="1" si="8"/>
        <v>4080</v>
      </c>
      <c r="I68">
        <f t="shared" ca="1" si="9"/>
        <v>132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24.000000000000004</v>
      </c>
      <c r="D69">
        <f t="shared" ca="1" si="11"/>
        <v>6.43</v>
      </c>
      <c r="E69">
        <f t="shared" ca="1" si="6"/>
        <v>10</v>
      </c>
      <c r="F69">
        <f t="shared" ca="1" si="7"/>
        <v>890</v>
      </c>
      <c r="G69" s="3" t="b">
        <f ca="1">INDEX(dict_zul_Var_Meth[kval_active],MATCH(table_Methods[[#This Row],[ID]],dict_zul_Var_Meth[ID_Methods],0))</f>
        <v>0</v>
      </c>
      <c r="H69">
        <f t="shared" ca="1" si="8"/>
        <v>3510</v>
      </c>
      <c r="I69">
        <f t="shared" ca="1" si="9"/>
        <v>12544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680</v>
      </c>
      <c r="D70">
        <f t="shared" ca="1" si="11"/>
        <v>1.92</v>
      </c>
      <c r="E70">
        <f t="shared" ca="1" si="6"/>
        <v>-10</v>
      </c>
      <c r="F70">
        <f t="shared" ca="1" si="7"/>
        <v>350</v>
      </c>
      <c r="G70" s="3" t="b">
        <f ca="1">INDEX(dict_zul_Var_Meth[kval_active],MATCH(table_Methods[[#This Row],[ID]],dict_zul_Var_Meth[ID_Methods],0))</f>
        <v>0</v>
      </c>
      <c r="H70">
        <f t="shared" ca="1" si="8"/>
        <v>12160</v>
      </c>
      <c r="I70">
        <f t="shared" ca="1" si="9"/>
        <v>64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1300</v>
      </c>
      <c r="D71">
        <f t="shared" ca="1" si="11"/>
        <v>4.79</v>
      </c>
      <c r="E71">
        <f t="shared" ca="1" si="6"/>
        <v>-60</v>
      </c>
      <c r="F71">
        <f t="shared" ca="1" si="7"/>
        <v>600</v>
      </c>
      <c r="G71" s="3" t="b">
        <f ca="1">INDEX(dict_zul_Var_Meth[kval_active],MATCH(table_Methods[[#This Row],[ID]],dict_zul_Var_Meth[ID_Methods],0))</f>
        <v>0</v>
      </c>
      <c r="H71">
        <f t="shared" ca="1" si="8"/>
        <v>4833</v>
      </c>
      <c r="I71">
        <f t="shared" ca="1" si="9"/>
        <v>69632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300</v>
      </c>
      <c r="D72">
        <f t="shared" ca="1" si="11"/>
        <v>1.3</v>
      </c>
      <c r="E72">
        <f t="shared" ca="1" si="6"/>
        <v>-30</v>
      </c>
      <c r="F72">
        <f t="shared" ca="1" si="7"/>
        <v>120</v>
      </c>
      <c r="G72" s="3" t="b">
        <f ca="1">INDEX(dict_zul_Var_Meth[kval_active],MATCH(table_Methods[[#This Row],[ID]],dict_zul_Var_Meth[ID_Methods],0))</f>
        <v>0</v>
      </c>
      <c r="H72">
        <f t="shared" ca="1" si="8"/>
        <v>8974</v>
      </c>
      <c r="I72">
        <f t="shared" ca="1" si="9"/>
        <v>9600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54</v>
      </c>
      <c r="D73">
        <f t="shared" ca="1" si="11"/>
        <v>9.6199999999999992</v>
      </c>
      <c r="E73">
        <f t="shared" ca="1" si="6"/>
        <v>-90</v>
      </c>
      <c r="F73">
        <f t="shared" ca="1" si="7"/>
        <v>630</v>
      </c>
      <c r="G73" s="3" t="b">
        <f ca="1">INDEX(dict_zul_Var_Meth[kval_active],MATCH(table_Methods[[#This Row],[ID]],dict_zul_Var_Meth[ID_Methods],0))</f>
        <v>0</v>
      </c>
      <c r="H73">
        <f t="shared" ca="1" si="8"/>
        <v>44470</v>
      </c>
      <c r="I73">
        <f t="shared" ca="1" si="9"/>
        <v>268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4200</v>
      </c>
      <c r="D74">
        <f t="shared" ca="1" si="11"/>
        <v>4.0599999999999996</v>
      </c>
      <c r="E74">
        <f t="shared" ca="1" si="6"/>
        <v>-20</v>
      </c>
      <c r="F74">
        <f t="shared" ca="1" si="7"/>
        <v>950</v>
      </c>
      <c r="G74" s="3" t="b">
        <f ca="1">INDEX(dict_zul_Var_Meth[kval_active],MATCH(table_Methods[[#This Row],[ID]],dict_zul_Var_Meth[ID_Methods],0))</f>
        <v>0</v>
      </c>
      <c r="H74">
        <f t="shared" ca="1" si="8"/>
        <v>4744</v>
      </c>
      <c r="I74">
        <f t="shared" ca="1" si="9"/>
        <v>128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59</v>
      </c>
      <c r="D75">
        <f t="shared" ca="1" si="11"/>
        <v>4.46</v>
      </c>
      <c r="E75">
        <f t="shared" ca="1" si="6"/>
        <v>20</v>
      </c>
      <c r="F75">
        <f t="shared" ca="1" si="7"/>
        <v>1000</v>
      </c>
      <c r="G75" s="3" t="b">
        <f ca="1">INDEX(dict_zul_Var_Meth[kval_active],MATCH(table_Methods[[#This Row],[ID]],dict_zul_Var_Meth[ID_Methods],0))</f>
        <v>0</v>
      </c>
      <c r="H75">
        <f t="shared" ca="1" si="8"/>
        <v>16480</v>
      </c>
      <c r="I75">
        <f t="shared" ca="1" si="9"/>
        <v>10496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2300</v>
      </c>
      <c r="D76">
        <f t="shared" ca="1" si="11"/>
        <v>6.33</v>
      </c>
      <c r="E76">
        <f t="shared" ca="1" si="6"/>
        <v>-30</v>
      </c>
      <c r="F76">
        <f t="shared" ca="1" si="7"/>
        <v>750</v>
      </c>
      <c r="G76" s="3" t="b">
        <f ca="1">INDEX(dict_zul_Var_Meth[kval_active],MATCH(table_Methods[[#This Row],[ID]],dict_zul_Var_Meth[ID_Methods],0))</f>
        <v>0</v>
      </c>
      <c r="H76">
        <f t="shared" ca="1" si="8"/>
        <v>10720</v>
      </c>
      <c r="I76">
        <f t="shared" ca="1" si="9"/>
        <v>736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26</v>
      </c>
      <c r="D77">
        <f t="shared" ca="1" si="11"/>
        <v>9.39</v>
      </c>
      <c r="E77">
        <f t="shared" ca="1" si="6"/>
        <v>-80</v>
      </c>
      <c r="F77">
        <f t="shared" ca="1" si="7"/>
        <v>560</v>
      </c>
      <c r="G77" s="3" t="b">
        <f ca="1">INDEX(dict_zul_Var_Meth[kval_active],MATCH(table_Methods[[#This Row],[ID]],dict_zul_Var_Meth[ID_Methods],0))</f>
        <v>0</v>
      </c>
      <c r="H77">
        <f t="shared" ca="1" si="8"/>
        <v>39520</v>
      </c>
      <c r="I77">
        <f t="shared" ca="1" si="9"/>
        <v>140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4</v>
      </c>
      <c r="D78">
        <f t="shared" ca="1" si="11"/>
        <v>8.61</v>
      </c>
      <c r="E78">
        <f t="shared" ca="1" si="6"/>
        <v>-20</v>
      </c>
      <c r="F78">
        <f t="shared" ca="1" si="7"/>
        <v>600</v>
      </c>
      <c r="G78" s="3" t="b">
        <f ca="1">INDEX(dict_zul_Var_Meth[kval_active],MATCH(table_Methods[[#This Row],[ID]],dict_zul_Var_Meth[ID_Methods],0))</f>
        <v>0</v>
      </c>
      <c r="H78">
        <f t="shared" ca="1" si="8"/>
        <v>22512</v>
      </c>
      <c r="I78">
        <f t="shared" ca="1" si="9"/>
        <v>4608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190</v>
      </c>
      <c r="D79">
        <f t="shared" ca="1" si="11"/>
        <v>1.3</v>
      </c>
      <c r="E79">
        <f t="shared" ca="1" si="6"/>
        <v>-80</v>
      </c>
      <c r="F79">
        <f t="shared" ca="1" si="7"/>
        <v>120</v>
      </c>
      <c r="G79" s="3" t="b">
        <f ca="1">INDEX(dict_zul_Var_Meth[kval_active],MATCH(table_Methods[[#This Row],[ID]],dict_zul_Var_Meth[ID_Methods],0))</f>
        <v>0</v>
      </c>
      <c r="H79">
        <f t="shared" ca="1" si="8"/>
        <v>40</v>
      </c>
      <c r="I79">
        <f t="shared" ca="1" si="9"/>
        <v>32256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230</v>
      </c>
      <c r="D80">
        <f t="shared" ca="1" si="11"/>
        <v>0.86</v>
      </c>
      <c r="E80">
        <f t="shared" ca="1" si="6"/>
        <v>-30</v>
      </c>
      <c r="F80">
        <f t="shared" ca="1" si="7"/>
        <v>330</v>
      </c>
      <c r="G80" s="3" t="b">
        <f ca="1">INDEX(dict_zul_Var_Meth[kval_active],MATCH(table_Methods[[#This Row],[ID]],dict_zul_Var_Meth[ID_Methods],0))</f>
        <v>0</v>
      </c>
      <c r="H80">
        <f t="shared" ca="1" si="8"/>
        <v>22380</v>
      </c>
      <c r="I80">
        <f t="shared" ca="1" si="9"/>
        <v>11776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8</v>
      </c>
      <c r="D81">
        <f t="shared" ca="1" si="11"/>
        <v>5.09</v>
      </c>
      <c r="E81">
        <f t="shared" ca="1" si="6"/>
        <v>-80</v>
      </c>
      <c r="F81">
        <f t="shared" ca="1" si="7"/>
        <v>610</v>
      </c>
      <c r="G81" s="3" t="b">
        <f ca="1">INDEX(dict_zul_Var_Meth[kval_active],MATCH(table_Methods[[#This Row],[ID]],dict_zul_Var_Meth[ID_Methods],0))</f>
        <v>0</v>
      </c>
      <c r="H81">
        <f t="shared" ca="1" si="8"/>
        <v>8736</v>
      </c>
      <c r="I81">
        <f t="shared" ca="1" si="9"/>
        <v>152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890</v>
      </c>
      <c r="D82">
        <f t="shared" ca="1" si="11"/>
        <v>1.96</v>
      </c>
      <c r="E82">
        <f t="shared" ca="1" si="6"/>
        <v>-90</v>
      </c>
      <c r="F82">
        <f t="shared" ca="1" si="7"/>
        <v>250</v>
      </c>
      <c r="G82" s="3" t="b">
        <f ca="1">INDEX(dict_zul_Var_Meth[kval_active],MATCH(table_Methods[[#This Row],[ID]],dict_zul_Var_Meth[ID_Methods],0))</f>
        <v>0</v>
      </c>
      <c r="H82">
        <f t="shared" ca="1" si="8"/>
        <v>14164</v>
      </c>
      <c r="I82">
        <f t="shared" ca="1" si="9"/>
        <v>28160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910</v>
      </c>
      <c r="D83">
        <f t="shared" ca="1" si="11"/>
        <v>7.59</v>
      </c>
      <c r="E83">
        <f t="shared" ca="1" si="6"/>
        <v>-100</v>
      </c>
      <c r="F83">
        <f t="shared" ca="1" si="7"/>
        <v>110</v>
      </c>
      <c r="G83" s="3" t="b">
        <f ca="1">INDEX(dict_zul_Var_Meth[kval_active],MATCH(table_Methods[[#This Row],[ID]],dict_zul_Var_Meth[ID_Methods],0))</f>
        <v>0</v>
      </c>
      <c r="H83">
        <f t="shared" ca="1" si="8"/>
        <v>10038</v>
      </c>
      <c r="I83">
        <f t="shared" ca="1" si="9"/>
        <v>1024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64</v>
      </c>
      <c r="D84">
        <f t="shared" ca="1" si="11"/>
        <v>7.4</v>
      </c>
      <c r="E84">
        <f t="shared" ca="1" si="6"/>
        <v>-20</v>
      </c>
      <c r="F84">
        <f t="shared" ca="1" si="7"/>
        <v>530</v>
      </c>
      <c r="G84" s="3" t="b">
        <f ca="1">INDEX(dict_zul_Var_Meth[kval_active],MATCH(table_Methods[[#This Row],[ID]],dict_zul_Var_Meth[ID_Methods],0))</f>
        <v>0</v>
      </c>
      <c r="H84">
        <f t="shared" ca="1" si="8"/>
        <v>14650</v>
      </c>
      <c r="I84">
        <f t="shared" ca="1" si="9"/>
        <v>3072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76</v>
      </c>
      <c r="D85">
        <f t="shared" ca="1" si="11"/>
        <v>2.09</v>
      </c>
      <c r="E85">
        <f t="shared" ca="1" si="6"/>
        <v>-90</v>
      </c>
      <c r="F85">
        <f t="shared" ca="1" si="7"/>
        <v>470</v>
      </c>
      <c r="G85" s="3" t="b">
        <f ca="1">INDEX(dict_zul_Var_Meth[kval_active],MATCH(table_Methods[[#This Row],[ID]],dict_zul_Var_Meth[ID_Methods],0))</f>
        <v>0</v>
      </c>
      <c r="H85">
        <f t="shared" ca="1" si="8"/>
        <v>21110</v>
      </c>
      <c r="I85">
        <f t="shared" ca="1" si="9"/>
        <v>6144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400</v>
      </c>
      <c r="D86">
        <f t="shared" ca="1" si="11"/>
        <v>5.82</v>
      </c>
      <c r="E86">
        <f t="shared" ca="1" si="6"/>
        <v>-80</v>
      </c>
      <c r="F86">
        <f t="shared" ca="1" si="7"/>
        <v>710</v>
      </c>
      <c r="G86" s="3" t="b">
        <f ca="1">INDEX(dict_zul_Var_Meth[kval_active],MATCH(table_Methods[[#This Row],[ID]],dict_zul_Var_Meth[ID_Methods],0))</f>
        <v>0</v>
      </c>
      <c r="H86">
        <f t="shared" ca="1" si="8"/>
        <v>1380</v>
      </c>
      <c r="I86">
        <f t="shared" ca="1" si="9"/>
        <v>312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25</v>
      </c>
      <c r="D87">
        <f t="shared" ca="1" si="11"/>
        <v>5.63</v>
      </c>
      <c r="E87">
        <f t="shared" ca="1" si="6"/>
        <v>-30</v>
      </c>
      <c r="F87">
        <f t="shared" ca="1" si="7"/>
        <v>610</v>
      </c>
      <c r="G87" s="3" t="b">
        <f ca="1">INDEX(dict_zul_Var_Meth[kval_active],MATCH(table_Methods[[#This Row],[ID]],dict_zul_Var_Meth[ID_Methods],0))</f>
        <v>0</v>
      </c>
      <c r="H87">
        <f t="shared" ca="1" si="8"/>
        <v>1433</v>
      </c>
      <c r="I87">
        <f t="shared" ca="1" si="9"/>
        <v>312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810</v>
      </c>
      <c r="D88">
        <f t="shared" ca="1" si="11"/>
        <v>1.42</v>
      </c>
      <c r="E88">
        <f t="shared" ca="1" si="6"/>
        <v>10</v>
      </c>
      <c r="F88">
        <f t="shared" ca="1" si="7"/>
        <v>460</v>
      </c>
      <c r="G88" s="3" t="b">
        <f ca="1">INDEX(dict_zul_Var_Meth[kval_active],MATCH(table_Methods[[#This Row],[ID]],dict_zul_Var_Meth[ID_Methods],0))</f>
        <v>0</v>
      </c>
      <c r="H88">
        <f t="shared" ca="1" si="8"/>
        <v>1911</v>
      </c>
      <c r="I88">
        <f t="shared" ca="1" si="9"/>
        <v>9728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34</v>
      </c>
      <c r="D89">
        <f t="shared" ca="1" si="11"/>
        <v>9.41</v>
      </c>
      <c r="E89">
        <f t="shared" ca="1" si="6"/>
        <v>-10</v>
      </c>
      <c r="F89">
        <f t="shared" ca="1" si="7"/>
        <v>750</v>
      </c>
      <c r="G89" s="3" t="b">
        <f ca="1">INDEX(dict_zul_Var_Meth[kval_active],MATCH(table_Methods[[#This Row],[ID]],dict_zul_Var_Meth[ID_Methods],0))</f>
        <v>0</v>
      </c>
      <c r="H89">
        <f t="shared" ca="1" si="8"/>
        <v>16891</v>
      </c>
      <c r="I89">
        <f t="shared" ca="1" si="9"/>
        <v>47104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900</v>
      </c>
      <c r="D90">
        <f t="shared" ca="1" si="11"/>
        <v>1.75</v>
      </c>
      <c r="E90">
        <f t="shared" ca="1" si="6"/>
        <v>-40</v>
      </c>
      <c r="F90">
        <f t="shared" ca="1" si="7"/>
        <v>770</v>
      </c>
      <c r="G90" s="3" t="b">
        <f ca="1">INDEX(dict_zul_Var_Meth[kval_active],MATCH(table_Methods[[#This Row],[ID]],dict_zul_Var_Meth[ID_Methods],0))</f>
        <v>0</v>
      </c>
      <c r="H90">
        <f t="shared" ca="1" si="8"/>
        <v>18880</v>
      </c>
      <c r="I90">
        <f t="shared" ca="1" si="9"/>
        <v>784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120</v>
      </c>
      <c r="D91">
        <f t="shared" ca="1" si="11"/>
        <v>4.88</v>
      </c>
      <c r="E91">
        <f t="shared" ca="1" si="6"/>
        <v>-50</v>
      </c>
      <c r="F91">
        <f t="shared" ca="1" si="7"/>
        <v>300</v>
      </c>
      <c r="G91" s="3" t="b">
        <f ca="1">INDEX(dict_zul_Var_Meth[kval_active],MATCH(table_Methods[[#This Row],[ID]],dict_zul_Var_Meth[ID_Methods],0))</f>
        <v>0</v>
      </c>
      <c r="H91">
        <f t="shared" ca="1" si="8"/>
        <v>6</v>
      </c>
      <c r="I91">
        <f t="shared" ca="1" si="9"/>
        <v>2592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71</v>
      </c>
      <c r="D92">
        <f t="shared" ca="1" si="11"/>
        <v>1.89</v>
      </c>
      <c r="E92">
        <f t="shared" ca="1" si="6"/>
        <v>10</v>
      </c>
      <c r="F92">
        <f t="shared" ca="1" si="7"/>
        <v>240</v>
      </c>
      <c r="G92" s="3" t="b">
        <f ca="1">INDEX(dict_zul_Var_Meth[kval_active],MATCH(table_Methods[[#This Row],[ID]],dict_zul_Var_Meth[ID_Methods],0))</f>
        <v>0</v>
      </c>
      <c r="H92">
        <f t="shared" ca="1" si="8"/>
        <v>5082</v>
      </c>
      <c r="I92">
        <f t="shared" ca="1" si="9"/>
        <v>832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15</v>
      </c>
      <c r="D93">
        <f t="shared" ca="1" si="11"/>
        <v>1.26</v>
      </c>
      <c r="E93">
        <f t="shared" ca="1" si="6"/>
        <v>-10</v>
      </c>
      <c r="F93">
        <f t="shared" ca="1" si="7"/>
        <v>900</v>
      </c>
      <c r="G93" s="3" t="b">
        <f ca="1">INDEX(dict_zul_Var_Meth[kval_active],MATCH(table_Methods[[#This Row],[ID]],dict_zul_Var_Meth[ID_Methods],0))</f>
        <v>0</v>
      </c>
      <c r="H93">
        <f t="shared" ca="1" si="8"/>
        <v>6968</v>
      </c>
      <c r="I93">
        <f t="shared" ca="1" si="9"/>
        <v>102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9</v>
      </c>
      <c r="D94">
        <f t="shared" ca="1" si="11"/>
        <v>9.4</v>
      </c>
      <c r="E94">
        <f t="shared" ca="1" si="6"/>
        <v>-100</v>
      </c>
      <c r="F94">
        <f t="shared" ca="1" si="7"/>
        <v>50</v>
      </c>
      <c r="G94" s="3" t="b">
        <f ca="1">INDEX(dict_zul_Var_Meth[kval_active],MATCH(table_Methods[[#This Row],[ID]],dict_zul_Var_Meth[ID_Methods],0))</f>
        <v>0</v>
      </c>
      <c r="H94">
        <f t="shared" ca="1" si="8"/>
        <v>8596</v>
      </c>
      <c r="I94">
        <f t="shared" ca="1" si="9"/>
        <v>79872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720</v>
      </c>
      <c r="D95">
        <f t="shared" ca="1" si="11"/>
        <v>2.87</v>
      </c>
      <c r="E95">
        <f t="shared" ca="1" si="6"/>
        <v>-20</v>
      </c>
      <c r="F95">
        <f t="shared" ca="1" si="7"/>
        <v>50</v>
      </c>
      <c r="G95" s="3" t="b">
        <f ca="1">INDEX(dict_zul_Var_Meth[kval_active],MATCH(table_Methods[[#This Row],[ID]],dict_zul_Var_Meth[ID_Methods],0))</f>
        <v>0</v>
      </c>
      <c r="H95">
        <f t="shared" ca="1" si="8"/>
        <v>7652</v>
      </c>
      <c r="I95">
        <f t="shared" ca="1" si="9"/>
        <v>356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380</v>
      </c>
      <c r="D96">
        <f t="shared" ca="1" si="11"/>
        <v>3.78</v>
      </c>
      <c r="E96">
        <f t="shared" ca="1" si="6"/>
        <v>-50</v>
      </c>
      <c r="F96">
        <f t="shared" ca="1" si="7"/>
        <v>420</v>
      </c>
      <c r="G96" s="3" t="b">
        <f ca="1">INDEX(dict_zul_Var_Meth[kval_active],MATCH(table_Methods[[#This Row],[ID]],dict_zul_Var_Meth[ID_Methods],0))</f>
        <v>0</v>
      </c>
      <c r="H96">
        <f t="shared" ca="1" si="8"/>
        <v>15568</v>
      </c>
      <c r="I96">
        <f t="shared" ca="1" si="9"/>
        <v>312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22</v>
      </c>
      <c r="D97">
        <f t="shared" ca="1" si="11"/>
        <v>4.5999999999999996</v>
      </c>
      <c r="E97">
        <f t="shared" ca="1" si="6"/>
        <v>-70</v>
      </c>
      <c r="F97">
        <f t="shared" ca="1" si="7"/>
        <v>1000</v>
      </c>
      <c r="G97" s="3" t="b">
        <f ca="1">INDEX(dict_zul_Var_Meth[kval_active],MATCH(table_Methods[[#This Row],[ID]],dict_zul_Var_Meth[ID_Methods],0))</f>
        <v>0</v>
      </c>
      <c r="H97">
        <f t="shared" ca="1" si="8"/>
        <v>10044</v>
      </c>
      <c r="I97">
        <f t="shared" ca="1" si="9"/>
        <v>170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17</v>
      </c>
      <c r="D98">
        <f t="shared" ca="1" si="11"/>
        <v>3.61</v>
      </c>
      <c r="E98">
        <f t="shared" ca="1" si="6"/>
        <v>-50</v>
      </c>
      <c r="F98">
        <f t="shared" ca="1" si="7"/>
        <v>910</v>
      </c>
      <c r="G98" s="3" t="b">
        <f ca="1">INDEX(dict_zul_Var_Meth[kval_active],MATCH(table_Methods[[#This Row],[ID]],dict_zul_Var_Meth[ID_Methods],0))</f>
        <v>0</v>
      </c>
      <c r="H98">
        <f t="shared" ca="1" si="8"/>
        <v>2998</v>
      </c>
      <c r="I98">
        <f t="shared" ca="1" si="9"/>
        <v>64512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18</v>
      </c>
      <c r="D99">
        <f t="shared" ca="1" si="11"/>
        <v>3.35</v>
      </c>
      <c r="E99">
        <f t="shared" ca="1" si="6"/>
        <v>10</v>
      </c>
      <c r="F99">
        <f t="shared" ca="1" si="7"/>
        <v>960</v>
      </c>
      <c r="G99" s="3" t="b">
        <f ca="1">INDEX(dict_zul_Var_Meth[kval_active],MATCH(table_Methods[[#This Row],[ID]],dict_zul_Var_Meth[ID_Methods],0))</f>
        <v>0</v>
      </c>
      <c r="H99">
        <f t="shared" ca="1" si="8"/>
        <v>3613</v>
      </c>
      <c r="I99">
        <f t="shared" ca="1" si="9"/>
        <v>768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150</v>
      </c>
      <c r="D100">
        <f t="shared" ca="1" si="11"/>
        <v>5.82</v>
      </c>
      <c r="E100">
        <f t="shared" ref="E100:E163" ca="1" si="12">RANDBETWEEN(-10,3)*10</f>
        <v>-10</v>
      </c>
      <c r="F100">
        <f t="shared" ref="F100:F163" ca="1" si="13">RANDBETWEEN(2,100)*10</f>
        <v>800</v>
      </c>
      <c r="G100" s="3" t="b">
        <f ca="1">INDEX(dict_zul_Var_Meth[kval_active],MATCH(table_Methods[[#This Row],[ID]],dict_zul_Var_Meth[ID_Methods],0))</f>
        <v>0</v>
      </c>
      <c r="H100">
        <f t="shared" ref="H100:H163" ca="1" si="14">RANDBETWEEN(1,10)*RANDBETWEEN(1,5000)</f>
        <v>2454</v>
      </c>
      <c r="I100">
        <f t="shared" ref="I100:I163" ca="1" si="15">2^RANDBETWEEN(1,10)*RANDBETWEEN(1,100)</f>
        <v>19456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650</v>
      </c>
      <c r="D101">
        <f t="shared" ca="1" si="11"/>
        <v>5.66</v>
      </c>
      <c r="E101">
        <f t="shared" ca="1" si="12"/>
        <v>-30</v>
      </c>
      <c r="F101">
        <f t="shared" ca="1" si="13"/>
        <v>340</v>
      </c>
      <c r="G101" s="3" t="b">
        <f ca="1">INDEX(dict_zul_Var_Meth[kval_active],MATCH(table_Methods[[#This Row],[ID]],dict_zul_Var_Meth[ID_Methods],0))</f>
        <v>0</v>
      </c>
      <c r="H101">
        <f t="shared" ca="1" si="14"/>
        <v>8613</v>
      </c>
      <c r="I101">
        <f t="shared" ca="1" si="15"/>
        <v>5568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70</v>
      </c>
      <c r="D102">
        <f t="shared" ca="1" si="11"/>
        <v>6.11</v>
      </c>
      <c r="E102">
        <f t="shared" ca="1" si="12"/>
        <v>20</v>
      </c>
      <c r="F102">
        <f t="shared" ca="1" si="13"/>
        <v>750</v>
      </c>
      <c r="G102" s="3" t="b">
        <f ca="1">INDEX(dict_zul_Var_Meth[kval_active],MATCH(table_Methods[[#This Row],[ID]],dict_zul_Var_Meth[ID_Methods],0))</f>
        <v>1</v>
      </c>
      <c r="H102">
        <f t="shared" ca="1" si="14"/>
        <v>12282</v>
      </c>
      <c r="I102">
        <f t="shared" ca="1" si="15"/>
        <v>1232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7100</v>
      </c>
      <c r="D103">
        <f t="shared" ca="1" si="11"/>
        <v>0.19</v>
      </c>
      <c r="E103">
        <f t="shared" ca="1" si="12"/>
        <v>-60</v>
      </c>
      <c r="F103">
        <f t="shared" ca="1" si="13"/>
        <v>250</v>
      </c>
      <c r="G103" s="3" t="b">
        <f ca="1">INDEX(dict_zul_Var_Meth[kval_active],MATCH(table_Methods[[#This Row],[ID]],dict_zul_Var_Meth[ID_Methods],0))</f>
        <v>0</v>
      </c>
      <c r="H103">
        <f t="shared" ca="1" si="14"/>
        <v>12882</v>
      </c>
      <c r="I103">
        <f t="shared" ca="1" si="15"/>
        <v>24064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140</v>
      </c>
      <c r="D104">
        <f t="shared" ca="1" si="11"/>
        <v>8.17</v>
      </c>
      <c r="E104">
        <f t="shared" ca="1" si="12"/>
        <v>-30</v>
      </c>
      <c r="F104">
        <f t="shared" ca="1" si="13"/>
        <v>740</v>
      </c>
      <c r="G104" s="3" t="b">
        <f ca="1">INDEX(dict_zul_Var_Meth[kval_active],MATCH(table_Methods[[#This Row],[ID]],dict_zul_Var_Meth[ID_Methods],0))</f>
        <v>0</v>
      </c>
      <c r="H104">
        <f t="shared" ca="1" si="14"/>
        <v>5238</v>
      </c>
      <c r="I104">
        <f t="shared" ca="1" si="15"/>
        <v>8576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10</v>
      </c>
      <c r="D105">
        <f t="shared" ca="1" si="11"/>
        <v>0.44</v>
      </c>
      <c r="E105">
        <f t="shared" ca="1" si="12"/>
        <v>30</v>
      </c>
      <c r="F105">
        <f t="shared" ca="1" si="13"/>
        <v>220</v>
      </c>
      <c r="G105" s="3" t="b">
        <f ca="1">INDEX(dict_zul_Var_Meth[kval_active],MATCH(table_Methods[[#This Row],[ID]],dict_zul_Var_Meth[ID_Methods],0))</f>
        <v>0</v>
      </c>
      <c r="H105">
        <f t="shared" ca="1" si="14"/>
        <v>8730</v>
      </c>
      <c r="I105">
        <f t="shared" ca="1" si="15"/>
        <v>96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220</v>
      </c>
      <c r="D106">
        <f t="shared" ca="1" si="11"/>
        <v>3.63</v>
      </c>
      <c r="E106">
        <f t="shared" ca="1" si="12"/>
        <v>-30</v>
      </c>
      <c r="F106">
        <f t="shared" ca="1" si="13"/>
        <v>350</v>
      </c>
      <c r="G106" s="3" t="b">
        <f ca="1">INDEX(dict_zul_Var_Meth[kval_active],MATCH(table_Methods[[#This Row],[ID]],dict_zul_Var_Meth[ID_Methods],0))</f>
        <v>0</v>
      </c>
      <c r="H106">
        <f t="shared" ca="1" si="14"/>
        <v>2196</v>
      </c>
      <c r="I106">
        <f t="shared" ca="1" si="15"/>
        <v>4096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23.000000000000004</v>
      </c>
      <c r="D107">
        <f t="shared" ca="1" si="11"/>
        <v>3.32</v>
      </c>
      <c r="E107">
        <f t="shared" ca="1" si="12"/>
        <v>-10</v>
      </c>
      <c r="F107">
        <f t="shared" ca="1" si="13"/>
        <v>510</v>
      </c>
      <c r="G107" s="3" t="b">
        <f ca="1">INDEX(dict_zul_Var_Meth[kval_active],MATCH(table_Methods[[#This Row],[ID]],dict_zul_Var_Meth[ID_Methods],0))</f>
        <v>0</v>
      </c>
      <c r="H107">
        <f t="shared" ca="1" si="14"/>
        <v>3974</v>
      </c>
      <c r="I107">
        <f t="shared" ca="1" si="15"/>
        <v>48128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1600</v>
      </c>
      <c r="D108">
        <f t="shared" ca="1" si="11"/>
        <v>5.88</v>
      </c>
      <c r="E108">
        <f t="shared" ca="1" si="12"/>
        <v>-100</v>
      </c>
      <c r="F108">
        <f t="shared" ca="1" si="13"/>
        <v>500</v>
      </c>
      <c r="G108" s="3" t="b">
        <f ca="1">INDEX(dict_zul_Var_Meth[kval_active],MATCH(table_Methods[[#This Row],[ID]],dict_zul_Var_Meth[ID_Methods],0))</f>
        <v>0</v>
      </c>
      <c r="H108">
        <f t="shared" ca="1" si="14"/>
        <v>30387</v>
      </c>
      <c r="I108">
        <f t="shared" ca="1" si="15"/>
        <v>304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120</v>
      </c>
      <c r="D109">
        <f t="shared" ca="1" si="11"/>
        <v>5.58</v>
      </c>
      <c r="E109">
        <f t="shared" ca="1" si="12"/>
        <v>20</v>
      </c>
      <c r="F109">
        <f t="shared" ca="1" si="13"/>
        <v>240</v>
      </c>
      <c r="G109" s="3" t="b">
        <f ca="1">INDEX(dict_zul_Var_Meth[kval_active],MATCH(table_Methods[[#This Row],[ID]],dict_zul_Var_Meth[ID_Methods],0))</f>
        <v>0</v>
      </c>
      <c r="H109">
        <f t="shared" ca="1" si="14"/>
        <v>30472</v>
      </c>
      <c r="I109">
        <f t="shared" ca="1" si="15"/>
        <v>260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4700</v>
      </c>
      <c r="D110">
        <f t="shared" ca="1" si="11"/>
        <v>9.98</v>
      </c>
      <c r="E110">
        <f t="shared" ca="1" si="12"/>
        <v>-80</v>
      </c>
      <c r="F110">
        <f t="shared" ca="1" si="13"/>
        <v>410</v>
      </c>
      <c r="G110" s="3" t="b">
        <f ca="1">INDEX(dict_zul_Var_Meth[kval_active],MATCH(table_Methods[[#This Row],[ID]],dict_zul_Var_Meth[ID_Methods],0))</f>
        <v>0</v>
      </c>
      <c r="H110">
        <f t="shared" ca="1" si="14"/>
        <v>1767</v>
      </c>
      <c r="I110">
        <f t="shared" ca="1" si="15"/>
        <v>48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3.0000000000000004</v>
      </c>
      <c r="D111">
        <f t="shared" ca="1" si="11"/>
        <v>4.2</v>
      </c>
      <c r="E111">
        <f t="shared" ca="1" si="12"/>
        <v>30</v>
      </c>
      <c r="F111">
        <f t="shared" ca="1" si="13"/>
        <v>870</v>
      </c>
      <c r="G111" s="3" t="b">
        <f ca="1">INDEX(dict_zul_Var_Meth[kval_active],MATCH(table_Methods[[#This Row],[ID]],dict_zul_Var_Meth[ID_Methods],0))</f>
        <v>0</v>
      </c>
      <c r="H111">
        <f t="shared" ca="1" si="14"/>
        <v>3279</v>
      </c>
      <c r="I111">
        <f t="shared" ca="1" si="15"/>
        <v>20480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5700</v>
      </c>
      <c r="D112">
        <f t="shared" ca="1" si="11"/>
        <v>7.17</v>
      </c>
      <c r="E112">
        <f t="shared" ca="1" si="12"/>
        <v>-40</v>
      </c>
      <c r="F112">
        <f t="shared" ca="1" si="13"/>
        <v>370</v>
      </c>
      <c r="G112" s="3" t="b">
        <f ca="1">INDEX(dict_zul_Var_Meth[kval_active],MATCH(table_Methods[[#This Row],[ID]],dict_zul_Var_Meth[ID_Methods],0))</f>
        <v>0</v>
      </c>
      <c r="H112">
        <f t="shared" ca="1" si="14"/>
        <v>8122</v>
      </c>
      <c r="I112">
        <f t="shared" ca="1" si="15"/>
        <v>6144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7100</v>
      </c>
      <c r="D113">
        <f t="shared" ca="1" si="11"/>
        <v>0.96</v>
      </c>
      <c r="E113">
        <f t="shared" ca="1" si="12"/>
        <v>-40</v>
      </c>
      <c r="F113">
        <f t="shared" ca="1" si="13"/>
        <v>250</v>
      </c>
      <c r="G113" s="3" t="b">
        <f ca="1">INDEX(dict_zul_Var_Meth[kval_active],MATCH(table_Methods[[#This Row],[ID]],dict_zul_Var_Meth[ID_Methods],0))</f>
        <v>0</v>
      </c>
      <c r="H113">
        <f t="shared" ca="1" si="14"/>
        <v>4130</v>
      </c>
      <c r="I113">
        <f t="shared" ca="1" si="15"/>
        <v>12800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2600</v>
      </c>
      <c r="D114">
        <f t="shared" ca="1" si="11"/>
        <v>7.82</v>
      </c>
      <c r="E114">
        <f t="shared" ca="1" si="12"/>
        <v>-40</v>
      </c>
      <c r="F114">
        <f t="shared" ca="1" si="13"/>
        <v>170</v>
      </c>
      <c r="G114" s="3" t="b">
        <f ca="1">INDEX(dict_zul_Var_Meth[kval_active],MATCH(table_Methods[[#This Row],[ID]],dict_zul_Var_Meth[ID_Methods],0))</f>
        <v>0</v>
      </c>
      <c r="H114">
        <f t="shared" ca="1" si="14"/>
        <v>467</v>
      </c>
      <c r="I114">
        <f t="shared" ca="1" si="15"/>
        <v>1728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36</v>
      </c>
      <c r="D115">
        <f t="shared" ca="1" si="11"/>
        <v>3.26</v>
      </c>
      <c r="E115">
        <f t="shared" ca="1" si="12"/>
        <v>-30</v>
      </c>
      <c r="F115">
        <f t="shared" ca="1" si="13"/>
        <v>200</v>
      </c>
      <c r="G115" s="3" t="b">
        <f ca="1">INDEX(dict_zul_Var_Meth[kval_active],MATCH(table_Methods[[#This Row],[ID]],dict_zul_Var_Meth[ID_Methods],0))</f>
        <v>0</v>
      </c>
      <c r="H115">
        <f t="shared" ca="1" si="14"/>
        <v>1656</v>
      </c>
      <c r="I115">
        <f t="shared" ca="1" si="15"/>
        <v>528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1</v>
      </c>
      <c r="D116">
        <f t="shared" ca="1" si="11"/>
        <v>6.61</v>
      </c>
      <c r="E116">
        <f t="shared" ca="1" si="12"/>
        <v>-50</v>
      </c>
      <c r="F116">
        <f t="shared" ca="1" si="13"/>
        <v>230</v>
      </c>
      <c r="G116" s="3" t="b">
        <f ca="1">INDEX(dict_zul_Var_Meth[kval_active],MATCH(table_Methods[[#This Row],[ID]],dict_zul_Var_Meth[ID_Methods],0))</f>
        <v>0</v>
      </c>
      <c r="H116">
        <f t="shared" ca="1" si="14"/>
        <v>2620</v>
      </c>
      <c r="I116">
        <f t="shared" ca="1" si="15"/>
        <v>432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830</v>
      </c>
      <c r="D117">
        <f t="shared" ca="1" si="11"/>
        <v>5.08</v>
      </c>
      <c r="E117">
        <f t="shared" ca="1" si="12"/>
        <v>-50</v>
      </c>
      <c r="F117">
        <f t="shared" ca="1" si="13"/>
        <v>570</v>
      </c>
      <c r="G117" s="3" t="b">
        <f ca="1">INDEX(dict_zul_Var_Meth[kval_active],MATCH(table_Methods[[#This Row],[ID]],dict_zul_Var_Meth[ID_Methods],0))</f>
        <v>0</v>
      </c>
      <c r="H117">
        <f t="shared" ca="1" si="14"/>
        <v>19080</v>
      </c>
      <c r="I117">
        <f t="shared" ca="1" si="15"/>
        <v>6144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9800</v>
      </c>
      <c r="D118">
        <f t="shared" ca="1" si="11"/>
        <v>0.39</v>
      </c>
      <c r="E118">
        <f t="shared" ca="1" si="12"/>
        <v>-20</v>
      </c>
      <c r="F118">
        <f t="shared" ca="1" si="13"/>
        <v>100</v>
      </c>
      <c r="G118" s="3" t="b">
        <f ca="1">INDEX(dict_zul_Var_Meth[kval_active],MATCH(table_Methods[[#This Row],[ID]],dict_zul_Var_Meth[ID_Methods],0))</f>
        <v>0</v>
      </c>
      <c r="H118">
        <f t="shared" ca="1" si="14"/>
        <v>2433</v>
      </c>
      <c r="I118">
        <f t="shared" ca="1" si="15"/>
        <v>6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920</v>
      </c>
      <c r="D119">
        <f t="shared" ca="1" si="11"/>
        <v>1.55</v>
      </c>
      <c r="E119">
        <f t="shared" ca="1" si="12"/>
        <v>-80</v>
      </c>
      <c r="F119">
        <f t="shared" ca="1" si="13"/>
        <v>140</v>
      </c>
      <c r="G119" s="3" t="b">
        <f ca="1">INDEX(dict_zul_Var_Meth[kval_active],MATCH(table_Methods[[#This Row],[ID]],dict_zul_Var_Meth[ID_Methods],0))</f>
        <v>0</v>
      </c>
      <c r="H119">
        <f t="shared" ca="1" si="14"/>
        <v>17310</v>
      </c>
      <c r="I119">
        <f t="shared" ca="1" si="15"/>
        <v>52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4</v>
      </c>
      <c r="D120">
        <f t="shared" ca="1" si="11"/>
        <v>7.92</v>
      </c>
      <c r="E120">
        <f t="shared" ca="1" si="12"/>
        <v>-10</v>
      </c>
      <c r="F120">
        <f t="shared" ca="1" si="13"/>
        <v>650</v>
      </c>
      <c r="G120" s="3" t="b">
        <f ca="1">INDEX(dict_zul_Var_Meth[kval_active],MATCH(table_Methods[[#This Row],[ID]],dict_zul_Var_Meth[ID_Methods],0))</f>
        <v>0</v>
      </c>
      <c r="H120">
        <f t="shared" ca="1" si="14"/>
        <v>1656</v>
      </c>
      <c r="I120">
        <f t="shared" ca="1" si="15"/>
        <v>13312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650</v>
      </c>
      <c r="D121">
        <f t="shared" ca="1" si="11"/>
        <v>6.07</v>
      </c>
      <c r="E121">
        <f t="shared" ca="1" si="12"/>
        <v>-100</v>
      </c>
      <c r="F121">
        <f t="shared" ca="1" si="13"/>
        <v>290</v>
      </c>
      <c r="G121" s="3" t="b">
        <f ca="1">INDEX(dict_zul_Var_Meth[kval_active],MATCH(table_Methods[[#This Row],[ID]],dict_zul_Var_Meth[ID_Methods],0))</f>
        <v>0</v>
      </c>
      <c r="H121">
        <f t="shared" ca="1" si="14"/>
        <v>5124</v>
      </c>
      <c r="I121">
        <f t="shared" ca="1" si="15"/>
        <v>31232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550</v>
      </c>
      <c r="D122">
        <f t="shared" ca="1" si="11"/>
        <v>8.2200000000000006</v>
      </c>
      <c r="E122">
        <f t="shared" ca="1" si="12"/>
        <v>30</v>
      </c>
      <c r="F122">
        <f t="shared" ca="1" si="13"/>
        <v>50</v>
      </c>
      <c r="G122" s="3" t="b">
        <f ca="1">INDEX(dict_zul_Var_Meth[kval_active],MATCH(table_Methods[[#This Row],[ID]],dict_zul_Var_Meth[ID_Methods],0))</f>
        <v>0</v>
      </c>
      <c r="H122">
        <f t="shared" ca="1" si="14"/>
        <v>12501</v>
      </c>
      <c r="I122">
        <f t="shared" ca="1" si="15"/>
        <v>896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82.000000000000014</v>
      </c>
      <c r="D123">
        <f t="shared" ca="1" si="11"/>
        <v>0.67</v>
      </c>
      <c r="E123">
        <f t="shared" ca="1" si="12"/>
        <v>-70</v>
      </c>
      <c r="F123">
        <f t="shared" ca="1" si="13"/>
        <v>390</v>
      </c>
      <c r="G123" s="3" t="b">
        <f ca="1">INDEX(dict_zul_Var_Meth[kval_active],MATCH(table_Methods[[#This Row],[ID]],dict_zul_Var_Meth[ID_Methods],0))</f>
        <v>0</v>
      </c>
      <c r="H123">
        <f t="shared" ca="1" si="14"/>
        <v>18540</v>
      </c>
      <c r="I123">
        <f t="shared" ca="1" si="15"/>
        <v>6400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89</v>
      </c>
      <c r="D124">
        <f t="shared" ca="1" si="11"/>
        <v>0.63</v>
      </c>
      <c r="E124">
        <f t="shared" ca="1" si="12"/>
        <v>-20</v>
      </c>
      <c r="F124">
        <f t="shared" ca="1" si="13"/>
        <v>400</v>
      </c>
      <c r="G124" s="3" t="b">
        <f ca="1">INDEX(dict_zul_Var_Meth[kval_active],MATCH(table_Methods[[#This Row],[ID]],dict_zul_Var_Meth[ID_Methods],0))</f>
        <v>0</v>
      </c>
      <c r="H124">
        <f t="shared" ca="1" si="14"/>
        <v>556</v>
      </c>
      <c r="I124">
        <f t="shared" ca="1" si="15"/>
        <v>196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3500</v>
      </c>
      <c r="D125">
        <f t="shared" ca="1" si="11"/>
        <v>7.2</v>
      </c>
      <c r="E125">
        <f t="shared" ca="1" si="12"/>
        <v>10</v>
      </c>
      <c r="F125">
        <f t="shared" ca="1" si="13"/>
        <v>510</v>
      </c>
      <c r="G125" s="3" t="b">
        <f ca="1">INDEX(dict_zul_Var_Meth[kval_active],MATCH(table_Methods[[#This Row],[ID]],dict_zul_Var_Meth[ID_Methods],0))</f>
        <v>0</v>
      </c>
      <c r="H125">
        <f t="shared" ca="1" si="14"/>
        <v>10845</v>
      </c>
      <c r="I125">
        <f t="shared" ca="1" si="15"/>
        <v>320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6300</v>
      </c>
      <c r="D126">
        <f t="shared" ca="1" si="11"/>
        <v>6.15</v>
      </c>
      <c r="E126">
        <f t="shared" ca="1" si="12"/>
        <v>-10</v>
      </c>
      <c r="F126">
        <f t="shared" ca="1" si="13"/>
        <v>30</v>
      </c>
      <c r="G126" s="3" t="b">
        <f ca="1">INDEX(dict_zul_Var_Meth[kval_active],MATCH(table_Methods[[#This Row],[ID]],dict_zul_Var_Meth[ID_Methods],0))</f>
        <v>0</v>
      </c>
      <c r="H126">
        <f t="shared" ca="1" si="14"/>
        <v>26210</v>
      </c>
      <c r="I126">
        <f t="shared" ca="1" si="15"/>
        <v>276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60</v>
      </c>
      <c r="D127">
        <f t="shared" ca="1" si="11"/>
        <v>7.28</v>
      </c>
      <c r="E127">
        <f t="shared" ca="1" si="12"/>
        <v>-40</v>
      </c>
      <c r="F127">
        <f t="shared" ca="1" si="13"/>
        <v>50</v>
      </c>
      <c r="G127" s="3" t="b">
        <f ca="1">INDEX(dict_zul_Var_Meth[kval_active],MATCH(table_Methods[[#This Row],[ID]],dict_zul_Var_Meth[ID_Methods],0))</f>
        <v>0</v>
      </c>
      <c r="H127">
        <f t="shared" ca="1" si="14"/>
        <v>3790</v>
      </c>
      <c r="I127">
        <f t="shared" ca="1" si="15"/>
        <v>102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70</v>
      </c>
      <c r="D128">
        <f t="shared" ca="1" si="11"/>
        <v>2.83</v>
      </c>
      <c r="E128">
        <f t="shared" ca="1" si="12"/>
        <v>20</v>
      </c>
      <c r="F128">
        <f t="shared" ca="1" si="13"/>
        <v>330</v>
      </c>
      <c r="G128" s="3" t="b">
        <f ca="1">INDEX(dict_zul_Var_Meth[kval_active],MATCH(table_Methods[[#This Row],[ID]],dict_zul_Var_Meth[ID_Methods],0))</f>
        <v>0</v>
      </c>
      <c r="H128">
        <f t="shared" ca="1" si="14"/>
        <v>2846</v>
      </c>
      <c r="I128">
        <f t="shared" ca="1" si="15"/>
        <v>1792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840</v>
      </c>
      <c r="D129">
        <f t="shared" ca="1" si="11"/>
        <v>1.33</v>
      </c>
      <c r="E129">
        <f t="shared" ca="1" si="12"/>
        <v>-70</v>
      </c>
      <c r="F129">
        <f t="shared" ca="1" si="13"/>
        <v>920</v>
      </c>
      <c r="G129" s="3" t="b">
        <f ca="1">INDEX(dict_zul_Var_Meth[kval_active],MATCH(table_Methods[[#This Row],[ID]],dict_zul_Var_Meth[ID_Methods],0))</f>
        <v>0</v>
      </c>
      <c r="H129">
        <f t="shared" ca="1" si="14"/>
        <v>1591</v>
      </c>
      <c r="I129">
        <f t="shared" ca="1" si="15"/>
        <v>800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6">10^(RANDBETWEEN(-1,1))*RANDBETWEEN(1,100)*10</f>
        <v>17</v>
      </c>
      <c r="D130">
        <f t="shared" ca="1" si="11"/>
        <v>8.91</v>
      </c>
      <c r="E130">
        <f t="shared" ca="1" si="12"/>
        <v>-20</v>
      </c>
      <c r="F130">
        <f t="shared" ca="1" si="13"/>
        <v>750</v>
      </c>
      <c r="G130" s="3" t="b">
        <f ca="1">INDEX(dict_zul_Var_Meth[kval_active],MATCH(table_Methods[[#This Row],[ID]],dict_zul_Var_Meth[ID_Methods],0))</f>
        <v>0</v>
      </c>
      <c r="H130">
        <f t="shared" ca="1" si="14"/>
        <v>12860</v>
      </c>
      <c r="I130">
        <f t="shared" ca="1" si="15"/>
        <v>78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6"/>
        <v>8400</v>
      </c>
      <c r="D131">
        <f t="shared" ref="D131:D194" ca="1" si="17">RANDBETWEEN(10,1000)/(100)</f>
        <v>8.51</v>
      </c>
      <c r="E131">
        <f t="shared" ca="1" si="12"/>
        <v>0</v>
      </c>
      <c r="F131">
        <f t="shared" ca="1" si="13"/>
        <v>560</v>
      </c>
      <c r="G131" s="3" t="b">
        <f ca="1">INDEX(dict_zul_Var_Meth[kval_active],MATCH(table_Methods[[#This Row],[ID]],dict_zul_Var_Meth[ID_Methods],0))</f>
        <v>0</v>
      </c>
      <c r="H131">
        <f t="shared" ca="1" si="14"/>
        <v>28760</v>
      </c>
      <c r="I131">
        <f t="shared" ca="1" si="15"/>
        <v>284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6"/>
        <v>48.000000000000007</v>
      </c>
      <c r="D132">
        <f t="shared" ca="1" si="17"/>
        <v>5.67</v>
      </c>
      <c r="E132">
        <f t="shared" ca="1" si="12"/>
        <v>-80</v>
      </c>
      <c r="F132">
        <f t="shared" ca="1" si="13"/>
        <v>280</v>
      </c>
      <c r="G132" s="3" t="b">
        <f ca="1">INDEX(dict_zul_Var_Meth[kval_active],MATCH(table_Methods[[#This Row],[ID]],dict_zul_Var_Meth[ID_Methods],0))</f>
        <v>0</v>
      </c>
      <c r="H132">
        <f t="shared" ca="1" si="14"/>
        <v>4996</v>
      </c>
      <c r="I132">
        <f t="shared" ca="1" si="15"/>
        <v>6656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6"/>
        <v>34</v>
      </c>
      <c r="D133">
        <f t="shared" ca="1" si="17"/>
        <v>3.25</v>
      </c>
      <c r="E133">
        <f t="shared" ca="1" si="12"/>
        <v>-90</v>
      </c>
      <c r="F133">
        <f t="shared" ca="1" si="13"/>
        <v>210</v>
      </c>
      <c r="G133" s="3" t="b">
        <f ca="1">INDEX(dict_zul_Var_Meth[kval_active],MATCH(table_Methods[[#This Row],[ID]],dict_zul_Var_Meth[ID_Methods],0))</f>
        <v>0</v>
      </c>
      <c r="H133">
        <f t="shared" ca="1" si="14"/>
        <v>10304</v>
      </c>
      <c r="I133">
        <f t="shared" ca="1" si="15"/>
        <v>1536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6"/>
        <v>5</v>
      </c>
      <c r="D134">
        <f t="shared" ca="1" si="17"/>
        <v>8.85</v>
      </c>
      <c r="E134">
        <f t="shared" ca="1" si="12"/>
        <v>-10</v>
      </c>
      <c r="F134">
        <f t="shared" ca="1" si="13"/>
        <v>60</v>
      </c>
      <c r="G134" s="3" t="b">
        <f ca="1">INDEX(dict_zul_Var_Meth[kval_active],MATCH(table_Methods[[#This Row],[ID]],dict_zul_Var_Meth[ID_Methods],0))</f>
        <v>0</v>
      </c>
      <c r="H134">
        <f t="shared" ca="1" si="14"/>
        <v>5066</v>
      </c>
      <c r="I134">
        <f t="shared" ca="1" si="15"/>
        <v>704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6"/>
        <v>3700</v>
      </c>
      <c r="D135">
        <f t="shared" ca="1" si="17"/>
        <v>5.4</v>
      </c>
      <c r="E135">
        <f t="shared" ca="1" si="12"/>
        <v>0</v>
      </c>
      <c r="F135">
        <f t="shared" ca="1" si="13"/>
        <v>800</v>
      </c>
      <c r="G135" s="3" t="b">
        <f ca="1">INDEX(dict_zul_Var_Meth[kval_active],MATCH(table_Methods[[#This Row],[ID]],dict_zul_Var_Meth[ID_Methods],0))</f>
        <v>0</v>
      </c>
      <c r="H135">
        <f t="shared" ca="1" si="14"/>
        <v>798</v>
      </c>
      <c r="I135">
        <f t="shared" ca="1" si="15"/>
        <v>75776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6"/>
        <v>790</v>
      </c>
      <c r="D136">
        <f t="shared" ca="1" si="17"/>
        <v>9.92</v>
      </c>
      <c r="E136">
        <f t="shared" ca="1" si="12"/>
        <v>-60</v>
      </c>
      <c r="F136">
        <f t="shared" ca="1" si="13"/>
        <v>960</v>
      </c>
      <c r="G136" s="3" t="b">
        <f ca="1">INDEX(dict_zul_Var_Meth[kval_active],MATCH(table_Methods[[#This Row],[ID]],dict_zul_Var_Meth[ID_Methods],0))</f>
        <v>0</v>
      </c>
      <c r="H136">
        <f t="shared" ca="1" si="14"/>
        <v>19341</v>
      </c>
      <c r="I136">
        <f t="shared" ca="1" si="15"/>
        <v>82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6"/>
        <v>2700</v>
      </c>
      <c r="D137">
        <f t="shared" ca="1" si="17"/>
        <v>5.28</v>
      </c>
      <c r="E137">
        <f t="shared" ca="1" si="12"/>
        <v>-80</v>
      </c>
      <c r="F137">
        <f t="shared" ca="1" si="13"/>
        <v>300</v>
      </c>
      <c r="G137" s="3" t="b">
        <f ca="1">INDEX(dict_zul_Var_Meth[kval_active],MATCH(table_Methods[[#This Row],[ID]],dict_zul_Var_Meth[ID_Methods],0))</f>
        <v>0</v>
      </c>
      <c r="H137">
        <f t="shared" ca="1" si="14"/>
        <v>31528</v>
      </c>
      <c r="I137">
        <f t="shared" ca="1" si="15"/>
        <v>37376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6"/>
        <v>57</v>
      </c>
      <c r="D138">
        <f t="shared" ca="1" si="17"/>
        <v>2.2799999999999998</v>
      </c>
      <c r="E138">
        <f t="shared" ca="1" si="12"/>
        <v>-20</v>
      </c>
      <c r="F138">
        <f t="shared" ca="1" si="13"/>
        <v>360</v>
      </c>
      <c r="G138" s="3" t="b">
        <f ca="1">INDEX(dict_zul_Var_Meth[kval_active],MATCH(table_Methods[[#This Row],[ID]],dict_zul_Var_Meth[ID_Methods],0))</f>
        <v>0</v>
      </c>
      <c r="H138">
        <f t="shared" ca="1" si="14"/>
        <v>24276</v>
      </c>
      <c r="I138">
        <f t="shared" ca="1" si="15"/>
        <v>2400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6"/>
        <v>30</v>
      </c>
      <c r="D139">
        <f t="shared" ca="1" si="17"/>
        <v>8.52</v>
      </c>
      <c r="E139">
        <f t="shared" ca="1" si="12"/>
        <v>-100</v>
      </c>
      <c r="F139">
        <f t="shared" ca="1" si="13"/>
        <v>210</v>
      </c>
      <c r="G139" s="3" t="b">
        <f ca="1">INDEX(dict_zul_Var_Meth[kval_active],MATCH(table_Methods[[#This Row],[ID]],dict_zul_Var_Meth[ID_Methods],0))</f>
        <v>0</v>
      </c>
      <c r="H139">
        <f t="shared" ca="1" si="14"/>
        <v>7542</v>
      </c>
      <c r="I139">
        <f t="shared" ca="1" si="15"/>
        <v>584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6"/>
        <v>6400</v>
      </c>
      <c r="D140">
        <f t="shared" ca="1" si="17"/>
        <v>0.57999999999999996</v>
      </c>
      <c r="E140">
        <f t="shared" ca="1" si="12"/>
        <v>10</v>
      </c>
      <c r="F140">
        <f t="shared" ca="1" si="13"/>
        <v>210</v>
      </c>
      <c r="G140" s="3" t="b">
        <f ca="1">INDEX(dict_zul_Var_Meth[kval_active],MATCH(table_Methods[[#This Row],[ID]],dict_zul_Var_Meth[ID_Methods],0))</f>
        <v>0</v>
      </c>
      <c r="H140">
        <f t="shared" ca="1" si="14"/>
        <v>5256</v>
      </c>
      <c r="I140">
        <f t="shared" ca="1" si="15"/>
        <v>40960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6"/>
        <v>2800</v>
      </c>
      <c r="D141">
        <f t="shared" ca="1" si="17"/>
        <v>5.09</v>
      </c>
      <c r="E141">
        <f t="shared" ca="1" si="12"/>
        <v>-70</v>
      </c>
      <c r="F141">
        <f t="shared" ca="1" si="13"/>
        <v>410</v>
      </c>
      <c r="G141" s="3" t="b">
        <f ca="1">INDEX(dict_zul_Var_Meth[kval_active],MATCH(table_Methods[[#This Row],[ID]],dict_zul_Var_Meth[ID_Methods],0))</f>
        <v>0</v>
      </c>
      <c r="H141">
        <f t="shared" ca="1" si="14"/>
        <v>17073</v>
      </c>
      <c r="I141">
        <f t="shared" ca="1" si="15"/>
        <v>154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6"/>
        <v>4800</v>
      </c>
      <c r="D142">
        <f t="shared" ca="1" si="17"/>
        <v>9.25</v>
      </c>
      <c r="E142">
        <f t="shared" ca="1" si="12"/>
        <v>30</v>
      </c>
      <c r="F142">
        <f t="shared" ca="1" si="13"/>
        <v>50</v>
      </c>
      <c r="G142" s="3" t="b">
        <f ca="1">INDEX(dict_zul_Var_Meth[kval_active],MATCH(table_Methods[[#This Row],[ID]],dict_zul_Var_Meth[ID_Methods],0))</f>
        <v>0</v>
      </c>
      <c r="H142">
        <f t="shared" ca="1" si="14"/>
        <v>31707</v>
      </c>
      <c r="I142">
        <f t="shared" ca="1" si="15"/>
        <v>7168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6"/>
        <v>41.000000000000007</v>
      </c>
      <c r="D143">
        <f t="shared" ca="1" si="17"/>
        <v>6.28</v>
      </c>
      <c r="E143">
        <f t="shared" ca="1" si="12"/>
        <v>0</v>
      </c>
      <c r="F143">
        <f t="shared" ca="1" si="13"/>
        <v>780</v>
      </c>
      <c r="G143" s="3" t="b">
        <f ca="1">INDEX(dict_zul_Var_Meth[kval_active],MATCH(table_Methods[[#This Row],[ID]],dict_zul_Var_Meth[ID_Methods],0))</f>
        <v>0</v>
      </c>
      <c r="H143">
        <f t="shared" ca="1" si="14"/>
        <v>3681</v>
      </c>
      <c r="I143">
        <f t="shared" ca="1" si="15"/>
        <v>1376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6"/>
        <v>84</v>
      </c>
      <c r="D144">
        <f t="shared" ca="1" si="17"/>
        <v>3.71</v>
      </c>
      <c r="E144">
        <f t="shared" ca="1" si="12"/>
        <v>30</v>
      </c>
      <c r="F144">
        <f t="shared" ca="1" si="13"/>
        <v>350</v>
      </c>
      <c r="G144" s="3" t="b">
        <f ca="1">INDEX(dict_zul_Var_Meth[kval_active],MATCH(table_Methods[[#This Row],[ID]],dict_zul_Var_Meth[ID_Methods],0))</f>
        <v>0</v>
      </c>
      <c r="H144">
        <f t="shared" ca="1" si="14"/>
        <v>9972</v>
      </c>
      <c r="I144">
        <f t="shared" ca="1" si="15"/>
        <v>384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6"/>
        <v>34</v>
      </c>
      <c r="D145">
        <f t="shared" ca="1" si="17"/>
        <v>5.26</v>
      </c>
      <c r="E145">
        <f t="shared" ca="1" si="12"/>
        <v>-80</v>
      </c>
      <c r="F145">
        <f t="shared" ca="1" si="13"/>
        <v>960</v>
      </c>
      <c r="G145" s="3" t="b">
        <f ca="1">INDEX(dict_zul_Var_Meth[kval_active],MATCH(table_Methods[[#This Row],[ID]],dict_zul_Var_Meth[ID_Methods],0))</f>
        <v>0</v>
      </c>
      <c r="H145">
        <f t="shared" ca="1" si="14"/>
        <v>711</v>
      </c>
      <c r="I145">
        <f t="shared" ca="1" si="15"/>
        <v>46592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6"/>
        <v>60</v>
      </c>
      <c r="D146">
        <f t="shared" ca="1" si="17"/>
        <v>7.71</v>
      </c>
      <c r="E146">
        <f t="shared" ca="1" si="12"/>
        <v>-70</v>
      </c>
      <c r="F146">
        <f t="shared" ca="1" si="13"/>
        <v>260</v>
      </c>
      <c r="G146" s="3" t="b">
        <f ca="1">INDEX(dict_zul_Var_Meth[kval_active],MATCH(table_Methods[[#This Row],[ID]],dict_zul_Var_Meth[ID_Methods],0))</f>
        <v>0</v>
      </c>
      <c r="H146">
        <f t="shared" ca="1" si="14"/>
        <v>808</v>
      </c>
      <c r="I146">
        <f t="shared" ca="1" si="15"/>
        <v>1600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6"/>
        <v>80</v>
      </c>
      <c r="D147">
        <f t="shared" ca="1" si="17"/>
        <v>0.18</v>
      </c>
      <c r="E147">
        <f t="shared" ca="1" si="12"/>
        <v>-40</v>
      </c>
      <c r="F147">
        <f t="shared" ca="1" si="13"/>
        <v>300</v>
      </c>
      <c r="G147" s="3" t="b">
        <f ca="1">INDEX(dict_zul_Var_Meth[kval_active],MATCH(table_Methods[[#This Row],[ID]],dict_zul_Var_Meth[ID_Methods],0))</f>
        <v>0</v>
      </c>
      <c r="H147">
        <f t="shared" ca="1" si="14"/>
        <v>8846</v>
      </c>
      <c r="I147">
        <f t="shared" ca="1" si="15"/>
        <v>94208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6"/>
        <v>58.000000000000007</v>
      </c>
      <c r="D148">
        <f t="shared" ca="1" si="17"/>
        <v>3.59</v>
      </c>
      <c r="E148">
        <f t="shared" ca="1" si="12"/>
        <v>-60</v>
      </c>
      <c r="F148">
        <f t="shared" ca="1" si="13"/>
        <v>410</v>
      </c>
      <c r="G148" s="3" t="b">
        <f ca="1">INDEX(dict_zul_Var_Meth[kval_active],MATCH(table_Methods[[#This Row],[ID]],dict_zul_Var_Meth[ID_Methods],0))</f>
        <v>0</v>
      </c>
      <c r="H148">
        <f t="shared" ca="1" si="14"/>
        <v>4421</v>
      </c>
      <c r="I148">
        <f t="shared" ca="1" si="15"/>
        <v>34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6"/>
        <v>4</v>
      </c>
      <c r="D149">
        <f t="shared" ca="1" si="17"/>
        <v>4.93</v>
      </c>
      <c r="E149">
        <f t="shared" ca="1" si="12"/>
        <v>-80</v>
      </c>
      <c r="F149">
        <f t="shared" ca="1" si="13"/>
        <v>260</v>
      </c>
      <c r="G149" s="3" t="b">
        <f ca="1">INDEX(dict_zul_Var_Meth[kval_active],MATCH(table_Methods[[#This Row],[ID]],dict_zul_Var_Meth[ID_Methods],0))</f>
        <v>0</v>
      </c>
      <c r="H149">
        <f t="shared" ca="1" si="14"/>
        <v>8408</v>
      </c>
      <c r="I149">
        <f t="shared" ca="1" si="15"/>
        <v>112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6"/>
        <v>800</v>
      </c>
      <c r="D150">
        <f t="shared" ca="1" si="17"/>
        <v>6.76</v>
      </c>
      <c r="E150">
        <f t="shared" ca="1" si="12"/>
        <v>20</v>
      </c>
      <c r="F150">
        <f t="shared" ca="1" si="13"/>
        <v>520</v>
      </c>
      <c r="G150" s="3" t="b">
        <f ca="1">INDEX(dict_zul_Var_Meth[kval_active],MATCH(table_Methods[[#This Row],[ID]],dict_zul_Var_Meth[ID_Methods],0))</f>
        <v>0</v>
      </c>
      <c r="H150">
        <f t="shared" ca="1" si="14"/>
        <v>1116</v>
      </c>
      <c r="I150">
        <f t="shared" ca="1" si="15"/>
        <v>24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6"/>
        <v>50</v>
      </c>
      <c r="D151">
        <f t="shared" ca="1" si="17"/>
        <v>0.81</v>
      </c>
      <c r="E151">
        <f t="shared" ca="1" si="12"/>
        <v>-10</v>
      </c>
      <c r="F151">
        <f t="shared" ca="1" si="13"/>
        <v>710</v>
      </c>
      <c r="G151" s="3" t="b">
        <f ca="1">INDEX(dict_zul_Var_Meth[kval_active],MATCH(table_Methods[[#This Row],[ID]],dict_zul_Var_Meth[ID_Methods],0))</f>
        <v>0</v>
      </c>
      <c r="H151">
        <f t="shared" ca="1" si="14"/>
        <v>2496</v>
      </c>
      <c r="I151">
        <f t="shared" ca="1" si="15"/>
        <v>1664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6"/>
        <v>25</v>
      </c>
      <c r="D152">
        <f t="shared" ca="1" si="17"/>
        <v>1.46</v>
      </c>
      <c r="E152">
        <f t="shared" ca="1" si="12"/>
        <v>-100</v>
      </c>
      <c r="F152">
        <f t="shared" ca="1" si="13"/>
        <v>350</v>
      </c>
      <c r="G152" s="3" t="b">
        <f ca="1">INDEX(dict_zul_Var_Meth[kval_active],MATCH(table_Methods[[#This Row],[ID]],dict_zul_Var_Meth[ID_Methods],0))</f>
        <v>0</v>
      </c>
      <c r="H152">
        <f t="shared" ca="1" si="14"/>
        <v>13110</v>
      </c>
      <c r="I152">
        <f t="shared" ca="1" si="15"/>
        <v>72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6"/>
        <v>2000</v>
      </c>
      <c r="D153">
        <f t="shared" ca="1" si="17"/>
        <v>8.92</v>
      </c>
      <c r="E153">
        <f t="shared" ca="1" si="12"/>
        <v>-90</v>
      </c>
      <c r="F153">
        <f t="shared" ca="1" si="13"/>
        <v>690</v>
      </c>
      <c r="G153" s="3" t="b">
        <f ca="1">INDEX(dict_zul_Var_Meth[kval_active],MATCH(table_Methods[[#This Row],[ID]],dict_zul_Var_Meth[ID_Methods],0))</f>
        <v>0</v>
      </c>
      <c r="H153">
        <f t="shared" ca="1" si="14"/>
        <v>1224</v>
      </c>
      <c r="I153">
        <f t="shared" ca="1" si="15"/>
        <v>992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6"/>
        <v>8000</v>
      </c>
      <c r="D154">
        <f t="shared" ca="1" si="17"/>
        <v>8.15</v>
      </c>
      <c r="E154">
        <f t="shared" ca="1" si="12"/>
        <v>-10</v>
      </c>
      <c r="F154">
        <f t="shared" ca="1" si="13"/>
        <v>470</v>
      </c>
      <c r="G154" s="3" t="b">
        <f ca="1">INDEX(dict_zul_Var_Meth[kval_active],MATCH(table_Methods[[#This Row],[ID]],dict_zul_Var_Meth[ID_Methods],0))</f>
        <v>0</v>
      </c>
      <c r="H154">
        <f t="shared" ca="1" si="14"/>
        <v>22484</v>
      </c>
      <c r="I154">
        <f t="shared" ca="1" si="15"/>
        <v>204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6"/>
        <v>68</v>
      </c>
      <c r="D155">
        <f t="shared" ca="1" si="17"/>
        <v>5.92</v>
      </c>
      <c r="E155">
        <f t="shared" ca="1" si="12"/>
        <v>-80</v>
      </c>
      <c r="F155">
        <f t="shared" ca="1" si="13"/>
        <v>530</v>
      </c>
      <c r="G155" s="3" t="b">
        <f ca="1">INDEX(dict_zul_Var_Meth[kval_active],MATCH(table_Methods[[#This Row],[ID]],dict_zul_Var_Meth[ID_Methods],0))</f>
        <v>0</v>
      </c>
      <c r="H155">
        <f t="shared" ca="1" si="14"/>
        <v>35448</v>
      </c>
      <c r="I155">
        <f t="shared" ca="1" si="15"/>
        <v>18432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6"/>
        <v>9600</v>
      </c>
      <c r="D156">
        <f t="shared" ca="1" si="17"/>
        <v>6.91</v>
      </c>
      <c r="E156">
        <f t="shared" ca="1" si="12"/>
        <v>30</v>
      </c>
      <c r="F156">
        <f t="shared" ca="1" si="13"/>
        <v>100</v>
      </c>
      <c r="G156" s="3" t="b">
        <f ca="1">INDEX(dict_zul_Var_Meth[kval_active],MATCH(table_Methods[[#This Row],[ID]],dict_zul_Var_Meth[ID_Methods],0))</f>
        <v>0</v>
      </c>
      <c r="H156">
        <f t="shared" ca="1" si="14"/>
        <v>6100</v>
      </c>
      <c r="I156">
        <f t="shared" ca="1" si="15"/>
        <v>68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6"/>
        <v>62</v>
      </c>
      <c r="D157">
        <f t="shared" ca="1" si="17"/>
        <v>9.9600000000000009</v>
      </c>
      <c r="E157">
        <f t="shared" ca="1" si="12"/>
        <v>-80</v>
      </c>
      <c r="F157">
        <f t="shared" ca="1" si="13"/>
        <v>860</v>
      </c>
      <c r="G157" s="3" t="b">
        <f ca="1">INDEX(dict_zul_Var_Meth[kval_active],MATCH(table_Methods[[#This Row],[ID]],dict_zul_Var_Meth[ID_Methods],0))</f>
        <v>0</v>
      </c>
      <c r="H157">
        <f t="shared" ca="1" si="14"/>
        <v>7870</v>
      </c>
      <c r="I157">
        <f t="shared" ca="1" si="15"/>
        <v>55296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6"/>
        <v>910</v>
      </c>
      <c r="D158">
        <f t="shared" ca="1" si="17"/>
        <v>4.32</v>
      </c>
      <c r="E158">
        <f t="shared" ca="1" si="12"/>
        <v>-10</v>
      </c>
      <c r="F158">
        <f t="shared" ca="1" si="13"/>
        <v>750</v>
      </c>
      <c r="G158" s="3" t="b">
        <f ca="1">INDEX(dict_zul_Var_Meth[kval_active],MATCH(table_Methods[[#This Row],[ID]],dict_zul_Var_Meth[ID_Methods],0))</f>
        <v>0</v>
      </c>
      <c r="H158">
        <f t="shared" ca="1" si="14"/>
        <v>42057</v>
      </c>
      <c r="I158">
        <f t="shared" ca="1" si="15"/>
        <v>32256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6"/>
        <v>78</v>
      </c>
      <c r="D159">
        <f t="shared" ca="1" si="17"/>
        <v>4.18</v>
      </c>
      <c r="E159">
        <f t="shared" ca="1" si="12"/>
        <v>-10</v>
      </c>
      <c r="F159">
        <f t="shared" ca="1" si="13"/>
        <v>890</v>
      </c>
      <c r="G159" s="3" t="b">
        <f ca="1">INDEX(dict_zul_Var_Meth[kval_active],MATCH(table_Methods[[#This Row],[ID]],dict_zul_Var_Meth[ID_Methods],0))</f>
        <v>0</v>
      </c>
      <c r="H159">
        <f t="shared" ca="1" si="14"/>
        <v>12040</v>
      </c>
      <c r="I159">
        <f t="shared" ca="1" si="15"/>
        <v>8448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6"/>
        <v>73</v>
      </c>
      <c r="D160">
        <f t="shared" ca="1" si="17"/>
        <v>0.34</v>
      </c>
      <c r="E160">
        <f t="shared" ca="1" si="12"/>
        <v>30</v>
      </c>
      <c r="F160">
        <f t="shared" ca="1" si="13"/>
        <v>810</v>
      </c>
      <c r="G160" s="3" t="b">
        <f ca="1">INDEX(dict_zul_Var_Meth[kval_active],MATCH(table_Methods[[#This Row],[ID]],dict_zul_Var_Meth[ID_Methods],0))</f>
        <v>0</v>
      </c>
      <c r="H160">
        <f t="shared" ca="1" si="14"/>
        <v>3648</v>
      </c>
      <c r="I160">
        <f t="shared" ca="1" si="15"/>
        <v>240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6"/>
        <v>800</v>
      </c>
      <c r="D161">
        <f t="shared" ca="1" si="17"/>
        <v>6.15</v>
      </c>
      <c r="E161">
        <f t="shared" ca="1" si="12"/>
        <v>-50</v>
      </c>
      <c r="F161">
        <f t="shared" ca="1" si="13"/>
        <v>120</v>
      </c>
      <c r="G161" s="3" t="b">
        <f ca="1">INDEX(dict_zul_Var_Meth[kval_active],MATCH(table_Methods[[#This Row],[ID]],dict_zul_Var_Meth[ID_Methods],0))</f>
        <v>0</v>
      </c>
      <c r="H161">
        <f t="shared" ca="1" si="14"/>
        <v>30436</v>
      </c>
      <c r="I161">
        <f t="shared" ca="1" si="15"/>
        <v>37888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6"/>
        <v>7100</v>
      </c>
      <c r="D162">
        <f t="shared" ca="1" si="17"/>
        <v>6.73</v>
      </c>
      <c r="E162">
        <f t="shared" ca="1" si="12"/>
        <v>-100</v>
      </c>
      <c r="F162">
        <f t="shared" ca="1" si="13"/>
        <v>970</v>
      </c>
      <c r="G162" s="3" t="b">
        <f ca="1">INDEX(dict_zul_Var_Meth[kval_active],MATCH(table_Methods[[#This Row],[ID]],dict_zul_Var_Meth[ID_Methods],0))</f>
        <v>0</v>
      </c>
      <c r="H162">
        <f t="shared" ca="1" si="14"/>
        <v>11824</v>
      </c>
      <c r="I162">
        <f t="shared" ca="1" si="15"/>
        <v>1152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6"/>
        <v>88</v>
      </c>
      <c r="D163">
        <f t="shared" ca="1" si="17"/>
        <v>0.16</v>
      </c>
      <c r="E163">
        <f t="shared" ca="1" si="12"/>
        <v>-90</v>
      </c>
      <c r="F163">
        <f t="shared" ca="1" si="13"/>
        <v>260</v>
      </c>
      <c r="G163" s="3" t="b">
        <f ca="1">INDEX(dict_zul_Var_Meth[kval_active],MATCH(table_Methods[[#This Row],[ID]],dict_zul_Var_Meth[ID_Methods],0))</f>
        <v>0</v>
      </c>
      <c r="H163">
        <f t="shared" ca="1" si="14"/>
        <v>16760</v>
      </c>
      <c r="I163">
        <f t="shared" ca="1" si="15"/>
        <v>1536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6"/>
        <v>8100</v>
      </c>
      <c r="D164">
        <f t="shared" ca="1" si="17"/>
        <v>1.32</v>
      </c>
      <c r="E164">
        <f t="shared" ref="E164:E227" ca="1" si="18">RANDBETWEEN(-10,3)*10</f>
        <v>-90</v>
      </c>
      <c r="F164">
        <f t="shared" ref="F164:F227" ca="1" si="19">RANDBETWEEN(2,100)*10</f>
        <v>840</v>
      </c>
      <c r="G164" s="3" t="b">
        <f ca="1">INDEX(dict_zul_Var_Meth[kval_active],MATCH(table_Methods[[#This Row],[ID]],dict_zul_Var_Meth[ID_Methods],0))</f>
        <v>0</v>
      </c>
      <c r="H164">
        <f t="shared" ref="H164:H227" ca="1" si="20">RANDBETWEEN(1,10)*RANDBETWEEN(1,5000)</f>
        <v>16500</v>
      </c>
      <c r="I164">
        <f t="shared" ref="I164:I227" ca="1" si="21">2^RANDBETWEEN(1,10)*RANDBETWEEN(1,100)</f>
        <v>664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6"/>
        <v>7000</v>
      </c>
      <c r="D165">
        <f t="shared" ca="1" si="17"/>
        <v>0.56999999999999995</v>
      </c>
      <c r="E165">
        <f t="shared" ca="1" si="18"/>
        <v>20</v>
      </c>
      <c r="F165">
        <f t="shared" ca="1" si="19"/>
        <v>40</v>
      </c>
      <c r="G165" s="3" t="b">
        <f ca="1">INDEX(dict_zul_Var_Meth[kval_active],MATCH(table_Methods[[#This Row],[ID]],dict_zul_Var_Meth[ID_Methods],0))</f>
        <v>0</v>
      </c>
      <c r="H165">
        <f t="shared" ca="1" si="20"/>
        <v>9332</v>
      </c>
      <c r="I165">
        <f t="shared" ca="1" si="21"/>
        <v>15360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6"/>
        <v>760</v>
      </c>
      <c r="D166">
        <f t="shared" ca="1" si="17"/>
        <v>2</v>
      </c>
      <c r="E166">
        <f t="shared" ca="1" si="18"/>
        <v>-80</v>
      </c>
      <c r="F166">
        <f t="shared" ca="1" si="19"/>
        <v>850</v>
      </c>
      <c r="G166" s="3" t="b">
        <f ca="1">INDEX(dict_zul_Var_Meth[kval_active],MATCH(table_Methods[[#This Row],[ID]],dict_zul_Var_Meth[ID_Methods],0))</f>
        <v>0</v>
      </c>
      <c r="H166">
        <f t="shared" ca="1" si="20"/>
        <v>10812</v>
      </c>
      <c r="I166">
        <f t="shared" ca="1" si="21"/>
        <v>120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6"/>
        <v>2000</v>
      </c>
      <c r="D167">
        <f t="shared" ca="1" si="17"/>
        <v>4.92</v>
      </c>
      <c r="E167">
        <f t="shared" ca="1" si="18"/>
        <v>-50</v>
      </c>
      <c r="F167">
        <f t="shared" ca="1" si="19"/>
        <v>740</v>
      </c>
      <c r="G167" s="3" t="b">
        <f ca="1">INDEX(dict_zul_Var_Meth[kval_active],MATCH(table_Methods[[#This Row],[ID]],dict_zul_Var_Meth[ID_Methods],0))</f>
        <v>1</v>
      </c>
      <c r="H167">
        <f t="shared" ca="1" si="20"/>
        <v>14166</v>
      </c>
      <c r="I167">
        <f t="shared" ca="1" si="21"/>
        <v>1888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6"/>
        <v>84</v>
      </c>
      <c r="D168">
        <f t="shared" ca="1" si="17"/>
        <v>7.74</v>
      </c>
      <c r="E168">
        <f t="shared" ca="1" si="18"/>
        <v>-90</v>
      </c>
      <c r="F168">
        <f t="shared" ca="1" si="19"/>
        <v>90</v>
      </c>
      <c r="G168" s="3" t="b">
        <f ca="1">INDEX(dict_zul_Var_Meth[kval_active],MATCH(table_Methods[[#This Row],[ID]],dict_zul_Var_Meth[ID_Methods],0))</f>
        <v>0</v>
      </c>
      <c r="H168">
        <f t="shared" ca="1" si="20"/>
        <v>16035</v>
      </c>
      <c r="I168">
        <f t="shared" ca="1" si="21"/>
        <v>160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6"/>
        <v>9800</v>
      </c>
      <c r="D169">
        <f t="shared" ca="1" si="17"/>
        <v>2.04</v>
      </c>
      <c r="E169">
        <f t="shared" ca="1" si="18"/>
        <v>-30</v>
      </c>
      <c r="F169">
        <f t="shared" ca="1" si="19"/>
        <v>520</v>
      </c>
      <c r="G169" s="3" t="b">
        <f ca="1">INDEX(dict_zul_Var_Meth[kval_active],MATCH(table_Methods[[#This Row],[ID]],dict_zul_Var_Meth[ID_Methods],0))</f>
        <v>0</v>
      </c>
      <c r="H169">
        <f t="shared" ca="1" si="20"/>
        <v>15488</v>
      </c>
      <c r="I169">
        <f t="shared" ca="1" si="21"/>
        <v>76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6"/>
        <v>52</v>
      </c>
      <c r="D170">
        <f t="shared" ca="1" si="17"/>
        <v>1.72</v>
      </c>
      <c r="E170">
        <f t="shared" ca="1" si="18"/>
        <v>-70</v>
      </c>
      <c r="F170">
        <f t="shared" ca="1" si="19"/>
        <v>350</v>
      </c>
      <c r="G170" s="3" t="b">
        <f ca="1">INDEX(dict_zul_Var_Meth[kval_active],MATCH(table_Methods[[#This Row],[ID]],dict_zul_Var_Meth[ID_Methods],0))</f>
        <v>0</v>
      </c>
      <c r="H170">
        <f t="shared" ca="1" si="20"/>
        <v>12993</v>
      </c>
      <c r="I170">
        <f t="shared" ca="1" si="21"/>
        <v>6208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6"/>
        <v>600</v>
      </c>
      <c r="D171">
        <f t="shared" ca="1" si="17"/>
        <v>6.14</v>
      </c>
      <c r="E171">
        <f t="shared" ca="1" si="18"/>
        <v>20</v>
      </c>
      <c r="F171">
        <f t="shared" ca="1" si="19"/>
        <v>80</v>
      </c>
      <c r="G171" s="3" t="b">
        <f ca="1">INDEX(dict_zul_Var_Meth[kval_active],MATCH(table_Methods[[#This Row],[ID]],dict_zul_Var_Meth[ID_Methods],0))</f>
        <v>0</v>
      </c>
      <c r="H171">
        <f t="shared" ca="1" si="20"/>
        <v>31444</v>
      </c>
      <c r="I171">
        <f t="shared" ca="1" si="21"/>
        <v>464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6"/>
        <v>64</v>
      </c>
      <c r="D172">
        <f t="shared" ca="1" si="17"/>
        <v>3.08</v>
      </c>
      <c r="E172">
        <f t="shared" ca="1" si="18"/>
        <v>-10</v>
      </c>
      <c r="F172">
        <f t="shared" ca="1" si="19"/>
        <v>410</v>
      </c>
      <c r="G172" s="3" t="b">
        <f ca="1">INDEX(dict_zul_Var_Meth[kval_active],MATCH(table_Methods[[#This Row],[ID]],dict_zul_Var_Meth[ID_Methods],0))</f>
        <v>0</v>
      </c>
      <c r="H172">
        <f t="shared" ca="1" si="20"/>
        <v>3710</v>
      </c>
      <c r="I172">
        <f t="shared" ca="1" si="21"/>
        <v>32768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6"/>
        <v>640</v>
      </c>
      <c r="D173">
        <f t="shared" ca="1" si="17"/>
        <v>5.85</v>
      </c>
      <c r="E173">
        <f t="shared" ca="1" si="18"/>
        <v>-60</v>
      </c>
      <c r="F173">
        <f t="shared" ca="1" si="19"/>
        <v>50</v>
      </c>
      <c r="G173" s="3" t="b">
        <f ca="1">INDEX(dict_zul_Var_Meth[kval_active],MATCH(table_Methods[[#This Row],[ID]],dict_zul_Var_Meth[ID_Methods],0))</f>
        <v>0</v>
      </c>
      <c r="H173">
        <f t="shared" ca="1" si="20"/>
        <v>26046</v>
      </c>
      <c r="I173">
        <f t="shared" ca="1" si="21"/>
        <v>1984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6"/>
        <v>49</v>
      </c>
      <c r="D174">
        <f t="shared" ca="1" si="17"/>
        <v>3.04</v>
      </c>
      <c r="E174">
        <f t="shared" ca="1" si="18"/>
        <v>-10</v>
      </c>
      <c r="F174">
        <f t="shared" ca="1" si="19"/>
        <v>120</v>
      </c>
      <c r="G174" s="3" t="b">
        <f ca="1">INDEX(dict_zul_Var_Meth[kval_active],MATCH(table_Methods[[#This Row],[ID]],dict_zul_Var_Meth[ID_Methods],0))</f>
        <v>0</v>
      </c>
      <c r="H174">
        <f t="shared" ca="1" si="20"/>
        <v>1740</v>
      </c>
      <c r="I174">
        <f t="shared" ca="1" si="21"/>
        <v>2592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6"/>
        <v>4100</v>
      </c>
      <c r="D175">
        <f t="shared" ca="1" si="17"/>
        <v>6.49</v>
      </c>
      <c r="E175">
        <f t="shared" ca="1" si="18"/>
        <v>-60</v>
      </c>
      <c r="F175">
        <f t="shared" ca="1" si="19"/>
        <v>220</v>
      </c>
      <c r="G175" s="3" t="b">
        <f ca="1">INDEX(dict_zul_Var_Meth[kval_active],MATCH(table_Methods[[#This Row],[ID]],dict_zul_Var_Meth[ID_Methods],0))</f>
        <v>0</v>
      </c>
      <c r="H175">
        <f t="shared" ca="1" si="20"/>
        <v>5124</v>
      </c>
      <c r="I175">
        <f t="shared" ca="1" si="21"/>
        <v>14848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6"/>
        <v>7100</v>
      </c>
      <c r="D176">
        <f t="shared" ca="1" si="17"/>
        <v>6.3</v>
      </c>
      <c r="E176">
        <f t="shared" ca="1" si="18"/>
        <v>10</v>
      </c>
      <c r="F176">
        <f t="shared" ca="1" si="19"/>
        <v>420</v>
      </c>
      <c r="G176" s="3" t="b">
        <f ca="1">INDEX(dict_zul_Var_Meth[kval_active],MATCH(table_Methods[[#This Row],[ID]],dict_zul_Var_Meth[ID_Methods],0))</f>
        <v>0</v>
      </c>
      <c r="H176">
        <f t="shared" ca="1" si="20"/>
        <v>22584</v>
      </c>
      <c r="I176">
        <f t="shared" ca="1" si="21"/>
        <v>9984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6"/>
        <v>3600</v>
      </c>
      <c r="D177">
        <f t="shared" ca="1" si="17"/>
        <v>8.74</v>
      </c>
      <c r="E177">
        <f t="shared" ca="1" si="18"/>
        <v>-20</v>
      </c>
      <c r="F177">
        <f t="shared" ca="1" si="19"/>
        <v>30</v>
      </c>
      <c r="G177" s="3" t="b">
        <f ca="1">INDEX(dict_zul_Var_Meth[kval_active],MATCH(table_Methods[[#This Row],[ID]],dict_zul_Var_Meth[ID_Methods],0))</f>
        <v>0</v>
      </c>
      <c r="H177">
        <f t="shared" ca="1" si="20"/>
        <v>27544</v>
      </c>
      <c r="I177">
        <f t="shared" ca="1" si="21"/>
        <v>1152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6"/>
        <v>87.000000000000014</v>
      </c>
      <c r="D178">
        <f t="shared" ca="1" si="17"/>
        <v>3.82</v>
      </c>
      <c r="E178">
        <f t="shared" ca="1" si="18"/>
        <v>30</v>
      </c>
      <c r="F178">
        <f t="shared" ca="1" si="19"/>
        <v>1000</v>
      </c>
      <c r="G178" s="3" t="b">
        <f ca="1">INDEX(dict_zul_Var_Meth[kval_active],MATCH(table_Methods[[#This Row],[ID]],dict_zul_Var_Meth[ID_Methods],0))</f>
        <v>1</v>
      </c>
      <c r="H178">
        <f t="shared" ca="1" si="20"/>
        <v>3240</v>
      </c>
      <c r="I178">
        <f t="shared" ca="1" si="21"/>
        <v>336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6"/>
        <v>260</v>
      </c>
      <c r="D179">
        <f t="shared" ca="1" si="17"/>
        <v>4.9400000000000004</v>
      </c>
      <c r="E179">
        <f t="shared" ca="1" si="18"/>
        <v>20</v>
      </c>
      <c r="F179">
        <f t="shared" ca="1" si="19"/>
        <v>720</v>
      </c>
      <c r="G179" s="3" t="b">
        <f ca="1">INDEX(dict_zul_Var_Meth[kval_active],MATCH(table_Methods[[#This Row],[ID]],dict_zul_Var_Meth[ID_Methods],0))</f>
        <v>0</v>
      </c>
      <c r="H179">
        <f t="shared" ca="1" si="20"/>
        <v>13095</v>
      </c>
      <c r="I179">
        <f t="shared" ca="1" si="21"/>
        <v>592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6"/>
        <v>310</v>
      </c>
      <c r="D180">
        <f t="shared" ca="1" si="17"/>
        <v>7.25</v>
      </c>
      <c r="E180">
        <f t="shared" ca="1" si="18"/>
        <v>10</v>
      </c>
      <c r="F180">
        <f t="shared" ca="1" si="19"/>
        <v>120</v>
      </c>
      <c r="G180" s="3" t="b">
        <f ca="1">INDEX(dict_zul_Var_Meth[kval_active],MATCH(table_Methods[[#This Row],[ID]],dict_zul_Var_Meth[ID_Methods],0))</f>
        <v>0</v>
      </c>
      <c r="H180">
        <f t="shared" ca="1" si="20"/>
        <v>24872</v>
      </c>
      <c r="I180">
        <f t="shared" ca="1" si="21"/>
        <v>2816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6"/>
        <v>300</v>
      </c>
      <c r="D181">
        <f t="shared" ca="1" si="17"/>
        <v>6.04</v>
      </c>
      <c r="E181">
        <f t="shared" ca="1" si="18"/>
        <v>-70</v>
      </c>
      <c r="F181">
        <f t="shared" ca="1" si="19"/>
        <v>30</v>
      </c>
      <c r="G181" s="3" t="b">
        <f ca="1">INDEX(dict_zul_Var_Meth[kval_active],MATCH(table_Methods[[#This Row],[ID]],dict_zul_Var_Meth[ID_Methods],0))</f>
        <v>0</v>
      </c>
      <c r="H181">
        <f t="shared" ca="1" si="20"/>
        <v>6060</v>
      </c>
      <c r="I181">
        <f t="shared" ca="1" si="21"/>
        <v>46592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6"/>
        <v>4800</v>
      </c>
      <c r="D182">
        <f t="shared" ca="1" si="17"/>
        <v>1.47</v>
      </c>
      <c r="E182">
        <f t="shared" ca="1" si="18"/>
        <v>-80</v>
      </c>
      <c r="F182">
        <f t="shared" ca="1" si="19"/>
        <v>550</v>
      </c>
      <c r="G182" s="3" t="b">
        <f ca="1">INDEX(dict_zul_Var_Meth[kval_active],MATCH(table_Methods[[#This Row],[ID]],dict_zul_Var_Meth[ID_Methods],0))</f>
        <v>0</v>
      </c>
      <c r="H182">
        <f t="shared" ca="1" si="20"/>
        <v>407</v>
      </c>
      <c r="I182">
        <f t="shared" ca="1" si="21"/>
        <v>6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6"/>
        <v>800</v>
      </c>
      <c r="D183">
        <f t="shared" ca="1" si="17"/>
        <v>2.08</v>
      </c>
      <c r="E183">
        <f t="shared" ca="1" si="18"/>
        <v>-30</v>
      </c>
      <c r="F183">
        <f t="shared" ca="1" si="19"/>
        <v>110</v>
      </c>
      <c r="G183" s="3" t="b">
        <f ca="1">INDEX(dict_zul_Var_Meth[kval_active],MATCH(table_Methods[[#This Row],[ID]],dict_zul_Var_Meth[ID_Methods],0))</f>
        <v>0</v>
      </c>
      <c r="H183">
        <f t="shared" ca="1" si="20"/>
        <v>15381</v>
      </c>
      <c r="I183">
        <f t="shared" ca="1" si="21"/>
        <v>24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6"/>
        <v>70</v>
      </c>
      <c r="D184">
        <f t="shared" ca="1" si="17"/>
        <v>2.57</v>
      </c>
      <c r="E184">
        <f t="shared" ca="1" si="18"/>
        <v>-30</v>
      </c>
      <c r="F184">
        <f t="shared" ca="1" si="19"/>
        <v>750</v>
      </c>
      <c r="G184" s="3" t="b">
        <f ca="1">INDEX(dict_zul_Var_Meth[kval_active],MATCH(table_Methods[[#This Row],[ID]],dict_zul_Var_Meth[ID_Methods],0))</f>
        <v>0</v>
      </c>
      <c r="H184">
        <f t="shared" ca="1" si="20"/>
        <v>4979</v>
      </c>
      <c r="I184">
        <f t="shared" ca="1" si="21"/>
        <v>864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6"/>
        <v>7800</v>
      </c>
      <c r="D185">
        <f t="shared" ca="1" si="17"/>
        <v>0.39</v>
      </c>
      <c r="E185">
        <f t="shared" ca="1" si="18"/>
        <v>-100</v>
      </c>
      <c r="F185">
        <f t="shared" ca="1" si="19"/>
        <v>330</v>
      </c>
      <c r="G185" s="3" t="b">
        <f ca="1">INDEX(dict_zul_Var_Meth[kval_active],MATCH(table_Methods[[#This Row],[ID]],dict_zul_Var_Meth[ID_Methods],0))</f>
        <v>0</v>
      </c>
      <c r="H185">
        <f t="shared" ca="1" si="20"/>
        <v>5547</v>
      </c>
      <c r="I185">
        <f t="shared" ca="1" si="21"/>
        <v>2368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6"/>
        <v>42</v>
      </c>
      <c r="D186">
        <f t="shared" ca="1" si="17"/>
        <v>6.71</v>
      </c>
      <c r="E186">
        <f t="shared" ca="1" si="18"/>
        <v>-90</v>
      </c>
      <c r="F186">
        <f t="shared" ca="1" si="19"/>
        <v>180</v>
      </c>
      <c r="G186" s="3" t="b">
        <f ca="1">INDEX(dict_zul_Var_Meth[kval_active],MATCH(table_Methods[[#This Row],[ID]],dict_zul_Var_Meth[ID_Methods],0))</f>
        <v>0</v>
      </c>
      <c r="H186">
        <f t="shared" ca="1" si="20"/>
        <v>39190</v>
      </c>
      <c r="I186">
        <f t="shared" ca="1" si="21"/>
        <v>58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6"/>
        <v>63.000000000000007</v>
      </c>
      <c r="D187">
        <f t="shared" ca="1" si="17"/>
        <v>9.9499999999999993</v>
      </c>
      <c r="E187">
        <f t="shared" ca="1" si="18"/>
        <v>-90</v>
      </c>
      <c r="F187">
        <f t="shared" ca="1" si="19"/>
        <v>500</v>
      </c>
      <c r="G187" s="3" t="b">
        <f ca="1">INDEX(dict_zul_Var_Meth[kval_active],MATCH(table_Methods[[#This Row],[ID]],dict_zul_Var_Meth[ID_Methods],0))</f>
        <v>0</v>
      </c>
      <c r="H187">
        <f t="shared" ca="1" si="20"/>
        <v>9611</v>
      </c>
      <c r="I187">
        <f t="shared" ca="1" si="21"/>
        <v>816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6"/>
        <v>3200</v>
      </c>
      <c r="D188">
        <f t="shared" ca="1" si="17"/>
        <v>7.21</v>
      </c>
      <c r="E188">
        <f t="shared" ca="1" si="18"/>
        <v>0</v>
      </c>
      <c r="F188">
        <f t="shared" ca="1" si="19"/>
        <v>660</v>
      </c>
      <c r="G188" s="3" t="b">
        <f ca="1">INDEX(dict_zul_Var_Meth[kval_active],MATCH(table_Methods[[#This Row],[ID]],dict_zul_Var_Meth[ID_Methods],0))</f>
        <v>0</v>
      </c>
      <c r="H188">
        <f t="shared" ca="1" si="20"/>
        <v>2092</v>
      </c>
      <c r="I188">
        <f t="shared" ca="1" si="21"/>
        <v>14336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6"/>
        <v>8600</v>
      </c>
      <c r="D189">
        <f t="shared" ca="1" si="17"/>
        <v>3.65</v>
      </c>
      <c r="E189">
        <f t="shared" ca="1" si="18"/>
        <v>-30</v>
      </c>
      <c r="F189">
        <f t="shared" ca="1" si="19"/>
        <v>530</v>
      </c>
      <c r="G189" s="3" t="b">
        <f ca="1">INDEX(dict_zul_Var_Meth[kval_active],MATCH(table_Methods[[#This Row],[ID]],dict_zul_Var_Meth[ID_Methods],0))</f>
        <v>0</v>
      </c>
      <c r="H189">
        <f t="shared" ca="1" si="20"/>
        <v>14820</v>
      </c>
      <c r="I189">
        <f t="shared" ca="1" si="21"/>
        <v>154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6"/>
        <v>70</v>
      </c>
      <c r="D190">
        <f t="shared" ca="1" si="17"/>
        <v>0.48</v>
      </c>
      <c r="E190">
        <f t="shared" ca="1" si="18"/>
        <v>-60</v>
      </c>
      <c r="F190">
        <f t="shared" ca="1" si="19"/>
        <v>990</v>
      </c>
      <c r="G190" s="3" t="b">
        <f ca="1">INDEX(dict_zul_Var_Meth[kval_active],MATCH(table_Methods[[#This Row],[ID]],dict_zul_Var_Meth[ID_Methods],0))</f>
        <v>0</v>
      </c>
      <c r="H190">
        <f t="shared" ca="1" si="20"/>
        <v>11682</v>
      </c>
      <c r="I190">
        <f t="shared" ca="1" si="21"/>
        <v>16128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6"/>
        <v>94</v>
      </c>
      <c r="D191">
        <f t="shared" ca="1" si="17"/>
        <v>0.7</v>
      </c>
      <c r="E191">
        <f t="shared" ca="1" si="18"/>
        <v>-60</v>
      </c>
      <c r="F191">
        <f t="shared" ca="1" si="19"/>
        <v>280</v>
      </c>
      <c r="G191" s="3" t="b">
        <f ca="1">INDEX(dict_zul_Var_Meth[kval_active],MATCH(table_Methods[[#This Row],[ID]],dict_zul_Var_Meth[ID_Methods],0))</f>
        <v>0</v>
      </c>
      <c r="H191">
        <f t="shared" ca="1" si="20"/>
        <v>14010</v>
      </c>
      <c r="I191">
        <f t="shared" ca="1" si="21"/>
        <v>12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6"/>
        <v>1200</v>
      </c>
      <c r="D192">
        <f t="shared" ca="1" si="17"/>
        <v>8.92</v>
      </c>
      <c r="E192">
        <f t="shared" ca="1" si="18"/>
        <v>-40</v>
      </c>
      <c r="F192">
        <f t="shared" ca="1" si="19"/>
        <v>690</v>
      </c>
      <c r="G192" s="3" t="b">
        <f ca="1">INDEX(dict_zul_Var_Meth[kval_active],MATCH(table_Methods[[#This Row],[ID]],dict_zul_Var_Meth[ID_Methods],0))</f>
        <v>0</v>
      </c>
      <c r="H192">
        <f t="shared" ca="1" si="20"/>
        <v>4226</v>
      </c>
      <c r="I192">
        <f t="shared" ca="1" si="21"/>
        <v>48128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6"/>
        <v>31</v>
      </c>
      <c r="D193">
        <f t="shared" ca="1" si="17"/>
        <v>2.81</v>
      </c>
      <c r="E193">
        <f t="shared" ca="1" si="18"/>
        <v>10</v>
      </c>
      <c r="F193">
        <f t="shared" ca="1" si="19"/>
        <v>700</v>
      </c>
      <c r="G193" s="3" t="b">
        <f ca="1">INDEX(dict_zul_Var_Meth[kval_active],MATCH(table_Methods[[#This Row],[ID]],dict_zul_Var_Meth[ID_Methods],0))</f>
        <v>0</v>
      </c>
      <c r="H193">
        <f t="shared" ca="1" si="20"/>
        <v>11540</v>
      </c>
      <c r="I193">
        <f t="shared" ca="1" si="21"/>
        <v>1488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2">10^(RANDBETWEEN(-1,1))*RANDBETWEEN(1,100)*10</f>
        <v>7300</v>
      </c>
      <c r="D194">
        <f t="shared" ca="1" si="17"/>
        <v>8.94</v>
      </c>
      <c r="E194">
        <f t="shared" ca="1" si="18"/>
        <v>-90</v>
      </c>
      <c r="F194">
        <f t="shared" ca="1" si="19"/>
        <v>270</v>
      </c>
      <c r="G194" s="3" t="b">
        <f ca="1">INDEX(dict_zul_Var_Meth[kval_active],MATCH(table_Methods[[#This Row],[ID]],dict_zul_Var_Meth[ID_Methods],0))</f>
        <v>0</v>
      </c>
      <c r="H194">
        <f t="shared" ca="1" si="20"/>
        <v>21365</v>
      </c>
      <c r="I194">
        <f t="shared" ca="1" si="21"/>
        <v>1664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2"/>
        <v>4200</v>
      </c>
      <c r="D195">
        <f t="shared" ref="D195:D258" ca="1" si="23">RANDBETWEEN(10,1000)/(100)</f>
        <v>9.3800000000000008</v>
      </c>
      <c r="E195">
        <f t="shared" ca="1" si="18"/>
        <v>30</v>
      </c>
      <c r="F195">
        <f t="shared" ca="1" si="19"/>
        <v>70</v>
      </c>
      <c r="G195" s="3" t="b">
        <f ca="1">INDEX(dict_zul_Var_Meth[kval_active],MATCH(table_Methods[[#This Row],[ID]],dict_zul_Var_Meth[ID_Methods],0))</f>
        <v>0</v>
      </c>
      <c r="H195">
        <f t="shared" ca="1" si="20"/>
        <v>4700</v>
      </c>
      <c r="I195">
        <f t="shared" ca="1" si="21"/>
        <v>174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2"/>
        <v>1</v>
      </c>
      <c r="D196">
        <f t="shared" ca="1" si="23"/>
        <v>1.55</v>
      </c>
      <c r="E196">
        <f t="shared" ca="1" si="18"/>
        <v>-70</v>
      </c>
      <c r="F196">
        <f t="shared" ca="1" si="19"/>
        <v>820</v>
      </c>
      <c r="G196" s="3" t="b">
        <f ca="1">INDEX(dict_zul_Var_Meth[kval_active],MATCH(table_Methods[[#This Row],[ID]],dict_zul_Var_Meth[ID_Methods],0))</f>
        <v>0</v>
      </c>
      <c r="H196">
        <f t="shared" ca="1" si="20"/>
        <v>11305</v>
      </c>
      <c r="I196">
        <f t="shared" ca="1" si="21"/>
        <v>23296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2"/>
        <v>980</v>
      </c>
      <c r="D197">
        <f t="shared" ca="1" si="23"/>
        <v>6.59</v>
      </c>
      <c r="E197">
        <f t="shared" ca="1" si="18"/>
        <v>-70</v>
      </c>
      <c r="F197">
        <f t="shared" ca="1" si="19"/>
        <v>260</v>
      </c>
      <c r="G197" s="3" t="b">
        <f ca="1">INDEX(dict_zul_Var_Meth[kval_active],MATCH(table_Methods[[#This Row],[ID]],dict_zul_Var_Meth[ID_Methods],0))</f>
        <v>0</v>
      </c>
      <c r="H197">
        <f t="shared" ca="1" si="20"/>
        <v>18522</v>
      </c>
      <c r="I197">
        <f t="shared" ca="1" si="21"/>
        <v>8832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2"/>
        <v>14.000000000000002</v>
      </c>
      <c r="D198">
        <f t="shared" ca="1" si="23"/>
        <v>3.57</v>
      </c>
      <c r="E198">
        <f t="shared" ca="1" si="18"/>
        <v>0</v>
      </c>
      <c r="F198">
        <f t="shared" ca="1" si="19"/>
        <v>270</v>
      </c>
      <c r="G198" s="3" t="b">
        <f ca="1">INDEX(dict_zul_Var_Meth[kval_active],MATCH(table_Methods[[#This Row],[ID]],dict_zul_Var_Meth[ID_Methods],0))</f>
        <v>0</v>
      </c>
      <c r="H198">
        <f t="shared" ca="1" si="20"/>
        <v>8730</v>
      </c>
      <c r="I198">
        <f t="shared" ca="1" si="21"/>
        <v>224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2"/>
        <v>340</v>
      </c>
      <c r="D199">
        <f t="shared" ca="1" si="23"/>
        <v>4.4000000000000004</v>
      </c>
      <c r="E199">
        <f t="shared" ca="1" si="18"/>
        <v>30</v>
      </c>
      <c r="F199">
        <f t="shared" ca="1" si="19"/>
        <v>700</v>
      </c>
      <c r="G199" s="3" t="b">
        <f ca="1">INDEX(dict_zul_Var_Meth[kval_active],MATCH(table_Methods[[#This Row],[ID]],dict_zul_Var_Meth[ID_Methods],0))</f>
        <v>0</v>
      </c>
      <c r="H199">
        <f t="shared" ca="1" si="20"/>
        <v>38718</v>
      </c>
      <c r="I199">
        <f t="shared" ca="1" si="21"/>
        <v>4992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2"/>
        <v>170</v>
      </c>
      <c r="D200">
        <f t="shared" ca="1" si="23"/>
        <v>5.43</v>
      </c>
      <c r="E200">
        <f t="shared" ca="1" si="18"/>
        <v>-80</v>
      </c>
      <c r="F200">
        <f t="shared" ca="1" si="19"/>
        <v>960</v>
      </c>
      <c r="G200" s="3" t="b">
        <f ca="1">INDEX(dict_zul_Var_Meth[kval_active],MATCH(table_Methods[[#This Row],[ID]],dict_zul_Var_Meth[ID_Methods],0))</f>
        <v>0</v>
      </c>
      <c r="H200">
        <f t="shared" ca="1" si="20"/>
        <v>720</v>
      </c>
      <c r="I200">
        <f t="shared" ca="1" si="21"/>
        <v>720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2"/>
        <v>26</v>
      </c>
      <c r="D201">
        <f t="shared" ca="1" si="23"/>
        <v>1.68</v>
      </c>
      <c r="E201">
        <f t="shared" ca="1" si="18"/>
        <v>-90</v>
      </c>
      <c r="F201">
        <f t="shared" ca="1" si="19"/>
        <v>930</v>
      </c>
      <c r="G201" s="3" t="b">
        <f ca="1">INDEX(dict_zul_Var_Meth[kval_active],MATCH(table_Methods[[#This Row],[ID]],dict_zul_Var_Meth[ID_Methods],0))</f>
        <v>0</v>
      </c>
      <c r="H201">
        <f t="shared" ca="1" si="20"/>
        <v>24568</v>
      </c>
      <c r="I201">
        <f t="shared" ca="1" si="21"/>
        <v>832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2"/>
        <v>7700</v>
      </c>
      <c r="D202">
        <f t="shared" ca="1" si="23"/>
        <v>0.73</v>
      </c>
      <c r="E202">
        <f t="shared" ca="1" si="18"/>
        <v>30</v>
      </c>
      <c r="F202">
        <f t="shared" ca="1" si="19"/>
        <v>270</v>
      </c>
      <c r="G202" s="3" t="b">
        <f ca="1">INDEX(dict_zul_Var_Meth[kval_active],MATCH(table_Methods[[#This Row],[ID]],dict_zul_Var_Meth[ID_Methods],0))</f>
        <v>0</v>
      </c>
      <c r="H202">
        <f t="shared" ca="1" si="20"/>
        <v>10040</v>
      </c>
      <c r="I202">
        <f t="shared" ca="1" si="21"/>
        <v>39936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2"/>
        <v>2400</v>
      </c>
      <c r="D203">
        <f t="shared" ca="1" si="23"/>
        <v>7.77</v>
      </c>
      <c r="E203">
        <f t="shared" ca="1" si="18"/>
        <v>-50</v>
      </c>
      <c r="F203">
        <f t="shared" ca="1" si="19"/>
        <v>790</v>
      </c>
      <c r="G203" s="3" t="b">
        <f ca="1">INDEX(dict_zul_Var_Meth[kval_active],MATCH(table_Methods[[#This Row],[ID]],dict_zul_Var_Meth[ID_Methods],0))</f>
        <v>0</v>
      </c>
      <c r="H203">
        <f t="shared" ca="1" si="20"/>
        <v>6944</v>
      </c>
      <c r="I203">
        <f t="shared" ca="1" si="21"/>
        <v>98304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2"/>
        <v>8</v>
      </c>
      <c r="D204">
        <f t="shared" ca="1" si="23"/>
        <v>0.16</v>
      </c>
      <c r="E204">
        <f t="shared" ca="1" si="18"/>
        <v>-50</v>
      </c>
      <c r="F204">
        <f t="shared" ca="1" si="19"/>
        <v>870</v>
      </c>
      <c r="G204" s="3" t="b">
        <f ca="1">INDEX(dict_zul_Var_Meth[kval_active],MATCH(table_Methods[[#This Row],[ID]],dict_zul_Var_Meth[ID_Methods],0))</f>
        <v>0</v>
      </c>
      <c r="H204">
        <f t="shared" ca="1" si="20"/>
        <v>1437</v>
      </c>
      <c r="I204">
        <f t="shared" ca="1" si="21"/>
        <v>18944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2"/>
        <v>370</v>
      </c>
      <c r="D205">
        <f t="shared" ca="1" si="23"/>
        <v>9.5299999999999994</v>
      </c>
      <c r="E205">
        <f t="shared" ca="1" si="18"/>
        <v>20</v>
      </c>
      <c r="F205">
        <f t="shared" ca="1" si="19"/>
        <v>360</v>
      </c>
      <c r="G205" s="3" t="b">
        <f ca="1">INDEX(dict_zul_Var_Meth[kval_active],MATCH(table_Methods[[#This Row],[ID]],dict_zul_Var_Meth[ID_Methods],0))</f>
        <v>0</v>
      </c>
      <c r="H205">
        <f t="shared" ca="1" si="20"/>
        <v>4885</v>
      </c>
      <c r="I205">
        <f t="shared" ca="1" si="21"/>
        <v>384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2"/>
        <v>56.000000000000007</v>
      </c>
      <c r="D206">
        <f t="shared" ca="1" si="23"/>
        <v>1.76</v>
      </c>
      <c r="E206">
        <f t="shared" ca="1" si="18"/>
        <v>-50</v>
      </c>
      <c r="F206">
        <f t="shared" ca="1" si="19"/>
        <v>750</v>
      </c>
      <c r="G206" s="3" t="b">
        <f ca="1">INDEX(dict_zul_Var_Meth[kval_active],MATCH(table_Methods[[#This Row],[ID]],dict_zul_Var_Meth[ID_Methods],0))</f>
        <v>0</v>
      </c>
      <c r="H206">
        <f t="shared" ca="1" si="20"/>
        <v>13572</v>
      </c>
      <c r="I206">
        <f t="shared" ca="1" si="21"/>
        <v>4096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2"/>
        <v>420</v>
      </c>
      <c r="D207">
        <f t="shared" ca="1" si="23"/>
        <v>1.87</v>
      </c>
      <c r="E207">
        <f t="shared" ca="1" si="18"/>
        <v>-90</v>
      </c>
      <c r="F207">
        <f t="shared" ca="1" si="19"/>
        <v>670</v>
      </c>
      <c r="G207" s="3" t="b">
        <f ca="1">INDEX(dict_zul_Var_Meth[kval_active],MATCH(table_Methods[[#This Row],[ID]],dict_zul_Var_Meth[ID_Methods],0))</f>
        <v>1</v>
      </c>
      <c r="H207">
        <f t="shared" ca="1" si="20"/>
        <v>15219</v>
      </c>
      <c r="I207">
        <f t="shared" ca="1" si="21"/>
        <v>17152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2"/>
        <v>75</v>
      </c>
      <c r="D208">
        <f t="shared" ca="1" si="23"/>
        <v>9.41</v>
      </c>
      <c r="E208">
        <f t="shared" ca="1" si="18"/>
        <v>-10</v>
      </c>
      <c r="F208">
        <f t="shared" ca="1" si="19"/>
        <v>140</v>
      </c>
      <c r="G208" s="3" t="b">
        <f ca="1">INDEX(dict_zul_Var_Meth[kval_active],MATCH(table_Methods[[#This Row],[ID]],dict_zul_Var_Meth[ID_Methods],0))</f>
        <v>0</v>
      </c>
      <c r="H208">
        <f t="shared" ca="1" si="20"/>
        <v>22920</v>
      </c>
      <c r="I208">
        <f t="shared" ca="1" si="21"/>
        <v>2176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2"/>
        <v>37</v>
      </c>
      <c r="D209">
        <f t="shared" ca="1" si="23"/>
        <v>6.68</v>
      </c>
      <c r="E209">
        <f t="shared" ca="1" si="18"/>
        <v>-10</v>
      </c>
      <c r="F209">
        <f t="shared" ca="1" si="19"/>
        <v>560</v>
      </c>
      <c r="G209" s="3" t="b">
        <f ca="1">INDEX(dict_zul_Var_Meth[kval_active],MATCH(table_Methods[[#This Row],[ID]],dict_zul_Var_Meth[ID_Methods],0))</f>
        <v>0</v>
      </c>
      <c r="H209">
        <f t="shared" ca="1" si="20"/>
        <v>4000</v>
      </c>
      <c r="I209">
        <f t="shared" ca="1" si="21"/>
        <v>416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2"/>
        <v>90</v>
      </c>
      <c r="D210">
        <f t="shared" ca="1" si="23"/>
        <v>5.78</v>
      </c>
      <c r="E210">
        <f t="shared" ca="1" si="18"/>
        <v>10</v>
      </c>
      <c r="F210">
        <f t="shared" ca="1" si="19"/>
        <v>900</v>
      </c>
      <c r="G210" s="3" t="b">
        <f ca="1">INDEX(dict_zul_Var_Meth[kval_active],MATCH(table_Methods[[#This Row],[ID]],dict_zul_Var_Meth[ID_Methods],0))</f>
        <v>0</v>
      </c>
      <c r="H210">
        <f t="shared" ca="1" si="20"/>
        <v>1496</v>
      </c>
      <c r="I210">
        <f t="shared" ca="1" si="21"/>
        <v>356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2"/>
        <v>510</v>
      </c>
      <c r="D211">
        <f t="shared" ca="1" si="23"/>
        <v>3.05</v>
      </c>
      <c r="E211">
        <f t="shared" ca="1" si="18"/>
        <v>-10</v>
      </c>
      <c r="F211">
        <f t="shared" ca="1" si="19"/>
        <v>890</v>
      </c>
      <c r="G211" s="3" t="b">
        <f ca="1">INDEX(dict_zul_Var_Meth[kval_active],MATCH(table_Methods[[#This Row],[ID]],dict_zul_Var_Meth[ID_Methods],0))</f>
        <v>0</v>
      </c>
      <c r="H211">
        <f t="shared" ca="1" si="20"/>
        <v>468</v>
      </c>
      <c r="I211">
        <f t="shared" ca="1" si="21"/>
        <v>162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2"/>
        <v>67</v>
      </c>
      <c r="D212">
        <f t="shared" ca="1" si="23"/>
        <v>0.61</v>
      </c>
      <c r="E212">
        <f t="shared" ca="1" si="18"/>
        <v>-30</v>
      </c>
      <c r="F212">
        <f t="shared" ca="1" si="19"/>
        <v>90</v>
      </c>
      <c r="G212" s="3" t="b">
        <f ca="1">INDEX(dict_zul_Var_Meth[kval_active],MATCH(table_Methods[[#This Row],[ID]],dict_zul_Var_Meth[ID_Methods],0))</f>
        <v>0</v>
      </c>
      <c r="H212">
        <f t="shared" ca="1" si="20"/>
        <v>1974</v>
      </c>
      <c r="I212">
        <f t="shared" ca="1" si="21"/>
        <v>376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2"/>
        <v>8</v>
      </c>
      <c r="D213">
        <f t="shared" ca="1" si="23"/>
        <v>3.9</v>
      </c>
      <c r="E213">
        <f t="shared" ca="1" si="18"/>
        <v>0</v>
      </c>
      <c r="F213">
        <f t="shared" ca="1" si="19"/>
        <v>40</v>
      </c>
      <c r="G213" s="3" t="b">
        <f ca="1">INDEX(dict_zul_Var_Meth[kval_active],MATCH(table_Methods[[#This Row],[ID]],dict_zul_Var_Meth[ID_Methods],0))</f>
        <v>0</v>
      </c>
      <c r="H213">
        <f t="shared" ca="1" si="20"/>
        <v>20260</v>
      </c>
      <c r="I213">
        <f t="shared" ca="1" si="21"/>
        <v>15104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2"/>
        <v>73</v>
      </c>
      <c r="D214">
        <f t="shared" ca="1" si="23"/>
        <v>8.66</v>
      </c>
      <c r="E214">
        <f t="shared" ca="1" si="18"/>
        <v>-80</v>
      </c>
      <c r="F214">
        <f t="shared" ca="1" si="19"/>
        <v>220</v>
      </c>
      <c r="G214" s="3" t="b">
        <f ca="1">INDEX(dict_zul_Var_Meth[kval_active],MATCH(table_Methods[[#This Row],[ID]],dict_zul_Var_Meth[ID_Methods],0))</f>
        <v>0</v>
      </c>
      <c r="H214">
        <f t="shared" ca="1" si="20"/>
        <v>4115</v>
      </c>
      <c r="I214">
        <f t="shared" ca="1" si="21"/>
        <v>464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2"/>
        <v>6500</v>
      </c>
      <c r="D215">
        <f t="shared" ca="1" si="23"/>
        <v>4.8099999999999996</v>
      </c>
      <c r="E215">
        <f t="shared" ca="1" si="18"/>
        <v>30</v>
      </c>
      <c r="F215">
        <f t="shared" ca="1" si="19"/>
        <v>220</v>
      </c>
      <c r="G215" s="3" t="b">
        <f ca="1">INDEX(dict_zul_Var_Meth[kval_active],MATCH(table_Methods[[#This Row],[ID]],dict_zul_Var_Meth[ID_Methods],0))</f>
        <v>0</v>
      </c>
      <c r="H215">
        <f t="shared" ca="1" si="20"/>
        <v>14490</v>
      </c>
      <c r="I215">
        <f t="shared" ca="1" si="21"/>
        <v>48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2"/>
        <v>68</v>
      </c>
      <c r="D216">
        <f t="shared" ca="1" si="23"/>
        <v>1.17</v>
      </c>
      <c r="E216">
        <f t="shared" ca="1" si="18"/>
        <v>10</v>
      </c>
      <c r="F216">
        <f t="shared" ca="1" si="19"/>
        <v>880</v>
      </c>
      <c r="G216" s="3" t="b">
        <f ca="1">INDEX(dict_zul_Var_Meth[kval_active],MATCH(table_Methods[[#This Row],[ID]],dict_zul_Var_Meth[ID_Methods],0))</f>
        <v>0</v>
      </c>
      <c r="H216">
        <f t="shared" ca="1" si="20"/>
        <v>11628</v>
      </c>
      <c r="I216">
        <f t="shared" ca="1" si="21"/>
        <v>2048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2"/>
        <v>93</v>
      </c>
      <c r="D217">
        <f t="shared" ca="1" si="23"/>
        <v>0.19</v>
      </c>
      <c r="E217">
        <f t="shared" ca="1" si="18"/>
        <v>-70</v>
      </c>
      <c r="F217">
        <f t="shared" ca="1" si="19"/>
        <v>990</v>
      </c>
      <c r="G217" s="3" t="b">
        <f ca="1">INDEX(dict_zul_Var_Meth[kval_active],MATCH(table_Methods[[#This Row],[ID]],dict_zul_Var_Meth[ID_Methods],0))</f>
        <v>0</v>
      </c>
      <c r="H217">
        <f t="shared" ca="1" si="20"/>
        <v>5328</v>
      </c>
      <c r="I217">
        <f t="shared" ca="1" si="21"/>
        <v>656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2"/>
        <v>9500</v>
      </c>
      <c r="D218">
        <f t="shared" ca="1" si="23"/>
        <v>7.34</v>
      </c>
      <c r="E218">
        <f t="shared" ca="1" si="18"/>
        <v>30</v>
      </c>
      <c r="F218">
        <f t="shared" ca="1" si="19"/>
        <v>360</v>
      </c>
      <c r="G218" s="3" t="b">
        <f ca="1">INDEX(dict_zul_Var_Meth[kval_active],MATCH(table_Methods[[#This Row],[ID]],dict_zul_Var_Meth[ID_Methods],0))</f>
        <v>0</v>
      </c>
      <c r="H218">
        <f t="shared" ca="1" si="20"/>
        <v>40851</v>
      </c>
      <c r="I218">
        <f t="shared" ca="1" si="21"/>
        <v>224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2"/>
        <v>5900</v>
      </c>
      <c r="D219">
        <f t="shared" ca="1" si="23"/>
        <v>9.3000000000000007</v>
      </c>
      <c r="E219">
        <f t="shared" ca="1" si="18"/>
        <v>-40</v>
      </c>
      <c r="F219">
        <f t="shared" ca="1" si="19"/>
        <v>950</v>
      </c>
      <c r="G219" s="3" t="b">
        <f ca="1">INDEX(dict_zul_Var_Meth[kval_active],MATCH(table_Methods[[#This Row],[ID]],dict_zul_Var_Meth[ID_Methods],0))</f>
        <v>0</v>
      </c>
      <c r="H219">
        <f t="shared" ca="1" si="20"/>
        <v>21132</v>
      </c>
      <c r="I219">
        <f t="shared" ca="1" si="21"/>
        <v>288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2"/>
        <v>90</v>
      </c>
      <c r="D220">
        <f t="shared" ca="1" si="23"/>
        <v>4.88</v>
      </c>
      <c r="E220">
        <f t="shared" ca="1" si="18"/>
        <v>-70</v>
      </c>
      <c r="F220">
        <f t="shared" ca="1" si="19"/>
        <v>660</v>
      </c>
      <c r="G220" s="3" t="b">
        <f ca="1">INDEX(dict_zul_Var_Meth[kval_active],MATCH(table_Methods[[#This Row],[ID]],dict_zul_Var_Meth[ID_Methods],0))</f>
        <v>0</v>
      </c>
      <c r="H220">
        <f t="shared" ca="1" si="20"/>
        <v>28406</v>
      </c>
      <c r="I220">
        <f t="shared" ca="1" si="21"/>
        <v>224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2"/>
        <v>270</v>
      </c>
      <c r="D221">
        <f t="shared" ca="1" si="23"/>
        <v>5.19</v>
      </c>
      <c r="E221">
        <f t="shared" ca="1" si="18"/>
        <v>10</v>
      </c>
      <c r="F221">
        <f t="shared" ca="1" si="19"/>
        <v>670</v>
      </c>
      <c r="G221" s="3" t="b">
        <f ca="1">INDEX(dict_zul_Var_Meth[kval_active],MATCH(table_Methods[[#This Row],[ID]],dict_zul_Var_Meth[ID_Methods],0))</f>
        <v>0</v>
      </c>
      <c r="H221">
        <f t="shared" ca="1" si="20"/>
        <v>13780</v>
      </c>
      <c r="I221">
        <f t="shared" ca="1" si="21"/>
        <v>160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2"/>
        <v>290</v>
      </c>
      <c r="D222">
        <f t="shared" ca="1" si="23"/>
        <v>8.58</v>
      </c>
      <c r="E222">
        <f t="shared" ca="1" si="18"/>
        <v>-100</v>
      </c>
      <c r="F222">
        <f t="shared" ca="1" si="19"/>
        <v>610</v>
      </c>
      <c r="G222" s="3" t="b">
        <f ca="1">INDEX(dict_zul_Var_Meth[kval_active],MATCH(table_Methods[[#This Row],[ID]],dict_zul_Var_Meth[ID_Methods],0))</f>
        <v>0</v>
      </c>
      <c r="H222">
        <f t="shared" ca="1" si="20"/>
        <v>2319</v>
      </c>
      <c r="I222">
        <f t="shared" ca="1" si="21"/>
        <v>2432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2"/>
        <v>47</v>
      </c>
      <c r="D223">
        <f t="shared" ca="1" si="23"/>
        <v>4.8</v>
      </c>
      <c r="E223">
        <f t="shared" ca="1" si="18"/>
        <v>-10</v>
      </c>
      <c r="F223">
        <f t="shared" ca="1" si="19"/>
        <v>210</v>
      </c>
      <c r="G223" s="3" t="b">
        <f ca="1">INDEX(dict_zul_Var_Meth[kval_active],MATCH(table_Methods[[#This Row],[ID]],dict_zul_Var_Meth[ID_Methods],0))</f>
        <v>0</v>
      </c>
      <c r="H223">
        <f t="shared" ca="1" si="20"/>
        <v>11940</v>
      </c>
      <c r="I223">
        <f t="shared" ca="1" si="21"/>
        <v>1392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2"/>
        <v>520</v>
      </c>
      <c r="D224">
        <f t="shared" ca="1" si="23"/>
        <v>3.5</v>
      </c>
      <c r="E224">
        <f t="shared" ca="1" si="18"/>
        <v>10</v>
      </c>
      <c r="F224">
        <f t="shared" ca="1" si="19"/>
        <v>90</v>
      </c>
      <c r="G224" s="3" t="b">
        <f ca="1">INDEX(dict_zul_Var_Meth[kval_active],MATCH(table_Methods[[#This Row],[ID]],dict_zul_Var_Meth[ID_Methods],0))</f>
        <v>0</v>
      </c>
      <c r="H224">
        <f t="shared" ca="1" si="20"/>
        <v>1613</v>
      </c>
      <c r="I224">
        <f t="shared" ca="1" si="21"/>
        <v>448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2"/>
        <v>350</v>
      </c>
      <c r="D225">
        <f t="shared" ca="1" si="23"/>
        <v>0.57999999999999996</v>
      </c>
      <c r="E225">
        <f t="shared" ca="1" si="18"/>
        <v>-80</v>
      </c>
      <c r="F225">
        <f t="shared" ca="1" si="19"/>
        <v>80</v>
      </c>
      <c r="G225" s="3" t="b">
        <f ca="1">INDEX(dict_zul_Var_Meth[kval_active],MATCH(table_Methods[[#This Row],[ID]],dict_zul_Var_Meth[ID_Methods],0))</f>
        <v>1</v>
      </c>
      <c r="H225">
        <f t="shared" ca="1" si="20"/>
        <v>29029</v>
      </c>
      <c r="I225">
        <f t="shared" ca="1" si="21"/>
        <v>67584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2"/>
        <v>460</v>
      </c>
      <c r="D226">
        <f t="shared" ca="1" si="23"/>
        <v>4.55</v>
      </c>
      <c r="E226">
        <f t="shared" ca="1" si="18"/>
        <v>20</v>
      </c>
      <c r="F226">
        <f t="shared" ca="1" si="19"/>
        <v>390</v>
      </c>
      <c r="G226" s="3" t="b">
        <f ca="1">INDEX(dict_zul_Var_Meth[kval_active],MATCH(table_Methods[[#This Row],[ID]],dict_zul_Var_Meth[ID_Methods],0))</f>
        <v>0</v>
      </c>
      <c r="H226">
        <f t="shared" ca="1" si="20"/>
        <v>7268</v>
      </c>
      <c r="I226">
        <f t="shared" ca="1" si="21"/>
        <v>1792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2"/>
        <v>4</v>
      </c>
      <c r="D227">
        <f t="shared" ca="1" si="23"/>
        <v>2.2799999999999998</v>
      </c>
      <c r="E227">
        <f t="shared" ca="1" si="18"/>
        <v>-90</v>
      </c>
      <c r="F227">
        <f t="shared" ca="1" si="19"/>
        <v>90</v>
      </c>
      <c r="G227" s="3" t="b">
        <f ca="1">INDEX(dict_zul_Var_Meth[kval_active],MATCH(table_Methods[[#This Row],[ID]],dict_zul_Var_Meth[ID_Methods],0))</f>
        <v>0</v>
      </c>
      <c r="H227">
        <f t="shared" ca="1" si="20"/>
        <v>4218</v>
      </c>
      <c r="I227">
        <f t="shared" ca="1" si="21"/>
        <v>1024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2"/>
        <v>8800</v>
      </c>
      <c r="D228">
        <f t="shared" ca="1" si="23"/>
        <v>7.2</v>
      </c>
      <c r="E228">
        <f t="shared" ref="E228:E291" ca="1" si="24">RANDBETWEEN(-10,3)*10</f>
        <v>-50</v>
      </c>
      <c r="F228">
        <f t="shared" ref="F228:F291" ca="1" si="25">RANDBETWEEN(2,100)*10</f>
        <v>450</v>
      </c>
      <c r="G228" s="3" t="b">
        <f ca="1">INDEX(dict_zul_Var_Meth[kval_active],MATCH(table_Methods[[#This Row],[ID]],dict_zul_Var_Meth[ID_Methods],0))</f>
        <v>0</v>
      </c>
      <c r="H228">
        <f t="shared" ref="H228:H291" ca="1" si="26">RANDBETWEEN(1,10)*RANDBETWEEN(1,5000)</f>
        <v>8212</v>
      </c>
      <c r="I228">
        <f t="shared" ref="I228:I291" ca="1" si="27">2^RANDBETWEEN(1,10)*RANDBETWEEN(1,100)</f>
        <v>118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2"/>
        <v>73</v>
      </c>
      <c r="D229">
        <f t="shared" ca="1" si="23"/>
        <v>2.69</v>
      </c>
      <c r="E229">
        <f t="shared" ca="1" si="24"/>
        <v>20</v>
      </c>
      <c r="F229">
        <f t="shared" ca="1" si="25"/>
        <v>260</v>
      </c>
      <c r="G229" s="3" t="b">
        <f ca="1">INDEX(dict_zul_Var_Meth[kval_active],MATCH(table_Methods[[#This Row],[ID]],dict_zul_Var_Meth[ID_Methods],0))</f>
        <v>0</v>
      </c>
      <c r="H229">
        <f t="shared" ca="1" si="26"/>
        <v>22285</v>
      </c>
      <c r="I229">
        <f t="shared" ca="1" si="27"/>
        <v>21248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2"/>
        <v>310</v>
      </c>
      <c r="D230">
        <f t="shared" ca="1" si="23"/>
        <v>2.34</v>
      </c>
      <c r="E230">
        <f t="shared" ca="1" si="24"/>
        <v>-40</v>
      </c>
      <c r="F230">
        <f t="shared" ca="1" si="25"/>
        <v>730</v>
      </c>
      <c r="G230" s="3" t="b">
        <f ca="1">INDEX(dict_zul_Var_Meth[kval_active],MATCH(table_Methods[[#This Row],[ID]],dict_zul_Var_Meth[ID_Methods],0))</f>
        <v>0</v>
      </c>
      <c r="H230">
        <f t="shared" ca="1" si="26"/>
        <v>708</v>
      </c>
      <c r="I230">
        <f t="shared" ca="1" si="27"/>
        <v>1408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2"/>
        <v>17</v>
      </c>
      <c r="D231">
        <f t="shared" ca="1" si="23"/>
        <v>5.91</v>
      </c>
      <c r="E231">
        <f t="shared" ca="1" si="24"/>
        <v>-60</v>
      </c>
      <c r="F231">
        <f t="shared" ca="1" si="25"/>
        <v>700</v>
      </c>
      <c r="G231" s="3" t="b">
        <f ca="1">INDEX(dict_zul_Var_Meth[kval_active],MATCH(table_Methods[[#This Row],[ID]],dict_zul_Var_Meth[ID_Methods],0))</f>
        <v>0</v>
      </c>
      <c r="H231">
        <f t="shared" ca="1" si="26"/>
        <v>6034</v>
      </c>
      <c r="I231">
        <f t="shared" ca="1" si="27"/>
        <v>45568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2"/>
        <v>910</v>
      </c>
      <c r="D232">
        <f t="shared" ca="1" si="23"/>
        <v>6.85</v>
      </c>
      <c r="E232">
        <f t="shared" ca="1" si="24"/>
        <v>0</v>
      </c>
      <c r="F232">
        <f t="shared" ca="1" si="25"/>
        <v>480</v>
      </c>
      <c r="G232" s="3" t="b">
        <f ca="1">INDEX(dict_zul_Var_Meth[kval_active],MATCH(table_Methods[[#This Row],[ID]],dict_zul_Var_Meth[ID_Methods],0))</f>
        <v>0</v>
      </c>
      <c r="H232">
        <f t="shared" ca="1" si="26"/>
        <v>3692</v>
      </c>
      <c r="I232">
        <f t="shared" ca="1" si="27"/>
        <v>39936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2"/>
        <v>620</v>
      </c>
      <c r="D233">
        <f t="shared" ca="1" si="23"/>
        <v>6.56</v>
      </c>
      <c r="E233">
        <f t="shared" ca="1" si="24"/>
        <v>-60</v>
      </c>
      <c r="F233">
        <f t="shared" ca="1" si="25"/>
        <v>840</v>
      </c>
      <c r="G233" s="3" t="b">
        <f ca="1">INDEX(dict_zul_Var_Meth[kval_active],MATCH(table_Methods[[#This Row],[ID]],dict_zul_Var_Meth[ID_Methods],0))</f>
        <v>0</v>
      </c>
      <c r="H233">
        <f t="shared" ca="1" si="26"/>
        <v>24675</v>
      </c>
      <c r="I233">
        <f t="shared" ca="1" si="27"/>
        <v>13312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2"/>
        <v>8500</v>
      </c>
      <c r="D234">
        <f t="shared" ca="1" si="23"/>
        <v>9.86</v>
      </c>
      <c r="E234">
        <f t="shared" ca="1" si="24"/>
        <v>-50</v>
      </c>
      <c r="F234">
        <f t="shared" ca="1" si="25"/>
        <v>910</v>
      </c>
      <c r="G234" s="3" t="b">
        <f ca="1">INDEX(dict_zul_Var_Meth[kval_active],MATCH(table_Methods[[#This Row],[ID]],dict_zul_Var_Meth[ID_Methods],0))</f>
        <v>0</v>
      </c>
      <c r="H234">
        <f t="shared" ca="1" si="26"/>
        <v>1686</v>
      </c>
      <c r="I234">
        <f t="shared" ca="1" si="27"/>
        <v>1088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2"/>
        <v>480</v>
      </c>
      <c r="D235">
        <f t="shared" ca="1" si="23"/>
        <v>4.46</v>
      </c>
      <c r="E235">
        <f t="shared" ca="1" si="24"/>
        <v>-70</v>
      </c>
      <c r="F235">
        <f t="shared" ca="1" si="25"/>
        <v>570</v>
      </c>
      <c r="G235" s="3" t="b">
        <f ca="1">INDEX(dict_zul_Var_Meth[kval_active],MATCH(table_Methods[[#This Row],[ID]],dict_zul_Var_Meth[ID_Methods],0))</f>
        <v>0</v>
      </c>
      <c r="H235">
        <f t="shared" ca="1" si="26"/>
        <v>3970</v>
      </c>
      <c r="I235">
        <f t="shared" ca="1" si="27"/>
        <v>170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2"/>
        <v>700</v>
      </c>
      <c r="D236">
        <f t="shared" ca="1" si="23"/>
        <v>1.63</v>
      </c>
      <c r="E236">
        <f t="shared" ca="1" si="24"/>
        <v>-100</v>
      </c>
      <c r="F236">
        <f t="shared" ca="1" si="25"/>
        <v>690</v>
      </c>
      <c r="G236" s="3" t="b">
        <f ca="1">INDEX(dict_zul_Var_Meth[kval_active],MATCH(table_Methods[[#This Row],[ID]],dict_zul_Var_Meth[ID_Methods],0))</f>
        <v>0</v>
      </c>
      <c r="H236">
        <f t="shared" ca="1" si="26"/>
        <v>10350</v>
      </c>
      <c r="I236">
        <f t="shared" ca="1" si="27"/>
        <v>128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2"/>
        <v>300</v>
      </c>
      <c r="D237">
        <f t="shared" ca="1" si="23"/>
        <v>9.16</v>
      </c>
      <c r="E237">
        <f t="shared" ca="1" si="24"/>
        <v>-60</v>
      </c>
      <c r="F237">
        <f t="shared" ca="1" si="25"/>
        <v>900</v>
      </c>
      <c r="G237" s="3" t="b">
        <f ca="1">INDEX(dict_zul_Var_Meth[kval_active],MATCH(table_Methods[[#This Row],[ID]],dict_zul_Var_Meth[ID_Methods],0))</f>
        <v>0</v>
      </c>
      <c r="H237">
        <f t="shared" ca="1" si="26"/>
        <v>13531</v>
      </c>
      <c r="I237">
        <f t="shared" ca="1" si="27"/>
        <v>640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2"/>
        <v>470</v>
      </c>
      <c r="D238">
        <f t="shared" ca="1" si="23"/>
        <v>4.99</v>
      </c>
      <c r="E238">
        <f t="shared" ca="1" si="24"/>
        <v>-80</v>
      </c>
      <c r="F238">
        <f t="shared" ca="1" si="25"/>
        <v>80</v>
      </c>
      <c r="G238" s="3" t="b">
        <f ca="1">INDEX(dict_zul_Var_Meth[kval_active],MATCH(table_Methods[[#This Row],[ID]],dict_zul_Var_Meth[ID_Methods],0))</f>
        <v>0</v>
      </c>
      <c r="H238">
        <f t="shared" ca="1" si="26"/>
        <v>14752</v>
      </c>
      <c r="I238">
        <f t="shared" ca="1" si="27"/>
        <v>1472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2"/>
        <v>180</v>
      </c>
      <c r="D239">
        <f t="shared" ca="1" si="23"/>
        <v>1.06</v>
      </c>
      <c r="E239">
        <f t="shared" ca="1" si="24"/>
        <v>-40</v>
      </c>
      <c r="F239">
        <f t="shared" ca="1" si="25"/>
        <v>640</v>
      </c>
      <c r="G239" s="3" t="b">
        <f ca="1">INDEX(dict_zul_Var_Meth[kval_active],MATCH(table_Methods[[#This Row],[ID]],dict_zul_Var_Meth[ID_Methods],0))</f>
        <v>0</v>
      </c>
      <c r="H239">
        <f t="shared" ca="1" si="26"/>
        <v>7074</v>
      </c>
      <c r="I239">
        <f t="shared" ca="1" si="27"/>
        <v>848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2"/>
        <v>160</v>
      </c>
      <c r="D240">
        <f t="shared" ca="1" si="23"/>
        <v>9.84</v>
      </c>
      <c r="E240">
        <f t="shared" ca="1" si="24"/>
        <v>-40</v>
      </c>
      <c r="F240">
        <f t="shared" ca="1" si="25"/>
        <v>150</v>
      </c>
      <c r="G240" s="3" t="b">
        <f ca="1">INDEX(dict_zul_Var_Meth[kval_active],MATCH(table_Methods[[#This Row],[ID]],dict_zul_Var_Meth[ID_Methods],0))</f>
        <v>0</v>
      </c>
      <c r="H240">
        <f t="shared" ca="1" si="26"/>
        <v>7568</v>
      </c>
      <c r="I240">
        <f t="shared" ca="1" si="27"/>
        <v>1280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2"/>
        <v>84</v>
      </c>
      <c r="D241">
        <f t="shared" ca="1" si="23"/>
        <v>4.16</v>
      </c>
      <c r="E241">
        <f t="shared" ca="1" si="24"/>
        <v>30</v>
      </c>
      <c r="F241">
        <f t="shared" ca="1" si="25"/>
        <v>740</v>
      </c>
      <c r="G241" s="3" t="b">
        <f ca="1">INDEX(dict_zul_Var_Meth[kval_active],MATCH(table_Methods[[#This Row],[ID]],dict_zul_Var_Meth[ID_Methods],0))</f>
        <v>0</v>
      </c>
      <c r="H241">
        <f t="shared" ca="1" si="26"/>
        <v>18325</v>
      </c>
      <c r="I241">
        <f t="shared" ca="1" si="27"/>
        <v>26624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2"/>
        <v>41.000000000000007</v>
      </c>
      <c r="D242">
        <f t="shared" ca="1" si="23"/>
        <v>4.9000000000000004</v>
      </c>
      <c r="E242">
        <f t="shared" ca="1" si="24"/>
        <v>-40</v>
      </c>
      <c r="F242">
        <f t="shared" ca="1" si="25"/>
        <v>480</v>
      </c>
      <c r="G242" s="3" t="b">
        <f ca="1">INDEX(dict_zul_Var_Meth[kval_active],MATCH(table_Methods[[#This Row],[ID]],dict_zul_Var_Meth[ID_Methods],0))</f>
        <v>0</v>
      </c>
      <c r="H242">
        <f t="shared" ca="1" si="26"/>
        <v>14960</v>
      </c>
      <c r="I242">
        <f t="shared" ca="1" si="27"/>
        <v>32256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2"/>
        <v>20</v>
      </c>
      <c r="D243">
        <f t="shared" ca="1" si="23"/>
        <v>6.85</v>
      </c>
      <c r="E243">
        <f t="shared" ca="1" si="24"/>
        <v>0</v>
      </c>
      <c r="F243">
        <f t="shared" ca="1" si="25"/>
        <v>910</v>
      </c>
      <c r="G243" s="3" t="b">
        <f ca="1">INDEX(dict_zul_Var_Meth[kval_active],MATCH(table_Methods[[#This Row],[ID]],dict_zul_Var_Meth[ID_Methods],0))</f>
        <v>0</v>
      </c>
      <c r="H243">
        <f t="shared" ca="1" si="26"/>
        <v>21411</v>
      </c>
      <c r="I243">
        <f t="shared" ca="1" si="27"/>
        <v>416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2"/>
        <v>41.000000000000007</v>
      </c>
      <c r="D244">
        <f t="shared" ca="1" si="23"/>
        <v>9.43</v>
      </c>
      <c r="E244">
        <f t="shared" ca="1" si="24"/>
        <v>-100</v>
      </c>
      <c r="F244">
        <f t="shared" ca="1" si="25"/>
        <v>750</v>
      </c>
      <c r="G244" s="3" t="b">
        <f ca="1">INDEX(dict_zul_Var_Meth[kval_active],MATCH(table_Methods[[#This Row],[ID]],dict_zul_Var_Meth[ID_Methods],0))</f>
        <v>0</v>
      </c>
      <c r="H244">
        <f t="shared" ca="1" si="26"/>
        <v>8860</v>
      </c>
      <c r="I244">
        <f t="shared" ca="1" si="27"/>
        <v>158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2"/>
        <v>820</v>
      </c>
      <c r="D245">
        <f t="shared" ca="1" si="23"/>
        <v>9.75</v>
      </c>
      <c r="E245">
        <f t="shared" ca="1" si="24"/>
        <v>10</v>
      </c>
      <c r="F245">
        <f t="shared" ca="1" si="25"/>
        <v>730</v>
      </c>
      <c r="G245" s="3" t="b">
        <f ca="1">INDEX(dict_zul_Var_Meth[kval_active],MATCH(table_Methods[[#This Row],[ID]],dict_zul_Var_Meth[ID_Methods],0))</f>
        <v>0</v>
      </c>
      <c r="H245">
        <f t="shared" ca="1" si="26"/>
        <v>13348</v>
      </c>
      <c r="I245">
        <f t="shared" ca="1" si="27"/>
        <v>13312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2"/>
        <v>75</v>
      </c>
      <c r="D246">
        <f t="shared" ca="1" si="23"/>
        <v>5.38</v>
      </c>
      <c r="E246">
        <f t="shared" ca="1" si="24"/>
        <v>10</v>
      </c>
      <c r="F246">
        <f t="shared" ca="1" si="25"/>
        <v>660</v>
      </c>
      <c r="G246" s="3" t="b">
        <f ca="1">INDEX(dict_zul_Var_Meth[kval_active],MATCH(table_Methods[[#This Row],[ID]],dict_zul_Var_Meth[ID_Methods],0))</f>
        <v>0</v>
      </c>
      <c r="H246">
        <f t="shared" ca="1" si="26"/>
        <v>14478</v>
      </c>
      <c r="I246">
        <f t="shared" ca="1" si="27"/>
        <v>90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2"/>
        <v>730</v>
      </c>
      <c r="D247">
        <f t="shared" ca="1" si="23"/>
        <v>2.09</v>
      </c>
      <c r="E247">
        <f t="shared" ca="1" si="24"/>
        <v>-30</v>
      </c>
      <c r="F247">
        <f t="shared" ca="1" si="25"/>
        <v>330</v>
      </c>
      <c r="G247" s="3" t="b">
        <f ca="1">INDEX(dict_zul_Var_Meth[kval_active],MATCH(table_Methods[[#This Row],[ID]],dict_zul_Var_Meth[ID_Methods],0))</f>
        <v>0</v>
      </c>
      <c r="H247">
        <f t="shared" ca="1" si="26"/>
        <v>1225</v>
      </c>
      <c r="I247">
        <f t="shared" ca="1" si="27"/>
        <v>28672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2"/>
        <v>10</v>
      </c>
      <c r="D248">
        <f t="shared" ca="1" si="23"/>
        <v>4.9800000000000004</v>
      </c>
      <c r="E248">
        <f t="shared" ca="1" si="24"/>
        <v>-10</v>
      </c>
      <c r="F248">
        <f t="shared" ca="1" si="25"/>
        <v>830</v>
      </c>
      <c r="G248" s="3" t="b">
        <f ca="1">INDEX(dict_zul_Var_Meth[kval_active],MATCH(table_Methods[[#This Row],[ID]],dict_zul_Var_Meth[ID_Methods],0))</f>
        <v>0</v>
      </c>
      <c r="H248">
        <f t="shared" ca="1" si="26"/>
        <v>18815</v>
      </c>
      <c r="I248">
        <f t="shared" ca="1" si="27"/>
        <v>42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2"/>
        <v>7200</v>
      </c>
      <c r="D249">
        <f t="shared" ca="1" si="23"/>
        <v>7.76</v>
      </c>
      <c r="E249">
        <f t="shared" ca="1" si="24"/>
        <v>20</v>
      </c>
      <c r="F249">
        <f t="shared" ca="1" si="25"/>
        <v>240</v>
      </c>
      <c r="G249" s="3" t="b">
        <f ca="1">INDEX(dict_zul_Var_Meth[kval_active],MATCH(table_Methods[[#This Row],[ID]],dict_zul_Var_Meth[ID_Methods],0))</f>
        <v>0</v>
      </c>
      <c r="H249">
        <f t="shared" ca="1" si="26"/>
        <v>15930</v>
      </c>
      <c r="I249">
        <f t="shared" ca="1" si="27"/>
        <v>1472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2"/>
        <v>3200</v>
      </c>
      <c r="D250">
        <f t="shared" ca="1" si="23"/>
        <v>9.44</v>
      </c>
      <c r="E250">
        <f t="shared" ca="1" si="24"/>
        <v>-30</v>
      </c>
      <c r="F250">
        <f t="shared" ca="1" si="25"/>
        <v>80</v>
      </c>
      <c r="G250" s="3" t="b">
        <f ca="1">INDEX(dict_zul_Var_Meth[kval_active],MATCH(table_Methods[[#This Row],[ID]],dict_zul_Var_Meth[ID_Methods],0))</f>
        <v>1</v>
      </c>
      <c r="H250">
        <f t="shared" ca="1" si="26"/>
        <v>12162</v>
      </c>
      <c r="I250">
        <f t="shared" ca="1" si="27"/>
        <v>3328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2"/>
        <v>240</v>
      </c>
      <c r="D251">
        <f t="shared" ca="1" si="23"/>
        <v>7.47</v>
      </c>
      <c r="E251">
        <f t="shared" ca="1" si="24"/>
        <v>-40</v>
      </c>
      <c r="F251">
        <f t="shared" ca="1" si="25"/>
        <v>560</v>
      </c>
      <c r="G251" s="3" t="b">
        <f ca="1">INDEX(dict_zul_Var_Meth[kval_active],MATCH(table_Methods[[#This Row],[ID]],dict_zul_Var_Meth[ID_Methods],0))</f>
        <v>0</v>
      </c>
      <c r="H251">
        <f t="shared" ca="1" si="26"/>
        <v>21030</v>
      </c>
      <c r="I251">
        <f t="shared" ca="1" si="27"/>
        <v>208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2"/>
        <v>8700</v>
      </c>
      <c r="D252">
        <f t="shared" ca="1" si="23"/>
        <v>7.85</v>
      </c>
      <c r="E252">
        <f t="shared" ca="1" si="24"/>
        <v>-100</v>
      </c>
      <c r="F252">
        <f t="shared" ca="1" si="25"/>
        <v>900</v>
      </c>
      <c r="G252" s="3" t="b">
        <f ca="1">INDEX(dict_zul_Var_Meth[kval_active],MATCH(table_Methods[[#This Row],[ID]],dict_zul_Var_Meth[ID_Methods],0))</f>
        <v>1</v>
      </c>
      <c r="H252">
        <f t="shared" ca="1" si="26"/>
        <v>19480</v>
      </c>
      <c r="I252">
        <f t="shared" ca="1" si="27"/>
        <v>3264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2"/>
        <v>610</v>
      </c>
      <c r="D253">
        <f t="shared" ca="1" si="23"/>
        <v>2.12</v>
      </c>
      <c r="E253">
        <f t="shared" ca="1" si="24"/>
        <v>-60</v>
      </c>
      <c r="F253">
        <f t="shared" ca="1" si="25"/>
        <v>140</v>
      </c>
      <c r="G253" s="3" t="b">
        <f ca="1">INDEX(dict_zul_Var_Meth[kval_active],MATCH(table_Methods[[#This Row],[ID]],dict_zul_Var_Meth[ID_Methods],0))</f>
        <v>0</v>
      </c>
      <c r="H253">
        <f t="shared" ca="1" si="26"/>
        <v>2205</v>
      </c>
      <c r="I253">
        <f t="shared" ca="1" si="27"/>
        <v>31232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2"/>
        <v>70</v>
      </c>
      <c r="D254">
        <f t="shared" ca="1" si="23"/>
        <v>6.44</v>
      </c>
      <c r="E254">
        <f t="shared" ca="1" si="24"/>
        <v>-80</v>
      </c>
      <c r="F254">
        <f t="shared" ca="1" si="25"/>
        <v>390</v>
      </c>
      <c r="G254" s="3" t="b">
        <f ca="1">INDEX(dict_zul_Var_Meth[kval_active],MATCH(table_Methods[[#This Row],[ID]],dict_zul_Var_Meth[ID_Methods],0))</f>
        <v>0</v>
      </c>
      <c r="H254">
        <f t="shared" ca="1" si="26"/>
        <v>13848</v>
      </c>
      <c r="I254">
        <f t="shared" ca="1" si="27"/>
        <v>7168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2"/>
        <v>9000</v>
      </c>
      <c r="D255">
        <f t="shared" ca="1" si="23"/>
        <v>4.24</v>
      </c>
      <c r="E255">
        <f t="shared" ca="1" si="24"/>
        <v>-10</v>
      </c>
      <c r="F255">
        <f t="shared" ca="1" si="25"/>
        <v>630</v>
      </c>
      <c r="G255" s="3" t="b">
        <f ca="1">INDEX(dict_zul_Var_Meth[kval_active],MATCH(table_Methods[[#This Row],[ID]],dict_zul_Var_Meth[ID_Methods],0))</f>
        <v>0</v>
      </c>
      <c r="H255">
        <f t="shared" ca="1" si="26"/>
        <v>3780</v>
      </c>
      <c r="I255">
        <f t="shared" ca="1" si="27"/>
        <v>77824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2"/>
        <v>7600</v>
      </c>
      <c r="D256">
        <f t="shared" ca="1" si="23"/>
        <v>7.28</v>
      </c>
      <c r="E256">
        <f t="shared" ca="1" si="24"/>
        <v>0</v>
      </c>
      <c r="F256">
        <f t="shared" ca="1" si="25"/>
        <v>830</v>
      </c>
      <c r="G256" s="3" t="b">
        <f ca="1">INDEX(dict_zul_Var_Meth[kval_active],MATCH(table_Methods[[#This Row],[ID]],dict_zul_Var_Meth[ID_Methods],0))</f>
        <v>0</v>
      </c>
      <c r="H256">
        <f t="shared" ca="1" si="26"/>
        <v>6918</v>
      </c>
      <c r="I256">
        <f t="shared" ca="1" si="27"/>
        <v>17920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2"/>
        <v>6400</v>
      </c>
      <c r="D257">
        <f t="shared" ca="1" si="23"/>
        <v>4.22</v>
      </c>
      <c r="E257">
        <f t="shared" ca="1" si="24"/>
        <v>-30</v>
      </c>
      <c r="F257">
        <f t="shared" ca="1" si="25"/>
        <v>980</v>
      </c>
      <c r="G257" s="3" t="b">
        <f ca="1">INDEX(dict_zul_Var_Meth[kval_active],MATCH(table_Methods[[#This Row],[ID]],dict_zul_Var_Meth[ID_Methods],0))</f>
        <v>0</v>
      </c>
      <c r="H257">
        <f t="shared" ca="1" si="26"/>
        <v>23595</v>
      </c>
      <c r="I257">
        <f t="shared" ca="1" si="27"/>
        <v>10240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8">10^(RANDBETWEEN(-1,1))*RANDBETWEEN(1,100)*10</f>
        <v>93</v>
      </c>
      <c r="D258">
        <f t="shared" ca="1" si="23"/>
        <v>2.8</v>
      </c>
      <c r="E258">
        <f t="shared" ca="1" si="24"/>
        <v>30</v>
      </c>
      <c r="F258">
        <f t="shared" ca="1" si="25"/>
        <v>240</v>
      </c>
      <c r="G258" s="3" t="b">
        <f ca="1">INDEX(dict_zul_Var_Meth[kval_active],MATCH(table_Methods[[#This Row],[ID]],dict_zul_Var_Meth[ID_Methods],0))</f>
        <v>0</v>
      </c>
      <c r="H258">
        <f t="shared" ca="1" si="26"/>
        <v>9468</v>
      </c>
      <c r="I258">
        <f t="shared" ca="1" si="27"/>
        <v>704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8"/>
        <v>66</v>
      </c>
      <c r="D259">
        <f t="shared" ref="D259:D322" ca="1" si="29">RANDBETWEEN(10,1000)/(100)</f>
        <v>2.35</v>
      </c>
      <c r="E259">
        <f t="shared" ca="1" si="24"/>
        <v>-50</v>
      </c>
      <c r="F259">
        <f t="shared" ca="1" si="25"/>
        <v>840</v>
      </c>
      <c r="G259" s="3" t="b">
        <f ca="1">INDEX(dict_zul_Var_Meth[kval_active],MATCH(table_Methods[[#This Row],[ID]],dict_zul_Var_Meth[ID_Methods],0))</f>
        <v>0</v>
      </c>
      <c r="H259">
        <f t="shared" ca="1" si="26"/>
        <v>13260</v>
      </c>
      <c r="I259">
        <f t="shared" ca="1" si="27"/>
        <v>204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8"/>
        <v>66</v>
      </c>
      <c r="D260">
        <f t="shared" ca="1" si="29"/>
        <v>8.23</v>
      </c>
      <c r="E260">
        <f t="shared" ca="1" si="24"/>
        <v>20</v>
      </c>
      <c r="F260">
        <f t="shared" ca="1" si="25"/>
        <v>390</v>
      </c>
      <c r="G260" s="3" t="b">
        <f ca="1">INDEX(dict_zul_Var_Meth[kval_active],MATCH(table_Methods[[#This Row],[ID]],dict_zul_Var_Meth[ID_Methods],0))</f>
        <v>0</v>
      </c>
      <c r="H260">
        <f t="shared" ca="1" si="26"/>
        <v>31257</v>
      </c>
      <c r="I260">
        <f t="shared" ca="1" si="27"/>
        <v>384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8"/>
        <v>99</v>
      </c>
      <c r="D261">
        <f t="shared" ca="1" si="29"/>
        <v>1.79</v>
      </c>
      <c r="E261">
        <f t="shared" ca="1" si="24"/>
        <v>10</v>
      </c>
      <c r="F261">
        <f t="shared" ca="1" si="25"/>
        <v>890</v>
      </c>
      <c r="G261" s="3" t="b">
        <f ca="1">INDEX(dict_zul_Var_Meth[kval_active],MATCH(table_Methods[[#This Row],[ID]],dict_zul_Var_Meth[ID_Methods],0))</f>
        <v>0</v>
      </c>
      <c r="H261">
        <f t="shared" ca="1" si="26"/>
        <v>20915</v>
      </c>
      <c r="I261">
        <f t="shared" ca="1" si="27"/>
        <v>1600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8"/>
        <v>46.000000000000007</v>
      </c>
      <c r="D262">
        <f t="shared" ca="1" si="29"/>
        <v>5.34</v>
      </c>
      <c r="E262">
        <f t="shared" ca="1" si="24"/>
        <v>-30</v>
      </c>
      <c r="F262">
        <f t="shared" ca="1" si="25"/>
        <v>660</v>
      </c>
      <c r="G262" s="3" t="b">
        <f ca="1">INDEX(dict_zul_Var_Meth[kval_active],MATCH(table_Methods[[#This Row],[ID]],dict_zul_Var_Meth[ID_Methods],0))</f>
        <v>0</v>
      </c>
      <c r="H262">
        <f t="shared" ca="1" si="26"/>
        <v>800</v>
      </c>
      <c r="I262">
        <f t="shared" ca="1" si="27"/>
        <v>86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8"/>
        <v>2800</v>
      </c>
      <c r="D263">
        <f t="shared" ca="1" si="29"/>
        <v>8.8800000000000008</v>
      </c>
      <c r="E263">
        <f t="shared" ca="1" si="24"/>
        <v>20</v>
      </c>
      <c r="F263">
        <f t="shared" ca="1" si="25"/>
        <v>230</v>
      </c>
      <c r="G263" s="3" t="b">
        <f ca="1">INDEX(dict_zul_Var_Meth[kval_active],MATCH(table_Methods[[#This Row],[ID]],dict_zul_Var_Meth[ID_Methods],0))</f>
        <v>0</v>
      </c>
      <c r="H263">
        <f t="shared" ca="1" si="26"/>
        <v>4843</v>
      </c>
      <c r="I263">
        <f t="shared" ca="1" si="27"/>
        <v>86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8"/>
        <v>11</v>
      </c>
      <c r="D264">
        <f t="shared" ca="1" si="29"/>
        <v>9.65</v>
      </c>
      <c r="E264">
        <f t="shared" ca="1" si="24"/>
        <v>-70</v>
      </c>
      <c r="F264">
        <f t="shared" ca="1" si="25"/>
        <v>710</v>
      </c>
      <c r="G264" s="3" t="b">
        <f ca="1">INDEX(dict_zul_Var_Meth[kval_active],MATCH(table_Methods[[#This Row],[ID]],dict_zul_Var_Meth[ID_Methods],0))</f>
        <v>0</v>
      </c>
      <c r="H264">
        <f t="shared" ca="1" si="26"/>
        <v>1500</v>
      </c>
      <c r="I264">
        <f t="shared" ca="1" si="27"/>
        <v>180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8"/>
        <v>70</v>
      </c>
      <c r="D265">
        <f t="shared" ca="1" si="29"/>
        <v>5.13</v>
      </c>
      <c r="E265">
        <f t="shared" ca="1" si="24"/>
        <v>-60</v>
      </c>
      <c r="F265">
        <f t="shared" ca="1" si="25"/>
        <v>420</v>
      </c>
      <c r="G265" s="3" t="b">
        <f ca="1">INDEX(dict_zul_Var_Meth[kval_active],MATCH(table_Methods[[#This Row],[ID]],dict_zul_Var_Meth[ID_Methods],0))</f>
        <v>0</v>
      </c>
      <c r="H265">
        <f t="shared" ca="1" si="26"/>
        <v>15352</v>
      </c>
      <c r="I265">
        <f t="shared" ca="1" si="27"/>
        <v>1408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8"/>
        <v>28.000000000000004</v>
      </c>
      <c r="D266">
        <f t="shared" ca="1" si="29"/>
        <v>9.02</v>
      </c>
      <c r="E266">
        <f t="shared" ca="1" si="24"/>
        <v>10</v>
      </c>
      <c r="F266">
        <f t="shared" ca="1" si="25"/>
        <v>190</v>
      </c>
      <c r="G266" s="3" t="b">
        <f ca="1">INDEX(dict_zul_Var_Meth[kval_active],MATCH(table_Methods[[#This Row],[ID]],dict_zul_Var_Meth[ID_Methods],0))</f>
        <v>0</v>
      </c>
      <c r="H266">
        <f t="shared" ca="1" si="26"/>
        <v>3010</v>
      </c>
      <c r="I266">
        <f t="shared" ca="1" si="27"/>
        <v>24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8"/>
        <v>350</v>
      </c>
      <c r="D267">
        <f t="shared" ca="1" si="29"/>
        <v>5.43</v>
      </c>
      <c r="E267">
        <f t="shared" ca="1" si="24"/>
        <v>-40</v>
      </c>
      <c r="F267">
        <f t="shared" ca="1" si="25"/>
        <v>720</v>
      </c>
      <c r="G267" s="3" t="b">
        <f ca="1">INDEX(dict_zul_Var_Meth[kval_active],MATCH(table_Methods[[#This Row],[ID]],dict_zul_Var_Meth[ID_Methods],0))</f>
        <v>0</v>
      </c>
      <c r="H267">
        <f t="shared" ca="1" si="26"/>
        <v>9484</v>
      </c>
      <c r="I267">
        <f t="shared" ca="1" si="27"/>
        <v>4352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8"/>
        <v>50</v>
      </c>
      <c r="D268">
        <f t="shared" ca="1" si="29"/>
        <v>9.7100000000000009</v>
      </c>
      <c r="E268">
        <f t="shared" ca="1" si="24"/>
        <v>10</v>
      </c>
      <c r="F268">
        <f t="shared" ca="1" si="25"/>
        <v>820</v>
      </c>
      <c r="G268" s="3" t="b">
        <f ca="1">INDEX(dict_zul_Var_Meth[kval_active],MATCH(table_Methods[[#This Row],[ID]],dict_zul_Var_Meth[ID_Methods],0))</f>
        <v>0</v>
      </c>
      <c r="H268">
        <f t="shared" ca="1" si="26"/>
        <v>5920</v>
      </c>
      <c r="I268">
        <f t="shared" ca="1" si="27"/>
        <v>16896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8"/>
        <v>64</v>
      </c>
      <c r="D269">
        <f t="shared" ca="1" si="29"/>
        <v>8.6199999999999992</v>
      </c>
      <c r="E269">
        <f t="shared" ca="1" si="24"/>
        <v>-70</v>
      </c>
      <c r="F269">
        <f t="shared" ca="1" si="25"/>
        <v>870</v>
      </c>
      <c r="G269" s="3" t="b">
        <f ca="1">INDEX(dict_zul_Var_Meth[kval_active],MATCH(table_Methods[[#This Row],[ID]],dict_zul_Var_Meth[ID_Methods],0))</f>
        <v>0</v>
      </c>
      <c r="H269">
        <f t="shared" ca="1" si="26"/>
        <v>20300</v>
      </c>
      <c r="I269">
        <f t="shared" ca="1" si="27"/>
        <v>1456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8"/>
        <v>5100</v>
      </c>
      <c r="D270">
        <f t="shared" ca="1" si="29"/>
        <v>4.1500000000000004</v>
      </c>
      <c r="E270">
        <f t="shared" ca="1" si="24"/>
        <v>-50</v>
      </c>
      <c r="F270">
        <f t="shared" ca="1" si="25"/>
        <v>840</v>
      </c>
      <c r="G270" s="3" t="b">
        <f ca="1">INDEX(dict_zul_Var_Meth[kval_active],MATCH(table_Methods[[#This Row],[ID]],dict_zul_Var_Meth[ID_Methods],0))</f>
        <v>0</v>
      </c>
      <c r="H270">
        <f t="shared" ca="1" si="26"/>
        <v>5760</v>
      </c>
      <c r="I270">
        <f t="shared" ca="1" si="27"/>
        <v>19456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8"/>
        <v>100</v>
      </c>
      <c r="D271">
        <f t="shared" ca="1" si="29"/>
        <v>0.16</v>
      </c>
      <c r="E271">
        <f t="shared" ca="1" si="24"/>
        <v>-80</v>
      </c>
      <c r="F271">
        <f t="shared" ca="1" si="25"/>
        <v>270</v>
      </c>
      <c r="G271" s="3" t="b">
        <f ca="1">INDEX(dict_zul_Var_Meth[kval_active],MATCH(table_Methods[[#This Row],[ID]],dict_zul_Var_Meth[ID_Methods],0))</f>
        <v>0</v>
      </c>
      <c r="H271">
        <f t="shared" ca="1" si="26"/>
        <v>1224</v>
      </c>
      <c r="I271">
        <f t="shared" ca="1" si="27"/>
        <v>34304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8"/>
        <v>6800</v>
      </c>
      <c r="D272">
        <f t="shared" ca="1" si="29"/>
        <v>6.04</v>
      </c>
      <c r="E272">
        <f t="shared" ca="1" si="24"/>
        <v>-100</v>
      </c>
      <c r="F272">
        <f t="shared" ca="1" si="25"/>
        <v>580</v>
      </c>
      <c r="G272" s="3" t="b">
        <f ca="1">INDEX(dict_zul_Var_Meth[kval_active],MATCH(table_Methods[[#This Row],[ID]],dict_zul_Var_Meth[ID_Methods],0))</f>
        <v>0</v>
      </c>
      <c r="H272">
        <f t="shared" ca="1" si="26"/>
        <v>6321</v>
      </c>
      <c r="I272">
        <f t="shared" ca="1" si="27"/>
        <v>48640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8"/>
        <v>20</v>
      </c>
      <c r="D273">
        <f t="shared" ca="1" si="29"/>
        <v>7.48</v>
      </c>
      <c r="E273">
        <f t="shared" ca="1" si="24"/>
        <v>-20</v>
      </c>
      <c r="F273">
        <f t="shared" ca="1" si="25"/>
        <v>60</v>
      </c>
      <c r="G273" s="3" t="b">
        <f ca="1">INDEX(dict_zul_Var_Meth[kval_active],MATCH(table_Methods[[#This Row],[ID]],dict_zul_Var_Meth[ID_Methods],0))</f>
        <v>0</v>
      </c>
      <c r="H273">
        <f t="shared" ca="1" si="26"/>
        <v>18105</v>
      </c>
      <c r="I273">
        <f t="shared" ca="1" si="27"/>
        <v>52224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8"/>
        <v>42</v>
      </c>
      <c r="D274">
        <f t="shared" ca="1" si="29"/>
        <v>2.62</v>
      </c>
      <c r="E274">
        <f t="shared" ca="1" si="24"/>
        <v>-50</v>
      </c>
      <c r="F274">
        <f t="shared" ca="1" si="25"/>
        <v>280</v>
      </c>
      <c r="G274" s="3" t="b">
        <f ca="1">INDEX(dict_zul_Var_Meth[kval_active],MATCH(table_Methods[[#This Row],[ID]],dict_zul_Var_Meth[ID_Methods],0))</f>
        <v>0</v>
      </c>
      <c r="H274">
        <f t="shared" ca="1" si="26"/>
        <v>19332</v>
      </c>
      <c r="I274">
        <f t="shared" ca="1" si="27"/>
        <v>1792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8"/>
        <v>680</v>
      </c>
      <c r="D275">
        <f t="shared" ca="1" si="29"/>
        <v>7.35</v>
      </c>
      <c r="E275">
        <f t="shared" ca="1" si="24"/>
        <v>0</v>
      </c>
      <c r="F275">
        <f t="shared" ca="1" si="25"/>
        <v>170</v>
      </c>
      <c r="G275" s="3" t="b">
        <f ca="1">INDEX(dict_zul_Var_Meth[kval_active],MATCH(table_Methods[[#This Row],[ID]],dict_zul_Var_Meth[ID_Methods],0))</f>
        <v>0</v>
      </c>
      <c r="H275">
        <f t="shared" ca="1" si="26"/>
        <v>13506</v>
      </c>
      <c r="I275">
        <f t="shared" ca="1" si="27"/>
        <v>208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8"/>
        <v>84</v>
      </c>
      <c r="D276">
        <f t="shared" ca="1" si="29"/>
        <v>7.99</v>
      </c>
      <c r="E276">
        <f t="shared" ca="1" si="24"/>
        <v>20</v>
      </c>
      <c r="F276">
        <f t="shared" ca="1" si="25"/>
        <v>510</v>
      </c>
      <c r="G276" s="3" t="b">
        <f ca="1">INDEX(dict_zul_Var_Meth[kval_active],MATCH(table_Methods[[#This Row],[ID]],dict_zul_Var_Meth[ID_Methods],0))</f>
        <v>0</v>
      </c>
      <c r="H276">
        <f t="shared" ca="1" si="26"/>
        <v>38205</v>
      </c>
      <c r="I276">
        <f t="shared" ca="1" si="27"/>
        <v>136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8"/>
        <v>350</v>
      </c>
      <c r="D277">
        <f t="shared" ca="1" si="29"/>
        <v>2.56</v>
      </c>
      <c r="E277">
        <f t="shared" ca="1" si="24"/>
        <v>10</v>
      </c>
      <c r="F277">
        <f t="shared" ca="1" si="25"/>
        <v>230</v>
      </c>
      <c r="G277" s="3" t="b">
        <f ca="1">INDEX(dict_zul_Var_Meth[kval_active],MATCH(table_Methods[[#This Row],[ID]],dict_zul_Var_Meth[ID_Methods],0))</f>
        <v>1</v>
      </c>
      <c r="H277">
        <f t="shared" ca="1" si="26"/>
        <v>1093</v>
      </c>
      <c r="I277">
        <f t="shared" ca="1" si="27"/>
        <v>6656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8"/>
        <v>6.0000000000000009</v>
      </c>
      <c r="D278">
        <f t="shared" ca="1" si="29"/>
        <v>1.99</v>
      </c>
      <c r="E278">
        <f t="shared" ca="1" si="24"/>
        <v>-90</v>
      </c>
      <c r="F278">
        <f t="shared" ca="1" si="25"/>
        <v>410</v>
      </c>
      <c r="G278" s="3" t="b">
        <f ca="1">INDEX(dict_zul_Var_Meth[kval_active],MATCH(table_Methods[[#This Row],[ID]],dict_zul_Var_Meth[ID_Methods],0))</f>
        <v>0</v>
      </c>
      <c r="H278">
        <f t="shared" ca="1" si="26"/>
        <v>36576</v>
      </c>
      <c r="I278">
        <f t="shared" ca="1" si="27"/>
        <v>712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8"/>
        <v>670</v>
      </c>
      <c r="D279">
        <f t="shared" ca="1" si="29"/>
        <v>2.89</v>
      </c>
      <c r="E279">
        <f t="shared" ca="1" si="24"/>
        <v>-90</v>
      </c>
      <c r="F279">
        <f t="shared" ca="1" si="25"/>
        <v>120</v>
      </c>
      <c r="G279" s="3" t="b">
        <f ca="1">INDEX(dict_zul_Var_Meth[kval_active],MATCH(table_Methods[[#This Row],[ID]],dict_zul_Var_Meth[ID_Methods],0))</f>
        <v>0</v>
      </c>
      <c r="H279">
        <f t="shared" ca="1" si="26"/>
        <v>32760</v>
      </c>
      <c r="I279">
        <f t="shared" ca="1" si="27"/>
        <v>38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8"/>
        <v>120</v>
      </c>
      <c r="D280">
        <f t="shared" ca="1" si="29"/>
        <v>7.18</v>
      </c>
      <c r="E280">
        <f t="shared" ca="1" si="24"/>
        <v>-60</v>
      </c>
      <c r="F280">
        <f t="shared" ca="1" si="25"/>
        <v>140</v>
      </c>
      <c r="G280" s="3" t="b">
        <f ca="1">INDEX(dict_zul_Var_Meth[kval_active],MATCH(table_Methods[[#This Row],[ID]],dict_zul_Var_Meth[ID_Methods],0))</f>
        <v>0</v>
      </c>
      <c r="H280">
        <f t="shared" ca="1" si="26"/>
        <v>6831</v>
      </c>
      <c r="I280">
        <f t="shared" ca="1" si="27"/>
        <v>316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8"/>
        <v>440</v>
      </c>
      <c r="D281">
        <f t="shared" ca="1" si="29"/>
        <v>3.6</v>
      </c>
      <c r="E281">
        <f t="shared" ca="1" si="24"/>
        <v>-30</v>
      </c>
      <c r="F281">
        <f t="shared" ca="1" si="25"/>
        <v>750</v>
      </c>
      <c r="G281" s="3" t="b">
        <f ca="1">INDEX(dict_zul_Var_Meth[kval_active],MATCH(table_Methods[[#This Row],[ID]],dict_zul_Var_Meth[ID_Methods],0))</f>
        <v>0</v>
      </c>
      <c r="H281">
        <f t="shared" ca="1" si="26"/>
        <v>2870</v>
      </c>
      <c r="I281">
        <f t="shared" ca="1" si="27"/>
        <v>384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8"/>
        <v>59</v>
      </c>
      <c r="D282">
        <f t="shared" ca="1" si="29"/>
        <v>7.46</v>
      </c>
      <c r="E282">
        <f t="shared" ca="1" si="24"/>
        <v>-50</v>
      </c>
      <c r="F282">
        <f t="shared" ca="1" si="25"/>
        <v>970</v>
      </c>
      <c r="G282" s="3" t="b">
        <f ca="1">INDEX(dict_zul_Var_Meth[kval_active],MATCH(table_Methods[[#This Row],[ID]],dict_zul_Var_Meth[ID_Methods],0))</f>
        <v>0</v>
      </c>
      <c r="H282">
        <f t="shared" ca="1" si="26"/>
        <v>13848</v>
      </c>
      <c r="I282">
        <f t="shared" ca="1" si="27"/>
        <v>5632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8"/>
        <v>7100</v>
      </c>
      <c r="D283">
        <f t="shared" ca="1" si="29"/>
        <v>5.25</v>
      </c>
      <c r="E283">
        <f t="shared" ca="1" si="24"/>
        <v>-70</v>
      </c>
      <c r="F283">
        <f t="shared" ca="1" si="25"/>
        <v>500</v>
      </c>
      <c r="G283" s="3" t="b">
        <f ca="1">INDEX(dict_zul_Var_Meth[kval_active],MATCH(table_Methods[[#This Row],[ID]],dict_zul_Var_Meth[ID_Methods],0))</f>
        <v>0</v>
      </c>
      <c r="H283">
        <f t="shared" ca="1" si="26"/>
        <v>2736</v>
      </c>
      <c r="I283">
        <f t="shared" ca="1" si="27"/>
        <v>74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8"/>
        <v>13</v>
      </c>
      <c r="D284">
        <f t="shared" ca="1" si="29"/>
        <v>4.95</v>
      </c>
      <c r="E284">
        <f t="shared" ca="1" si="24"/>
        <v>-100</v>
      </c>
      <c r="F284">
        <f t="shared" ca="1" si="25"/>
        <v>950</v>
      </c>
      <c r="G284" s="3" t="b">
        <f ca="1">INDEX(dict_zul_Var_Meth[kval_active],MATCH(table_Methods[[#This Row],[ID]],dict_zul_Var_Meth[ID_Methods],0))</f>
        <v>0</v>
      </c>
      <c r="H284">
        <f t="shared" ca="1" si="26"/>
        <v>21917</v>
      </c>
      <c r="I284">
        <f t="shared" ca="1" si="27"/>
        <v>8192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8"/>
        <v>190</v>
      </c>
      <c r="D285">
        <f t="shared" ca="1" si="29"/>
        <v>2.75</v>
      </c>
      <c r="E285">
        <f t="shared" ca="1" si="24"/>
        <v>10</v>
      </c>
      <c r="F285">
        <f t="shared" ca="1" si="25"/>
        <v>980</v>
      </c>
      <c r="G285" s="3" t="b">
        <f ca="1">INDEX(dict_zul_Var_Meth[kval_active],MATCH(table_Methods[[#This Row],[ID]],dict_zul_Var_Meth[ID_Methods],0))</f>
        <v>0</v>
      </c>
      <c r="H285">
        <f t="shared" ca="1" si="26"/>
        <v>3206</v>
      </c>
      <c r="I285">
        <f t="shared" ca="1" si="27"/>
        <v>47104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8"/>
        <v>9400</v>
      </c>
      <c r="D286">
        <f t="shared" ca="1" si="29"/>
        <v>7.69</v>
      </c>
      <c r="E286">
        <f t="shared" ca="1" si="24"/>
        <v>-70</v>
      </c>
      <c r="F286">
        <f t="shared" ca="1" si="25"/>
        <v>200</v>
      </c>
      <c r="G286" s="3" t="b">
        <f ca="1">INDEX(dict_zul_Var_Meth[kval_active],MATCH(table_Methods[[#This Row],[ID]],dict_zul_Var_Meth[ID_Methods],0))</f>
        <v>1</v>
      </c>
      <c r="H286">
        <f t="shared" ca="1" si="26"/>
        <v>4170</v>
      </c>
      <c r="I286">
        <f t="shared" ca="1" si="27"/>
        <v>7040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8"/>
        <v>500</v>
      </c>
      <c r="D287">
        <f t="shared" ca="1" si="29"/>
        <v>5.19</v>
      </c>
      <c r="E287">
        <f t="shared" ca="1" si="24"/>
        <v>-80</v>
      </c>
      <c r="F287">
        <f t="shared" ca="1" si="25"/>
        <v>670</v>
      </c>
      <c r="G287" s="3" t="b">
        <f ca="1">INDEX(dict_zul_Var_Meth[kval_active],MATCH(table_Methods[[#This Row],[ID]],dict_zul_Var_Meth[ID_Methods],0))</f>
        <v>0</v>
      </c>
      <c r="H287">
        <f t="shared" ca="1" si="26"/>
        <v>22955</v>
      </c>
      <c r="I287">
        <f t="shared" ca="1" si="27"/>
        <v>1392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8"/>
        <v>8800</v>
      </c>
      <c r="D288">
        <f t="shared" ca="1" si="29"/>
        <v>4.87</v>
      </c>
      <c r="E288">
        <f t="shared" ca="1" si="24"/>
        <v>-100</v>
      </c>
      <c r="F288">
        <f t="shared" ca="1" si="25"/>
        <v>490</v>
      </c>
      <c r="G288" s="3" t="b">
        <f ca="1">INDEX(dict_zul_Var_Meth[kval_active],MATCH(table_Methods[[#This Row],[ID]],dict_zul_Var_Meth[ID_Methods],0))</f>
        <v>0</v>
      </c>
      <c r="H288">
        <f t="shared" ca="1" si="26"/>
        <v>2493</v>
      </c>
      <c r="I288">
        <f t="shared" ca="1" si="27"/>
        <v>27136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8"/>
        <v>72</v>
      </c>
      <c r="D289">
        <f t="shared" ca="1" si="29"/>
        <v>7.62</v>
      </c>
      <c r="E289">
        <f t="shared" ca="1" si="24"/>
        <v>-40</v>
      </c>
      <c r="F289">
        <f t="shared" ca="1" si="25"/>
        <v>930</v>
      </c>
      <c r="G289" s="3" t="b">
        <f ca="1">INDEX(dict_zul_Var_Meth[kval_active],MATCH(table_Methods[[#This Row],[ID]],dict_zul_Var_Meth[ID_Methods],0))</f>
        <v>0</v>
      </c>
      <c r="H289">
        <f t="shared" ca="1" si="26"/>
        <v>4147</v>
      </c>
      <c r="I289">
        <f t="shared" ca="1" si="27"/>
        <v>20480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8"/>
        <v>8100</v>
      </c>
      <c r="D290">
        <f t="shared" ca="1" si="29"/>
        <v>9.4</v>
      </c>
      <c r="E290">
        <f t="shared" ca="1" si="24"/>
        <v>-50</v>
      </c>
      <c r="F290">
        <f t="shared" ca="1" si="25"/>
        <v>890</v>
      </c>
      <c r="G290" s="3" t="b">
        <f ca="1">INDEX(dict_zul_Var_Meth[kval_active],MATCH(table_Methods[[#This Row],[ID]],dict_zul_Var_Meth[ID_Methods],0))</f>
        <v>0</v>
      </c>
      <c r="H290">
        <f t="shared" ca="1" si="26"/>
        <v>11064</v>
      </c>
      <c r="I290">
        <f t="shared" ca="1" si="27"/>
        <v>24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8"/>
        <v>3700</v>
      </c>
      <c r="D291">
        <f t="shared" ca="1" si="29"/>
        <v>8.02</v>
      </c>
      <c r="E291">
        <f t="shared" ca="1" si="24"/>
        <v>-70</v>
      </c>
      <c r="F291">
        <f t="shared" ca="1" si="25"/>
        <v>300</v>
      </c>
      <c r="G291" s="3" t="b">
        <f ca="1">INDEX(dict_zul_Var_Meth[kval_active],MATCH(table_Methods[[#This Row],[ID]],dict_zul_Var_Meth[ID_Methods],0))</f>
        <v>1</v>
      </c>
      <c r="H291">
        <f t="shared" ca="1" si="26"/>
        <v>2115</v>
      </c>
      <c r="I291">
        <f t="shared" ca="1" si="27"/>
        <v>544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8"/>
        <v>810</v>
      </c>
      <c r="D292">
        <f t="shared" ca="1" si="29"/>
        <v>4.84</v>
      </c>
      <c r="E292">
        <f t="shared" ref="E292:E355" ca="1" si="30">RANDBETWEEN(-10,3)*10</f>
        <v>-60</v>
      </c>
      <c r="F292">
        <f t="shared" ref="F292:F355" ca="1" si="31">RANDBETWEEN(2,100)*10</f>
        <v>280</v>
      </c>
      <c r="G292" s="3" t="b">
        <f ca="1">INDEX(dict_zul_Var_Meth[kval_active],MATCH(table_Methods[[#This Row],[ID]],dict_zul_Var_Meth[ID_Methods],0))</f>
        <v>0</v>
      </c>
      <c r="H292">
        <f t="shared" ref="H292:H355" ca="1" si="32">RANDBETWEEN(1,10)*RANDBETWEEN(1,5000)</f>
        <v>7224</v>
      </c>
      <c r="I292">
        <f t="shared" ref="I292:I355" ca="1" si="33">2^RANDBETWEEN(1,10)*RANDBETWEEN(1,100)</f>
        <v>12544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8"/>
        <v>61.000000000000007</v>
      </c>
      <c r="D293">
        <f t="shared" ca="1" si="29"/>
        <v>9.33</v>
      </c>
      <c r="E293">
        <f t="shared" ca="1" si="30"/>
        <v>-80</v>
      </c>
      <c r="F293">
        <f t="shared" ca="1" si="31"/>
        <v>170</v>
      </c>
      <c r="G293" s="3" t="b">
        <f ca="1">INDEX(dict_zul_Var_Meth[kval_active],MATCH(table_Methods[[#This Row],[ID]],dict_zul_Var_Meth[ID_Methods],0))</f>
        <v>0</v>
      </c>
      <c r="H293">
        <f t="shared" ca="1" si="32"/>
        <v>852</v>
      </c>
      <c r="I293">
        <f t="shared" ca="1" si="33"/>
        <v>82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8"/>
        <v>6200</v>
      </c>
      <c r="D294">
        <f t="shared" ca="1" si="29"/>
        <v>1.54</v>
      </c>
      <c r="E294">
        <f t="shared" ca="1" si="30"/>
        <v>10</v>
      </c>
      <c r="F294">
        <f t="shared" ca="1" si="31"/>
        <v>30</v>
      </c>
      <c r="G294" s="3" t="b">
        <f ca="1">INDEX(dict_zul_Var_Meth[kval_active],MATCH(table_Methods[[#This Row],[ID]],dict_zul_Var_Meth[ID_Methods],0))</f>
        <v>0</v>
      </c>
      <c r="H294">
        <f t="shared" ca="1" si="32"/>
        <v>29673</v>
      </c>
      <c r="I294">
        <f t="shared" ca="1" si="33"/>
        <v>656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8"/>
        <v>400</v>
      </c>
      <c r="D295">
        <f t="shared" ca="1" si="29"/>
        <v>0.39</v>
      </c>
      <c r="E295">
        <f t="shared" ca="1" si="30"/>
        <v>-80</v>
      </c>
      <c r="F295">
        <f t="shared" ca="1" si="31"/>
        <v>830</v>
      </c>
      <c r="G295" s="3" t="b">
        <f ca="1">INDEX(dict_zul_Var_Meth[kval_active],MATCH(table_Methods[[#This Row],[ID]],dict_zul_Var_Meth[ID_Methods],0))</f>
        <v>0</v>
      </c>
      <c r="H295">
        <f t="shared" ca="1" si="32"/>
        <v>3696</v>
      </c>
      <c r="I295">
        <f t="shared" ca="1" si="33"/>
        <v>14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8"/>
        <v>410</v>
      </c>
      <c r="D296">
        <f t="shared" ca="1" si="29"/>
        <v>2.98</v>
      </c>
      <c r="E296">
        <f t="shared" ca="1" si="30"/>
        <v>-60</v>
      </c>
      <c r="F296">
        <f t="shared" ca="1" si="31"/>
        <v>670</v>
      </c>
      <c r="G296" s="3" t="b">
        <f ca="1">INDEX(dict_zul_Var_Meth[kval_active],MATCH(table_Methods[[#This Row],[ID]],dict_zul_Var_Meth[ID_Methods],0))</f>
        <v>0</v>
      </c>
      <c r="H296">
        <f t="shared" ca="1" si="32"/>
        <v>15110</v>
      </c>
      <c r="I296">
        <f t="shared" ca="1" si="33"/>
        <v>96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8"/>
        <v>330</v>
      </c>
      <c r="D297">
        <f t="shared" ca="1" si="29"/>
        <v>7.43</v>
      </c>
      <c r="E297">
        <f t="shared" ca="1" si="30"/>
        <v>-100</v>
      </c>
      <c r="F297">
        <f t="shared" ca="1" si="31"/>
        <v>660</v>
      </c>
      <c r="G297" s="3" t="b">
        <f ca="1">INDEX(dict_zul_Var_Meth[kval_active],MATCH(table_Methods[[#This Row],[ID]],dict_zul_Var_Meth[ID_Methods],0))</f>
        <v>0</v>
      </c>
      <c r="H297">
        <f t="shared" ca="1" si="32"/>
        <v>26595</v>
      </c>
      <c r="I297">
        <f t="shared" ca="1" si="33"/>
        <v>8448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8"/>
        <v>9500</v>
      </c>
      <c r="D298">
        <f t="shared" ca="1" si="29"/>
        <v>8.42</v>
      </c>
      <c r="E298">
        <f t="shared" ca="1" si="30"/>
        <v>-10</v>
      </c>
      <c r="F298">
        <f t="shared" ca="1" si="31"/>
        <v>160</v>
      </c>
      <c r="G298" s="3" t="b">
        <f ca="1">INDEX(dict_zul_Var_Meth[kval_active],MATCH(table_Methods[[#This Row],[ID]],dict_zul_Var_Meth[ID_Methods],0))</f>
        <v>0</v>
      </c>
      <c r="H298">
        <f t="shared" ca="1" si="32"/>
        <v>10665</v>
      </c>
      <c r="I298">
        <f t="shared" ca="1" si="33"/>
        <v>2560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8"/>
        <v>64</v>
      </c>
      <c r="D299">
        <f t="shared" ca="1" si="29"/>
        <v>4.12</v>
      </c>
      <c r="E299">
        <f t="shared" ca="1" si="30"/>
        <v>0</v>
      </c>
      <c r="F299">
        <f t="shared" ca="1" si="31"/>
        <v>930</v>
      </c>
      <c r="G299" s="3" t="b">
        <f ca="1">INDEX(dict_zul_Var_Meth[kval_active],MATCH(table_Methods[[#This Row],[ID]],dict_zul_Var_Meth[ID_Methods],0))</f>
        <v>0</v>
      </c>
      <c r="H299">
        <f t="shared" ca="1" si="32"/>
        <v>922</v>
      </c>
      <c r="I299">
        <f t="shared" ca="1" si="33"/>
        <v>220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8"/>
        <v>460</v>
      </c>
      <c r="D300">
        <f t="shared" ca="1" si="29"/>
        <v>6.88</v>
      </c>
      <c r="E300">
        <f t="shared" ca="1" si="30"/>
        <v>-30</v>
      </c>
      <c r="F300">
        <f t="shared" ca="1" si="31"/>
        <v>550</v>
      </c>
      <c r="G300" s="3" t="b">
        <f ca="1">INDEX(dict_zul_Var_Meth[kval_active],MATCH(table_Methods[[#This Row],[ID]],dict_zul_Var_Meth[ID_Methods],0))</f>
        <v>0</v>
      </c>
      <c r="H300">
        <f t="shared" ca="1" si="32"/>
        <v>14724</v>
      </c>
      <c r="I300">
        <f t="shared" ca="1" si="33"/>
        <v>9600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8"/>
        <v>220</v>
      </c>
      <c r="D301">
        <f t="shared" ca="1" si="29"/>
        <v>0.28999999999999998</v>
      </c>
      <c r="E301">
        <f t="shared" ca="1" si="30"/>
        <v>30</v>
      </c>
      <c r="F301">
        <f t="shared" ca="1" si="31"/>
        <v>630</v>
      </c>
      <c r="G301" s="3" t="b">
        <f ca="1">INDEX(dict_zul_Var_Meth[kval_active],MATCH(table_Methods[[#This Row],[ID]],dict_zul_Var_Meth[ID_Methods],0))</f>
        <v>0</v>
      </c>
      <c r="H301">
        <f t="shared" ca="1" si="32"/>
        <v>9180</v>
      </c>
      <c r="I301">
        <f t="shared" ca="1" si="33"/>
        <v>848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8"/>
        <v>650</v>
      </c>
      <c r="D302">
        <f t="shared" ca="1" si="29"/>
        <v>4.07</v>
      </c>
      <c r="E302">
        <f t="shared" ca="1" si="30"/>
        <v>20</v>
      </c>
      <c r="F302">
        <f t="shared" ca="1" si="31"/>
        <v>760</v>
      </c>
      <c r="G302" s="3" t="b">
        <f ca="1">INDEX(dict_zul_Var_Meth[kval_active],MATCH(table_Methods[[#This Row],[ID]],dict_zul_Var_Meth[ID_Methods],0))</f>
        <v>0</v>
      </c>
      <c r="H302">
        <f t="shared" ca="1" si="32"/>
        <v>3577</v>
      </c>
      <c r="I302">
        <f t="shared" ca="1" si="33"/>
        <v>1488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8"/>
        <v>5600</v>
      </c>
      <c r="D303">
        <f t="shared" ca="1" si="29"/>
        <v>9.58</v>
      </c>
      <c r="E303">
        <f t="shared" ca="1" si="30"/>
        <v>-20</v>
      </c>
      <c r="F303">
        <f t="shared" ca="1" si="31"/>
        <v>670</v>
      </c>
      <c r="G303" s="3" t="b">
        <f ca="1">INDEX(dict_zul_Var_Meth[kval_active],MATCH(table_Methods[[#This Row],[ID]],dict_zul_Var_Meth[ID_Methods],0))</f>
        <v>0</v>
      </c>
      <c r="H303">
        <f t="shared" ca="1" si="32"/>
        <v>13779</v>
      </c>
      <c r="I303">
        <f t="shared" ca="1" si="33"/>
        <v>2240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8"/>
        <v>1000</v>
      </c>
      <c r="D304">
        <f t="shared" ca="1" si="29"/>
        <v>2.5499999999999998</v>
      </c>
      <c r="E304">
        <f t="shared" ca="1" si="30"/>
        <v>20</v>
      </c>
      <c r="F304">
        <f t="shared" ca="1" si="31"/>
        <v>980</v>
      </c>
      <c r="G304" s="3" t="b">
        <f ca="1">INDEX(dict_zul_Var_Meth[kval_active],MATCH(table_Methods[[#This Row],[ID]],dict_zul_Var_Meth[ID_Methods],0))</f>
        <v>0</v>
      </c>
      <c r="H304">
        <f t="shared" ca="1" si="32"/>
        <v>10782</v>
      </c>
      <c r="I304">
        <f t="shared" ca="1" si="33"/>
        <v>24832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8"/>
        <v>7200</v>
      </c>
      <c r="D305">
        <f t="shared" ca="1" si="29"/>
        <v>8.02</v>
      </c>
      <c r="E305">
        <f t="shared" ca="1" si="30"/>
        <v>-90</v>
      </c>
      <c r="F305">
        <f t="shared" ca="1" si="31"/>
        <v>420</v>
      </c>
      <c r="G305" s="3" t="b">
        <f ca="1">INDEX(dict_zul_Var_Meth[kval_active],MATCH(table_Methods[[#This Row],[ID]],dict_zul_Var_Meth[ID_Methods],0))</f>
        <v>0</v>
      </c>
      <c r="H305">
        <f t="shared" ca="1" si="32"/>
        <v>17100</v>
      </c>
      <c r="I305">
        <f t="shared" ca="1" si="33"/>
        <v>10240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8"/>
        <v>4500</v>
      </c>
      <c r="D306">
        <f t="shared" ca="1" si="29"/>
        <v>4.3899999999999997</v>
      </c>
      <c r="E306">
        <f t="shared" ca="1" si="30"/>
        <v>-60</v>
      </c>
      <c r="F306">
        <f t="shared" ca="1" si="31"/>
        <v>890</v>
      </c>
      <c r="G306" s="3" t="b">
        <f ca="1">INDEX(dict_zul_Var_Meth[kval_active],MATCH(table_Methods[[#This Row],[ID]],dict_zul_Var_Meth[ID_Methods],0))</f>
        <v>0</v>
      </c>
      <c r="H306">
        <f t="shared" ca="1" si="32"/>
        <v>10432</v>
      </c>
      <c r="I306">
        <f t="shared" ca="1" si="33"/>
        <v>98304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8"/>
        <v>630</v>
      </c>
      <c r="D307">
        <f t="shared" ca="1" si="29"/>
        <v>1.35</v>
      </c>
      <c r="E307">
        <f t="shared" ca="1" si="30"/>
        <v>-40</v>
      </c>
      <c r="F307">
        <f t="shared" ca="1" si="31"/>
        <v>750</v>
      </c>
      <c r="G307" s="3" t="b">
        <f ca="1">INDEX(dict_zul_Var_Meth[kval_active],MATCH(table_Methods[[#This Row],[ID]],dict_zul_Var_Meth[ID_Methods],0))</f>
        <v>0</v>
      </c>
      <c r="H307">
        <f t="shared" ca="1" si="32"/>
        <v>16660</v>
      </c>
      <c r="I307">
        <f t="shared" ca="1" si="33"/>
        <v>320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8"/>
        <v>240</v>
      </c>
      <c r="D308">
        <f t="shared" ca="1" si="29"/>
        <v>2.44</v>
      </c>
      <c r="E308">
        <f t="shared" ca="1" si="30"/>
        <v>30</v>
      </c>
      <c r="F308">
        <f t="shared" ca="1" si="31"/>
        <v>820</v>
      </c>
      <c r="G308" s="3" t="b">
        <f ca="1">INDEX(dict_zul_Var_Meth[kval_active],MATCH(table_Methods[[#This Row],[ID]],dict_zul_Var_Meth[ID_Methods],0))</f>
        <v>0</v>
      </c>
      <c r="H308">
        <f t="shared" ca="1" si="32"/>
        <v>3432</v>
      </c>
      <c r="I308">
        <f t="shared" ca="1" si="33"/>
        <v>472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8"/>
        <v>69</v>
      </c>
      <c r="D309">
        <f t="shared" ca="1" si="29"/>
        <v>1.07</v>
      </c>
      <c r="E309">
        <f t="shared" ca="1" si="30"/>
        <v>-50</v>
      </c>
      <c r="F309">
        <f t="shared" ca="1" si="31"/>
        <v>330</v>
      </c>
      <c r="G309" s="3" t="b">
        <f ca="1">INDEX(dict_zul_Var_Meth[kval_active],MATCH(table_Methods[[#This Row],[ID]],dict_zul_Var_Meth[ID_Methods],0))</f>
        <v>0</v>
      </c>
      <c r="H309">
        <f t="shared" ca="1" si="32"/>
        <v>7056</v>
      </c>
      <c r="I309">
        <f t="shared" ca="1" si="33"/>
        <v>24576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8"/>
        <v>70</v>
      </c>
      <c r="D310">
        <f t="shared" ca="1" si="29"/>
        <v>7.48</v>
      </c>
      <c r="E310">
        <f t="shared" ca="1" si="30"/>
        <v>-40</v>
      </c>
      <c r="F310">
        <f t="shared" ca="1" si="31"/>
        <v>120</v>
      </c>
      <c r="G310" s="3" t="b">
        <f ca="1">INDEX(dict_zul_Var_Meth[kval_active],MATCH(table_Methods[[#This Row],[ID]],dict_zul_Var_Meth[ID_Methods],0))</f>
        <v>0</v>
      </c>
      <c r="H310">
        <f t="shared" ca="1" si="32"/>
        <v>2883</v>
      </c>
      <c r="I310">
        <f t="shared" ca="1" si="33"/>
        <v>80896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8"/>
        <v>72</v>
      </c>
      <c r="D311">
        <f t="shared" ca="1" si="29"/>
        <v>7.55</v>
      </c>
      <c r="E311">
        <f t="shared" ca="1" si="30"/>
        <v>-40</v>
      </c>
      <c r="F311">
        <f t="shared" ca="1" si="31"/>
        <v>430</v>
      </c>
      <c r="G311" s="3" t="b">
        <f ca="1">INDEX(dict_zul_Var_Meth[kval_active],MATCH(table_Methods[[#This Row],[ID]],dict_zul_Var_Meth[ID_Methods],0))</f>
        <v>0</v>
      </c>
      <c r="H311">
        <f t="shared" ca="1" si="32"/>
        <v>6768</v>
      </c>
      <c r="I311">
        <f t="shared" ca="1" si="33"/>
        <v>1328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8"/>
        <v>83</v>
      </c>
      <c r="D312">
        <f t="shared" ca="1" si="29"/>
        <v>1.22</v>
      </c>
      <c r="E312">
        <f t="shared" ca="1" si="30"/>
        <v>10</v>
      </c>
      <c r="F312">
        <f t="shared" ca="1" si="31"/>
        <v>170</v>
      </c>
      <c r="G312" s="3" t="b">
        <f ca="1">INDEX(dict_zul_Var_Meth[kval_active],MATCH(table_Methods[[#This Row],[ID]],dict_zul_Var_Meth[ID_Methods],0))</f>
        <v>0</v>
      </c>
      <c r="H312">
        <f t="shared" ca="1" si="32"/>
        <v>33728</v>
      </c>
      <c r="I312">
        <f t="shared" ca="1" si="33"/>
        <v>2560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8"/>
        <v>1900</v>
      </c>
      <c r="D313">
        <f t="shared" ca="1" si="29"/>
        <v>8.65</v>
      </c>
      <c r="E313">
        <f t="shared" ca="1" si="30"/>
        <v>-90</v>
      </c>
      <c r="F313">
        <f t="shared" ca="1" si="31"/>
        <v>660</v>
      </c>
      <c r="G313" s="3" t="b">
        <f ca="1">INDEX(dict_zul_Var_Meth[kval_active],MATCH(table_Methods[[#This Row],[ID]],dict_zul_Var_Meth[ID_Methods],0))</f>
        <v>0</v>
      </c>
      <c r="H313">
        <f t="shared" ca="1" si="32"/>
        <v>12768</v>
      </c>
      <c r="I313">
        <f t="shared" ca="1" si="33"/>
        <v>54272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8"/>
        <v>2700</v>
      </c>
      <c r="D314">
        <f t="shared" ca="1" si="29"/>
        <v>8.0399999999999991</v>
      </c>
      <c r="E314">
        <f t="shared" ca="1" si="30"/>
        <v>-20</v>
      </c>
      <c r="F314">
        <f t="shared" ca="1" si="31"/>
        <v>120</v>
      </c>
      <c r="G314" s="3" t="b">
        <f ca="1">INDEX(dict_zul_Var_Meth[kval_active],MATCH(table_Methods[[#This Row],[ID]],dict_zul_Var_Meth[ID_Methods],0))</f>
        <v>0</v>
      </c>
      <c r="H314">
        <f t="shared" ca="1" si="32"/>
        <v>1132</v>
      </c>
      <c r="I314">
        <f t="shared" ca="1" si="33"/>
        <v>168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8"/>
        <v>9300</v>
      </c>
      <c r="D315">
        <f t="shared" ca="1" si="29"/>
        <v>3.88</v>
      </c>
      <c r="E315">
        <f t="shared" ca="1" si="30"/>
        <v>20</v>
      </c>
      <c r="F315">
        <f t="shared" ca="1" si="31"/>
        <v>290</v>
      </c>
      <c r="G315" s="3" t="b">
        <f ca="1">INDEX(dict_zul_Var_Meth[kval_active],MATCH(table_Methods[[#This Row],[ID]],dict_zul_Var_Meth[ID_Methods],0))</f>
        <v>0</v>
      </c>
      <c r="H315">
        <f t="shared" ca="1" si="32"/>
        <v>2008</v>
      </c>
      <c r="I315">
        <f t="shared" ca="1" si="33"/>
        <v>5888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8"/>
        <v>3900</v>
      </c>
      <c r="D316">
        <f t="shared" ca="1" si="29"/>
        <v>8.14</v>
      </c>
      <c r="E316">
        <f t="shared" ca="1" si="30"/>
        <v>-70</v>
      </c>
      <c r="F316">
        <f t="shared" ca="1" si="31"/>
        <v>220</v>
      </c>
      <c r="G316" s="3" t="b">
        <f ca="1">INDEX(dict_zul_Var_Meth[kval_active],MATCH(table_Methods[[#This Row],[ID]],dict_zul_Var_Meth[ID_Methods],0))</f>
        <v>0</v>
      </c>
      <c r="H316">
        <f t="shared" ca="1" si="32"/>
        <v>1220</v>
      </c>
      <c r="I316">
        <f t="shared" ca="1" si="33"/>
        <v>72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8"/>
        <v>30</v>
      </c>
      <c r="D317">
        <f t="shared" ca="1" si="29"/>
        <v>2.41</v>
      </c>
      <c r="E317">
        <f t="shared" ca="1" si="30"/>
        <v>10</v>
      </c>
      <c r="F317">
        <f t="shared" ca="1" si="31"/>
        <v>790</v>
      </c>
      <c r="G317" s="3" t="b">
        <f ca="1">INDEX(dict_zul_Var_Meth[kval_active],MATCH(table_Methods[[#This Row],[ID]],dict_zul_Var_Meth[ID_Methods],0))</f>
        <v>0</v>
      </c>
      <c r="H317">
        <f t="shared" ca="1" si="32"/>
        <v>17056</v>
      </c>
      <c r="I317">
        <f t="shared" ca="1" si="33"/>
        <v>100352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8"/>
        <v>610</v>
      </c>
      <c r="D318">
        <f t="shared" ca="1" si="29"/>
        <v>3.3</v>
      </c>
      <c r="E318">
        <f t="shared" ca="1" si="30"/>
        <v>10</v>
      </c>
      <c r="F318">
        <f t="shared" ca="1" si="31"/>
        <v>400</v>
      </c>
      <c r="G318" s="3" t="b">
        <f ca="1">INDEX(dict_zul_Var_Meth[kval_active],MATCH(table_Methods[[#This Row],[ID]],dict_zul_Var_Meth[ID_Methods],0))</f>
        <v>0</v>
      </c>
      <c r="H318">
        <f t="shared" ca="1" si="32"/>
        <v>21141</v>
      </c>
      <c r="I318">
        <f t="shared" ca="1" si="33"/>
        <v>4800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8"/>
        <v>5900</v>
      </c>
      <c r="D319">
        <f t="shared" ca="1" si="29"/>
        <v>2.64</v>
      </c>
      <c r="E319">
        <f t="shared" ca="1" si="30"/>
        <v>-20</v>
      </c>
      <c r="F319">
        <f t="shared" ca="1" si="31"/>
        <v>760</v>
      </c>
      <c r="G319" s="3" t="b">
        <f ca="1">INDEX(dict_zul_Var_Meth[kval_active],MATCH(table_Methods[[#This Row],[ID]],dict_zul_Var_Meth[ID_Methods],0))</f>
        <v>0</v>
      </c>
      <c r="H319">
        <f t="shared" ca="1" si="32"/>
        <v>5373</v>
      </c>
      <c r="I319">
        <f t="shared" ca="1" si="33"/>
        <v>1920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8"/>
        <v>91</v>
      </c>
      <c r="D320">
        <f t="shared" ca="1" si="29"/>
        <v>3.41</v>
      </c>
      <c r="E320">
        <f t="shared" ca="1" si="30"/>
        <v>0</v>
      </c>
      <c r="F320">
        <f t="shared" ca="1" si="31"/>
        <v>830</v>
      </c>
      <c r="G320" s="3" t="b">
        <f ca="1">INDEX(dict_zul_Var_Meth[kval_active],MATCH(table_Methods[[#This Row],[ID]],dict_zul_Var_Meth[ID_Methods],0))</f>
        <v>0</v>
      </c>
      <c r="H320">
        <f t="shared" ca="1" si="32"/>
        <v>12252</v>
      </c>
      <c r="I320">
        <f t="shared" ca="1" si="33"/>
        <v>26624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8"/>
        <v>1400</v>
      </c>
      <c r="D321">
        <f t="shared" ca="1" si="29"/>
        <v>7</v>
      </c>
      <c r="E321">
        <f t="shared" ca="1" si="30"/>
        <v>-30</v>
      </c>
      <c r="F321">
        <f t="shared" ca="1" si="31"/>
        <v>410</v>
      </c>
      <c r="G321" s="3" t="b">
        <f ca="1">INDEX(dict_zul_Var_Meth[kval_active],MATCH(table_Methods[[#This Row],[ID]],dict_zul_Var_Meth[ID_Methods],0))</f>
        <v>0</v>
      </c>
      <c r="H321">
        <f t="shared" ca="1" si="32"/>
        <v>30350</v>
      </c>
      <c r="I321">
        <f t="shared" ca="1" si="33"/>
        <v>83968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4">10^(RANDBETWEEN(-1,1))*RANDBETWEEN(1,100)*10</f>
        <v>43</v>
      </c>
      <c r="D322">
        <f t="shared" ca="1" si="29"/>
        <v>7.28</v>
      </c>
      <c r="E322">
        <f t="shared" ca="1" si="30"/>
        <v>-80</v>
      </c>
      <c r="F322">
        <f t="shared" ca="1" si="31"/>
        <v>390</v>
      </c>
      <c r="G322" s="3" t="b">
        <f ca="1">INDEX(dict_zul_Var_Meth[kval_active],MATCH(table_Methods[[#This Row],[ID]],dict_zul_Var_Meth[ID_Methods],0))</f>
        <v>0</v>
      </c>
      <c r="H322">
        <f t="shared" ca="1" si="32"/>
        <v>7488</v>
      </c>
      <c r="I322">
        <f t="shared" ca="1" si="33"/>
        <v>6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4"/>
        <v>9800</v>
      </c>
      <c r="D323">
        <f t="shared" ref="D323:D386" ca="1" si="35">RANDBETWEEN(10,1000)/(100)</f>
        <v>0.75</v>
      </c>
      <c r="E323">
        <f t="shared" ca="1" si="30"/>
        <v>-60</v>
      </c>
      <c r="F323">
        <f t="shared" ca="1" si="31"/>
        <v>310</v>
      </c>
      <c r="G323" s="3" t="b">
        <f ca="1">INDEX(dict_zul_Var_Meth[kval_active],MATCH(table_Methods[[#This Row],[ID]],dict_zul_Var_Meth[ID_Methods],0))</f>
        <v>0</v>
      </c>
      <c r="H323">
        <f t="shared" ca="1" si="32"/>
        <v>11300</v>
      </c>
      <c r="I323">
        <f t="shared" ca="1" si="33"/>
        <v>224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4"/>
        <v>870</v>
      </c>
      <c r="D324">
        <f t="shared" ca="1" si="35"/>
        <v>4.97</v>
      </c>
      <c r="E324">
        <f t="shared" ca="1" si="30"/>
        <v>-70</v>
      </c>
      <c r="F324">
        <f t="shared" ca="1" si="31"/>
        <v>870</v>
      </c>
      <c r="G324" s="3" t="b">
        <f ca="1">INDEX(dict_zul_Var_Meth[kval_active],MATCH(table_Methods[[#This Row],[ID]],dict_zul_Var_Meth[ID_Methods],0))</f>
        <v>0</v>
      </c>
      <c r="H324">
        <f t="shared" ca="1" si="32"/>
        <v>7056</v>
      </c>
      <c r="I324">
        <f t="shared" ca="1" si="33"/>
        <v>960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4"/>
        <v>2700</v>
      </c>
      <c r="D325">
        <f t="shared" ca="1" si="35"/>
        <v>3</v>
      </c>
      <c r="E325">
        <f t="shared" ca="1" si="30"/>
        <v>-100</v>
      </c>
      <c r="F325">
        <f t="shared" ca="1" si="31"/>
        <v>360</v>
      </c>
      <c r="G325" s="3" t="b">
        <f ca="1">INDEX(dict_zul_Var_Meth[kval_active],MATCH(table_Methods[[#This Row],[ID]],dict_zul_Var_Meth[ID_Methods],0))</f>
        <v>0</v>
      </c>
      <c r="H325">
        <f t="shared" ca="1" si="32"/>
        <v>10503</v>
      </c>
      <c r="I325">
        <f t="shared" ca="1" si="33"/>
        <v>384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4"/>
        <v>180</v>
      </c>
      <c r="D326">
        <f t="shared" ca="1" si="35"/>
        <v>8.6199999999999992</v>
      </c>
      <c r="E326">
        <f t="shared" ca="1" si="30"/>
        <v>20</v>
      </c>
      <c r="F326">
        <f t="shared" ca="1" si="31"/>
        <v>870</v>
      </c>
      <c r="G326" s="3" t="b">
        <f ca="1">INDEX(dict_zul_Var_Meth[kval_active],MATCH(table_Methods[[#This Row],[ID]],dict_zul_Var_Meth[ID_Methods],0))</f>
        <v>0</v>
      </c>
      <c r="H326">
        <f t="shared" ca="1" si="32"/>
        <v>8270</v>
      </c>
      <c r="I326">
        <f t="shared" ca="1" si="33"/>
        <v>54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4"/>
        <v>73</v>
      </c>
      <c r="D327">
        <f t="shared" ca="1" si="35"/>
        <v>1.79</v>
      </c>
      <c r="E327">
        <f t="shared" ca="1" si="30"/>
        <v>-20</v>
      </c>
      <c r="F327">
        <f t="shared" ca="1" si="31"/>
        <v>530</v>
      </c>
      <c r="G327" s="3" t="b">
        <f ca="1">INDEX(dict_zul_Var_Meth[kval_active],MATCH(table_Methods[[#This Row],[ID]],dict_zul_Var_Meth[ID_Methods],0))</f>
        <v>0</v>
      </c>
      <c r="H327">
        <f t="shared" ca="1" si="32"/>
        <v>14575</v>
      </c>
      <c r="I327">
        <f t="shared" ca="1" si="33"/>
        <v>512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4"/>
        <v>90</v>
      </c>
      <c r="D328">
        <f t="shared" ca="1" si="35"/>
        <v>4.18</v>
      </c>
      <c r="E328">
        <f t="shared" ca="1" si="30"/>
        <v>-40</v>
      </c>
      <c r="F328">
        <f t="shared" ca="1" si="31"/>
        <v>300</v>
      </c>
      <c r="G328" s="3" t="b">
        <f ca="1">INDEX(dict_zul_Var_Meth[kval_active],MATCH(table_Methods[[#This Row],[ID]],dict_zul_Var_Meth[ID_Methods],0))</f>
        <v>0</v>
      </c>
      <c r="H328">
        <f t="shared" ca="1" si="32"/>
        <v>14628</v>
      </c>
      <c r="I328">
        <f t="shared" ca="1" si="33"/>
        <v>672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4"/>
        <v>210</v>
      </c>
      <c r="D329">
        <f t="shared" ca="1" si="35"/>
        <v>7.47</v>
      </c>
      <c r="E329">
        <f t="shared" ca="1" si="30"/>
        <v>-90</v>
      </c>
      <c r="F329">
        <f t="shared" ca="1" si="31"/>
        <v>830</v>
      </c>
      <c r="G329" s="3" t="b">
        <f ca="1">INDEX(dict_zul_Var_Meth[kval_active],MATCH(table_Methods[[#This Row],[ID]],dict_zul_Var_Meth[ID_Methods],0))</f>
        <v>0</v>
      </c>
      <c r="H329">
        <f t="shared" ca="1" si="32"/>
        <v>36880</v>
      </c>
      <c r="I329">
        <f t="shared" ca="1" si="33"/>
        <v>84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4"/>
        <v>28.000000000000004</v>
      </c>
      <c r="D330">
        <f t="shared" ca="1" si="35"/>
        <v>5.76</v>
      </c>
      <c r="E330">
        <f t="shared" ca="1" si="30"/>
        <v>-70</v>
      </c>
      <c r="F330">
        <f t="shared" ca="1" si="31"/>
        <v>260</v>
      </c>
      <c r="G330" s="3" t="b">
        <f ca="1">INDEX(dict_zul_Var_Meth[kval_active],MATCH(table_Methods[[#This Row],[ID]],dict_zul_Var_Meth[ID_Methods],0))</f>
        <v>0</v>
      </c>
      <c r="H330">
        <f t="shared" ca="1" si="32"/>
        <v>24</v>
      </c>
      <c r="I330">
        <f t="shared" ca="1" si="33"/>
        <v>5632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4"/>
        <v>4200</v>
      </c>
      <c r="D331">
        <f t="shared" ca="1" si="35"/>
        <v>4.38</v>
      </c>
      <c r="E331">
        <f t="shared" ca="1" si="30"/>
        <v>-60</v>
      </c>
      <c r="F331">
        <f t="shared" ca="1" si="31"/>
        <v>50</v>
      </c>
      <c r="G331" s="3" t="b">
        <f ca="1">INDEX(dict_zul_Var_Meth[kval_active],MATCH(table_Methods[[#This Row],[ID]],dict_zul_Var_Meth[ID_Methods],0))</f>
        <v>0</v>
      </c>
      <c r="H331">
        <f t="shared" ca="1" si="32"/>
        <v>2439</v>
      </c>
      <c r="I331">
        <f t="shared" ca="1" si="33"/>
        <v>21504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4"/>
        <v>800</v>
      </c>
      <c r="D332">
        <f t="shared" ca="1" si="35"/>
        <v>9.7100000000000009</v>
      </c>
      <c r="E332">
        <f t="shared" ca="1" si="30"/>
        <v>-30</v>
      </c>
      <c r="F332">
        <f t="shared" ca="1" si="31"/>
        <v>400</v>
      </c>
      <c r="G332" s="3" t="b">
        <f ca="1">INDEX(dict_zul_Var_Meth[kval_active],MATCH(table_Methods[[#This Row],[ID]],dict_zul_Var_Meth[ID_Methods],0))</f>
        <v>0</v>
      </c>
      <c r="H332">
        <f t="shared" ca="1" si="32"/>
        <v>17976</v>
      </c>
      <c r="I332">
        <f t="shared" ca="1" si="33"/>
        <v>96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4"/>
        <v>50</v>
      </c>
      <c r="D333">
        <f t="shared" ca="1" si="35"/>
        <v>8.08</v>
      </c>
      <c r="E333">
        <f t="shared" ca="1" si="30"/>
        <v>-20</v>
      </c>
      <c r="F333">
        <f t="shared" ca="1" si="31"/>
        <v>880</v>
      </c>
      <c r="G333" s="3" t="b">
        <f ca="1">INDEX(dict_zul_Var_Meth[kval_active],MATCH(table_Methods[[#This Row],[ID]],dict_zul_Var_Meth[ID_Methods],0))</f>
        <v>0</v>
      </c>
      <c r="H333">
        <f t="shared" ca="1" si="32"/>
        <v>3906</v>
      </c>
      <c r="I333">
        <f t="shared" ca="1" si="33"/>
        <v>24576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4"/>
        <v>510</v>
      </c>
      <c r="D334">
        <f t="shared" ca="1" si="35"/>
        <v>1.56</v>
      </c>
      <c r="E334">
        <f t="shared" ca="1" si="30"/>
        <v>-100</v>
      </c>
      <c r="F334">
        <f t="shared" ca="1" si="31"/>
        <v>910</v>
      </c>
      <c r="G334" s="3" t="b">
        <f ca="1">INDEX(dict_zul_Var_Meth[kval_active],MATCH(table_Methods[[#This Row],[ID]],dict_zul_Var_Meth[ID_Methods],0))</f>
        <v>0</v>
      </c>
      <c r="H334">
        <f t="shared" ca="1" si="32"/>
        <v>20316</v>
      </c>
      <c r="I334">
        <f t="shared" ca="1" si="33"/>
        <v>300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4"/>
        <v>5800</v>
      </c>
      <c r="D335">
        <f t="shared" ca="1" si="35"/>
        <v>6.02</v>
      </c>
      <c r="E335">
        <f t="shared" ca="1" si="30"/>
        <v>-70</v>
      </c>
      <c r="F335">
        <f t="shared" ca="1" si="31"/>
        <v>780</v>
      </c>
      <c r="G335" s="3" t="b">
        <f ca="1">INDEX(dict_zul_Var_Meth[kval_active],MATCH(table_Methods[[#This Row],[ID]],dict_zul_Var_Meth[ID_Methods],0))</f>
        <v>0</v>
      </c>
      <c r="H335">
        <f t="shared" ca="1" si="32"/>
        <v>13959</v>
      </c>
      <c r="I335">
        <f t="shared" ca="1" si="33"/>
        <v>76800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4"/>
        <v>9100</v>
      </c>
      <c r="D336">
        <f t="shared" ca="1" si="35"/>
        <v>0.63</v>
      </c>
      <c r="E336">
        <f t="shared" ca="1" si="30"/>
        <v>10</v>
      </c>
      <c r="F336">
        <f t="shared" ca="1" si="31"/>
        <v>50</v>
      </c>
      <c r="G336" s="3" t="b">
        <f ca="1">INDEX(dict_zul_Var_Meth[kval_active],MATCH(table_Methods[[#This Row],[ID]],dict_zul_Var_Meth[ID_Methods],0))</f>
        <v>0</v>
      </c>
      <c r="H336">
        <f t="shared" ca="1" si="32"/>
        <v>17969</v>
      </c>
      <c r="I336">
        <f t="shared" ca="1" si="33"/>
        <v>13312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4"/>
        <v>3200</v>
      </c>
      <c r="D337">
        <f t="shared" ca="1" si="35"/>
        <v>4.13</v>
      </c>
      <c r="E337">
        <f t="shared" ca="1" si="30"/>
        <v>-40</v>
      </c>
      <c r="F337">
        <f t="shared" ca="1" si="31"/>
        <v>340</v>
      </c>
      <c r="G337" s="3" t="b">
        <f ca="1">INDEX(dict_zul_Var_Meth[kval_active],MATCH(table_Methods[[#This Row],[ID]],dict_zul_Var_Meth[ID_Methods],0))</f>
        <v>0</v>
      </c>
      <c r="H337">
        <f t="shared" ca="1" si="32"/>
        <v>16436</v>
      </c>
      <c r="I337">
        <f t="shared" ca="1" si="33"/>
        <v>3584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4"/>
        <v>4000</v>
      </c>
      <c r="D338">
        <f t="shared" ca="1" si="35"/>
        <v>7.85</v>
      </c>
      <c r="E338">
        <f t="shared" ca="1" si="30"/>
        <v>-10</v>
      </c>
      <c r="F338">
        <f t="shared" ca="1" si="31"/>
        <v>240</v>
      </c>
      <c r="G338" s="3" t="b">
        <f ca="1">INDEX(dict_zul_Var_Meth[kval_active],MATCH(table_Methods[[#This Row],[ID]],dict_zul_Var_Meth[ID_Methods],0))</f>
        <v>0</v>
      </c>
      <c r="H338">
        <f t="shared" ca="1" si="32"/>
        <v>34456</v>
      </c>
      <c r="I338">
        <f t="shared" ca="1" si="33"/>
        <v>2624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4"/>
        <v>50</v>
      </c>
      <c r="D339">
        <f t="shared" ca="1" si="35"/>
        <v>8.83</v>
      </c>
      <c r="E339">
        <f t="shared" ca="1" si="30"/>
        <v>-90</v>
      </c>
      <c r="F339">
        <f t="shared" ca="1" si="31"/>
        <v>230</v>
      </c>
      <c r="G339" s="3" t="b">
        <f ca="1">INDEX(dict_zul_Var_Meth[kval_active],MATCH(table_Methods[[#This Row],[ID]],dict_zul_Var_Meth[ID_Methods],0))</f>
        <v>0</v>
      </c>
      <c r="H339">
        <f t="shared" ca="1" si="32"/>
        <v>2776</v>
      </c>
      <c r="I339">
        <f t="shared" ca="1" si="33"/>
        <v>7552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4"/>
        <v>150</v>
      </c>
      <c r="D340">
        <f t="shared" ca="1" si="35"/>
        <v>8.5399999999999991</v>
      </c>
      <c r="E340">
        <f t="shared" ca="1" si="30"/>
        <v>10</v>
      </c>
      <c r="F340">
        <f t="shared" ca="1" si="31"/>
        <v>940</v>
      </c>
      <c r="G340" s="3" t="b">
        <f ca="1">INDEX(dict_zul_Var_Meth[kval_active],MATCH(table_Methods[[#This Row],[ID]],dict_zul_Var_Meth[ID_Methods],0))</f>
        <v>0</v>
      </c>
      <c r="H340">
        <f t="shared" ca="1" si="32"/>
        <v>29096</v>
      </c>
      <c r="I340">
        <f t="shared" ca="1" si="33"/>
        <v>400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4"/>
        <v>890</v>
      </c>
      <c r="D341">
        <f t="shared" ca="1" si="35"/>
        <v>7.27</v>
      </c>
      <c r="E341">
        <f t="shared" ca="1" si="30"/>
        <v>20</v>
      </c>
      <c r="F341">
        <f t="shared" ca="1" si="31"/>
        <v>810</v>
      </c>
      <c r="G341" s="3" t="b">
        <f ca="1">INDEX(dict_zul_Var_Meth[kval_active],MATCH(table_Methods[[#This Row],[ID]],dict_zul_Var_Meth[ID_Methods],0))</f>
        <v>0</v>
      </c>
      <c r="H341">
        <f t="shared" ca="1" si="32"/>
        <v>3400</v>
      </c>
      <c r="I341">
        <f t="shared" ca="1" si="33"/>
        <v>316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4"/>
        <v>50</v>
      </c>
      <c r="D342">
        <f t="shared" ca="1" si="35"/>
        <v>8.15</v>
      </c>
      <c r="E342">
        <f t="shared" ca="1" si="30"/>
        <v>-30</v>
      </c>
      <c r="F342">
        <f t="shared" ca="1" si="31"/>
        <v>180</v>
      </c>
      <c r="G342" s="3" t="b">
        <f ca="1">INDEX(dict_zul_Var_Meth[kval_active],MATCH(table_Methods[[#This Row],[ID]],dict_zul_Var_Meth[ID_Methods],0))</f>
        <v>0</v>
      </c>
      <c r="H342">
        <f t="shared" ca="1" si="32"/>
        <v>22104</v>
      </c>
      <c r="I342">
        <f t="shared" ca="1" si="33"/>
        <v>112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4"/>
        <v>20</v>
      </c>
      <c r="D343">
        <f t="shared" ca="1" si="35"/>
        <v>7.83</v>
      </c>
      <c r="E343">
        <f t="shared" ca="1" si="30"/>
        <v>-90</v>
      </c>
      <c r="F343">
        <f t="shared" ca="1" si="31"/>
        <v>620</v>
      </c>
      <c r="G343" s="3" t="b">
        <f ca="1">INDEX(dict_zul_Var_Meth[kval_active],MATCH(table_Methods[[#This Row],[ID]],dict_zul_Var_Meth[ID_Methods],0))</f>
        <v>0</v>
      </c>
      <c r="H343">
        <f t="shared" ca="1" si="32"/>
        <v>17190</v>
      </c>
      <c r="I343">
        <f t="shared" ca="1" si="33"/>
        <v>97280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4"/>
        <v>160</v>
      </c>
      <c r="D344">
        <f t="shared" ca="1" si="35"/>
        <v>6.16</v>
      </c>
      <c r="E344">
        <f t="shared" ca="1" si="30"/>
        <v>-70</v>
      </c>
      <c r="F344">
        <f t="shared" ca="1" si="31"/>
        <v>770</v>
      </c>
      <c r="G344" s="3" t="b">
        <f ca="1">INDEX(dict_zul_Var_Meth[kval_active],MATCH(table_Methods[[#This Row],[ID]],dict_zul_Var_Meth[ID_Methods],0))</f>
        <v>0</v>
      </c>
      <c r="H344">
        <f t="shared" ca="1" si="32"/>
        <v>4160</v>
      </c>
      <c r="I344">
        <f t="shared" ca="1" si="33"/>
        <v>24064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4"/>
        <v>6000</v>
      </c>
      <c r="D345">
        <f t="shared" ca="1" si="35"/>
        <v>7.39</v>
      </c>
      <c r="E345">
        <f t="shared" ca="1" si="30"/>
        <v>-90</v>
      </c>
      <c r="F345">
        <f t="shared" ca="1" si="31"/>
        <v>910</v>
      </c>
      <c r="G345" s="3" t="b">
        <f ca="1">INDEX(dict_zul_Var_Meth[kval_active],MATCH(table_Methods[[#This Row],[ID]],dict_zul_Var_Meth[ID_Methods],0))</f>
        <v>0</v>
      </c>
      <c r="H345">
        <f t="shared" ca="1" si="32"/>
        <v>612</v>
      </c>
      <c r="I345">
        <f t="shared" ca="1" si="33"/>
        <v>336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4"/>
        <v>77</v>
      </c>
      <c r="D346">
        <f t="shared" ca="1" si="35"/>
        <v>5.14</v>
      </c>
      <c r="E346">
        <f t="shared" ca="1" si="30"/>
        <v>20</v>
      </c>
      <c r="F346">
        <f t="shared" ca="1" si="31"/>
        <v>180</v>
      </c>
      <c r="G346" s="3" t="b">
        <f ca="1">INDEX(dict_zul_Var_Meth[kval_active],MATCH(table_Methods[[#This Row],[ID]],dict_zul_Var_Meth[ID_Methods],0))</f>
        <v>0</v>
      </c>
      <c r="H346">
        <f t="shared" ca="1" si="32"/>
        <v>8325</v>
      </c>
      <c r="I346">
        <f t="shared" ca="1" si="33"/>
        <v>2240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4"/>
        <v>23.000000000000004</v>
      </c>
      <c r="D347">
        <f t="shared" ca="1" si="35"/>
        <v>3.99</v>
      </c>
      <c r="E347">
        <f t="shared" ca="1" si="30"/>
        <v>-10</v>
      </c>
      <c r="F347">
        <f t="shared" ca="1" si="31"/>
        <v>610</v>
      </c>
      <c r="G347" s="3" t="b">
        <f ca="1">INDEX(dict_zul_Var_Meth[kval_active],MATCH(table_Methods[[#This Row],[ID]],dict_zul_Var_Meth[ID_Methods],0))</f>
        <v>0</v>
      </c>
      <c r="H347">
        <f t="shared" ca="1" si="32"/>
        <v>28470</v>
      </c>
      <c r="I347">
        <f t="shared" ca="1" si="33"/>
        <v>40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4"/>
        <v>820</v>
      </c>
      <c r="D348">
        <f t="shared" ca="1" si="35"/>
        <v>5.1100000000000003</v>
      </c>
      <c r="E348">
        <f t="shared" ca="1" si="30"/>
        <v>-20</v>
      </c>
      <c r="F348">
        <f t="shared" ca="1" si="31"/>
        <v>960</v>
      </c>
      <c r="G348" s="3" t="b">
        <f ca="1">INDEX(dict_zul_Var_Meth[kval_active],MATCH(table_Methods[[#This Row],[ID]],dict_zul_Var_Meth[ID_Methods],0))</f>
        <v>0</v>
      </c>
      <c r="H348">
        <f t="shared" ca="1" si="32"/>
        <v>6496</v>
      </c>
      <c r="I348">
        <f t="shared" ca="1" si="33"/>
        <v>3072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4"/>
        <v>59</v>
      </c>
      <c r="D349">
        <f t="shared" ca="1" si="35"/>
        <v>9.33</v>
      </c>
      <c r="E349">
        <f t="shared" ca="1" si="30"/>
        <v>20</v>
      </c>
      <c r="F349">
        <f t="shared" ca="1" si="31"/>
        <v>860</v>
      </c>
      <c r="G349" s="3" t="b">
        <f ca="1">INDEX(dict_zul_Var_Meth[kval_active],MATCH(table_Methods[[#This Row],[ID]],dict_zul_Var_Meth[ID_Methods],0))</f>
        <v>0</v>
      </c>
      <c r="H349">
        <f t="shared" ca="1" si="32"/>
        <v>10305</v>
      </c>
      <c r="I349">
        <f t="shared" ca="1" si="33"/>
        <v>76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4"/>
        <v>7300</v>
      </c>
      <c r="D350">
        <f t="shared" ca="1" si="35"/>
        <v>4.46</v>
      </c>
      <c r="E350">
        <f t="shared" ca="1" si="30"/>
        <v>-80</v>
      </c>
      <c r="F350">
        <f t="shared" ca="1" si="31"/>
        <v>310</v>
      </c>
      <c r="G350" s="3" t="b">
        <f ca="1">INDEX(dict_zul_Var_Meth[kval_active],MATCH(table_Methods[[#This Row],[ID]],dict_zul_Var_Meth[ID_Methods],0))</f>
        <v>0</v>
      </c>
      <c r="H350">
        <f t="shared" ca="1" si="32"/>
        <v>8686</v>
      </c>
      <c r="I350">
        <f t="shared" ca="1" si="33"/>
        <v>9216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4"/>
        <v>46.000000000000007</v>
      </c>
      <c r="D351">
        <f t="shared" ca="1" si="35"/>
        <v>9.33</v>
      </c>
      <c r="E351">
        <f t="shared" ca="1" si="30"/>
        <v>-10</v>
      </c>
      <c r="F351">
        <f t="shared" ca="1" si="31"/>
        <v>920</v>
      </c>
      <c r="G351" s="3" t="b">
        <f ca="1">INDEX(dict_zul_Var_Meth[kval_active],MATCH(table_Methods[[#This Row],[ID]],dict_zul_Var_Meth[ID_Methods],0))</f>
        <v>0</v>
      </c>
      <c r="H351">
        <f t="shared" ca="1" si="32"/>
        <v>37647</v>
      </c>
      <c r="I351">
        <f t="shared" ca="1" si="33"/>
        <v>544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4"/>
        <v>28.000000000000004</v>
      </c>
      <c r="D352">
        <f t="shared" ca="1" si="35"/>
        <v>5.05</v>
      </c>
      <c r="E352">
        <f t="shared" ca="1" si="30"/>
        <v>-30</v>
      </c>
      <c r="F352">
        <f t="shared" ca="1" si="31"/>
        <v>850</v>
      </c>
      <c r="G352" s="3" t="b">
        <f ca="1">INDEX(dict_zul_Var_Meth[kval_active],MATCH(table_Methods[[#This Row],[ID]],dict_zul_Var_Meth[ID_Methods],0))</f>
        <v>0</v>
      </c>
      <c r="H352">
        <f t="shared" ca="1" si="32"/>
        <v>7665</v>
      </c>
      <c r="I352">
        <f t="shared" ca="1" si="33"/>
        <v>64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4"/>
        <v>4000</v>
      </c>
      <c r="D353">
        <f t="shared" ca="1" si="35"/>
        <v>7.95</v>
      </c>
      <c r="E353">
        <f t="shared" ca="1" si="30"/>
        <v>-20</v>
      </c>
      <c r="F353">
        <f t="shared" ca="1" si="31"/>
        <v>210</v>
      </c>
      <c r="G353" s="3" t="b">
        <f ca="1">INDEX(dict_zul_Var_Meth[kval_active],MATCH(table_Methods[[#This Row],[ID]],dict_zul_Var_Meth[ID_Methods],0))</f>
        <v>0</v>
      </c>
      <c r="H353">
        <f t="shared" ca="1" si="32"/>
        <v>20184</v>
      </c>
      <c r="I353">
        <f t="shared" ca="1" si="33"/>
        <v>6272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4"/>
        <v>690</v>
      </c>
      <c r="D354">
        <f t="shared" ca="1" si="35"/>
        <v>2.3199999999999998</v>
      </c>
      <c r="E354">
        <f t="shared" ca="1" si="30"/>
        <v>0</v>
      </c>
      <c r="F354">
        <f t="shared" ca="1" si="31"/>
        <v>430</v>
      </c>
      <c r="G354" s="3" t="b">
        <f ca="1">INDEX(dict_zul_Var_Meth[kval_active],MATCH(table_Methods[[#This Row],[ID]],dict_zul_Var_Meth[ID_Methods],0))</f>
        <v>0</v>
      </c>
      <c r="H354">
        <f t="shared" ca="1" si="32"/>
        <v>4080</v>
      </c>
      <c r="I354">
        <f t="shared" ca="1" si="33"/>
        <v>11264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4"/>
        <v>5500</v>
      </c>
      <c r="D355">
        <f t="shared" ca="1" si="35"/>
        <v>3.82</v>
      </c>
      <c r="E355">
        <f t="shared" ca="1" si="30"/>
        <v>-20</v>
      </c>
      <c r="F355">
        <f t="shared" ca="1" si="31"/>
        <v>660</v>
      </c>
      <c r="G355" s="3" t="b">
        <f ca="1">INDEX(dict_zul_Var_Meth[kval_active],MATCH(table_Methods[[#This Row],[ID]],dict_zul_Var_Meth[ID_Methods],0))</f>
        <v>0</v>
      </c>
      <c r="H355">
        <f t="shared" ca="1" si="32"/>
        <v>1919</v>
      </c>
      <c r="I355">
        <f t="shared" ca="1" si="33"/>
        <v>276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4"/>
        <v>660</v>
      </c>
      <c r="D356">
        <f t="shared" ca="1" si="35"/>
        <v>7.12</v>
      </c>
      <c r="E356">
        <f t="shared" ref="E356:E419" ca="1" si="36">RANDBETWEEN(-10,3)*10</f>
        <v>-10</v>
      </c>
      <c r="F356">
        <f t="shared" ref="F356:F419" ca="1" si="37">RANDBETWEEN(2,100)*10</f>
        <v>310</v>
      </c>
      <c r="G356" s="3" t="b">
        <f ca="1">INDEX(dict_zul_Var_Meth[kval_active],MATCH(table_Methods[[#This Row],[ID]],dict_zul_Var_Meth[ID_Methods],0))</f>
        <v>0</v>
      </c>
      <c r="H356">
        <f t="shared" ref="H356:H419" ca="1" si="38">RANDBETWEEN(1,10)*RANDBETWEEN(1,5000)</f>
        <v>25074</v>
      </c>
      <c r="I356">
        <f t="shared" ref="I356:I419" ca="1" si="39">2^RANDBETWEEN(1,10)*RANDBETWEEN(1,100)</f>
        <v>28160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4"/>
        <v>61.000000000000007</v>
      </c>
      <c r="D357">
        <f t="shared" ca="1" si="35"/>
        <v>4.0199999999999996</v>
      </c>
      <c r="E357">
        <f t="shared" ca="1" si="36"/>
        <v>-10</v>
      </c>
      <c r="F357">
        <f t="shared" ca="1" si="37"/>
        <v>420</v>
      </c>
      <c r="G357" s="3" t="b">
        <f ca="1">INDEX(dict_zul_Var_Meth[kval_active],MATCH(table_Methods[[#This Row],[ID]],dict_zul_Var_Meth[ID_Methods],0))</f>
        <v>0</v>
      </c>
      <c r="H357">
        <f t="shared" ca="1" si="38"/>
        <v>26562</v>
      </c>
      <c r="I357">
        <f t="shared" ca="1" si="39"/>
        <v>3200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4"/>
        <v>1600</v>
      </c>
      <c r="D358">
        <f t="shared" ca="1" si="35"/>
        <v>3.23</v>
      </c>
      <c r="E358">
        <f t="shared" ca="1" si="36"/>
        <v>0</v>
      </c>
      <c r="F358">
        <f t="shared" ca="1" si="37"/>
        <v>690</v>
      </c>
      <c r="G358" s="3" t="b">
        <f ca="1">INDEX(dict_zul_Var_Meth[kval_active],MATCH(table_Methods[[#This Row],[ID]],dict_zul_Var_Meth[ID_Methods],0))</f>
        <v>0</v>
      </c>
      <c r="H358">
        <f t="shared" ca="1" si="38"/>
        <v>24966</v>
      </c>
      <c r="I358">
        <f t="shared" ca="1" si="39"/>
        <v>32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4"/>
        <v>7300</v>
      </c>
      <c r="D359">
        <f t="shared" ca="1" si="35"/>
        <v>5.99</v>
      </c>
      <c r="E359">
        <f t="shared" ca="1" si="36"/>
        <v>-70</v>
      </c>
      <c r="F359">
        <f t="shared" ca="1" si="37"/>
        <v>540</v>
      </c>
      <c r="G359" s="3" t="b">
        <f ca="1">INDEX(dict_zul_Var_Meth[kval_active],MATCH(table_Methods[[#This Row],[ID]],dict_zul_Var_Meth[ID_Methods],0))</f>
        <v>0</v>
      </c>
      <c r="H359">
        <f t="shared" ca="1" si="38"/>
        <v>28503</v>
      </c>
      <c r="I359">
        <f t="shared" ca="1" si="39"/>
        <v>44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4"/>
        <v>840</v>
      </c>
      <c r="D360">
        <f t="shared" ca="1" si="35"/>
        <v>0.67</v>
      </c>
      <c r="E360">
        <f t="shared" ca="1" si="36"/>
        <v>-60</v>
      </c>
      <c r="F360">
        <f t="shared" ca="1" si="37"/>
        <v>560</v>
      </c>
      <c r="G360" s="3" t="b">
        <f ca="1">INDEX(dict_zul_Var_Meth[kval_active],MATCH(table_Methods[[#This Row],[ID]],dict_zul_Var_Meth[ID_Methods],0))</f>
        <v>0</v>
      </c>
      <c r="H360">
        <f t="shared" ca="1" si="38"/>
        <v>28269</v>
      </c>
      <c r="I360">
        <f t="shared" ca="1" si="39"/>
        <v>2624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4"/>
        <v>560</v>
      </c>
      <c r="D361">
        <f t="shared" ca="1" si="35"/>
        <v>3.41</v>
      </c>
      <c r="E361">
        <f t="shared" ca="1" si="36"/>
        <v>-10</v>
      </c>
      <c r="F361">
        <f t="shared" ca="1" si="37"/>
        <v>200</v>
      </c>
      <c r="G361" s="3" t="b">
        <f ca="1">INDEX(dict_zul_Var_Meth[kval_active],MATCH(table_Methods[[#This Row],[ID]],dict_zul_Var_Meth[ID_Methods],0))</f>
        <v>0</v>
      </c>
      <c r="H361">
        <f t="shared" ca="1" si="38"/>
        <v>381</v>
      </c>
      <c r="I361">
        <f t="shared" ca="1" si="39"/>
        <v>3712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4"/>
        <v>1700</v>
      </c>
      <c r="D362">
        <f t="shared" ca="1" si="35"/>
        <v>4.03</v>
      </c>
      <c r="E362">
        <f t="shared" ca="1" si="36"/>
        <v>-40</v>
      </c>
      <c r="F362">
        <f t="shared" ca="1" si="37"/>
        <v>110</v>
      </c>
      <c r="G362" s="3" t="b">
        <f ca="1">INDEX(dict_zul_Var_Meth[kval_active],MATCH(table_Methods[[#This Row],[ID]],dict_zul_Var_Meth[ID_Methods],0))</f>
        <v>0</v>
      </c>
      <c r="H362">
        <f t="shared" ca="1" si="38"/>
        <v>17265</v>
      </c>
      <c r="I362">
        <f t="shared" ca="1" si="39"/>
        <v>10880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4"/>
        <v>2900</v>
      </c>
      <c r="D363">
        <f t="shared" ca="1" si="35"/>
        <v>9.99</v>
      </c>
      <c r="E363">
        <f t="shared" ca="1" si="36"/>
        <v>20</v>
      </c>
      <c r="F363">
        <f t="shared" ca="1" si="37"/>
        <v>360</v>
      </c>
      <c r="G363" s="3" t="b">
        <f ca="1">INDEX(dict_zul_Var_Meth[kval_active],MATCH(table_Methods[[#This Row],[ID]],dict_zul_Var_Meth[ID_Methods],0))</f>
        <v>0</v>
      </c>
      <c r="H363">
        <f t="shared" ca="1" si="38"/>
        <v>4146</v>
      </c>
      <c r="I363">
        <f t="shared" ca="1" si="39"/>
        <v>10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4"/>
        <v>6000</v>
      </c>
      <c r="D364">
        <f t="shared" ca="1" si="35"/>
        <v>1.58</v>
      </c>
      <c r="E364">
        <f t="shared" ca="1" si="36"/>
        <v>0</v>
      </c>
      <c r="F364">
        <f t="shared" ca="1" si="37"/>
        <v>110</v>
      </c>
      <c r="G364" s="3" t="b">
        <f ca="1">INDEX(dict_zul_Var_Meth[kval_active],MATCH(table_Methods[[#This Row],[ID]],dict_zul_Var_Meth[ID_Methods],0))</f>
        <v>0</v>
      </c>
      <c r="H364">
        <f t="shared" ca="1" si="38"/>
        <v>9498</v>
      </c>
      <c r="I364">
        <f t="shared" ca="1" si="39"/>
        <v>58368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4"/>
        <v>890</v>
      </c>
      <c r="D365">
        <f t="shared" ca="1" si="35"/>
        <v>0.48</v>
      </c>
      <c r="E365">
        <f t="shared" ca="1" si="36"/>
        <v>-70</v>
      </c>
      <c r="F365">
        <f t="shared" ca="1" si="37"/>
        <v>320</v>
      </c>
      <c r="G365" s="3" t="b">
        <f ca="1">INDEX(dict_zul_Var_Meth[kval_active],MATCH(table_Methods[[#This Row],[ID]],dict_zul_Var_Meth[ID_Methods],0))</f>
        <v>0</v>
      </c>
      <c r="H365">
        <f t="shared" ca="1" si="38"/>
        <v>9956</v>
      </c>
      <c r="I365">
        <f t="shared" ca="1" si="39"/>
        <v>1008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4"/>
        <v>4300</v>
      </c>
      <c r="D366">
        <f t="shared" ca="1" si="35"/>
        <v>6.87</v>
      </c>
      <c r="E366">
        <f t="shared" ca="1" si="36"/>
        <v>10</v>
      </c>
      <c r="F366">
        <f t="shared" ca="1" si="37"/>
        <v>740</v>
      </c>
      <c r="G366" s="3" t="b">
        <f ca="1">INDEX(dict_zul_Var_Meth[kval_active],MATCH(table_Methods[[#This Row],[ID]],dict_zul_Var_Meth[ID_Methods],0))</f>
        <v>1</v>
      </c>
      <c r="H366">
        <f t="shared" ca="1" si="38"/>
        <v>408</v>
      </c>
      <c r="I366">
        <f t="shared" ca="1" si="39"/>
        <v>6528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4"/>
        <v>72</v>
      </c>
      <c r="D367">
        <f t="shared" ca="1" si="35"/>
        <v>6.57</v>
      </c>
      <c r="E367">
        <f t="shared" ca="1" si="36"/>
        <v>-50</v>
      </c>
      <c r="F367">
        <f t="shared" ca="1" si="37"/>
        <v>150</v>
      </c>
      <c r="G367" s="3" t="b">
        <f ca="1">INDEX(dict_zul_Var_Meth[kval_active],MATCH(table_Methods[[#This Row],[ID]],dict_zul_Var_Meth[ID_Methods],0))</f>
        <v>1</v>
      </c>
      <c r="H367">
        <f t="shared" ca="1" si="38"/>
        <v>4368</v>
      </c>
      <c r="I367">
        <f t="shared" ca="1" si="39"/>
        <v>46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4"/>
        <v>68</v>
      </c>
      <c r="D368">
        <f t="shared" ca="1" si="35"/>
        <v>8.52</v>
      </c>
      <c r="E368">
        <f t="shared" ca="1" si="36"/>
        <v>0</v>
      </c>
      <c r="F368">
        <f t="shared" ca="1" si="37"/>
        <v>660</v>
      </c>
      <c r="G368" s="3" t="b">
        <f ca="1">INDEX(dict_zul_Var_Meth[kval_active],MATCH(table_Methods[[#This Row],[ID]],dict_zul_Var_Meth[ID_Methods],0))</f>
        <v>0</v>
      </c>
      <c r="H368">
        <f t="shared" ca="1" si="38"/>
        <v>3909</v>
      </c>
      <c r="I368">
        <f t="shared" ca="1" si="39"/>
        <v>96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4"/>
        <v>670</v>
      </c>
      <c r="D369">
        <f t="shared" ca="1" si="35"/>
        <v>3.83</v>
      </c>
      <c r="E369">
        <f t="shared" ca="1" si="36"/>
        <v>-100</v>
      </c>
      <c r="F369">
        <f t="shared" ca="1" si="37"/>
        <v>30</v>
      </c>
      <c r="G369" s="3" t="b">
        <f ca="1">INDEX(dict_zul_Var_Meth[kval_active],MATCH(table_Methods[[#This Row],[ID]],dict_zul_Var_Meth[ID_Methods],0))</f>
        <v>0</v>
      </c>
      <c r="H369">
        <f t="shared" ca="1" si="38"/>
        <v>14430</v>
      </c>
      <c r="I369">
        <f t="shared" ca="1" si="39"/>
        <v>7808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4"/>
        <v>990</v>
      </c>
      <c r="D370">
        <f t="shared" ca="1" si="35"/>
        <v>6.21</v>
      </c>
      <c r="E370">
        <f t="shared" ca="1" si="36"/>
        <v>0</v>
      </c>
      <c r="F370">
        <f t="shared" ca="1" si="37"/>
        <v>260</v>
      </c>
      <c r="G370" s="3" t="b">
        <f ca="1">INDEX(dict_zul_Var_Meth[kval_active],MATCH(table_Methods[[#This Row],[ID]],dict_zul_Var_Meth[ID_Methods],0))</f>
        <v>0</v>
      </c>
      <c r="H370">
        <f t="shared" ca="1" si="38"/>
        <v>33345</v>
      </c>
      <c r="I370">
        <f t="shared" ca="1" si="39"/>
        <v>88064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4"/>
        <v>260</v>
      </c>
      <c r="D371">
        <f t="shared" ca="1" si="35"/>
        <v>6.69</v>
      </c>
      <c r="E371">
        <f t="shared" ca="1" si="36"/>
        <v>-90</v>
      </c>
      <c r="F371">
        <f t="shared" ca="1" si="37"/>
        <v>80</v>
      </c>
      <c r="G371" s="3" t="b">
        <f ca="1">INDEX(dict_zul_Var_Meth[kval_active],MATCH(table_Methods[[#This Row],[ID]],dict_zul_Var_Meth[ID_Methods],0))</f>
        <v>0</v>
      </c>
      <c r="H371">
        <f t="shared" ca="1" si="38"/>
        <v>327</v>
      </c>
      <c r="I371">
        <f t="shared" ca="1" si="39"/>
        <v>680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4"/>
        <v>1600</v>
      </c>
      <c r="D372">
        <f t="shared" ca="1" si="35"/>
        <v>2.58</v>
      </c>
      <c r="E372">
        <f t="shared" ca="1" si="36"/>
        <v>30</v>
      </c>
      <c r="F372">
        <f t="shared" ca="1" si="37"/>
        <v>880</v>
      </c>
      <c r="G372" s="3" t="b">
        <f ca="1">INDEX(dict_zul_Var_Meth[kval_active],MATCH(table_Methods[[#This Row],[ID]],dict_zul_Var_Meth[ID_Methods],0))</f>
        <v>0</v>
      </c>
      <c r="H372">
        <f t="shared" ca="1" si="38"/>
        <v>9846</v>
      </c>
      <c r="I372">
        <f t="shared" ca="1" si="39"/>
        <v>2144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4"/>
        <v>900</v>
      </c>
      <c r="D373">
        <f t="shared" ca="1" si="35"/>
        <v>9.7799999999999994</v>
      </c>
      <c r="E373">
        <f t="shared" ca="1" si="36"/>
        <v>-100</v>
      </c>
      <c r="F373">
        <f t="shared" ca="1" si="37"/>
        <v>900</v>
      </c>
      <c r="G373" s="3" t="b">
        <f ca="1">INDEX(dict_zul_Var_Meth[kval_active],MATCH(table_Methods[[#This Row],[ID]],dict_zul_Var_Meth[ID_Methods],0))</f>
        <v>1</v>
      </c>
      <c r="H373">
        <f t="shared" ca="1" si="38"/>
        <v>17559</v>
      </c>
      <c r="I373">
        <f t="shared" ca="1" si="39"/>
        <v>7424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4"/>
        <v>84</v>
      </c>
      <c r="D374">
        <f t="shared" ca="1" si="35"/>
        <v>9.7899999999999991</v>
      </c>
      <c r="E374">
        <f t="shared" ca="1" si="36"/>
        <v>0</v>
      </c>
      <c r="F374">
        <f t="shared" ca="1" si="37"/>
        <v>610</v>
      </c>
      <c r="G374" s="3" t="b">
        <f ca="1">INDEX(dict_zul_Var_Meth[kval_active],MATCH(table_Methods[[#This Row],[ID]],dict_zul_Var_Meth[ID_Methods],0))</f>
        <v>0</v>
      </c>
      <c r="H374">
        <f t="shared" ca="1" si="38"/>
        <v>9730</v>
      </c>
      <c r="I374">
        <f t="shared" ca="1" si="39"/>
        <v>166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4"/>
        <v>860</v>
      </c>
      <c r="D375">
        <f t="shared" ca="1" si="35"/>
        <v>0.64</v>
      </c>
      <c r="E375">
        <f t="shared" ca="1" si="36"/>
        <v>-50</v>
      </c>
      <c r="F375">
        <f t="shared" ca="1" si="37"/>
        <v>430</v>
      </c>
      <c r="G375" s="3" t="b">
        <f ca="1">INDEX(dict_zul_Var_Meth[kval_active],MATCH(table_Methods[[#This Row],[ID]],dict_zul_Var_Meth[ID_Methods],0))</f>
        <v>0</v>
      </c>
      <c r="H375">
        <f t="shared" ca="1" si="38"/>
        <v>4218</v>
      </c>
      <c r="I375">
        <f t="shared" ca="1" si="39"/>
        <v>5824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4"/>
        <v>140</v>
      </c>
      <c r="D376">
        <f t="shared" ca="1" si="35"/>
        <v>2.0099999999999998</v>
      </c>
      <c r="E376">
        <f t="shared" ca="1" si="36"/>
        <v>30</v>
      </c>
      <c r="F376">
        <f t="shared" ca="1" si="37"/>
        <v>810</v>
      </c>
      <c r="G376" s="3" t="b">
        <f ca="1">INDEX(dict_zul_Var_Meth[kval_active],MATCH(table_Methods[[#This Row],[ID]],dict_zul_Var_Meth[ID_Methods],0))</f>
        <v>0</v>
      </c>
      <c r="H376">
        <f t="shared" ca="1" si="38"/>
        <v>9989</v>
      </c>
      <c r="I376">
        <f t="shared" ca="1" si="39"/>
        <v>8192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4"/>
        <v>91</v>
      </c>
      <c r="D377">
        <f t="shared" ca="1" si="35"/>
        <v>4.8099999999999996</v>
      </c>
      <c r="E377">
        <f t="shared" ca="1" si="36"/>
        <v>-10</v>
      </c>
      <c r="F377">
        <f t="shared" ca="1" si="37"/>
        <v>80</v>
      </c>
      <c r="G377" s="3" t="b">
        <f ca="1">INDEX(dict_zul_Var_Meth[kval_active],MATCH(table_Methods[[#This Row],[ID]],dict_zul_Var_Meth[ID_Methods],0))</f>
        <v>0</v>
      </c>
      <c r="H377">
        <f t="shared" ca="1" si="38"/>
        <v>8020</v>
      </c>
      <c r="I377">
        <f t="shared" ca="1" si="39"/>
        <v>72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4"/>
        <v>700</v>
      </c>
      <c r="D378">
        <f t="shared" ca="1" si="35"/>
        <v>2.83</v>
      </c>
      <c r="E378">
        <f t="shared" ca="1" si="36"/>
        <v>-20</v>
      </c>
      <c r="F378">
        <f t="shared" ca="1" si="37"/>
        <v>540</v>
      </c>
      <c r="G378" s="3" t="b">
        <f ca="1">INDEX(dict_zul_Var_Meth[kval_active],MATCH(table_Methods[[#This Row],[ID]],dict_zul_Var_Meth[ID_Methods],0))</f>
        <v>0</v>
      </c>
      <c r="H378">
        <f t="shared" ca="1" si="38"/>
        <v>33943</v>
      </c>
      <c r="I378">
        <f t="shared" ca="1" si="39"/>
        <v>4928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4"/>
        <v>1000</v>
      </c>
      <c r="D379">
        <f t="shared" ca="1" si="35"/>
        <v>5.18</v>
      </c>
      <c r="E379">
        <f t="shared" ca="1" si="36"/>
        <v>-30</v>
      </c>
      <c r="F379">
        <f t="shared" ca="1" si="37"/>
        <v>730</v>
      </c>
      <c r="G379" s="3" t="b">
        <f ca="1">INDEX(dict_zul_Var_Meth[kval_active],MATCH(table_Methods[[#This Row],[ID]],dict_zul_Var_Meth[ID_Methods],0))</f>
        <v>0</v>
      </c>
      <c r="H379">
        <f t="shared" ca="1" si="38"/>
        <v>4980</v>
      </c>
      <c r="I379">
        <f t="shared" ca="1" si="39"/>
        <v>352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4"/>
        <v>40</v>
      </c>
      <c r="D380">
        <f t="shared" ca="1" si="35"/>
        <v>7.66</v>
      </c>
      <c r="E380">
        <f t="shared" ca="1" si="36"/>
        <v>-100</v>
      </c>
      <c r="F380">
        <f t="shared" ca="1" si="37"/>
        <v>490</v>
      </c>
      <c r="G380" s="3" t="b">
        <f ca="1">INDEX(dict_zul_Var_Meth[kval_active],MATCH(table_Methods[[#This Row],[ID]],dict_zul_Var_Meth[ID_Methods],0))</f>
        <v>1</v>
      </c>
      <c r="H380">
        <f t="shared" ca="1" si="38"/>
        <v>18108</v>
      </c>
      <c r="I380">
        <f t="shared" ca="1" si="39"/>
        <v>30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4"/>
        <v>2400</v>
      </c>
      <c r="D381">
        <f t="shared" ca="1" si="35"/>
        <v>3.89</v>
      </c>
      <c r="E381">
        <f t="shared" ca="1" si="36"/>
        <v>-10</v>
      </c>
      <c r="F381">
        <f t="shared" ca="1" si="37"/>
        <v>290</v>
      </c>
      <c r="G381" s="3" t="b">
        <f ca="1">INDEX(dict_zul_Var_Meth[kval_active],MATCH(table_Methods[[#This Row],[ID]],dict_zul_Var_Meth[ID_Methods],0))</f>
        <v>0</v>
      </c>
      <c r="H381">
        <f t="shared" ca="1" si="38"/>
        <v>32480</v>
      </c>
      <c r="I381">
        <f t="shared" ca="1" si="39"/>
        <v>9984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4"/>
        <v>2400</v>
      </c>
      <c r="D382">
        <f t="shared" ca="1" si="35"/>
        <v>9.0500000000000007</v>
      </c>
      <c r="E382">
        <f t="shared" ca="1" si="36"/>
        <v>-20</v>
      </c>
      <c r="F382">
        <f t="shared" ca="1" si="37"/>
        <v>640</v>
      </c>
      <c r="G382" s="3" t="b">
        <f ca="1">INDEX(dict_zul_Var_Meth[kval_active],MATCH(table_Methods[[#This Row],[ID]],dict_zul_Var_Meth[ID_Methods],0))</f>
        <v>0</v>
      </c>
      <c r="H382">
        <f t="shared" ca="1" si="38"/>
        <v>5748</v>
      </c>
      <c r="I382">
        <f t="shared" ca="1" si="39"/>
        <v>944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4"/>
        <v>8400</v>
      </c>
      <c r="D383">
        <f t="shared" ca="1" si="35"/>
        <v>4.79</v>
      </c>
      <c r="E383">
        <f t="shared" ca="1" si="36"/>
        <v>-30</v>
      </c>
      <c r="F383">
        <f t="shared" ca="1" si="37"/>
        <v>490</v>
      </c>
      <c r="G383" s="3" t="b">
        <f ca="1">INDEX(dict_zul_Var_Meth[kval_active],MATCH(table_Methods[[#This Row],[ID]],dict_zul_Var_Meth[ID_Methods],0))</f>
        <v>0</v>
      </c>
      <c r="H383">
        <f t="shared" ca="1" si="38"/>
        <v>24346</v>
      </c>
      <c r="I383">
        <f t="shared" ca="1" si="39"/>
        <v>14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4"/>
        <v>8500</v>
      </c>
      <c r="D384">
        <f t="shared" ca="1" si="35"/>
        <v>5.28</v>
      </c>
      <c r="E384">
        <f t="shared" ca="1" si="36"/>
        <v>-100</v>
      </c>
      <c r="F384">
        <f t="shared" ca="1" si="37"/>
        <v>400</v>
      </c>
      <c r="G384" s="3" t="b">
        <f ca="1">INDEX(dict_zul_Var_Meth[kval_active],MATCH(table_Methods[[#This Row],[ID]],dict_zul_Var_Meth[ID_Methods],0))</f>
        <v>0</v>
      </c>
      <c r="H384">
        <f t="shared" ca="1" si="38"/>
        <v>18072</v>
      </c>
      <c r="I384">
        <f t="shared" ca="1" si="39"/>
        <v>488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4"/>
        <v>4900</v>
      </c>
      <c r="D385">
        <f t="shared" ca="1" si="35"/>
        <v>4.32</v>
      </c>
      <c r="E385">
        <f t="shared" ca="1" si="36"/>
        <v>-40</v>
      </c>
      <c r="F385">
        <f t="shared" ca="1" si="37"/>
        <v>620</v>
      </c>
      <c r="G385" s="3" t="b">
        <f ca="1">INDEX(dict_zul_Var_Meth[kval_active],MATCH(table_Methods[[#This Row],[ID]],dict_zul_Var_Meth[ID_Methods],0))</f>
        <v>0</v>
      </c>
      <c r="H385">
        <f t="shared" ca="1" si="38"/>
        <v>45300</v>
      </c>
      <c r="I385">
        <f t="shared" ca="1" si="39"/>
        <v>4992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40">10^(RANDBETWEEN(-1,1))*RANDBETWEEN(1,100)*10</f>
        <v>1600</v>
      </c>
      <c r="D386">
        <f t="shared" ca="1" si="35"/>
        <v>0.69</v>
      </c>
      <c r="E386">
        <f t="shared" ca="1" si="36"/>
        <v>-70</v>
      </c>
      <c r="F386">
        <f t="shared" ca="1" si="37"/>
        <v>640</v>
      </c>
      <c r="G386" s="3" t="b">
        <f ca="1">INDEX(dict_zul_Var_Meth[kval_active],MATCH(table_Methods[[#This Row],[ID]],dict_zul_Var_Meth[ID_Methods],0))</f>
        <v>0</v>
      </c>
      <c r="H386">
        <f t="shared" ca="1" si="38"/>
        <v>9142</v>
      </c>
      <c r="I386">
        <f t="shared" ca="1" si="39"/>
        <v>64512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40"/>
        <v>130</v>
      </c>
      <c r="D387">
        <f t="shared" ref="D387:D450" ca="1" si="41">RANDBETWEEN(10,1000)/(100)</f>
        <v>3.26</v>
      </c>
      <c r="E387">
        <f t="shared" ca="1" si="36"/>
        <v>-90</v>
      </c>
      <c r="F387">
        <f t="shared" ca="1" si="37"/>
        <v>560</v>
      </c>
      <c r="G387" s="3" t="b">
        <f ca="1">INDEX(dict_zul_Var_Meth[kval_active],MATCH(table_Methods[[#This Row],[ID]],dict_zul_Var_Meth[ID_Methods],0))</f>
        <v>0</v>
      </c>
      <c r="H387">
        <f t="shared" ca="1" si="38"/>
        <v>18764</v>
      </c>
      <c r="I387">
        <f t="shared" ca="1" si="39"/>
        <v>1792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40"/>
        <v>12.000000000000002</v>
      </c>
      <c r="D388">
        <f t="shared" ca="1" si="41"/>
        <v>7.6</v>
      </c>
      <c r="E388">
        <f t="shared" ca="1" si="36"/>
        <v>-100</v>
      </c>
      <c r="F388">
        <f t="shared" ca="1" si="37"/>
        <v>320</v>
      </c>
      <c r="G388" s="3" t="b">
        <f ca="1">INDEX(dict_zul_Var_Meth[kval_active],MATCH(table_Methods[[#This Row],[ID]],dict_zul_Var_Meth[ID_Methods],0))</f>
        <v>0</v>
      </c>
      <c r="H388">
        <f t="shared" ca="1" si="38"/>
        <v>9528</v>
      </c>
      <c r="I388">
        <f t="shared" ca="1" si="39"/>
        <v>19456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40"/>
        <v>72</v>
      </c>
      <c r="D389">
        <f t="shared" ca="1" si="41"/>
        <v>0.73</v>
      </c>
      <c r="E389">
        <f t="shared" ca="1" si="36"/>
        <v>-60</v>
      </c>
      <c r="F389">
        <f t="shared" ca="1" si="37"/>
        <v>980</v>
      </c>
      <c r="G389" s="3" t="b">
        <f ca="1">INDEX(dict_zul_Var_Meth[kval_active],MATCH(table_Methods[[#This Row],[ID]],dict_zul_Var_Meth[ID_Methods],0))</f>
        <v>0</v>
      </c>
      <c r="H389">
        <f t="shared" ca="1" si="38"/>
        <v>12235</v>
      </c>
      <c r="I389">
        <f t="shared" ca="1" si="39"/>
        <v>72704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40"/>
        <v>5600</v>
      </c>
      <c r="D390">
        <f t="shared" ca="1" si="41"/>
        <v>5.39</v>
      </c>
      <c r="E390">
        <f t="shared" ca="1" si="36"/>
        <v>0</v>
      </c>
      <c r="F390">
        <f t="shared" ca="1" si="37"/>
        <v>160</v>
      </c>
      <c r="G390" s="3" t="b">
        <f ca="1">INDEX(dict_zul_Var_Meth[kval_active],MATCH(table_Methods[[#This Row],[ID]],dict_zul_Var_Meth[ID_Methods],0))</f>
        <v>0</v>
      </c>
      <c r="H390">
        <f t="shared" ca="1" si="38"/>
        <v>28140</v>
      </c>
      <c r="I390">
        <f t="shared" ca="1" si="39"/>
        <v>47616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40"/>
        <v>380</v>
      </c>
      <c r="D391">
        <f t="shared" ca="1" si="41"/>
        <v>4.09</v>
      </c>
      <c r="E391">
        <f t="shared" ca="1" si="36"/>
        <v>-80</v>
      </c>
      <c r="F391">
        <f t="shared" ca="1" si="37"/>
        <v>710</v>
      </c>
      <c r="G391" s="3" t="b">
        <f ca="1">INDEX(dict_zul_Var_Meth[kval_active],MATCH(table_Methods[[#This Row],[ID]],dict_zul_Var_Meth[ID_Methods],0))</f>
        <v>0</v>
      </c>
      <c r="H391">
        <f t="shared" ca="1" si="38"/>
        <v>45660</v>
      </c>
      <c r="I391">
        <f t="shared" ca="1" si="39"/>
        <v>3584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40"/>
        <v>22</v>
      </c>
      <c r="D392">
        <f t="shared" ca="1" si="41"/>
        <v>7.36</v>
      </c>
      <c r="E392">
        <f t="shared" ca="1" si="36"/>
        <v>-100</v>
      </c>
      <c r="F392">
        <f t="shared" ca="1" si="37"/>
        <v>120</v>
      </c>
      <c r="G392" s="3" t="b">
        <f ca="1">INDEX(dict_zul_Var_Meth[kval_active],MATCH(table_Methods[[#This Row],[ID]],dict_zul_Var_Meth[ID_Methods],0))</f>
        <v>0</v>
      </c>
      <c r="H392">
        <f t="shared" ca="1" si="38"/>
        <v>31293</v>
      </c>
      <c r="I392">
        <f t="shared" ca="1" si="39"/>
        <v>180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40"/>
        <v>85</v>
      </c>
      <c r="D393">
        <f t="shared" ca="1" si="41"/>
        <v>5.55</v>
      </c>
      <c r="E393">
        <f t="shared" ca="1" si="36"/>
        <v>-90</v>
      </c>
      <c r="F393">
        <f t="shared" ca="1" si="37"/>
        <v>610</v>
      </c>
      <c r="G393" s="3" t="b">
        <f ca="1">INDEX(dict_zul_Var_Meth[kval_active],MATCH(table_Methods[[#This Row],[ID]],dict_zul_Var_Meth[ID_Methods],0))</f>
        <v>0</v>
      </c>
      <c r="H393">
        <f t="shared" ca="1" si="38"/>
        <v>29124</v>
      </c>
      <c r="I393">
        <f t="shared" ca="1" si="39"/>
        <v>3968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40"/>
        <v>500</v>
      </c>
      <c r="D394">
        <f t="shared" ca="1" si="41"/>
        <v>3.91</v>
      </c>
      <c r="E394">
        <f t="shared" ca="1" si="36"/>
        <v>-60</v>
      </c>
      <c r="F394">
        <f t="shared" ca="1" si="37"/>
        <v>220</v>
      </c>
      <c r="G394" s="3" t="b">
        <f ca="1">INDEX(dict_zul_Var_Meth[kval_active],MATCH(table_Methods[[#This Row],[ID]],dict_zul_Var_Meth[ID_Methods],0))</f>
        <v>0</v>
      </c>
      <c r="H394">
        <f t="shared" ca="1" si="38"/>
        <v>38340</v>
      </c>
      <c r="I394">
        <f t="shared" ca="1" si="39"/>
        <v>18432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40"/>
        <v>300</v>
      </c>
      <c r="D395">
        <f t="shared" ca="1" si="41"/>
        <v>9.94</v>
      </c>
      <c r="E395">
        <f t="shared" ca="1" si="36"/>
        <v>-40</v>
      </c>
      <c r="F395">
        <f t="shared" ca="1" si="37"/>
        <v>650</v>
      </c>
      <c r="G395" s="3" t="b">
        <f ca="1">INDEX(dict_zul_Var_Meth[kval_active],MATCH(table_Methods[[#This Row],[ID]],dict_zul_Var_Meth[ID_Methods],0))</f>
        <v>0</v>
      </c>
      <c r="H395">
        <f t="shared" ca="1" si="38"/>
        <v>17064</v>
      </c>
      <c r="I395">
        <f t="shared" ca="1" si="39"/>
        <v>48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40"/>
        <v>220</v>
      </c>
      <c r="D396">
        <f t="shared" ca="1" si="41"/>
        <v>4.83</v>
      </c>
      <c r="E396">
        <f t="shared" ca="1" si="36"/>
        <v>-60</v>
      </c>
      <c r="F396">
        <f t="shared" ca="1" si="37"/>
        <v>260</v>
      </c>
      <c r="G396" s="3" t="b">
        <f ca="1">INDEX(dict_zul_Var_Meth[kval_active],MATCH(table_Methods[[#This Row],[ID]],dict_zul_Var_Meth[ID_Methods],0))</f>
        <v>0</v>
      </c>
      <c r="H396">
        <f t="shared" ca="1" si="38"/>
        <v>3066</v>
      </c>
      <c r="I396">
        <f t="shared" ca="1" si="39"/>
        <v>4096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40"/>
        <v>780</v>
      </c>
      <c r="D397">
        <f t="shared" ca="1" si="41"/>
        <v>4.7</v>
      </c>
      <c r="E397">
        <f t="shared" ca="1" si="36"/>
        <v>-50</v>
      </c>
      <c r="F397">
        <f t="shared" ca="1" si="37"/>
        <v>490</v>
      </c>
      <c r="G397" s="3" t="b">
        <f ca="1">INDEX(dict_zul_Var_Meth[kval_active],MATCH(table_Methods[[#This Row],[ID]],dict_zul_Var_Meth[ID_Methods],0))</f>
        <v>0</v>
      </c>
      <c r="H397">
        <f t="shared" ca="1" si="38"/>
        <v>5052</v>
      </c>
      <c r="I397">
        <f t="shared" ca="1" si="39"/>
        <v>3072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40"/>
        <v>3700</v>
      </c>
      <c r="D398">
        <f t="shared" ca="1" si="41"/>
        <v>5.58</v>
      </c>
      <c r="E398">
        <f t="shared" ca="1" si="36"/>
        <v>-20</v>
      </c>
      <c r="F398">
        <f t="shared" ca="1" si="37"/>
        <v>670</v>
      </c>
      <c r="G398" s="3" t="b">
        <f ca="1">INDEX(dict_zul_Var_Meth[kval_active],MATCH(table_Methods[[#This Row],[ID]],dict_zul_Var_Meth[ID_Methods],0))</f>
        <v>0</v>
      </c>
      <c r="H398">
        <f t="shared" ca="1" si="38"/>
        <v>1046</v>
      </c>
      <c r="I398">
        <f t="shared" ca="1" si="39"/>
        <v>29696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40"/>
        <v>3000</v>
      </c>
      <c r="D399">
        <f t="shared" ca="1" si="41"/>
        <v>7.25</v>
      </c>
      <c r="E399">
        <f t="shared" ca="1" si="36"/>
        <v>-50</v>
      </c>
      <c r="F399">
        <f t="shared" ca="1" si="37"/>
        <v>510</v>
      </c>
      <c r="G399" s="3" t="b">
        <f ca="1">INDEX(dict_zul_Var_Meth[kval_active],MATCH(table_Methods[[#This Row],[ID]],dict_zul_Var_Meth[ID_Methods],0))</f>
        <v>0</v>
      </c>
      <c r="H399">
        <f t="shared" ca="1" si="38"/>
        <v>3690</v>
      </c>
      <c r="I399">
        <f t="shared" ca="1" si="39"/>
        <v>24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40"/>
        <v>6.0000000000000009</v>
      </c>
      <c r="D400">
        <f t="shared" ca="1" si="41"/>
        <v>5.7</v>
      </c>
      <c r="E400">
        <f t="shared" ca="1" si="36"/>
        <v>20</v>
      </c>
      <c r="F400">
        <f t="shared" ca="1" si="37"/>
        <v>430</v>
      </c>
      <c r="G400" s="3" t="b">
        <f ca="1">INDEX(dict_zul_Var_Meth[kval_active],MATCH(table_Methods[[#This Row],[ID]],dict_zul_Var_Meth[ID_Methods],0))</f>
        <v>0</v>
      </c>
      <c r="H400">
        <f t="shared" ca="1" si="38"/>
        <v>5554</v>
      </c>
      <c r="I400">
        <f t="shared" ca="1" si="39"/>
        <v>114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40"/>
        <v>330</v>
      </c>
      <c r="D401">
        <f t="shared" ca="1" si="41"/>
        <v>6.24</v>
      </c>
      <c r="E401">
        <f t="shared" ca="1" si="36"/>
        <v>30</v>
      </c>
      <c r="F401">
        <f t="shared" ca="1" si="37"/>
        <v>760</v>
      </c>
      <c r="G401" s="3" t="b">
        <f ca="1">INDEX(dict_zul_Var_Meth[kval_active],MATCH(table_Methods[[#This Row],[ID]],dict_zul_Var_Meth[ID_Methods],0))</f>
        <v>0</v>
      </c>
      <c r="H401">
        <f t="shared" ca="1" si="38"/>
        <v>14823</v>
      </c>
      <c r="I401">
        <f t="shared" ca="1" si="39"/>
        <v>12800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40"/>
        <v>660</v>
      </c>
      <c r="D402">
        <f t="shared" ca="1" si="41"/>
        <v>0.62</v>
      </c>
      <c r="E402">
        <f t="shared" ca="1" si="36"/>
        <v>30</v>
      </c>
      <c r="F402">
        <f t="shared" ca="1" si="37"/>
        <v>30</v>
      </c>
      <c r="G402" s="3" t="b">
        <f ca="1">INDEX(dict_zul_Var_Meth[kval_active],MATCH(table_Methods[[#This Row],[ID]],dict_zul_Var_Meth[ID_Methods],0))</f>
        <v>1</v>
      </c>
      <c r="H402">
        <f t="shared" ca="1" si="38"/>
        <v>4489</v>
      </c>
      <c r="I402">
        <f t="shared" ca="1" si="39"/>
        <v>488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40"/>
        <v>8600</v>
      </c>
      <c r="D403">
        <f t="shared" ca="1" si="41"/>
        <v>6.67</v>
      </c>
      <c r="E403">
        <f t="shared" ca="1" si="36"/>
        <v>30</v>
      </c>
      <c r="F403">
        <f t="shared" ca="1" si="37"/>
        <v>1000</v>
      </c>
      <c r="G403" s="3" t="b">
        <f ca="1">INDEX(dict_zul_Var_Meth[kval_active],MATCH(table_Methods[[#This Row],[ID]],dict_zul_Var_Meth[ID_Methods],0))</f>
        <v>0</v>
      </c>
      <c r="H403">
        <f t="shared" ca="1" si="38"/>
        <v>16896</v>
      </c>
      <c r="I403">
        <f t="shared" ca="1" si="39"/>
        <v>24576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40"/>
        <v>860</v>
      </c>
      <c r="D404">
        <f t="shared" ca="1" si="41"/>
        <v>1.99</v>
      </c>
      <c r="E404">
        <f t="shared" ca="1" si="36"/>
        <v>-100</v>
      </c>
      <c r="F404">
        <f t="shared" ca="1" si="37"/>
        <v>210</v>
      </c>
      <c r="G404" s="3" t="b">
        <f ca="1">INDEX(dict_zul_Var_Meth[kval_active],MATCH(table_Methods[[#This Row],[ID]],dict_zul_Var_Meth[ID_Methods],0))</f>
        <v>0</v>
      </c>
      <c r="H404">
        <f t="shared" ca="1" si="38"/>
        <v>660</v>
      </c>
      <c r="I404">
        <f t="shared" ca="1" si="39"/>
        <v>2432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40"/>
        <v>2100</v>
      </c>
      <c r="D405">
        <f t="shared" ca="1" si="41"/>
        <v>8.31</v>
      </c>
      <c r="E405">
        <f t="shared" ca="1" si="36"/>
        <v>20</v>
      </c>
      <c r="F405">
        <f t="shared" ca="1" si="37"/>
        <v>650</v>
      </c>
      <c r="G405" s="3" t="b">
        <f ca="1">INDEX(dict_zul_Var_Meth[kval_active],MATCH(table_Methods[[#This Row],[ID]],dict_zul_Var_Meth[ID_Methods],0))</f>
        <v>1</v>
      </c>
      <c r="H405">
        <f t="shared" ca="1" si="38"/>
        <v>10948</v>
      </c>
      <c r="I405">
        <f t="shared" ca="1" si="39"/>
        <v>284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40"/>
        <v>730</v>
      </c>
      <c r="D406">
        <f t="shared" ca="1" si="41"/>
        <v>3.47</v>
      </c>
      <c r="E406">
        <f t="shared" ca="1" si="36"/>
        <v>0</v>
      </c>
      <c r="F406">
        <f t="shared" ca="1" si="37"/>
        <v>540</v>
      </c>
      <c r="G406" s="3" t="b">
        <f ca="1">INDEX(dict_zul_Var_Meth[kval_active],MATCH(table_Methods[[#This Row],[ID]],dict_zul_Var_Meth[ID_Methods],0))</f>
        <v>0</v>
      </c>
      <c r="H406">
        <f t="shared" ca="1" si="38"/>
        <v>32550</v>
      </c>
      <c r="I406">
        <f t="shared" ca="1" si="39"/>
        <v>228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40"/>
        <v>9700</v>
      </c>
      <c r="D407">
        <f t="shared" ca="1" si="41"/>
        <v>4.2699999999999996</v>
      </c>
      <c r="E407">
        <f t="shared" ca="1" si="36"/>
        <v>-70</v>
      </c>
      <c r="F407">
        <f t="shared" ca="1" si="37"/>
        <v>90</v>
      </c>
      <c r="G407" s="3" t="b">
        <f ca="1">INDEX(dict_zul_Var_Meth[kval_active],MATCH(table_Methods[[#This Row],[ID]],dict_zul_Var_Meth[ID_Methods],0))</f>
        <v>0</v>
      </c>
      <c r="H407">
        <f t="shared" ca="1" si="38"/>
        <v>24048</v>
      </c>
      <c r="I407">
        <f t="shared" ca="1" si="39"/>
        <v>3264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40"/>
        <v>48.000000000000007</v>
      </c>
      <c r="D408">
        <f t="shared" ca="1" si="41"/>
        <v>2.0299999999999998</v>
      </c>
      <c r="E408">
        <f t="shared" ca="1" si="36"/>
        <v>20</v>
      </c>
      <c r="F408">
        <f t="shared" ca="1" si="37"/>
        <v>180</v>
      </c>
      <c r="G408" s="3" t="b">
        <f ca="1">INDEX(dict_zul_Var_Meth[kval_active],MATCH(table_Methods[[#This Row],[ID]],dict_zul_Var_Meth[ID_Methods],0))</f>
        <v>0</v>
      </c>
      <c r="H408">
        <f t="shared" ca="1" si="38"/>
        <v>318</v>
      </c>
      <c r="I408">
        <f t="shared" ca="1" si="39"/>
        <v>128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40"/>
        <v>470</v>
      </c>
      <c r="D409">
        <f t="shared" ca="1" si="41"/>
        <v>4.51</v>
      </c>
      <c r="E409">
        <f t="shared" ca="1" si="36"/>
        <v>10</v>
      </c>
      <c r="F409">
        <f t="shared" ca="1" si="37"/>
        <v>80</v>
      </c>
      <c r="G409" s="3" t="b">
        <f ca="1">INDEX(dict_zul_Var_Meth[kval_active],MATCH(table_Methods[[#This Row],[ID]],dict_zul_Var_Meth[ID_Methods],0))</f>
        <v>0</v>
      </c>
      <c r="H409">
        <f t="shared" ca="1" si="38"/>
        <v>25067</v>
      </c>
      <c r="I409">
        <f t="shared" ca="1" si="39"/>
        <v>4992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40"/>
        <v>96.000000000000014</v>
      </c>
      <c r="D410">
        <f t="shared" ca="1" si="41"/>
        <v>0.7</v>
      </c>
      <c r="E410">
        <f t="shared" ca="1" si="36"/>
        <v>-70</v>
      </c>
      <c r="F410">
        <f t="shared" ca="1" si="37"/>
        <v>360</v>
      </c>
      <c r="G410" s="3" t="b">
        <f ca="1">INDEX(dict_zul_Var_Meth[kval_active],MATCH(table_Methods[[#This Row],[ID]],dict_zul_Var_Meth[ID_Methods],0))</f>
        <v>0</v>
      </c>
      <c r="H410">
        <f t="shared" ca="1" si="38"/>
        <v>12150</v>
      </c>
      <c r="I410">
        <f t="shared" ca="1" si="39"/>
        <v>72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40"/>
        <v>50</v>
      </c>
      <c r="D411">
        <f t="shared" ca="1" si="41"/>
        <v>2.97</v>
      </c>
      <c r="E411">
        <f t="shared" ca="1" si="36"/>
        <v>-60</v>
      </c>
      <c r="F411">
        <f t="shared" ca="1" si="37"/>
        <v>980</v>
      </c>
      <c r="G411" s="3" t="b">
        <f ca="1">INDEX(dict_zul_Var_Meth[kval_active],MATCH(table_Methods[[#This Row],[ID]],dict_zul_Var_Meth[ID_Methods],0))</f>
        <v>0</v>
      </c>
      <c r="H411">
        <f t="shared" ca="1" si="38"/>
        <v>18576</v>
      </c>
      <c r="I411">
        <f t="shared" ca="1" si="39"/>
        <v>704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40"/>
        <v>2900</v>
      </c>
      <c r="D412">
        <f t="shared" ca="1" si="41"/>
        <v>8.8000000000000007</v>
      </c>
      <c r="E412">
        <f t="shared" ca="1" si="36"/>
        <v>-100</v>
      </c>
      <c r="F412">
        <f t="shared" ca="1" si="37"/>
        <v>590</v>
      </c>
      <c r="G412" s="3" t="b">
        <f ca="1">INDEX(dict_zul_Var_Meth[kval_active],MATCH(table_Methods[[#This Row],[ID]],dict_zul_Var_Meth[ID_Methods],0))</f>
        <v>0</v>
      </c>
      <c r="H412">
        <f t="shared" ca="1" si="38"/>
        <v>13968</v>
      </c>
      <c r="I412">
        <f t="shared" ca="1" si="39"/>
        <v>1152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40"/>
        <v>6000</v>
      </c>
      <c r="D413">
        <f t="shared" ca="1" si="41"/>
        <v>1.54</v>
      </c>
      <c r="E413">
        <f t="shared" ca="1" si="36"/>
        <v>20</v>
      </c>
      <c r="F413">
        <f t="shared" ca="1" si="37"/>
        <v>930</v>
      </c>
      <c r="G413" s="3" t="b">
        <f ca="1">INDEX(dict_zul_Var_Meth[kval_active],MATCH(table_Methods[[#This Row],[ID]],dict_zul_Var_Meth[ID_Methods],0))</f>
        <v>0</v>
      </c>
      <c r="H413">
        <f t="shared" ca="1" si="38"/>
        <v>10524</v>
      </c>
      <c r="I413">
        <f t="shared" ca="1" si="39"/>
        <v>64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40"/>
        <v>970</v>
      </c>
      <c r="D414">
        <f t="shared" ca="1" si="41"/>
        <v>8.1999999999999993</v>
      </c>
      <c r="E414">
        <f t="shared" ca="1" si="36"/>
        <v>10</v>
      </c>
      <c r="F414">
        <f t="shared" ca="1" si="37"/>
        <v>740</v>
      </c>
      <c r="G414" s="3" t="b">
        <f ca="1">INDEX(dict_zul_Var_Meth[kval_active],MATCH(table_Methods[[#This Row],[ID]],dict_zul_Var_Meth[ID_Methods],0))</f>
        <v>0</v>
      </c>
      <c r="H414">
        <f t="shared" ca="1" si="38"/>
        <v>24957</v>
      </c>
      <c r="I414">
        <f t="shared" ca="1" si="39"/>
        <v>4352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40"/>
        <v>40</v>
      </c>
      <c r="D415">
        <f t="shared" ca="1" si="41"/>
        <v>8.0299999999999994</v>
      </c>
      <c r="E415">
        <f t="shared" ca="1" si="36"/>
        <v>20</v>
      </c>
      <c r="F415">
        <f t="shared" ca="1" si="37"/>
        <v>330</v>
      </c>
      <c r="G415" s="3" t="b">
        <f ca="1">INDEX(dict_zul_Var_Meth[kval_active],MATCH(table_Methods[[#This Row],[ID]],dict_zul_Var_Meth[ID_Methods],0))</f>
        <v>0</v>
      </c>
      <c r="H415">
        <f t="shared" ca="1" si="38"/>
        <v>34860</v>
      </c>
      <c r="I415">
        <f t="shared" ca="1" si="39"/>
        <v>140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40"/>
        <v>700</v>
      </c>
      <c r="D416">
        <f t="shared" ca="1" si="41"/>
        <v>6.87</v>
      </c>
      <c r="E416">
        <f t="shared" ca="1" si="36"/>
        <v>-10</v>
      </c>
      <c r="F416">
        <f t="shared" ca="1" si="37"/>
        <v>590</v>
      </c>
      <c r="G416" s="3" t="b">
        <f ca="1">INDEX(dict_zul_Var_Meth[kval_active],MATCH(table_Methods[[#This Row],[ID]],dict_zul_Var_Meth[ID_Methods],0))</f>
        <v>0</v>
      </c>
      <c r="H416">
        <f t="shared" ca="1" si="38"/>
        <v>1457</v>
      </c>
      <c r="I416">
        <f t="shared" ca="1" si="39"/>
        <v>392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40"/>
        <v>8900</v>
      </c>
      <c r="D417">
        <f t="shared" ca="1" si="41"/>
        <v>0.75</v>
      </c>
      <c r="E417">
        <f t="shared" ca="1" si="36"/>
        <v>-10</v>
      </c>
      <c r="F417">
        <f t="shared" ca="1" si="37"/>
        <v>970</v>
      </c>
      <c r="G417" s="3" t="b">
        <f ca="1">INDEX(dict_zul_Var_Meth[kval_active],MATCH(table_Methods[[#This Row],[ID]],dict_zul_Var_Meth[ID_Methods],0))</f>
        <v>0</v>
      </c>
      <c r="H417">
        <f t="shared" ca="1" si="38"/>
        <v>1489</v>
      </c>
      <c r="I417">
        <f t="shared" ca="1" si="39"/>
        <v>584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40"/>
        <v>8900</v>
      </c>
      <c r="D418">
        <f t="shared" ca="1" si="41"/>
        <v>6.41</v>
      </c>
      <c r="E418">
        <f t="shared" ca="1" si="36"/>
        <v>-20</v>
      </c>
      <c r="F418">
        <f t="shared" ca="1" si="37"/>
        <v>960</v>
      </c>
      <c r="G418" s="3" t="b">
        <f ca="1">INDEX(dict_zul_Var_Meth[kval_active],MATCH(table_Methods[[#This Row],[ID]],dict_zul_Var_Meth[ID_Methods],0))</f>
        <v>0</v>
      </c>
      <c r="H418">
        <f t="shared" ca="1" si="38"/>
        <v>16008</v>
      </c>
      <c r="I418">
        <f t="shared" ca="1" si="39"/>
        <v>880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40"/>
        <v>5400</v>
      </c>
      <c r="D419">
        <f t="shared" ca="1" si="41"/>
        <v>6.95</v>
      </c>
      <c r="E419">
        <f t="shared" ca="1" si="36"/>
        <v>-100</v>
      </c>
      <c r="F419">
        <f t="shared" ca="1" si="37"/>
        <v>620</v>
      </c>
      <c r="G419" s="3" t="b">
        <f ca="1">INDEX(dict_zul_Var_Meth[kval_active],MATCH(table_Methods[[#This Row],[ID]],dict_zul_Var_Meth[ID_Methods],0))</f>
        <v>0</v>
      </c>
      <c r="H419">
        <f t="shared" ca="1" si="38"/>
        <v>44850</v>
      </c>
      <c r="I419">
        <f t="shared" ca="1" si="39"/>
        <v>6400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40"/>
        <v>75</v>
      </c>
      <c r="D420">
        <f t="shared" ca="1" si="41"/>
        <v>1.88</v>
      </c>
      <c r="E420">
        <f t="shared" ref="E420:E483" ca="1" si="42">RANDBETWEEN(-10,3)*10</f>
        <v>-70</v>
      </c>
      <c r="F420">
        <f t="shared" ref="F420:F483" ca="1" si="43">RANDBETWEEN(2,100)*10</f>
        <v>200</v>
      </c>
      <c r="G420" s="3" t="b">
        <f ca="1">INDEX(dict_zul_Var_Meth[kval_active],MATCH(table_Methods[[#This Row],[ID]],dict_zul_Var_Meth[ID_Methods],0))</f>
        <v>0</v>
      </c>
      <c r="H420">
        <f t="shared" ref="H420:H483" ca="1" si="44">RANDBETWEEN(1,10)*RANDBETWEEN(1,5000)</f>
        <v>4830</v>
      </c>
      <c r="I420">
        <f t="shared" ref="I420:I483" ca="1" si="45">2^RANDBETWEEN(1,10)*RANDBETWEEN(1,100)</f>
        <v>80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40"/>
        <v>87.000000000000014</v>
      </c>
      <c r="D421">
        <f t="shared" ca="1" si="41"/>
        <v>8.44</v>
      </c>
      <c r="E421">
        <f t="shared" ca="1" si="42"/>
        <v>-50</v>
      </c>
      <c r="F421">
        <f t="shared" ca="1" si="43"/>
        <v>920</v>
      </c>
      <c r="G421" s="3" t="b">
        <f ca="1">INDEX(dict_zul_Var_Meth[kval_active],MATCH(table_Methods[[#This Row],[ID]],dict_zul_Var_Meth[ID_Methods],0))</f>
        <v>0</v>
      </c>
      <c r="H421">
        <f t="shared" ca="1" si="44"/>
        <v>12225</v>
      </c>
      <c r="I421">
        <f t="shared" ca="1" si="45"/>
        <v>2816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40"/>
        <v>150</v>
      </c>
      <c r="D422">
        <f t="shared" ca="1" si="41"/>
        <v>2.08</v>
      </c>
      <c r="E422">
        <f t="shared" ca="1" si="42"/>
        <v>-20</v>
      </c>
      <c r="F422">
        <f t="shared" ca="1" si="43"/>
        <v>910</v>
      </c>
      <c r="G422" s="3" t="b">
        <f ca="1">INDEX(dict_zul_Var_Meth[kval_active],MATCH(table_Methods[[#This Row],[ID]],dict_zul_Var_Meth[ID_Methods],0))</f>
        <v>0</v>
      </c>
      <c r="H422">
        <f t="shared" ca="1" si="44"/>
        <v>42048</v>
      </c>
      <c r="I422">
        <f t="shared" ca="1" si="45"/>
        <v>1056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40"/>
        <v>90</v>
      </c>
      <c r="D423">
        <f t="shared" ca="1" si="41"/>
        <v>0.45</v>
      </c>
      <c r="E423">
        <f t="shared" ca="1" si="42"/>
        <v>-100</v>
      </c>
      <c r="F423">
        <f t="shared" ca="1" si="43"/>
        <v>780</v>
      </c>
      <c r="G423" s="3" t="b">
        <f ca="1">INDEX(dict_zul_Var_Meth[kval_active],MATCH(table_Methods[[#This Row],[ID]],dict_zul_Var_Meth[ID_Methods],0))</f>
        <v>1</v>
      </c>
      <c r="H423">
        <f t="shared" ca="1" si="44"/>
        <v>33608</v>
      </c>
      <c r="I423">
        <f t="shared" ca="1" si="45"/>
        <v>352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40"/>
        <v>620</v>
      </c>
      <c r="D424">
        <f t="shared" ca="1" si="41"/>
        <v>8.1</v>
      </c>
      <c r="E424">
        <f t="shared" ca="1" si="42"/>
        <v>30</v>
      </c>
      <c r="F424">
        <f t="shared" ca="1" si="43"/>
        <v>850</v>
      </c>
      <c r="G424" s="3" t="b">
        <f ca="1">INDEX(dict_zul_Var_Meth[kval_active],MATCH(table_Methods[[#This Row],[ID]],dict_zul_Var_Meth[ID_Methods],0))</f>
        <v>0</v>
      </c>
      <c r="H424">
        <f t="shared" ca="1" si="44"/>
        <v>4081</v>
      </c>
      <c r="I424">
        <f t="shared" ca="1" si="45"/>
        <v>2048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40"/>
        <v>3000</v>
      </c>
      <c r="D425">
        <f t="shared" ca="1" si="41"/>
        <v>1.01</v>
      </c>
      <c r="E425">
        <f t="shared" ca="1" si="42"/>
        <v>-70</v>
      </c>
      <c r="F425">
        <f t="shared" ca="1" si="43"/>
        <v>740</v>
      </c>
      <c r="G425" s="3" t="b">
        <f ca="1">INDEX(dict_zul_Var_Meth[kval_active],MATCH(table_Methods[[#This Row],[ID]],dict_zul_Var_Meth[ID_Methods],0))</f>
        <v>0</v>
      </c>
      <c r="H425">
        <f t="shared" ca="1" si="44"/>
        <v>14772</v>
      </c>
      <c r="I425">
        <f t="shared" ca="1" si="45"/>
        <v>1376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40"/>
        <v>52</v>
      </c>
      <c r="D426">
        <f t="shared" ca="1" si="41"/>
        <v>2.7</v>
      </c>
      <c r="E426">
        <f t="shared" ca="1" si="42"/>
        <v>-40</v>
      </c>
      <c r="F426">
        <f t="shared" ca="1" si="43"/>
        <v>990</v>
      </c>
      <c r="G426" s="3" t="b">
        <f ca="1">INDEX(dict_zul_Var_Meth[kval_active],MATCH(table_Methods[[#This Row],[ID]],dict_zul_Var_Meth[ID_Methods],0))</f>
        <v>0</v>
      </c>
      <c r="H426">
        <f t="shared" ca="1" si="44"/>
        <v>4161</v>
      </c>
      <c r="I426">
        <f t="shared" ca="1" si="45"/>
        <v>7680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40"/>
        <v>95</v>
      </c>
      <c r="D427">
        <f t="shared" ca="1" si="41"/>
        <v>7.14</v>
      </c>
      <c r="E427">
        <f t="shared" ca="1" si="42"/>
        <v>0</v>
      </c>
      <c r="F427">
        <f t="shared" ca="1" si="43"/>
        <v>640</v>
      </c>
      <c r="G427" s="3" t="b">
        <f ca="1">INDEX(dict_zul_Var_Meth[kval_active],MATCH(table_Methods[[#This Row],[ID]],dict_zul_Var_Meth[ID_Methods],0))</f>
        <v>0</v>
      </c>
      <c r="H427">
        <f t="shared" ca="1" si="44"/>
        <v>1000</v>
      </c>
      <c r="I427">
        <f t="shared" ca="1" si="45"/>
        <v>200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40"/>
        <v>40</v>
      </c>
      <c r="D428">
        <f t="shared" ca="1" si="41"/>
        <v>9.1999999999999993</v>
      </c>
      <c r="E428">
        <f t="shared" ca="1" si="42"/>
        <v>-40</v>
      </c>
      <c r="F428">
        <f t="shared" ca="1" si="43"/>
        <v>950</v>
      </c>
      <c r="G428" s="3" t="b">
        <f ca="1">INDEX(dict_zul_Var_Meth[kval_active],MATCH(table_Methods[[#This Row],[ID]],dict_zul_Var_Meth[ID_Methods],0))</f>
        <v>0</v>
      </c>
      <c r="H428">
        <f t="shared" ca="1" si="44"/>
        <v>17220</v>
      </c>
      <c r="I428">
        <f t="shared" ca="1" si="45"/>
        <v>12032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40"/>
        <v>2800</v>
      </c>
      <c r="D429">
        <f t="shared" ca="1" si="41"/>
        <v>4.25</v>
      </c>
      <c r="E429">
        <f t="shared" ca="1" si="42"/>
        <v>-70</v>
      </c>
      <c r="F429">
        <f t="shared" ca="1" si="43"/>
        <v>640</v>
      </c>
      <c r="G429" s="3" t="b">
        <f ca="1">INDEX(dict_zul_Var_Meth[kval_active],MATCH(table_Methods[[#This Row],[ID]],dict_zul_Var_Meth[ID_Methods],0))</f>
        <v>0</v>
      </c>
      <c r="H429">
        <f t="shared" ca="1" si="44"/>
        <v>6336</v>
      </c>
      <c r="I429">
        <f t="shared" ca="1" si="45"/>
        <v>75776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40"/>
        <v>2800</v>
      </c>
      <c r="D430">
        <f t="shared" ca="1" si="41"/>
        <v>3.94</v>
      </c>
      <c r="E430">
        <f t="shared" ca="1" si="42"/>
        <v>-40</v>
      </c>
      <c r="F430">
        <f t="shared" ca="1" si="43"/>
        <v>460</v>
      </c>
      <c r="G430" s="3" t="b">
        <f ca="1">INDEX(dict_zul_Var_Meth[kval_active],MATCH(table_Methods[[#This Row],[ID]],dict_zul_Var_Meth[ID_Methods],0))</f>
        <v>0</v>
      </c>
      <c r="H430">
        <f t="shared" ca="1" si="44"/>
        <v>32112</v>
      </c>
      <c r="I430">
        <f t="shared" ca="1" si="45"/>
        <v>39424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40"/>
        <v>92.000000000000014</v>
      </c>
      <c r="D431">
        <f t="shared" ca="1" si="41"/>
        <v>8.08</v>
      </c>
      <c r="E431">
        <f t="shared" ca="1" si="42"/>
        <v>-20</v>
      </c>
      <c r="F431">
        <f t="shared" ca="1" si="43"/>
        <v>820</v>
      </c>
      <c r="G431" s="3" t="b">
        <f ca="1">INDEX(dict_zul_Var_Meth[kval_active],MATCH(table_Methods[[#This Row],[ID]],dict_zul_Var_Meth[ID_Methods],0))</f>
        <v>0</v>
      </c>
      <c r="H431">
        <f t="shared" ca="1" si="44"/>
        <v>43860</v>
      </c>
      <c r="I431">
        <f t="shared" ca="1" si="45"/>
        <v>10880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40"/>
        <v>730</v>
      </c>
      <c r="D432">
        <f t="shared" ca="1" si="41"/>
        <v>0.43</v>
      </c>
      <c r="E432">
        <f t="shared" ca="1" si="42"/>
        <v>-50</v>
      </c>
      <c r="F432">
        <f t="shared" ca="1" si="43"/>
        <v>440</v>
      </c>
      <c r="G432" s="3" t="b">
        <f ca="1">INDEX(dict_zul_Var_Meth[kval_active],MATCH(table_Methods[[#This Row],[ID]],dict_zul_Var_Meth[ID_Methods],0))</f>
        <v>1</v>
      </c>
      <c r="H432">
        <f t="shared" ca="1" si="44"/>
        <v>11476</v>
      </c>
      <c r="I432">
        <f t="shared" ca="1" si="45"/>
        <v>35328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40"/>
        <v>940</v>
      </c>
      <c r="D433">
        <f t="shared" ca="1" si="41"/>
        <v>7.79</v>
      </c>
      <c r="E433">
        <f t="shared" ca="1" si="42"/>
        <v>-70</v>
      </c>
      <c r="F433">
        <f t="shared" ca="1" si="43"/>
        <v>770</v>
      </c>
      <c r="G433" s="3" t="b">
        <f ca="1">INDEX(dict_zul_Var_Meth[kval_active],MATCH(table_Methods[[#This Row],[ID]],dict_zul_Var_Meth[ID_Methods],0))</f>
        <v>0</v>
      </c>
      <c r="H433">
        <f t="shared" ca="1" si="44"/>
        <v>12168</v>
      </c>
      <c r="I433">
        <f t="shared" ca="1" si="45"/>
        <v>1664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40"/>
        <v>9300</v>
      </c>
      <c r="D434">
        <f t="shared" ca="1" si="41"/>
        <v>6.76</v>
      </c>
      <c r="E434">
        <f t="shared" ca="1" si="42"/>
        <v>-100</v>
      </c>
      <c r="F434">
        <f t="shared" ca="1" si="43"/>
        <v>770</v>
      </c>
      <c r="G434" s="3" t="b">
        <f ca="1">INDEX(dict_zul_Var_Meth[kval_active],MATCH(table_Methods[[#This Row],[ID]],dict_zul_Var_Meth[ID_Methods],0))</f>
        <v>0</v>
      </c>
      <c r="H434">
        <f t="shared" ca="1" si="44"/>
        <v>3923</v>
      </c>
      <c r="I434">
        <f t="shared" ca="1" si="45"/>
        <v>16384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40"/>
        <v>5300</v>
      </c>
      <c r="D435">
        <f t="shared" ca="1" si="41"/>
        <v>8.39</v>
      </c>
      <c r="E435">
        <f t="shared" ca="1" si="42"/>
        <v>-50</v>
      </c>
      <c r="F435">
        <f t="shared" ca="1" si="43"/>
        <v>520</v>
      </c>
      <c r="G435" s="3" t="b">
        <f ca="1">INDEX(dict_zul_Var_Meth[kval_active],MATCH(table_Methods[[#This Row],[ID]],dict_zul_Var_Meth[ID_Methods],0))</f>
        <v>0</v>
      </c>
      <c r="H435">
        <f t="shared" ca="1" si="44"/>
        <v>1241</v>
      </c>
      <c r="I435">
        <f t="shared" ca="1" si="45"/>
        <v>3008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40"/>
        <v>580</v>
      </c>
      <c r="D436">
        <f t="shared" ca="1" si="41"/>
        <v>2.89</v>
      </c>
      <c r="E436">
        <f t="shared" ca="1" si="42"/>
        <v>-90</v>
      </c>
      <c r="F436">
        <f t="shared" ca="1" si="43"/>
        <v>510</v>
      </c>
      <c r="G436" s="3" t="b">
        <f ca="1">INDEX(dict_zul_Var_Meth[kval_active],MATCH(table_Methods[[#This Row],[ID]],dict_zul_Var_Meth[ID_Methods],0))</f>
        <v>0</v>
      </c>
      <c r="H436">
        <f t="shared" ca="1" si="44"/>
        <v>4820</v>
      </c>
      <c r="I436">
        <f t="shared" ca="1" si="45"/>
        <v>9728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40"/>
        <v>620</v>
      </c>
      <c r="D437">
        <f t="shared" ca="1" si="41"/>
        <v>0.34</v>
      </c>
      <c r="E437">
        <f t="shared" ca="1" si="42"/>
        <v>-20</v>
      </c>
      <c r="F437">
        <f t="shared" ca="1" si="43"/>
        <v>680</v>
      </c>
      <c r="G437" s="3" t="b">
        <f ca="1">INDEX(dict_zul_Var_Meth[kval_active],MATCH(table_Methods[[#This Row],[ID]],dict_zul_Var_Meth[ID_Methods],0))</f>
        <v>0</v>
      </c>
      <c r="H437">
        <f t="shared" ca="1" si="44"/>
        <v>1360</v>
      </c>
      <c r="I437">
        <f t="shared" ca="1" si="45"/>
        <v>352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40"/>
        <v>7900</v>
      </c>
      <c r="D438">
        <f t="shared" ca="1" si="41"/>
        <v>3.58</v>
      </c>
      <c r="E438">
        <f t="shared" ca="1" si="42"/>
        <v>0</v>
      </c>
      <c r="F438">
        <f t="shared" ca="1" si="43"/>
        <v>830</v>
      </c>
      <c r="G438" s="3" t="b">
        <f ca="1">INDEX(dict_zul_Var_Meth[kval_active],MATCH(table_Methods[[#This Row],[ID]],dict_zul_Var_Meth[ID_Methods],0))</f>
        <v>0</v>
      </c>
      <c r="H438">
        <f t="shared" ca="1" si="44"/>
        <v>14046</v>
      </c>
      <c r="I438">
        <f t="shared" ca="1" si="45"/>
        <v>336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40"/>
        <v>930</v>
      </c>
      <c r="D439">
        <f t="shared" ca="1" si="41"/>
        <v>0.93</v>
      </c>
      <c r="E439">
        <f t="shared" ca="1" si="42"/>
        <v>-80</v>
      </c>
      <c r="F439">
        <f t="shared" ca="1" si="43"/>
        <v>310</v>
      </c>
      <c r="G439" s="3" t="b">
        <f ca="1">INDEX(dict_zul_Var_Meth[kval_active],MATCH(table_Methods[[#This Row],[ID]],dict_zul_Var_Meth[ID_Methods],0))</f>
        <v>0</v>
      </c>
      <c r="H439">
        <f t="shared" ca="1" si="44"/>
        <v>2289</v>
      </c>
      <c r="I439">
        <f t="shared" ca="1" si="45"/>
        <v>320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40"/>
        <v>2600</v>
      </c>
      <c r="D440">
        <f t="shared" ca="1" si="41"/>
        <v>7.8</v>
      </c>
      <c r="E440">
        <f t="shared" ca="1" si="42"/>
        <v>10</v>
      </c>
      <c r="F440">
        <f t="shared" ca="1" si="43"/>
        <v>820</v>
      </c>
      <c r="G440" s="3" t="b">
        <f ca="1">INDEX(dict_zul_Var_Meth[kval_active],MATCH(table_Methods[[#This Row],[ID]],dict_zul_Var_Meth[ID_Methods],0))</f>
        <v>0</v>
      </c>
      <c r="H440">
        <f t="shared" ca="1" si="44"/>
        <v>6164</v>
      </c>
      <c r="I440">
        <f t="shared" ca="1" si="45"/>
        <v>178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40"/>
        <v>33</v>
      </c>
      <c r="D441">
        <f t="shared" ca="1" si="41"/>
        <v>5.68</v>
      </c>
      <c r="E441">
        <f t="shared" ca="1" si="42"/>
        <v>-10</v>
      </c>
      <c r="F441">
        <f t="shared" ca="1" si="43"/>
        <v>720</v>
      </c>
      <c r="G441" s="3" t="b">
        <f ca="1">INDEX(dict_zul_Var_Meth[kval_active],MATCH(table_Methods[[#This Row],[ID]],dict_zul_Var_Meth[ID_Methods],0))</f>
        <v>0</v>
      </c>
      <c r="H441">
        <f t="shared" ca="1" si="44"/>
        <v>7292</v>
      </c>
      <c r="I441">
        <f t="shared" ca="1" si="45"/>
        <v>92160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40"/>
        <v>4800</v>
      </c>
      <c r="D442">
        <f t="shared" ca="1" si="41"/>
        <v>3.59</v>
      </c>
      <c r="E442">
        <f t="shared" ca="1" si="42"/>
        <v>-80</v>
      </c>
      <c r="F442">
        <f t="shared" ca="1" si="43"/>
        <v>990</v>
      </c>
      <c r="G442" s="3" t="b">
        <f ca="1">INDEX(dict_zul_Var_Meth[kval_active],MATCH(table_Methods[[#This Row],[ID]],dict_zul_Var_Meth[ID_Methods],0))</f>
        <v>0</v>
      </c>
      <c r="H442">
        <f t="shared" ca="1" si="44"/>
        <v>3076</v>
      </c>
      <c r="I442">
        <f t="shared" ca="1" si="45"/>
        <v>16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40"/>
        <v>900</v>
      </c>
      <c r="D443">
        <f t="shared" ca="1" si="41"/>
        <v>1.74</v>
      </c>
      <c r="E443">
        <f t="shared" ca="1" si="42"/>
        <v>-80</v>
      </c>
      <c r="F443">
        <f t="shared" ca="1" si="43"/>
        <v>160</v>
      </c>
      <c r="G443" s="3" t="b">
        <f ca="1">INDEX(dict_zul_Var_Meth[kval_active],MATCH(table_Methods[[#This Row],[ID]],dict_zul_Var_Meth[ID_Methods],0))</f>
        <v>0</v>
      </c>
      <c r="H443">
        <f t="shared" ca="1" si="44"/>
        <v>12400</v>
      </c>
      <c r="I443">
        <f t="shared" ca="1" si="45"/>
        <v>1984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40"/>
        <v>2200</v>
      </c>
      <c r="D444">
        <f t="shared" ca="1" si="41"/>
        <v>4.83</v>
      </c>
      <c r="E444">
        <f t="shared" ca="1" si="42"/>
        <v>-30</v>
      </c>
      <c r="F444">
        <f t="shared" ca="1" si="43"/>
        <v>260</v>
      </c>
      <c r="G444" s="3" t="b">
        <f ca="1">INDEX(dict_zul_Var_Meth[kval_active],MATCH(table_Methods[[#This Row],[ID]],dict_zul_Var_Meth[ID_Methods],0))</f>
        <v>0</v>
      </c>
      <c r="H444">
        <f t="shared" ca="1" si="44"/>
        <v>32550</v>
      </c>
      <c r="I444">
        <f t="shared" ca="1" si="45"/>
        <v>28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40"/>
        <v>9200</v>
      </c>
      <c r="D445">
        <f t="shared" ca="1" si="41"/>
        <v>1.06</v>
      </c>
      <c r="E445">
        <f t="shared" ca="1" si="42"/>
        <v>-100</v>
      </c>
      <c r="F445">
        <f t="shared" ca="1" si="43"/>
        <v>510</v>
      </c>
      <c r="G445" s="3" t="b">
        <f ca="1">INDEX(dict_zul_Var_Meth[kval_active],MATCH(table_Methods[[#This Row],[ID]],dict_zul_Var_Meth[ID_Methods],0))</f>
        <v>0</v>
      </c>
      <c r="H445">
        <f t="shared" ca="1" si="44"/>
        <v>2779</v>
      </c>
      <c r="I445">
        <f t="shared" ca="1" si="45"/>
        <v>332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40"/>
        <v>45</v>
      </c>
      <c r="D446">
        <f t="shared" ca="1" si="41"/>
        <v>8.73</v>
      </c>
      <c r="E446">
        <f t="shared" ca="1" si="42"/>
        <v>-100</v>
      </c>
      <c r="F446">
        <f t="shared" ca="1" si="43"/>
        <v>980</v>
      </c>
      <c r="G446" s="3" t="b">
        <f ca="1">INDEX(dict_zul_Var_Meth[kval_active],MATCH(table_Methods[[#This Row],[ID]],dict_zul_Var_Meth[ID_Methods],0))</f>
        <v>0</v>
      </c>
      <c r="H446">
        <f t="shared" ca="1" si="44"/>
        <v>4447</v>
      </c>
      <c r="I446">
        <f t="shared" ca="1" si="45"/>
        <v>416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40"/>
        <v>98</v>
      </c>
      <c r="D447">
        <f t="shared" ca="1" si="41"/>
        <v>3.01</v>
      </c>
      <c r="E447">
        <f t="shared" ca="1" si="42"/>
        <v>-40</v>
      </c>
      <c r="F447">
        <f t="shared" ca="1" si="43"/>
        <v>920</v>
      </c>
      <c r="G447" s="3" t="b">
        <f ca="1">INDEX(dict_zul_Var_Meth[kval_active],MATCH(table_Methods[[#This Row],[ID]],dict_zul_Var_Meth[ID_Methods],0))</f>
        <v>0</v>
      </c>
      <c r="H447">
        <f t="shared" ca="1" si="44"/>
        <v>19488</v>
      </c>
      <c r="I447">
        <f t="shared" ca="1" si="45"/>
        <v>784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40"/>
        <v>190</v>
      </c>
      <c r="D448">
        <f t="shared" ca="1" si="41"/>
        <v>8.1</v>
      </c>
      <c r="E448">
        <f t="shared" ca="1" si="42"/>
        <v>20</v>
      </c>
      <c r="F448">
        <f t="shared" ca="1" si="43"/>
        <v>440</v>
      </c>
      <c r="G448" s="3" t="b">
        <f ca="1">INDEX(dict_zul_Var_Meth[kval_active],MATCH(table_Methods[[#This Row],[ID]],dict_zul_Var_Meth[ID_Methods],0))</f>
        <v>0</v>
      </c>
      <c r="H448">
        <f t="shared" ca="1" si="44"/>
        <v>2589</v>
      </c>
      <c r="I448">
        <f t="shared" ca="1" si="45"/>
        <v>2816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40"/>
        <v>87.000000000000014</v>
      </c>
      <c r="D449">
        <f t="shared" ca="1" si="41"/>
        <v>7.99</v>
      </c>
      <c r="E449">
        <f t="shared" ca="1" si="42"/>
        <v>-90</v>
      </c>
      <c r="F449">
        <f t="shared" ca="1" si="43"/>
        <v>370</v>
      </c>
      <c r="G449" s="3" t="b">
        <f ca="1">INDEX(dict_zul_Var_Meth[kval_active],MATCH(table_Methods[[#This Row],[ID]],dict_zul_Var_Meth[ID_Methods],0))</f>
        <v>0</v>
      </c>
      <c r="H449">
        <f t="shared" ca="1" si="44"/>
        <v>10185</v>
      </c>
      <c r="I449">
        <f t="shared" ca="1" si="45"/>
        <v>8960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6">10^(RANDBETWEEN(-1,1))*RANDBETWEEN(1,100)*10</f>
        <v>6200</v>
      </c>
      <c r="D450">
        <f t="shared" ca="1" si="41"/>
        <v>7.12</v>
      </c>
      <c r="E450">
        <f t="shared" ca="1" si="42"/>
        <v>-40</v>
      </c>
      <c r="F450">
        <f t="shared" ca="1" si="43"/>
        <v>70</v>
      </c>
      <c r="G450" s="3" t="b">
        <f ca="1">INDEX(dict_zul_Var_Meth[kval_active],MATCH(table_Methods[[#This Row],[ID]],dict_zul_Var_Meth[ID_Methods],0))</f>
        <v>0</v>
      </c>
      <c r="H450">
        <f t="shared" ca="1" si="44"/>
        <v>25690</v>
      </c>
      <c r="I450">
        <f t="shared" ca="1" si="45"/>
        <v>20992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6"/>
        <v>43</v>
      </c>
      <c r="D451">
        <f t="shared" ref="D451:D514" ca="1" si="47">RANDBETWEEN(10,1000)/(100)</f>
        <v>6.53</v>
      </c>
      <c r="E451">
        <f t="shared" ca="1" si="42"/>
        <v>-20</v>
      </c>
      <c r="F451">
        <f t="shared" ca="1" si="43"/>
        <v>70</v>
      </c>
      <c r="G451" s="3" t="b">
        <f ca="1">INDEX(dict_zul_Var_Meth[kval_active],MATCH(table_Methods[[#This Row],[ID]],dict_zul_Var_Meth[ID_Methods],0))</f>
        <v>0</v>
      </c>
      <c r="H451">
        <f t="shared" ca="1" si="44"/>
        <v>9762</v>
      </c>
      <c r="I451">
        <f t="shared" ca="1" si="45"/>
        <v>9472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6"/>
        <v>750</v>
      </c>
      <c r="D452">
        <f t="shared" ca="1" si="47"/>
        <v>5.13</v>
      </c>
      <c r="E452">
        <f t="shared" ca="1" si="42"/>
        <v>-20</v>
      </c>
      <c r="F452">
        <f t="shared" ca="1" si="43"/>
        <v>660</v>
      </c>
      <c r="G452" s="3" t="b">
        <f ca="1">INDEX(dict_zul_Var_Meth[kval_active],MATCH(table_Methods[[#This Row],[ID]],dict_zul_Var_Meth[ID_Methods],0))</f>
        <v>0</v>
      </c>
      <c r="H452">
        <f t="shared" ca="1" si="44"/>
        <v>16597</v>
      </c>
      <c r="I452">
        <f t="shared" ca="1" si="45"/>
        <v>1600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6"/>
        <v>53.000000000000007</v>
      </c>
      <c r="D453">
        <f t="shared" ca="1" si="47"/>
        <v>1.55</v>
      </c>
      <c r="E453">
        <f t="shared" ca="1" si="42"/>
        <v>-40</v>
      </c>
      <c r="F453">
        <f t="shared" ca="1" si="43"/>
        <v>610</v>
      </c>
      <c r="G453" s="3" t="b">
        <f ca="1">INDEX(dict_zul_Var_Meth[kval_active],MATCH(table_Methods[[#This Row],[ID]],dict_zul_Var_Meth[ID_Methods],0))</f>
        <v>0</v>
      </c>
      <c r="H453">
        <f t="shared" ca="1" si="44"/>
        <v>8546</v>
      </c>
      <c r="I453">
        <f t="shared" ca="1" si="45"/>
        <v>48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6"/>
        <v>2700</v>
      </c>
      <c r="D454">
        <f t="shared" ca="1" si="47"/>
        <v>6.52</v>
      </c>
      <c r="E454">
        <f t="shared" ca="1" si="42"/>
        <v>-80</v>
      </c>
      <c r="F454">
        <f t="shared" ca="1" si="43"/>
        <v>210</v>
      </c>
      <c r="G454" s="3" t="b">
        <f ca="1">INDEX(dict_zul_Var_Meth[kval_active],MATCH(table_Methods[[#This Row],[ID]],dict_zul_Var_Meth[ID_Methods],0))</f>
        <v>0</v>
      </c>
      <c r="H454">
        <f t="shared" ca="1" si="44"/>
        <v>38392</v>
      </c>
      <c r="I454">
        <f t="shared" ca="1" si="45"/>
        <v>37376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6"/>
        <v>32</v>
      </c>
      <c r="D455">
        <f t="shared" ca="1" si="47"/>
        <v>5.48</v>
      </c>
      <c r="E455">
        <f t="shared" ca="1" si="42"/>
        <v>-70</v>
      </c>
      <c r="F455">
        <f t="shared" ca="1" si="43"/>
        <v>680</v>
      </c>
      <c r="G455" s="3" t="b">
        <f ca="1">INDEX(dict_zul_Var_Meth[kval_active],MATCH(table_Methods[[#This Row],[ID]],dict_zul_Var_Meth[ID_Methods],0))</f>
        <v>0</v>
      </c>
      <c r="H455">
        <f t="shared" ca="1" si="44"/>
        <v>2200</v>
      </c>
      <c r="I455">
        <f t="shared" ca="1" si="45"/>
        <v>376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6"/>
        <v>94</v>
      </c>
      <c r="D456">
        <f t="shared" ca="1" si="47"/>
        <v>9.08</v>
      </c>
      <c r="E456">
        <f t="shared" ca="1" si="42"/>
        <v>-70</v>
      </c>
      <c r="F456">
        <f t="shared" ca="1" si="43"/>
        <v>500</v>
      </c>
      <c r="G456" s="3" t="b">
        <f ca="1">INDEX(dict_zul_Var_Meth[kval_active],MATCH(table_Methods[[#This Row],[ID]],dict_zul_Var_Meth[ID_Methods],0))</f>
        <v>0</v>
      </c>
      <c r="H456">
        <f t="shared" ca="1" si="44"/>
        <v>1358</v>
      </c>
      <c r="I456">
        <f t="shared" ca="1" si="45"/>
        <v>6208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6"/>
        <v>330</v>
      </c>
      <c r="D457">
        <f t="shared" ca="1" si="47"/>
        <v>5.9</v>
      </c>
      <c r="E457">
        <f t="shared" ca="1" si="42"/>
        <v>20</v>
      </c>
      <c r="F457">
        <f t="shared" ca="1" si="43"/>
        <v>540</v>
      </c>
      <c r="G457" s="3" t="b">
        <f ca="1">INDEX(dict_zul_Var_Meth[kval_active],MATCH(table_Methods[[#This Row],[ID]],dict_zul_Var_Meth[ID_Methods],0))</f>
        <v>0</v>
      </c>
      <c r="H457">
        <f t="shared" ca="1" si="44"/>
        <v>770</v>
      </c>
      <c r="I457">
        <f t="shared" ca="1" si="45"/>
        <v>11136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6"/>
        <v>310</v>
      </c>
      <c r="D458">
        <f t="shared" ca="1" si="47"/>
        <v>8.51</v>
      </c>
      <c r="E458">
        <f t="shared" ca="1" si="42"/>
        <v>-20</v>
      </c>
      <c r="F458">
        <f t="shared" ca="1" si="43"/>
        <v>40</v>
      </c>
      <c r="G458" s="3" t="b">
        <f ca="1">INDEX(dict_zul_Var_Meth[kval_active],MATCH(table_Methods[[#This Row],[ID]],dict_zul_Var_Meth[ID_Methods],0))</f>
        <v>0</v>
      </c>
      <c r="H458">
        <f t="shared" ca="1" si="44"/>
        <v>14585</v>
      </c>
      <c r="I458">
        <f t="shared" ca="1" si="45"/>
        <v>792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6"/>
        <v>72</v>
      </c>
      <c r="D459">
        <f t="shared" ca="1" si="47"/>
        <v>9.7100000000000009</v>
      </c>
      <c r="E459">
        <f t="shared" ca="1" si="42"/>
        <v>-30</v>
      </c>
      <c r="F459">
        <f t="shared" ca="1" si="43"/>
        <v>490</v>
      </c>
      <c r="G459" s="3" t="b">
        <f ca="1">INDEX(dict_zul_Var_Meth[kval_active],MATCH(table_Methods[[#This Row],[ID]],dict_zul_Var_Meth[ID_Methods],0))</f>
        <v>0</v>
      </c>
      <c r="H459">
        <f t="shared" ca="1" si="44"/>
        <v>46210</v>
      </c>
      <c r="I459">
        <f t="shared" ca="1" si="45"/>
        <v>23552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6"/>
        <v>910</v>
      </c>
      <c r="D460">
        <f t="shared" ca="1" si="47"/>
        <v>6.52</v>
      </c>
      <c r="E460">
        <f t="shared" ca="1" si="42"/>
        <v>20</v>
      </c>
      <c r="F460">
        <f t="shared" ca="1" si="43"/>
        <v>640</v>
      </c>
      <c r="G460" s="3" t="b">
        <f ca="1">INDEX(dict_zul_Var_Meth[kval_active],MATCH(table_Methods[[#This Row],[ID]],dict_zul_Var_Meth[ID_Methods],0))</f>
        <v>0</v>
      </c>
      <c r="H460">
        <f t="shared" ca="1" si="44"/>
        <v>11232</v>
      </c>
      <c r="I460">
        <f t="shared" ca="1" si="45"/>
        <v>68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6"/>
        <v>740</v>
      </c>
      <c r="D461">
        <f t="shared" ca="1" si="47"/>
        <v>1.85</v>
      </c>
      <c r="E461">
        <f t="shared" ca="1" si="42"/>
        <v>-90</v>
      </c>
      <c r="F461">
        <f t="shared" ca="1" si="43"/>
        <v>1000</v>
      </c>
      <c r="G461" s="3" t="b">
        <f ca="1">INDEX(dict_zul_Var_Meth[kval_active],MATCH(table_Methods[[#This Row],[ID]],dict_zul_Var_Meth[ID_Methods],0))</f>
        <v>0</v>
      </c>
      <c r="H461">
        <f t="shared" ca="1" si="44"/>
        <v>3330</v>
      </c>
      <c r="I461">
        <f t="shared" ca="1" si="45"/>
        <v>12800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6"/>
        <v>920</v>
      </c>
      <c r="D462">
        <f t="shared" ca="1" si="47"/>
        <v>3.21</v>
      </c>
      <c r="E462">
        <f t="shared" ca="1" si="42"/>
        <v>-10</v>
      </c>
      <c r="F462">
        <f t="shared" ca="1" si="43"/>
        <v>540</v>
      </c>
      <c r="G462" s="3" t="b">
        <f ca="1">INDEX(dict_zul_Var_Meth[kval_active],MATCH(table_Methods[[#This Row],[ID]],dict_zul_Var_Meth[ID_Methods],0))</f>
        <v>0</v>
      </c>
      <c r="H462">
        <f t="shared" ca="1" si="44"/>
        <v>11376</v>
      </c>
      <c r="I462">
        <f t="shared" ca="1" si="45"/>
        <v>816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6"/>
        <v>89</v>
      </c>
      <c r="D463">
        <f t="shared" ca="1" si="47"/>
        <v>9.77</v>
      </c>
      <c r="E463">
        <f t="shared" ca="1" si="42"/>
        <v>10</v>
      </c>
      <c r="F463">
        <f t="shared" ca="1" si="43"/>
        <v>800</v>
      </c>
      <c r="G463" s="3" t="b">
        <f ca="1">INDEX(dict_zul_Var_Meth[kval_active],MATCH(table_Methods[[#This Row],[ID]],dict_zul_Var_Meth[ID_Methods],0))</f>
        <v>0</v>
      </c>
      <c r="H463">
        <f t="shared" ca="1" si="44"/>
        <v>4276</v>
      </c>
      <c r="I463">
        <f t="shared" ca="1" si="45"/>
        <v>23552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6"/>
        <v>350</v>
      </c>
      <c r="D464">
        <f t="shared" ca="1" si="47"/>
        <v>8.09</v>
      </c>
      <c r="E464">
        <f t="shared" ca="1" si="42"/>
        <v>-90</v>
      </c>
      <c r="F464">
        <f t="shared" ca="1" si="43"/>
        <v>170</v>
      </c>
      <c r="G464" s="3" t="b">
        <f ca="1">INDEX(dict_zul_Var_Meth[kval_active],MATCH(table_Methods[[#This Row],[ID]],dict_zul_Var_Meth[ID_Methods],0))</f>
        <v>0</v>
      </c>
      <c r="H464">
        <f t="shared" ca="1" si="44"/>
        <v>5804</v>
      </c>
      <c r="I464">
        <f t="shared" ca="1" si="45"/>
        <v>32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6"/>
        <v>87.000000000000014</v>
      </c>
      <c r="D465">
        <f t="shared" ca="1" si="47"/>
        <v>9.76</v>
      </c>
      <c r="E465">
        <f t="shared" ca="1" si="42"/>
        <v>10</v>
      </c>
      <c r="F465">
        <f t="shared" ca="1" si="43"/>
        <v>790</v>
      </c>
      <c r="G465" s="3" t="b">
        <f ca="1">INDEX(dict_zul_Var_Meth[kval_active],MATCH(table_Methods[[#This Row],[ID]],dict_zul_Var_Meth[ID_Methods],0))</f>
        <v>0</v>
      </c>
      <c r="H465">
        <f t="shared" ca="1" si="44"/>
        <v>2320</v>
      </c>
      <c r="I465">
        <f t="shared" ca="1" si="45"/>
        <v>5632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6"/>
        <v>5400</v>
      </c>
      <c r="D466">
        <f t="shared" ca="1" si="47"/>
        <v>4.59</v>
      </c>
      <c r="E466">
        <f t="shared" ca="1" si="42"/>
        <v>0</v>
      </c>
      <c r="F466">
        <f t="shared" ca="1" si="43"/>
        <v>390</v>
      </c>
      <c r="G466" s="3" t="b">
        <f ca="1">INDEX(dict_zul_Var_Meth[kval_active],MATCH(table_Methods[[#This Row],[ID]],dict_zul_Var_Meth[ID_Methods],0))</f>
        <v>0</v>
      </c>
      <c r="H466">
        <f t="shared" ca="1" si="44"/>
        <v>30597</v>
      </c>
      <c r="I466">
        <f t="shared" ca="1" si="45"/>
        <v>2336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6"/>
        <v>7500</v>
      </c>
      <c r="D467">
        <f t="shared" ca="1" si="47"/>
        <v>9.26</v>
      </c>
      <c r="E467">
        <f t="shared" ca="1" si="42"/>
        <v>-70</v>
      </c>
      <c r="F467">
        <f t="shared" ca="1" si="43"/>
        <v>820</v>
      </c>
      <c r="G467" s="3" t="b">
        <f ca="1">INDEX(dict_zul_Var_Meth[kval_active],MATCH(table_Methods[[#This Row],[ID]],dict_zul_Var_Meth[ID_Methods],0))</f>
        <v>0</v>
      </c>
      <c r="H467">
        <f t="shared" ca="1" si="44"/>
        <v>8375</v>
      </c>
      <c r="I467">
        <f t="shared" ca="1" si="45"/>
        <v>3968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6"/>
        <v>5400</v>
      </c>
      <c r="D468">
        <f t="shared" ca="1" si="47"/>
        <v>1.82</v>
      </c>
      <c r="E468">
        <f t="shared" ca="1" si="42"/>
        <v>-50</v>
      </c>
      <c r="F468">
        <f t="shared" ca="1" si="43"/>
        <v>240</v>
      </c>
      <c r="G468" s="3" t="b">
        <f ca="1">INDEX(dict_zul_Var_Meth[kval_active],MATCH(table_Methods[[#This Row],[ID]],dict_zul_Var_Meth[ID_Methods],0))</f>
        <v>1</v>
      </c>
      <c r="H468">
        <f t="shared" ca="1" si="44"/>
        <v>25512</v>
      </c>
      <c r="I468">
        <f t="shared" ca="1" si="45"/>
        <v>192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6"/>
        <v>84</v>
      </c>
      <c r="D469">
        <f t="shared" ca="1" si="47"/>
        <v>4.5</v>
      </c>
      <c r="E469">
        <f t="shared" ca="1" si="42"/>
        <v>-60</v>
      </c>
      <c r="F469">
        <f t="shared" ca="1" si="43"/>
        <v>120</v>
      </c>
      <c r="G469" s="3" t="b">
        <f ca="1">INDEX(dict_zul_Var_Meth[kval_active],MATCH(table_Methods[[#This Row],[ID]],dict_zul_Var_Meth[ID_Methods],0))</f>
        <v>0</v>
      </c>
      <c r="H469">
        <f t="shared" ca="1" si="44"/>
        <v>1217</v>
      </c>
      <c r="I469">
        <f t="shared" ca="1" si="45"/>
        <v>928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6"/>
        <v>52</v>
      </c>
      <c r="D470">
        <f t="shared" ca="1" si="47"/>
        <v>3.22</v>
      </c>
      <c r="E470">
        <f t="shared" ca="1" si="42"/>
        <v>-10</v>
      </c>
      <c r="F470">
        <f t="shared" ca="1" si="43"/>
        <v>960</v>
      </c>
      <c r="G470" s="3" t="b">
        <f ca="1">INDEX(dict_zul_Var_Meth[kval_active],MATCH(table_Methods[[#This Row],[ID]],dict_zul_Var_Meth[ID_Methods],0))</f>
        <v>0</v>
      </c>
      <c r="H470">
        <f t="shared" ca="1" si="44"/>
        <v>22416</v>
      </c>
      <c r="I470">
        <f t="shared" ca="1" si="45"/>
        <v>190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6"/>
        <v>32</v>
      </c>
      <c r="D471">
        <f t="shared" ca="1" si="47"/>
        <v>9.76</v>
      </c>
      <c r="E471">
        <f t="shared" ca="1" si="42"/>
        <v>-90</v>
      </c>
      <c r="F471">
        <f t="shared" ca="1" si="43"/>
        <v>560</v>
      </c>
      <c r="G471" s="3" t="b">
        <f ca="1">INDEX(dict_zul_Var_Meth[kval_active],MATCH(table_Methods[[#This Row],[ID]],dict_zul_Var_Meth[ID_Methods],0))</f>
        <v>0</v>
      </c>
      <c r="H471">
        <f t="shared" ca="1" si="44"/>
        <v>13864</v>
      </c>
      <c r="I471">
        <f t="shared" ca="1" si="45"/>
        <v>4608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6"/>
        <v>40</v>
      </c>
      <c r="D472">
        <f t="shared" ca="1" si="47"/>
        <v>7.86</v>
      </c>
      <c r="E472">
        <f t="shared" ca="1" si="42"/>
        <v>-70</v>
      </c>
      <c r="F472">
        <f t="shared" ca="1" si="43"/>
        <v>320</v>
      </c>
      <c r="G472" s="3" t="b">
        <f ca="1">INDEX(dict_zul_Var_Meth[kval_active],MATCH(table_Methods[[#This Row],[ID]],dict_zul_Var_Meth[ID_Methods],0))</f>
        <v>0</v>
      </c>
      <c r="H472">
        <f t="shared" ca="1" si="44"/>
        <v>5525</v>
      </c>
      <c r="I472">
        <f t="shared" ca="1" si="45"/>
        <v>6784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6"/>
        <v>63.000000000000007</v>
      </c>
      <c r="D473">
        <f t="shared" ca="1" si="47"/>
        <v>1.76</v>
      </c>
      <c r="E473">
        <f t="shared" ca="1" si="42"/>
        <v>30</v>
      </c>
      <c r="F473">
        <f t="shared" ca="1" si="43"/>
        <v>160</v>
      </c>
      <c r="G473" s="3" t="b">
        <f ca="1">INDEX(dict_zul_Var_Meth[kval_active],MATCH(table_Methods[[#This Row],[ID]],dict_zul_Var_Meth[ID_Methods],0))</f>
        <v>0</v>
      </c>
      <c r="H473">
        <f t="shared" ca="1" si="44"/>
        <v>10024</v>
      </c>
      <c r="I473">
        <f t="shared" ca="1" si="45"/>
        <v>166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6"/>
        <v>150</v>
      </c>
      <c r="D474">
        <f t="shared" ca="1" si="47"/>
        <v>7.94</v>
      </c>
      <c r="E474">
        <f t="shared" ca="1" si="42"/>
        <v>0</v>
      </c>
      <c r="F474">
        <f t="shared" ca="1" si="43"/>
        <v>490</v>
      </c>
      <c r="G474" s="3" t="b">
        <f ca="1">INDEX(dict_zul_Var_Meth[kval_active],MATCH(table_Methods[[#This Row],[ID]],dict_zul_Var_Meth[ID_Methods],0))</f>
        <v>0</v>
      </c>
      <c r="H474">
        <f t="shared" ca="1" si="44"/>
        <v>1692</v>
      </c>
      <c r="I474">
        <f t="shared" ca="1" si="45"/>
        <v>14848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6"/>
        <v>620</v>
      </c>
      <c r="D475">
        <f t="shared" ca="1" si="47"/>
        <v>1.1299999999999999</v>
      </c>
      <c r="E475">
        <f t="shared" ca="1" si="42"/>
        <v>-80</v>
      </c>
      <c r="F475">
        <f t="shared" ca="1" si="43"/>
        <v>520</v>
      </c>
      <c r="G475" s="3" t="b">
        <f ca="1">INDEX(dict_zul_Var_Meth[kval_active],MATCH(table_Methods[[#This Row],[ID]],dict_zul_Var_Meth[ID_Methods],0))</f>
        <v>0</v>
      </c>
      <c r="H475">
        <f t="shared" ca="1" si="44"/>
        <v>553</v>
      </c>
      <c r="I475">
        <f t="shared" ca="1" si="45"/>
        <v>142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6"/>
        <v>190</v>
      </c>
      <c r="D476">
        <f t="shared" ca="1" si="47"/>
        <v>7.36</v>
      </c>
      <c r="E476">
        <f t="shared" ca="1" si="42"/>
        <v>20</v>
      </c>
      <c r="F476">
        <f t="shared" ca="1" si="43"/>
        <v>840</v>
      </c>
      <c r="G476" s="3" t="b">
        <f ca="1">INDEX(dict_zul_Var_Meth[kval_active],MATCH(table_Methods[[#This Row],[ID]],dict_zul_Var_Meth[ID_Methods],0))</f>
        <v>0</v>
      </c>
      <c r="H476">
        <f t="shared" ca="1" si="44"/>
        <v>23305</v>
      </c>
      <c r="I476">
        <f t="shared" ca="1" si="45"/>
        <v>768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6"/>
        <v>3400</v>
      </c>
      <c r="D477">
        <f t="shared" ca="1" si="47"/>
        <v>0.32</v>
      </c>
      <c r="E477">
        <f t="shared" ca="1" si="42"/>
        <v>-40</v>
      </c>
      <c r="F477">
        <f t="shared" ca="1" si="43"/>
        <v>390</v>
      </c>
      <c r="G477" s="3" t="b">
        <f ca="1">INDEX(dict_zul_Var_Meth[kval_active],MATCH(table_Methods[[#This Row],[ID]],dict_zul_Var_Meth[ID_Methods],0))</f>
        <v>0</v>
      </c>
      <c r="H477">
        <f t="shared" ca="1" si="44"/>
        <v>3670</v>
      </c>
      <c r="I477">
        <f t="shared" ca="1" si="45"/>
        <v>22528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6"/>
        <v>19</v>
      </c>
      <c r="D478">
        <f t="shared" ca="1" si="47"/>
        <v>3.22</v>
      </c>
      <c r="E478">
        <f t="shared" ca="1" si="42"/>
        <v>-20</v>
      </c>
      <c r="F478">
        <f t="shared" ca="1" si="43"/>
        <v>260</v>
      </c>
      <c r="G478" s="3" t="b">
        <f ca="1">INDEX(dict_zul_Var_Meth[kval_active],MATCH(table_Methods[[#This Row],[ID]],dict_zul_Var_Meth[ID_Methods],0))</f>
        <v>0</v>
      </c>
      <c r="H478">
        <f t="shared" ca="1" si="44"/>
        <v>1956</v>
      </c>
      <c r="I478">
        <f t="shared" ca="1" si="45"/>
        <v>1856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6"/>
        <v>84</v>
      </c>
      <c r="D479">
        <f t="shared" ca="1" si="47"/>
        <v>4.87</v>
      </c>
      <c r="E479">
        <f t="shared" ca="1" si="42"/>
        <v>-80</v>
      </c>
      <c r="F479">
        <f t="shared" ca="1" si="43"/>
        <v>500</v>
      </c>
      <c r="G479" s="3" t="b">
        <f ca="1">INDEX(dict_zul_Var_Meth[kval_active],MATCH(table_Methods[[#This Row],[ID]],dict_zul_Var_Meth[ID_Methods],0))</f>
        <v>0</v>
      </c>
      <c r="H479">
        <f t="shared" ca="1" si="44"/>
        <v>27340</v>
      </c>
      <c r="I479">
        <f t="shared" ca="1" si="45"/>
        <v>768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6"/>
        <v>940</v>
      </c>
      <c r="D480">
        <f t="shared" ca="1" si="47"/>
        <v>1.1599999999999999</v>
      </c>
      <c r="E480">
        <f t="shared" ca="1" si="42"/>
        <v>-20</v>
      </c>
      <c r="F480">
        <f t="shared" ca="1" si="43"/>
        <v>750</v>
      </c>
      <c r="G480" s="3" t="b">
        <f ca="1">INDEX(dict_zul_Var_Meth[kval_active],MATCH(table_Methods[[#This Row],[ID]],dict_zul_Var_Meth[ID_Methods],0))</f>
        <v>0</v>
      </c>
      <c r="H480">
        <f t="shared" ca="1" si="44"/>
        <v>4272</v>
      </c>
      <c r="I480">
        <f t="shared" ca="1" si="45"/>
        <v>4672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6"/>
        <v>9500</v>
      </c>
      <c r="D481">
        <f t="shared" ca="1" si="47"/>
        <v>6.7</v>
      </c>
      <c r="E481">
        <f t="shared" ca="1" si="42"/>
        <v>30</v>
      </c>
      <c r="F481">
        <f t="shared" ca="1" si="43"/>
        <v>640</v>
      </c>
      <c r="G481" s="3" t="b">
        <f ca="1">INDEX(dict_zul_Var_Meth[kval_active],MATCH(table_Methods[[#This Row],[ID]],dict_zul_Var_Meth[ID_Methods],0))</f>
        <v>0</v>
      </c>
      <c r="H481">
        <f t="shared" ca="1" si="44"/>
        <v>14478</v>
      </c>
      <c r="I481">
        <f t="shared" ca="1" si="45"/>
        <v>464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6"/>
        <v>270</v>
      </c>
      <c r="D482">
        <f t="shared" ca="1" si="47"/>
        <v>4.0199999999999996</v>
      </c>
      <c r="E482">
        <f t="shared" ca="1" si="42"/>
        <v>-10</v>
      </c>
      <c r="F482">
        <f t="shared" ca="1" si="43"/>
        <v>620</v>
      </c>
      <c r="G482" s="3" t="b">
        <f ca="1">INDEX(dict_zul_Var_Meth[kval_active],MATCH(table_Methods[[#This Row],[ID]],dict_zul_Var_Meth[ID_Methods],0))</f>
        <v>0</v>
      </c>
      <c r="H482">
        <f t="shared" ca="1" si="44"/>
        <v>15592</v>
      </c>
      <c r="I482">
        <f t="shared" ca="1" si="45"/>
        <v>1472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6"/>
        <v>64</v>
      </c>
      <c r="D483">
        <f t="shared" ca="1" si="47"/>
        <v>7.25</v>
      </c>
      <c r="E483">
        <f t="shared" ca="1" si="42"/>
        <v>-10</v>
      </c>
      <c r="F483">
        <f t="shared" ca="1" si="43"/>
        <v>280</v>
      </c>
      <c r="G483" s="3" t="b">
        <f ca="1">INDEX(dict_zul_Var_Meth[kval_active],MATCH(table_Methods[[#This Row],[ID]],dict_zul_Var_Meth[ID_Methods],0))</f>
        <v>0</v>
      </c>
      <c r="H483">
        <f t="shared" ca="1" si="44"/>
        <v>18580</v>
      </c>
      <c r="I483">
        <f t="shared" ca="1" si="45"/>
        <v>400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6"/>
        <v>84</v>
      </c>
      <c r="D484">
        <f t="shared" ca="1" si="47"/>
        <v>0.89</v>
      </c>
      <c r="E484">
        <f t="shared" ref="E484:E547" ca="1" si="48">RANDBETWEEN(-10,3)*10</f>
        <v>-100</v>
      </c>
      <c r="F484">
        <f t="shared" ref="F484:F547" ca="1" si="49">RANDBETWEEN(2,100)*10</f>
        <v>550</v>
      </c>
      <c r="G484" s="3" t="b">
        <f ca="1">INDEX(dict_zul_Var_Meth[kval_active],MATCH(table_Methods[[#This Row],[ID]],dict_zul_Var_Meth[ID_Methods],0))</f>
        <v>0</v>
      </c>
      <c r="H484">
        <f t="shared" ref="H484:H547" ca="1" si="50">RANDBETWEEN(1,10)*RANDBETWEEN(1,5000)</f>
        <v>16000</v>
      </c>
      <c r="I484">
        <f t="shared" ref="I484:I547" ca="1" si="51">2^RANDBETWEEN(1,10)*RANDBETWEEN(1,100)</f>
        <v>2400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6"/>
        <v>54</v>
      </c>
      <c r="D485">
        <f t="shared" ca="1" si="47"/>
        <v>2.27</v>
      </c>
      <c r="E485">
        <f t="shared" ca="1" si="48"/>
        <v>-10</v>
      </c>
      <c r="F485">
        <f t="shared" ca="1" si="49"/>
        <v>620</v>
      </c>
      <c r="G485" s="3" t="b">
        <f ca="1">INDEX(dict_zul_Var_Meth[kval_active],MATCH(table_Methods[[#This Row],[ID]],dict_zul_Var_Meth[ID_Methods],0))</f>
        <v>0</v>
      </c>
      <c r="H485">
        <f t="shared" ca="1" si="50"/>
        <v>25347</v>
      </c>
      <c r="I485">
        <f t="shared" ca="1" si="51"/>
        <v>480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6"/>
        <v>9800</v>
      </c>
      <c r="D486">
        <f t="shared" ca="1" si="47"/>
        <v>6.68</v>
      </c>
      <c r="E486">
        <f t="shared" ca="1" si="48"/>
        <v>-10</v>
      </c>
      <c r="F486">
        <f t="shared" ca="1" si="49"/>
        <v>250</v>
      </c>
      <c r="G486" s="3" t="b">
        <f ca="1">INDEX(dict_zul_Var_Meth[kval_active],MATCH(table_Methods[[#This Row],[ID]],dict_zul_Var_Meth[ID_Methods],0))</f>
        <v>0</v>
      </c>
      <c r="H486">
        <f t="shared" ca="1" si="50"/>
        <v>46500</v>
      </c>
      <c r="I486">
        <f t="shared" ca="1" si="51"/>
        <v>12160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6"/>
        <v>12.000000000000002</v>
      </c>
      <c r="D487">
        <f t="shared" ca="1" si="47"/>
        <v>9.4499999999999993</v>
      </c>
      <c r="E487">
        <f t="shared" ca="1" si="48"/>
        <v>-80</v>
      </c>
      <c r="F487">
        <f t="shared" ca="1" si="49"/>
        <v>860</v>
      </c>
      <c r="G487" s="3" t="b">
        <f ca="1">INDEX(dict_zul_Var_Meth[kval_active],MATCH(table_Methods[[#This Row],[ID]],dict_zul_Var_Meth[ID_Methods],0))</f>
        <v>0</v>
      </c>
      <c r="H487">
        <f t="shared" ca="1" si="50"/>
        <v>12555</v>
      </c>
      <c r="I487">
        <f t="shared" ca="1" si="51"/>
        <v>296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6"/>
        <v>380</v>
      </c>
      <c r="D488">
        <f t="shared" ca="1" si="47"/>
        <v>4.71</v>
      </c>
      <c r="E488">
        <f t="shared" ca="1" si="48"/>
        <v>-60</v>
      </c>
      <c r="F488">
        <f t="shared" ca="1" si="49"/>
        <v>110</v>
      </c>
      <c r="G488" s="3" t="b">
        <f ca="1">INDEX(dict_zul_Var_Meth[kval_active],MATCH(table_Methods[[#This Row],[ID]],dict_zul_Var_Meth[ID_Methods],0))</f>
        <v>0</v>
      </c>
      <c r="H488">
        <f t="shared" ca="1" si="50"/>
        <v>4182</v>
      </c>
      <c r="I488">
        <f t="shared" ca="1" si="51"/>
        <v>6144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6"/>
        <v>8100</v>
      </c>
      <c r="D489">
        <f t="shared" ca="1" si="47"/>
        <v>9.8699999999999992</v>
      </c>
      <c r="E489">
        <f t="shared" ca="1" si="48"/>
        <v>-100</v>
      </c>
      <c r="F489">
        <f t="shared" ca="1" si="49"/>
        <v>130</v>
      </c>
      <c r="G489" s="3" t="b">
        <f ca="1">INDEX(dict_zul_Var_Meth[kval_active],MATCH(table_Methods[[#This Row],[ID]],dict_zul_Var_Meth[ID_Methods],0))</f>
        <v>0</v>
      </c>
      <c r="H489">
        <f t="shared" ca="1" si="50"/>
        <v>25914</v>
      </c>
      <c r="I489">
        <f t="shared" ca="1" si="51"/>
        <v>18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6"/>
        <v>55</v>
      </c>
      <c r="D490">
        <f t="shared" ca="1" si="47"/>
        <v>2.16</v>
      </c>
      <c r="E490">
        <f t="shared" ca="1" si="48"/>
        <v>-40</v>
      </c>
      <c r="F490">
        <f t="shared" ca="1" si="49"/>
        <v>930</v>
      </c>
      <c r="G490" s="3" t="b">
        <f ca="1">INDEX(dict_zul_Var_Meth[kval_active],MATCH(table_Methods[[#This Row],[ID]],dict_zul_Var_Meth[ID_Methods],0))</f>
        <v>0</v>
      </c>
      <c r="H490">
        <f t="shared" ca="1" si="50"/>
        <v>28746</v>
      </c>
      <c r="I490">
        <f t="shared" ca="1" si="51"/>
        <v>168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6"/>
        <v>75</v>
      </c>
      <c r="D491">
        <f t="shared" ca="1" si="47"/>
        <v>2.98</v>
      </c>
      <c r="E491">
        <f t="shared" ca="1" si="48"/>
        <v>-70</v>
      </c>
      <c r="F491">
        <f t="shared" ca="1" si="49"/>
        <v>150</v>
      </c>
      <c r="G491" s="3" t="b">
        <f ca="1">INDEX(dict_zul_Var_Meth[kval_active],MATCH(table_Methods[[#This Row],[ID]],dict_zul_Var_Meth[ID_Methods],0))</f>
        <v>0</v>
      </c>
      <c r="H491">
        <f t="shared" ca="1" si="50"/>
        <v>8016</v>
      </c>
      <c r="I491">
        <f t="shared" ca="1" si="51"/>
        <v>3072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6"/>
        <v>660</v>
      </c>
      <c r="D492">
        <f t="shared" ca="1" si="47"/>
        <v>1.19</v>
      </c>
      <c r="E492">
        <f t="shared" ca="1" si="48"/>
        <v>-100</v>
      </c>
      <c r="F492">
        <f t="shared" ca="1" si="49"/>
        <v>560</v>
      </c>
      <c r="G492" s="3" t="b">
        <f ca="1">INDEX(dict_zul_Var_Meth[kval_active],MATCH(table_Methods[[#This Row],[ID]],dict_zul_Var_Meth[ID_Methods],0))</f>
        <v>0</v>
      </c>
      <c r="H492">
        <f t="shared" ca="1" si="50"/>
        <v>11277</v>
      </c>
      <c r="I492">
        <f t="shared" ca="1" si="51"/>
        <v>28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6"/>
        <v>87.000000000000014</v>
      </c>
      <c r="D493">
        <f t="shared" ca="1" si="47"/>
        <v>8.2899999999999991</v>
      </c>
      <c r="E493">
        <f t="shared" ca="1" si="48"/>
        <v>-20</v>
      </c>
      <c r="F493">
        <f t="shared" ca="1" si="49"/>
        <v>780</v>
      </c>
      <c r="G493" s="3" t="b">
        <f ca="1">INDEX(dict_zul_Var_Meth[kval_active],MATCH(table_Methods[[#This Row],[ID]],dict_zul_Var_Meth[ID_Methods],0))</f>
        <v>0</v>
      </c>
      <c r="H493">
        <f t="shared" ca="1" si="50"/>
        <v>3664</v>
      </c>
      <c r="I493">
        <f t="shared" ca="1" si="51"/>
        <v>25600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6"/>
        <v>32</v>
      </c>
      <c r="D494">
        <f t="shared" ca="1" si="47"/>
        <v>4.2300000000000004</v>
      </c>
      <c r="E494">
        <f t="shared" ca="1" si="48"/>
        <v>-70</v>
      </c>
      <c r="F494">
        <f t="shared" ca="1" si="49"/>
        <v>400</v>
      </c>
      <c r="G494" s="3" t="b">
        <f ca="1">INDEX(dict_zul_Var_Meth[kval_active],MATCH(table_Methods[[#This Row],[ID]],dict_zul_Var_Meth[ID_Methods],0))</f>
        <v>0</v>
      </c>
      <c r="H494">
        <f t="shared" ca="1" si="50"/>
        <v>782</v>
      </c>
      <c r="I494">
        <f t="shared" ca="1" si="51"/>
        <v>55296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6"/>
        <v>48.000000000000007</v>
      </c>
      <c r="D495">
        <f t="shared" ca="1" si="47"/>
        <v>8.74</v>
      </c>
      <c r="E495">
        <f t="shared" ca="1" si="48"/>
        <v>0</v>
      </c>
      <c r="F495">
        <f t="shared" ca="1" si="49"/>
        <v>500</v>
      </c>
      <c r="G495" s="3" t="b">
        <f ca="1">INDEX(dict_zul_Var_Meth[kval_active],MATCH(table_Methods[[#This Row],[ID]],dict_zul_Var_Meth[ID_Methods],0))</f>
        <v>0</v>
      </c>
      <c r="H495">
        <f t="shared" ca="1" si="50"/>
        <v>29840</v>
      </c>
      <c r="I495">
        <f t="shared" ca="1" si="51"/>
        <v>216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6"/>
        <v>70</v>
      </c>
      <c r="D496">
        <f t="shared" ca="1" si="47"/>
        <v>5.53</v>
      </c>
      <c r="E496">
        <f t="shared" ca="1" si="48"/>
        <v>-90</v>
      </c>
      <c r="F496">
        <f t="shared" ca="1" si="49"/>
        <v>690</v>
      </c>
      <c r="G496" s="3" t="b">
        <f ca="1">INDEX(dict_zul_Var_Meth[kval_active],MATCH(table_Methods[[#This Row],[ID]],dict_zul_Var_Meth[ID_Methods],0))</f>
        <v>0</v>
      </c>
      <c r="H496">
        <f t="shared" ca="1" si="50"/>
        <v>26550</v>
      </c>
      <c r="I496">
        <f t="shared" ca="1" si="51"/>
        <v>6016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6"/>
        <v>170</v>
      </c>
      <c r="D497">
        <f t="shared" ca="1" si="47"/>
        <v>6.26</v>
      </c>
      <c r="E497">
        <f t="shared" ca="1" si="48"/>
        <v>-100</v>
      </c>
      <c r="F497">
        <f t="shared" ca="1" si="49"/>
        <v>810</v>
      </c>
      <c r="G497" s="3" t="b">
        <f ca="1">INDEX(dict_zul_Var_Meth[kval_active],MATCH(table_Methods[[#This Row],[ID]],dict_zul_Var_Meth[ID_Methods],0))</f>
        <v>0</v>
      </c>
      <c r="H497">
        <f t="shared" ca="1" si="50"/>
        <v>35496</v>
      </c>
      <c r="I497">
        <f t="shared" ca="1" si="51"/>
        <v>3456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6"/>
        <v>92.000000000000014</v>
      </c>
      <c r="D498">
        <f t="shared" ca="1" si="47"/>
        <v>9.0500000000000007</v>
      </c>
      <c r="E498">
        <f t="shared" ca="1" si="48"/>
        <v>0</v>
      </c>
      <c r="F498">
        <f t="shared" ca="1" si="49"/>
        <v>160</v>
      </c>
      <c r="G498" s="3" t="b">
        <f ca="1">INDEX(dict_zul_Var_Meth[kval_active],MATCH(table_Methods[[#This Row],[ID]],dict_zul_Var_Meth[ID_Methods],0))</f>
        <v>0</v>
      </c>
      <c r="H498">
        <f t="shared" ca="1" si="50"/>
        <v>17652</v>
      </c>
      <c r="I498">
        <f t="shared" ca="1" si="51"/>
        <v>58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6"/>
        <v>660</v>
      </c>
      <c r="D499">
        <f t="shared" ca="1" si="47"/>
        <v>6.07</v>
      </c>
      <c r="E499">
        <f t="shared" ca="1" si="48"/>
        <v>10</v>
      </c>
      <c r="F499">
        <f t="shared" ca="1" si="49"/>
        <v>350</v>
      </c>
      <c r="G499" s="3" t="b">
        <f ca="1">INDEX(dict_zul_Var_Meth[kval_active],MATCH(table_Methods[[#This Row],[ID]],dict_zul_Var_Meth[ID_Methods],0))</f>
        <v>0</v>
      </c>
      <c r="H499">
        <f t="shared" ca="1" si="50"/>
        <v>42732</v>
      </c>
      <c r="I499">
        <f t="shared" ca="1" si="51"/>
        <v>88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6"/>
        <v>8</v>
      </c>
      <c r="D500">
        <f t="shared" ca="1" si="47"/>
        <v>9.5</v>
      </c>
      <c r="E500">
        <f t="shared" ca="1" si="48"/>
        <v>-100</v>
      </c>
      <c r="F500">
        <f t="shared" ca="1" si="49"/>
        <v>190</v>
      </c>
      <c r="G500" s="3" t="b">
        <f ca="1">INDEX(dict_zul_Var_Meth[kval_active],MATCH(table_Methods[[#This Row],[ID]],dict_zul_Var_Meth[ID_Methods],0))</f>
        <v>0</v>
      </c>
      <c r="H500">
        <f t="shared" ca="1" si="50"/>
        <v>907</v>
      </c>
      <c r="I500">
        <f t="shared" ca="1" si="51"/>
        <v>144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6"/>
        <v>3100</v>
      </c>
      <c r="D501">
        <f t="shared" ca="1" si="47"/>
        <v>9.51</v>
      </c>
      <c r="E501">
        <f t="shared" ca="1" si="48"/>
        <v>-90</v>
      </c>
      <c r="F501">
        <f t="shared" ca="1" si="49"/>
        <v>960</v>
      </c>
      <c r="G501" s="3" t="b">
        <f ca="1">INDEX(dict_zul_Var_Meth[kval_active],MATCH(table_Methods[[#This Row],[ID]],dict_zul_Var_Meth[ID_Methods],0))</f>
        <v>0</v>
      </c>
      <c r="H501">
        <f t="shared" ca="1" si="50"/>
        <v>9876</v>
      </c>
      <c r="I501">
        <f t="shared" ca="1" si="51"/>
        <v>5248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6"/>
        <v>4000</v>
      </c>
      <c r="D502">
        <f t="shared" ca="1" si="47"/>
        <v>2.97</v>
      </c>
      <c r="E502">
        <f t="shared" ca="1" si="48"/>
        <v>-60</v>
      </c>
      <c r="F502">
        <f t="shared" ca="1" si="49"/>
        <v>540</v>
      </c>
      <c r="G502" s="3" t="b">
        <f ca="1">INDEX(dict_zul_Var_Meth[kval_active],MATCH(table_Methods[[#This Row],[ID]],dict_zul_Var_Meth[ID_Methods],0))</f>
        <v>0</v>
      </c>
      <c r="H502">
        <f t="shared" ca="1" si="50"/>
        <v>9333</v>
      </c>
      <c r="I502">
        <f t="shared" ca="1" si="51"/>
        <v>304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6"/>
        <v>35</v>
      </c>
      <c r="D503">
        <f t="shared" ca="1" si="47"/>
        <v>7.34</v>
      </c>
      <c r="E503">
        <f t="shared" ca="1" si="48"/>
        <v>-80</v>
      </c>
      <c r="F503">
        <f t="shared" ca="1" si="49"/>
        <v>500</v>
      </c>
      <c r="G503" s="3" t="b">
        <f ca="1">INDEX(dict_zul_Var_Meth[kval_active],MATCH(table_Methods[[#This Row],[ID]],dict_zul_Var_Meth[ID_Methods],0))</f>
        <v>0</v>
      </c>
      <c r="H503">
        <f t="shared" ca="1" si="50"/>
        <v>22990</v>
      </c>
      <c r="I503">
        <f t="shared" ca="1" si="51"/>
        <v>992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6"/>
        <v>1600</v>
      </c>
      <c r="D504">
        <f t="shared" ca="1" si="47"/>
        <v>4.78</v>
      </c>
      <c r="E504">
        <f t="shared" ca="1" si="48"/>
        <v>10</v>
      </c>
      <c r="F504">
        <f t="shared" ca="1" si="49"/>
        <v>750</v>
      </c>
      <c r="G504" s="3" t="b">
        <f ca="1">INDEX(dict_zul_Var_Meth[kval_active],MATCH(table_Methods[[#This Row],[ID]],dict_zul_Var_Meth[ID_Methods],0))</f>
        <v>0</v>
      </c>
      <c r="H504">
        <f t="shared" ca="1" si="50"/>
        <v>4155</v>
      </c>
      <c r="I504">
        <f t="shared" ca="1" si="51"/>
        <v>1280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6"/>
        <v>21</v>
      </c>
      <c r="D505">
        <f t="shared" ca="1" si="47"/>
        <v>4.78</v>
      </c>
      <c r="E505">
        <f t="shared" ca="1" si="48"/>
        <v>-20</v>
      </c>
      <c r="F505">
        <f t="shared" ca="1" si="49"/>
        <v>840</v>
      </c>
      <c r="G505" s="3" t="b">
        <f ca="1">INDEX(dict_zul_Var_Meth[kval_active],MATCH(table_Methods[[#This Row],[ID]],dict_zul_Var_Meth[ID_Methods],0))</f>
        <v>0</v>
      </c>
      <c r="H505">
        <f t="shared" ca="1" si="50"/>
        <v>10750</v>
      </c>
      <c r="I505">
        <f t="shared" ca="1" si="51"/>
        <v>4096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6"/>
        <v>86</v>
      </c>
      <c r="D506">
        <f t="shared" ca="1" si="47"/>
        <v>8.48</v>
      </c>
      <c r="E506">
        <f t="shared" ca="1" si="48"/>
        <v>-70</v>
      </c>
      <c r="F506">
        <f t="shared" ca="1" si="49"/>
        <v>190</v>
      </c>
      <c r="G506" s="3" t="b">
        <f ca="1">INDEX(dict_zul_Var_Meth[kval_active],MATCH(table_Methods[[#This Row],[ID]],dict_zul_Var_Meth[ID_Methods],0))</f>
        <v>0</v>
      </c>
      <c r="H506">
        <f t="shared" ca="1" si="50"/>
        <v>16340</v>
      </c>
      <c r="I506">
        <f t="shared" ca="1" si="51"/>
        <v>464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6"/>
        <v>96.000000000000014</v>
      </c>
      <c r="D507">
        <f t="shared" ca="1" si="47"/>
        <v>7.53</v>
      </c>
      <c r="E507">
        <f t="shared" ca="1" si="48"/>
        <v>-50</v>
      </c>
      <c r="F507">
        <f t="shared" ca="1" si="49"/>
        <v>300</v>
      </c>
      <c r="G507" s="3" t="b">
        <f ca="1">INDEX(dict_zul_Var_Meth[kval_active],MATCH(table_Methods[[#This Row],[ID]],dict_zul_Var_Meth[ID_Methods],0))</f>
        <v>0</v>
      </c>
      <c r="H507">
        <f t="shared" ca="1" si="50"/>
        <v>4505</v>
      </c>
      <c r="I507">
        <f t="shared" ca="1" si="51"/>
        <v>2912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6"/>
        <v>390</v>
      </c>
      <c r="D508">
        <f t="shared" ca="1" si="47"/>
        <v>4.99</v>
      </c>
      <c r="E508">
        <f t="shared" ca="1" si="48"/>
        <v>-40</v>
      </c>
      <c r="F508">
        <f t="shared" ca="1" si="49"/>
        <v>640</v>
      </c>
      <c r="G508" s="3" t="b">
        <f ca="1">INDEX(dict_zul_Var_Meth[kval_active],MATCH(table_Methods[[#This Row],[ID]],dict_zul_Var_Meth[ID_Methods],0))</f>
        <v>0</v>
      </c>
      <c r="H508">
        <f t="shared" ca="1" si="50"/>
        <v>1904</v>
      </c>
      <c r="I508">
        <f t="shared" ca="1" si="51"/>
        <v>174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6"/>
        <v>9300</v>
      </c>
      <c r="D509">
        <f t="shared" ca="1" si="47"/>
        <v>8.9600000000000009</v>
      </c>
      <c r="E509">
        <f t="shared" ca="1" si="48"/>
        <v>10</v>
      </c>
      <c r="F509">
        <f t="shared" ca="1" si="49"/>
        <v>920</v>
      </c>
      <c r="G509" s="3" t="b">
        <f ca="1">INDEX(dict_zul_Var_Meth[kval_active],MATCH(table_Methods[[#This Row],[ID]],dict_zul_Var_Meth[ID_Methods],0))</f>
        <v>0</v>
      </c>
      <c r="H509">
        <f t="shared" ca="1" si="50"/>
        <v>12740</v>
      </c>
      <c r="I509">
        <f t="shared" ca="1" si="51"/>
        <v>50176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6"/>
        <v>640</v>
      </c>
      <c r="D510">
        <f t="shared" ca="1" si="47"/>
        <v>6.19</v>
      </c>
      <c r="E510">
        <f t="shared" ca="1" si="48"/>
        <v>20</v>
      </c>
      <c r="F510">
        <f t="shared" ca="1" si="49"/>
        <v>190</v>
      </c>
      <c r="G510" s="3" t="b">
        <f ca="1">INDEX(dict_zul_Var_Meth[kval_active],MATCH(table_Methods[[#This Row],[ID]],dict_zul_Var_Meth[ID_Methods],0))</f>
        <v>0</v>
      </c>
      <c r="H510">
        <f t="shared" ca="1" si="50"/>
        <v>24824</v>
      </c>
      <c r="I510">
        <f t="shared" ca="1" si="51"/>
        <v>32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6"/>
        <v>10000</v>
      </c>
      <c r="D511">
        <f t="shared" ca="1" si="47"/>
        <v>6.26</v>
      </c>
      <c r="E511">
        <f t="shared" ca="1" si="48"/>
        <v>-50</v>
      </c>
      <c r="F511">
        <f t="shared" ca="1" si="49"/>
        <v>220</v>
      </c>
      <c r="G511" s="3" t="b">
        <f ca="1">INDEX(dict_zul_Var_Meth[kval_active],MATCH(table_Methods[[#This Row],[ID]],dict_zul_Var_Meth[ID_Methods],0))</f>
        <v>1</v>
      </c>
      <c r="H511">
        <f t="shared" ca="1" si="50"/>
        <v>7944</v>
      </c>
      <c r="I511">
        <f t="shared" ca="1" si="51"/>
        <v>3584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6"/>
        <v>700</v>
      </c>
      <c r="D512">
        <f t="shared" ca="1" si="47"/>
        <v>5.28</v>
      </c>
      <c r="E512">
        <f t="shared" ca="1" si="48"/>
        <v>20</v>
      </c>
      <c r="F512">
        <f t="shared" ca="1" si="49"/>
        <v>700</v>
      </c>
      <c r="G512" s="3" t="b">
        <f ca="1">INDEX(dict_zul_Var_Meth[kval_active],MATCH(table_Methods[[#This Row],[ID]],dict_zul_Var_Meth[ID_Methods],0))</f>
        <v>0</v>
      </c>
      <c r="H512">
        <f t="shared" ca="1" si="50"/>
        <v>10176</v>
      </c>
      <c r="I512">
        <f t="shared" ca="1" si="51"/>
        <v>1344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6"/>
        <v>790</v>
      </c>
      <c r="D513">
        <f t="shared" ca="1" si="47"/>
        <v>4.37</v>
      </c>
      <c r="E513">
        <f t="shared" ca="1" si="48"/>
        <v>20</v>
      </c>
      <c r="F513">
        <f t="shared" ca="1" si="49"/>
        <v>860</v>
      </c>
      <c r="G513" s="3" t="b">
        <f ca="1">INDEX(dict_zul_Var_Meth[kval_active],MATCH(table_Methods[[#This Row],[ID]],dict_zul_Var_Meth[ID_Methods],0))</f>
        <v>0</v>
      </c>
      <c r="H513">
        <f t="shared" ca="1" si="50"/>
        <v>5505</v>
      </c>
      <c r="I513">
        <f t="shared" ca="1" si="51"/>
        <v>42496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52">10^(RANDBETWEEN(-1,1))*RANDBETWEEN(1,100)*10</f>
        <v>9100</v>
      </c>
      <c r="D514">
        <f t="shared" ca="1" si="47"/>
        <v>2.4</v>
      </c>
      <c r="E514">
        <f t="shared" ca="1" si="48"/>
        <v>-50</v>
      </c>
      <c r="F514">
        <f t="shared" ca="1" si="49"/>
        <v>200</v>
      </c>
      <c r="G514" s="3" t="b">
        <f ca="1">INDEX(dict_zul_Var_Meth[kval_active],MATCH(table_Methods[[#This Row],[ID]],dict_zul_Var_Meth[ID_Methods],0))</f>
        <v>0</v>
      </c>
      <c r="H514">
        <f t="shared" ca="1" si="50"/>
        <v>10460</v>
      </c>
      <c r="I514">
        <f t="shared" ca="1" si="51"/>
        <v>6912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52"/>
        <v>8200</v>
      </c>
      <c r="D515">
        <f t="shared" ref="D515:D578" ca="1" si="53">RANDBETWEEN(10,1000)/(100)</f>
        <v>3.57</v>
      </c>
      <c r="E515">
        <f t="shared" ca="1" si="48"/>
        <v>20</v>
      </c>
      <c r="F515">
        <f t="shared" ca="1" si="49"/>
        <v>270</v>
      </c>
      <c r="G515" s="3" t="b">
        <f ca="1">INDEX(dict_zul_Var_Meth[kval_active],MATCH(table_Methods[[#This Row],[ID]],dict_zul_Var_Meth[ID_Methods],0))</f>
        <v>0</v>
      </c>
      <c r="H515">
        <f t="shared" ca="1" si="50"/>
        <v>35152</v>
      </c>
      <c r="I515">
        <f t="shared" ca="1" si="51"/>
        <v>4352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52"/>
        <v>9900</v>
      </c>
      <c r="D516">
        <f t="shared" ca="1" si="53"/>
        <v>7.94</v>
      </c>
      <c r="E516">
        <f t="shared" ca="1" si="48"/>
        <v>-60</v>
      </c>
      <c r="F516">
        <f t="shared" ca="1" si="49"/>
        <v>560</v>
      </c>
      <c r="G516" s="3" t="b">
        <f ca="1">INDEX(dict_zul_Var_Meth[kval_active],MATCH(table_Methods[[#This Row],[ID]],dict_zul_Var_Meth[ID_Methods],0))</f>
        <v>0</v>
      </c>
      <c r="H516">
        <f t="shared" ca="1" si="50"/>
        <v>18355</v>
      </c>
      <c r="I516">
        <f t="shared" ca="1" si="51"/>
        <v>73728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52"/>
        <v>790</v>
      </c>
      <c r="D517">
        <f t="shared" ca="1" si="53"/>
        <v>3.39</v>
      </c>
      <c r="E517">
        <f t="shared" ca="1" si="48"/>
        <v>-40</v>
      </c>
      <c r="F517">
        <f t="shared" ca="1" si="49"/>
        <v>260</v>
      </c>
      <c r="G517" s="3" t="b">
        <f ca="1">INDEX(dict_zul_Var_Meth[kval_active],MATCH(table_Methods[[#This Row],[ID]],dict_zul_Var_Meth[ID_Methods],0))</f>
        <v>0</v>
      </c>
      <c r="H517">
        <f t="shared" ca="1" si="50"/>
        <v>4376</v>
      </c>
      <c r="I517">
        <f t="shared" ca="1" si="51"/>
        <v>800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52"/>
        <v>830</v>
      </c>
      <c r="D518">
        <f t="shared" ca="1" si="53"/>
        <v>0.74</v>
      </c>
      <c r="E518">
        <f t="shared" ca="1" si="48"/>
        <v>-60</v>
      </c>
      <c r="F518">
        <f t="shared" ca="1" si="49"/>
        <v>250</v>
      </c>
      <c r="G518" s="3" t="b">
        <f ca="1">INDEX(dict_zul_Var_Meth[kval_active],MATCH(table_Methods[[#This Row],[ID]],dict_zul_Var_Meth[ID_Methods],0))</f>
        <v>0</v>
      </c>
      <c r="H518">
        <f t="shared" ca="1" si="50"/>
        <v>588</v>
      </c>
      <c r="I518">
        <f t="shared" ca="1" si="51"/>
        <v>7040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52"/>
        <v>51.000000000000007</v>
      </c>
      <c r="D519">
        <f t="shared" ca="1" si="53"/>
        <v>5.58</v>
      </c>
      <c r="E519">
        <f t="shared" ca="1" si="48"/>
        <v>-20</v>
      </c>
      <c r="F519">
        <f t="shared" ca="1" si="49"/>
        <v>30</v>
      </c>
      <c r="G519" s="3" t="b">
        <f ca="1">INDEX(dict_zul_Var_Meth[kval_active],MATCH(table_Methods[[#This Row],[ID]],dict_zul_Var_Meth[ID_Methods],0))</f>
        <v>0</v>
      </c>
      <c r="H519">
        <f t="shared" ca="1" si="50"/>
        <v>8068</v>
      </c>
      <c r="I519">
        <f t="shared" ca="1" si="51"/>
        <v>136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52"/>
        <v>4400</v>
      </c>
      <c r="D520">
        <f t="shared" ca="1" si="53"/>
        <v>0.92</v>
      </c>
      <c r="E520">
        <f t="shared" ca="1" si="48"/>
        <v>0</v>
      </c>
      <c r="F520">
        <f t="shared" ca="1" si="49"/>
        <v>160</v>
      </c>
      <c r="G520" s="3" t="b">
        <f ca="1">INDEX(dict_zul_Var_Meth[kval_active],MATCH(table_Methods[[#This Row],[ID]],dict_zul_Var_Meth[ID_Methods],0))</f>
        <v>0</v>
      </c>
      <c r="H520">
        <f t="shared" ca="1" si="50"/>
        <v>2864</v>
      </c>
      <c r="I520">
        <f t="shared" ca="1" si="51"/>
        <v>13312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52"/>
        <v>86</v>
      </c>
      <c r="D521">
        <f t="shared" ca="1" si="53"/>
        <v>8.07</v>
      </c>
      <c r="E521">
        <f t="shared" ca="1" si="48"/>
        <v>-70</v>
      </c>
      <c r="F521">
        <f t="shared" ca="1" si="49"/>
        <v>250</v>
      </c>
      <c r="G521" s="3" t="b">
        <f ca="1">INDEX(dict_zul_Var_Meth[kval_active],MATCH(table_Methods[[#This Row],[ID]],dict_zul_Var_Meth[ID_Methods],0))</f>
        <v>0</v>
      </c>
      <c r="H521">
        <f t="shared" ca="1" si="50"/>
        <v>9388</v>
      </c>
      <c r="I521">
        <f t="shared" ca="1" si="51"/>
        <v>69632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52"/>
        <v>4800</v>
      </c>
      <c r="D522">
        <f t="shared" ca="1" si="53"/>
        <v>0.15</v>
      </c>
      <c r="E522">
        <f t="shared" ca="1" si="48"/>
        <v>-20</v>
      </c>
      <c r="F522">
        <f t="shared" ca="1" si="49"/>
        <v>230</v>
      </c>
      <c r="G522" s="3" t="b">
        <f ca="1">INDEX(dict_zul_Var_Meth[kval_active],MATCH(table_Methods[[#This Row],[ID]],dict_zul_Var_Meth[ID_Methods],0))</f>
        <v>0</v>
      </c>
      <c r="H522">
        <f t="shared" ca="1" si="50"/>
        <v>9984</v>
      </c>
      <c r="I522">
        <f t="shared" ca="1" si="51"/>
        <v>2048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52"/>
        <v>740</v>
      </c>
      <c r="D523">
        <f t="shared" ca="1" si="53"/>
        <v>4.97</v>
      </c>
      <c r="E523">
        <f t="shared" ca="1" si="48"/>
        <v>-30</v>
      </c>
      <c r="F523">
        <f t="shared" ca="1" si="49"/>
        <v>450</v>
      </c>
      <c r="G523" s="3" t="b">
        <f ca="1">INDEX(dict_zul_Var_Meth[kval_active],MATCH(table_Methods[[#This Row],[ID]],dict_zul_Var_Meth[ID_Methods],0))</f>
        <v>0</v>
      </c>
      <c r="H523">
        <f t="shared" ca="1" si="50"/>
        <v>5208</v>
      </c>
      <c r="I523">
        <f t="shared" ca="1" si="51"/>
        <v>360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52"/>
        <v>89</v>
      </c>
      <c r="D524">
        <f t="shared" ca="1" si="53"/>
        <v>5.47</v>
      </c>
      <c r="E524">
        <f t="shared" ca="1" si="48"/>
        <v>-10</v>
      </c>
      <c r="F524">
        <f t="shared" ca="1" si="49"/>
        <v>150</v>
      </c>
      <c r="G524" s="3" t="b">
        <f ca="1">INDEX(dict_zul_Var_Meth[kval_active],MATCH(table_Methods[[#This Row],[ID]],dict_zul_Var_Meth[ID_Methods],0))</f>
        <v>0</v>
      </c>
      <c r="H524">
        <f t="shared" ca="1" si="50"/>
        <v>49380</v>
      </c>
      <c r="I524">
        <f t="shared" ca="1" si="51"/>
        <v>184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52"/>
        <v>4000</v>
      </c>
      <c r="D525">
        <f t="shared" ca="1" si="53"/>
        <v>9.52</v>
      </c>
      <c r="E525">
        <f t="shared" ca="1" si="48"/>
        <v>30</v>
      </c>
      <c r="F525">
        <f t="shared" ca="1" si="49"/>
        <v>900</v>
      </c>
      <c r="G525" s="3" t="b">
        <f ca="1">INDEX(dict_zul_Var_Meth[kval_active],MATCH(table_Methods[[#This Row],[ID]],dict_zul_Var_Meth[ID_Methods],0))</f>
        <v>0</v>
      </c>
      <c r="H525">
        <f t="shared" ca="1" si="50"/>
        <v>8406</v>
      </c>
      <c r="I525">
        <f t="shared" ca="1" si="51"/>
        <v>11904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52"/>
        <v>5</v>
      </c>
      <c r="D526">
        <f t="shared" ca="1" si="53"/>
        <v>3.37</v>
      </c>
      <c r="E526">
        <f t="shared" ca="1" si="48"/>
        <v>0</v>
      </c>
      <c r="F526">
        <f t="shared" ca="1" si="49"/>
        <v>140</v>
      </c>
      <c r="G526" s="3" t="b">
        <f ca="1">INDEX(dict_zul_Var_Meth[kval_active],MATCH(table_Methods[[#This Row],[ID]],dict_zul_Var_Meth[ID_Methods],0))</f>
        <v>0</v>
      </c>
      <c r="H526">
        <f t="shared" ca="1" si="50"/>
        <v>40350</v>
      </c>
      <c r="I526">
        <f t="shared" ca="1" si="51"/>
        <v>3328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52"/>
        <v>6000</v>
      </c>
      <c r="D527">
        <f t="shared" ca="1" si="53"/>
        <v>4.83</v>
      </c>
      <c r="E527">
        <f t="shared" ca="1" si="48"/>
        <v>-70</v>
      </c>
      <c r="F527">
        <f t="shared" ca="1" si="49"/>
        <v>710</v>
      </c>
      <c r="G527" s="3" t="b">
        <f ca="1">INDEX(dict_zul_Var_Meth[kval_active],MATCH(table_Methods[[#This Row],[ID]],dict_zul_Var_Meth[ID_Methods],0))</f>
        <v>0</v>
      </c>
      <c r="H527">
        <f t="shared" ca="1" si="50"/>
        <v>5076</v>
      </c>
      <c r="I527">
        <f t="shared" ca="1" si="51"/>
        <v>4032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52"/>
        <v>27</v>
      </c>
      <c r="D528">
        <f t="shared" ca="1" si="53"/>
        <v>1.76</v>
      </c>
      <c r="E528">
        <f t="shared" ca="1" si="48"/>
        <v>-60</v>
      </c>
      <c r="F528">
        <f t="shared" ca="1" si="49"/>
        <v>220</v>
      </c>
      <c r="G528" s="3" t="b">
        <f ca="1">INDEX(dict_zul_Var_Meth[kval_active],MATCH(table_Methods[[#This Row],[ID]],dict_zul_Var_Meth[ID_Methods],0))</f>
        <v>0</v>
      </c>
      <c r="H528">
        <f t="shared" ca="1" si="50"/>
        <v>5108</v>
      </c>
      <c r="I528">
        <f t="shared" ca="1" si="51"/>
        <v>146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52"/>
        <v>820</v>
      </c>
      <c r="D529">
        <f t="shared" ca="1" si="53"/>
        <v>6.85</v>
      </c>
      <c r="E529">
        <f t="shared" ca="1" si="48"/>
        <v>-30</v>
      </c>
      <c r="F529">
        <f t="shared" ca="1" si="49"/>
        <v>800</v>
      </c>
      <c r="G529" s="3" t="b">
        <f ca="1">INDEX(dict_zul_Var_Meth[kval_active],MATCH(table_Methods[[#This Row],[ID]],dict_zul_Var_Meth[ID_Methods],0))</f>
        <v>0</v>
      </c>
      <c r="H529">
        <f t="shared" ca="1" si="50"/>
        <v>372</v>
      </c>
      <c r="I529">
        <f t="shared" ca="1" si="51"/>
        <v>30208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52"/>
        <v>360</v>
      </c>
      <c r="D530">
        <f t="shared" ca="1" si="53"/>
        <v>6.49</v>
      </c>
      <c r="E530">
        <f t="shared" ca="1" si="48"/>
        <v>-100</v>
      </c>
      <c r="F530">
        <f t="shared" ca="1" si="49"/>
        <v>670</v>
      </c>
      <c r="G530" s="3" t="b">
        <f ca="1">INDEX(dict_zul_Var_Meth[kval_active],MATCH(table_Methods[[#This Row],[ID]],dict_zul_Var_Meth[ID_Methods],0))</f>
        <v>0</v>
      </c>
      <c r="H530">
        <f t="shared" ca="1" si="50"/>
        <v>40710</v>
      </c>
      <c r="I530">
        <f t="shared" ca="1" si="51"/>
        <v>102400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52"/>
        <v>40</v>
      </c>
      <c r="D531">
        <f t="shared" ca="1" si="53"/>
        <v>3.18</v>
      </c>
      <c r="E531">
        <f t="shared" ca="1" si="48"/>
        <v>-50</v>
      </c>
      <c r="F531">
        <f t="shared" ca="1" si="49"/>
        <v>240</v>
      </c>
      <c r="G531" s="3" t="b">
        <f ca="1">INDEX(dict_zul_Var_Meth[kval_active],MATCH(table_Methods[[#This Row],[ID]],dict_zul_Var_Meth[ID_Methods],0))</f>
        <v>0</v>
      </c>
      <c r="H531">
        <f t="shared" ca="1" si="50"/>
        <v>38584</v>
      </c>
      <c r="I531">
        <f t="shared" ca="1" si="51"/>
        <v>81920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52"/>
        <v>6100</v>
      </c>
      <c r="D532">
        <f t="shared" ca="1" si="53"/>
        <v>8.34</v>
      </c>
      <c r="E532">
        <f t="shared" ca="1" si="48"/>
        <v>30</v>
      </c>
      <c r="F532">
        <f t="shared" ca="1" si="49"/>
        <v>550</v>
      </c>
      <c r="G532" s="3" t="b">
        <f ca="1">INDEX(dict_zul_Var_Meth[kval_active],MATCH(table_Methods[[#This Row],[ID]],dict_zul_Var_Meth[ID_Methods],0))</f>
        <v>0</v>
      </c>
      <c r="H532">
        <f t="shared" ca="1" si="50"/>
        <v>27867</v>
      </c>
      <c r="I532">
        <f t="shared" ca="1" si="51"/>
        <v>288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52"/>
        <v>2600</v>
      </c>
      <c r="D533">
        <f t="shared" ca="1" si="53"/>
        <v>9.92</v>
      </c>
      <c r="E533">
        <f t="shared" ca="1" si="48"/>
        <v>-70</v>
      </c>
      <c r="F533">
        <f t="shared" ca="1" si="49"/>
        <v>120</v>
      </c>
      <c r="G533" s="3" t="b">
        <f ca="1">INDEX(dict_zul_Var_Meth[kval_active],MATCH(table_Methods[[#This Row],[ID]],dict_zul_Var_Meth[ID_Methods],0))</f>
        <v>0</v>
      </c>
      <c r="H533">
        <f t="shared" ca="1" si="50"/>
        <v>13293</v>
      </c>
      <c r="I533">
        <f t="shared" ca="1" si="51"/>
        <v>49152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52"/>
        <v>98</v>
      </c>
      <c r="D534">
        <f t="shared" ca="1" si="53"/>
        <v>1.1299999999999999</v>
      </c>
      <c r="E534">
        <f t="shared" ca="1" si="48"/>
        <v>-30</v>
      </c>
      <c r="F534">
        <f t="shared" ca="1" si="49"/>
        <v>780</v>
      </c>
      <c r="G534" s="3" t="b">
        <f ca="1">INDEX(dict_zul_Var_Meth[kval_active],MATCH(table_Methods[[#This Row],[ID]],dict_zul_Var_Meth[ID_Methods],0))</f>
        <v>0</v>
      </c>
      <c r="H534">
        <f t="shared" ca="1" si="50"/>
        <v>4320</v>
      </c>
      <c r="I534">
        <f t="shared" ca="1" si="51"/>
        <v>16384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52"/>
        <v>6800</v>
      </c>
      <c r="D535">
        <f t="shared" ca="1" si="53"/>
        <v>1.79</v>
      </c>
      <c r="E535">
        <f t="shared" ca="1" si="48"/>
        <v>-10</v>
      </c>
      <c r="F535">
        <f t="shared" ca="1" si="49"/>
        <v>810</v>
      </c>
      <c r="G535" s="3" t="b">
        <f ca="1">INDEX(dict_zul_Var_Meth[kval_active],MATCH(table_Methods[[#This Row],[ID]],dict_zul_Var_Meth[ID_Methods],0))</f>
        <v>0</v>
      </c>
      <c r="H535">
        <f t="shared" ca="1" si="50"/>
        <v>9862</v>
      </c>
      <c r="I535">
        <f t="shared" ca="1" si="51"/>
        <v>116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52"/>
        <v>990</v>
      </c>
      <c r="D536">
        <f t="shared" ca="1" si="53"/>
        <v>8.5</v>
      </c>
      <c r="E536">
        <f t="shared" ca="1" si="48"/>
        <v>-10</v>
      </c>
      <c r="F536">
        <f t="shared" ca="1" si="49"/>
        <v>810</v>
      </c>
      <c r="G536" s="3" t="b">
        <f ca="1">INDEX(dict_zul_Var_Meth[kval_active],MATCH(table_Methods[[#This Row],[ID]],dict_zul_Var_Meth[ID_Methods],0))</f>
        <v>0</v>
      </c>
      <c r="H536">
        <f t="shared" ca="1" si="50"/>
        <v>1728</v>
      </c>
      <c r="I536">
        <f t="shared" ca="1" si="51"/>
        <v>34304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52"/>
        <v>5300</v>
      </c>
      <c r="D537">
        <f t="shared" ca="1" si="53"/>
        <v>1.68</v>
      </c>
      <c r="E537">
        <f t="shared" ca="1" si="48"/>
        <v>-80</v>
      </c>
      <c r="F537">
        <f t="shared" ca="1" si="49"/>
        <v>250</v>
      </c>
      <c r="G537" s="3" t="b">
        <f ca="1">INDEX(dict_zul_Var_Meth[kval_active],MATCH(table_Methods[[#This Row],[ID]],dict_zul_Var_Meth[ID_Methods],0))</f>
        <v>0</v>
      </c>
      <c r="H537">
        <f t="shared" ca="1" si="50"/>
        <v>19208</v>
      </c>
      <c r="I537">
        <f t="shared" ca="1" si="51"/>
        <v>720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52"/>
        <v>450</v>
      </c>
      <c r="D538">
        <f t="shared" ca="1" si="53"/>
        <v>9.98</v>
      </c>
      <c r="E538">
        <f t="shared" ca="1" si="48"/>
        <v>-70</v>
      </c>
      <c r="F538">
        <f t="shared" ca="1" si="49"/>
        <v>550</v>
      </c>
      <c r="G538" s="3" t="b">
        <f ca="1">INDEX(dict_zul_Var_Meth[kval_active],MATCH(table_Methods[[#This Row],[ID]],dict_zul_Var_Meth[ID_Methods],0))</f>
        <v>0</v>
      </c>
      <c r="H538">
        <f t="shared" ca="1" si="50"/>
        <v>2450</v>
      </c>
      <c r="I538">
        <f t="shared" ca="1" si="51"/>
        <v>204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52"/>
        <v>43</v>
      </c>
      <c r="D539">
        <f t="shared" ca="1" si="53"/>
        <v>2.86</v>
      </c>
      <c r="E539">
        <f t="shared" ca="1" si="48"/>
        <v>-80</v>
      </c>
      <c r="F539">
        <f t="shared" ca="1" si="49"/>
        <v>670</v>
      </c>
      <c r="G539" s="3" t="b">
        <f ca="1">INDEX(dict_zul_Var_Meth[kval_active],MATCH(table_Methods[[#This Row],[ID]],dict_zul_Var_Meth[ID_Methods],0))</f>
        <v>0</v>
      </c>
      <c r="H539">
        <f t="shared" ca="1" si="50"/>
        <v>18966</v>
      </c>
      <c r="I539">
        <f t="shared" ca="1" si="51"/>
        <v>1104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52"/>
        <v>70</v>
      </c>
      <c r="D540">
        <f t="shared" ca="1" si="53"/>
        <v>7.66</v>
      </c>
      <c r="E540">
        <f t="shared" ca="1" si="48"/>
        <v>-80</v>
      </c>
      <c r="F540">
        <f t="shared" ca="1" si="49"/>
        <v>700</v>
      </c>
      <c r="G540" s="3" t="b">
        <f ca="1">INDEX(dict_zul_Var_Meth[kval_active],MATCH(table_Methods[[#This Row],[ID]],dict_zul_Var_Meth[ID_Methods],0))</f>
        <v>0</v>
      </c>
      <c r="H540">
        <f t="shared" ca="1" si="50"/>
        <v>18788</v>
      </c>
      <c r="I540">
        <f t="shared" ca="1" si="51"/>
        <v>2048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52"/>
        <v>160</v>
      </c>
      <c r="D541">
        <f t="shared" ca="1" si="53"/>
        <v>4.24</v>
      </c>
      <c r="E541">
        <f t="shared" ca="1" si="48"/>
        <v>-60</v>
      </c>
      <c r="F541">
        <f t="shared" ca="1" si="49"/>
        <v>580</v>
      </c>
      <c r="G541" s="3" t="b">
        <f ca="1">INDEX(dict_zul_Var_Meth[kval_active],MATCH(table_Methods[[#This Row],[ID]],dict_zul_Var_Meth[ID_Methods],0))</f>
        <v>0</v>
      </c>
      <c r="H541">
        <f t="shared" ca="1" si="50"/>
        <v>14980</v>
      </c>
      <c r="I541">
        <f t="shared" ca="1" si="51"/>
        <v>18432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52"/>
        <v>81</v>
      </c>
      <c r="D542">
        <f t="shared" ca="1" si="53"/>
        <v>6.84</v>
      </c>
      <c r="E542">
        <f t="shared" ca="1" si="48"/>
        <v>-50</v>
      </c>
      <c r="F542">
        <f t="shared" ca="1" si="49"/>
        <v>920</v>
      </c>
      <c r="G542" s="3" t="b">
        <f ca="1">INDEX(dict_zul_Var_Meth[kval_active],MATCH(table_Methods[[#This Row],[ID]],dict_zul_Var_Meth[ID_Methods],0))</f>
        <v>0</v>
      </c>
      <c r="H542">
        <f t="shared" ca="1" si="50"/>
        <v>30064</v>
      </c>
      <c r="I542">
        <f t="shared" ca="1" si="51"/>
        <v>10752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52"/>
        <v>7200</v>
      </c>
      <c r="D543">
        <f t="shared" ca="1" si="53"/>
        <v>3.98</v>
      </c>
      <c r="E543">
        <f t="shared" ca="1" si="48"/>
        <v>-20</v>
      </c>
      <c r="F543">
        <f t="shared" ca="1" si="49"/>
        <v>680</v>
      </c>
      <c r="G543" s="3" t="b">
        <f ca="1">INDEX(dict_zul_Var_Meth[kval_active],MATCH(table_Methods[[#This Row],[ID]],dict_zul_Var_Meth[ID_Methods],0))</f>
        <v>0</v>
      </c>
      <c r="H543">
        <f t="shared" ca="1" si="50"/>
        <v>21610</v>
      </c>
      <c r="I543">
        <f t="shared" ca="1" si="51"/>
        <v>15872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52"/>
        <v>660</v>
      </c>
      <c r="D544">
        <f t="shared" ca="1" si="53"/>
        <v>2.13</v>
      </c>
      <c r="E544">
        <f t="shared" ca="1" si="48"/>
        <v>-40</v>
      </c>
      <c r="F544">
        <f t="shared" ca="1" si="49"/>
        <v>710</v>
      </c>
      <c r="G544" s="3" t="b">
        <f ca="1">INDEX(dict_zul_Var_Meth[kval_active],MATCH(table_Methods[[#This Row],[ID]],dict_zul_Var_Meth[ID_Methods],0))</f>
        <v>0</v>
      </c>
      <c r="H544">
        <f t="shared" ca="1" si="50"/>
        <v>22485</v>
      </c>
      <c r="I544">
        <f t="shared" ca="1" si="51"/>
        <v>22016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52"/>
        <v>930</v>
      </c>
      <c r="D545">
        <f t="shared" ca="1" si="53"/>
        <v>2.89</v>
      </c>
      <c r="E545">
        <f t="shared" ca="1" si="48"/>
        <v>-80</v>
      </c>
      <c r="F545">
        <f t="shared" ca="1" si="49"/>
        <v>270</v>
      </c>
      <c r="G545" s="3" t="b">
        <f ca="1">INDEX(dict_zul_Var_Meth[kval_active],MATCH(table_Methods[[#This Row],[ID]],dict_zul_Var_Meth[ID_Methods],0))</f>
        <v>0</v>
      </c>
      <c r="H545">
        <f t="shared" ca="1" si="50"/>
        <v>33530</v>
      </c>
      <c r="I545">
        <f t="shared" ca="1" si="51"/>
        <v>39936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52"/>
        <v>2100</v>
      </c>
      <c r="D546">
        <f t="shared" ca="1" si="53"/>
        <v>6.54</v>
      </c>
      <c r="E546">
        <f t="shared" ca="1" si="48"/>
        <v>10</v>
      </c>
      <c r="F546">
        <f t="shared" ca="1" si="49"/>
        <v>600</v>
      </c>
      <c r="G546" s="3" t="b">
        <f ca="1">INDEX(dict_zul_Var_Meth[kval_active],MATCH(table_Methods[[#This Row],[ID]],dict_zul_Var_Meth[ID_Methods],0))</f>
        <v>0</v>
      </c>
      <c r="H546">
        <f t="shared" ca="1" si="50"/>
        <v>11814</v>
      </c>
      <c r="I546">
        <f t="shared" ca="1" si="51"/>
        <v>140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52"/>
        <v>68</v>
      </c>
      <c r="D547">
        <f t="shared" ca="1" si="53"/>
        <v>6.64</v>
      </c>
      <c r="E547">
        <f t="shared" ca="1" si="48"/>
        <v>-90</v>
      </c>
      <c r="F547">
        <f t="shared" ca="1" si="49"/>
        <v>500</v>
      </c>
      <c r="G547" s="3" t="b">
        <f ca="1">INDEX(dict_zul_Var_Meth[kval_active],MATCH(table_Methods[[#This Row],[ID]],dict_zul_Var_Meth[ID_Methods],0))</f>
        <v>0</v>
      </c>
      <c r="H547">
        <f t="shared" ca="1" si="50"/>
        <v>17460</v>
      </c>
      <c r="I547">
        <f t="shared" ca="1" si="51"/>
        <v>2336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52"/>
        <v>70</v>
      </c>
      <c r="D548">
        <f t="shared" ca="1" si="53"/>
        <v>5.03</v>
      </c>
      <c r="E548">
        <f t="shared" ref="E548:E611" ca="1" si="54">RANDBETWEEN(-10,3)*10</f>
        <v>-20</v>
      </c>
      <c r="F548">
        <f t="shared" ref="F548:F611" ca="1" si="55">RANDBETWEEN(2,100)*10</f>
        <v>960</v>
      </c>
      <c r="G548" s="3" t="b">
        <f ca="1">INDEX(dict_zul_Var_Meth[kval_active],MATCH(table_Methods[[#This Row],[ID]],dict_zul_Var_Meth[ID_Methods],0))</f>
        <v>0</v>
      </c>
      <c r="H548">
        <f t="shared" ref="H548:H611" ca="1" si="56">RANDBETWEEN(1,10)*RANDBETWEEN(1,5000)</f>
        <v>9300</v>
      </c>
      <c r="I548">
        <f t="shared" ref="I548:I611" ca="1" si="57">2^RANDBETWEEN(1,10)*RANDBETWEEN(1,100)</f>
        <v>11520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52"/>
        <v>6400</v>
      </c>
      <c r="D549">
        <f t="shared" ca="1" si="53"/>
        <v>8.15</v>
      </c>
      <c r="E549">
        <f t="shared" ca="1" si="54"/>
        <v>-50</v>
      </c>
      <c r="F549">
        <f t="shared" ca="1" si="55"/>
        <v>930</v>
      </c>
      <c r="G549" s="3" t="b">
        <f ca="1">INDEX(dict_zul_Var_Meth[kval_active],MATCH(table_Methods[[#This Row],[ID]],dict_zul_Var_Meth[ID_Methods],0))</f>
        <v>0</v>
      </c>
      <c r="H549">
        <f t="shared" ca="1" si="56"/>
        <v>13818</v>
      </c>
      <c r="I549">
        <f t="shared" ca="1" si="57"/>
        <v>9216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52"/>
        <v>930</v>
      </c>
      <c r="D550">
        <f t="shared" ca="1" si="53"/>
        <v>0.19</v>
      </c>
      <c r="E550">
        <f t="shared" ca="1" si="54"/>
        <v>-100</v>
      </c>
      <c r="F550">
        <f t="shared" ca="1" si="55"/>
        <v>90</v>
      </c>
      <c r="G550" s="3" t="b">
        <f ca="1">INDEX(dict_zul_Var_Meth[kval_active],MATCH(table_Methods[[#This Row],[ID]],dict_zul_Var_Meth[ID_Methods],0))</f>
        <v>0</v>
      </c>
      <c r="H550">
        <f t="shared" ca="1" si="56"/>
        <v>3361</v>
      </c>
      <c r="I550">
        <f t="shared" ca="1" si="57"/>
        <v>24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52"/>
        <v>4000</v>
      </c>
      <c r="D551">
        <f t="shared" ca="1" si="53"/>
        <v>3.7</v>
      </c>
      <c r="E551">
        <f t="shared" ca="1" si="54"/>
        <v>30</v>
      </c>
      <c r="F551">
        <f t="shared" ca="1" si="55"/>
        <v>220</v>
      </c>
      <c r="G551" s="3" t="b">
        <f ca="1">INDEX(dict_zul_Var_Meth[kval_active],MATCH(table_Methods[[#This Row],[ID]],dict_zul_Var_Meth[ID_Methods],0))</f>
        <v>0</v>
      </c>
      <c r="H551">
        <f t="shared" ca="1" si="56"/>
        <v>3475</v>
      </c>
      <c r="I551">
        <f t="shared" ca="1" si="57"/>
        <v>22272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52"/>
        <v>3000</v>
      </c>
      <c r="D552">
        <f t="shared" ca="1" si="53"/>
        <v>7.88</v>
      </c>
      <c r="E552">
        <f t="shared" ca="1" si="54"/>
        <v>-50</v>
      </c>
      <c r="F552">
        <f t="shared" ca="1" si="55"/>
        <v>750</v>
      </c>
      <c r="G552" s="3" t="b">
        <f ca="1">INDEX(dict_zul_Var_Meth[kval_active],MATCH(table_Methods[[#This Row],[ID]],dict_zul_Var_Meth[ID_Methods],0))</f>
        <v>0</v>
      </c>
      <c r="H552">
        <f t="shared" ca="1" si="56"/>
        <v>30009</v>
      </c>
      <c r="I552">
        <f t="shared" ca="1" si="57"/>
        <v>7296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52"/>
        <v>44</v>
      </c>
      <c r="D553">
        <f t="shared" ca="1" si="53"/>
        <v>0.86</v>
      </c>
      <c r="E553">
        <f t="shared" ca="1" si="54"/>
        <v>-50</v>
      </c>
      <c r="F553">
        <f t="shared" ca="1" si="55"/>
        <v>800</v>
      </c>
      <c r="G553" s="3" t="b">
        <f ca="1">INDEX(dict_zul_Var_Meth[kval_active],MATCH(table_Methods[[#This Row],[ID]],dict_zul_Var_Meth[ID_Methods],0))</f>
        <v>0</v>
      </c>
      <c r="H553">
        <f t="shared" ca="1" si="56"/>
        <v>4886</v>
      </c>
      <c r="I553">
        <f t="shared" ca="1" si="57"/>
        <v>300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52"/>
        <v>410</v>
      </c>
      <c r="D554">
        <f t="shared" ca="1" si="53"/>
        <v>9.7799999999999994</v>
      </c>
      <c r="E554">
        <f t="shared" ca="1" si="54"/>
        <v>10</v>
      </c>
      <c r="F554">
        <f t="shared" ca="1" si="55"/>
        <v>400</v>
      </c>
      <c r="G554" s="3" t="b">
        <f ca="1">INDEX(dict_zul_Var_Meth[kval_active],MATCH(table_Methods[[#This Row],[ID]],dict_zul_Var_Meth[ID_Methods],0))</f>
        <v>0</v>
      </c>
      <c r="H554">
        <f t="shared" ca="1" si="56"/>
        <v>1112</v>
      </c>
      <c r="I554">
        <f t="shared" ca="1" si="57"/>
        <v>1376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52"/>
        <v>500</v>
      </c>
      <c r="D555">
        <f t="shared" ca="1" si="53"/>
        <v>4.43</v>
      </c>
      <c r="E555">
        <f t="shared" ca="1" si="54"/>
        <v>-90</v>
      </c>
      <c r="F555">
        <f t="shared" ca="1" si="55"/>
        <v>900</v>
      </c>
      <c r="G555" s="3" t="b">
        <f ca="1">INDEX(dict_zul_Var_Meth[kval_active],MATCH(table_Methods[[#This Row],[ID]],dict_zul_Var_Meth[ID_Methods],0))</f>
        <v>0</v>
      </c>
      <c r="H555">
        <f t="shared" ca="1" si="56"/>
        <v>3444</v>
      </c>
      <c r="I555">
        <f t="shared" ca="1" si="57"/>
        <v>1632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52"/>
        <v>260</v>
      </c>
      <c r="D556">
        <f t="shared" ca="1" si="53"/>
        <v>2.59</v>
      </c>
      <c r="E556">
        <f t="shared" ca="1" si="54"/>
        <v>-30</v>
      </c>
      <c r="F556">
        <f t="shared" ca="1" si="55"/>
        <v>200</v>
      </c>
      <c r="G556" s="3" t="b">
        <f ca="1">INDEX(dict_zul_Var_Meth[kval_active],MATCH(table_Methods[[#This Row],[ID]],dict_zul_Var_Meth[ID_Methods],0))</f>
        <v>1</v>
      </c>
      <c r="H556">
        <f t="shared" ca="1" si="56"/>
        <v>7162</v>
      </c>
      <c r="I556">
        <f t="shared" ca="1" si="57"/>
        <v>928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52"/>
        <v>3100</v>
      </c>
      <c r="D557">
        <f t="shared" ca="1" si="53"/>
        <v>3.48</v>
      </c>
      <c r="E557">
        <f t="shared" ca="1" si="54"/>
        <v>-100</v>
      </c>
      <c r="F557">
        <f t="shared" ca="1" si="55"/>
        <v>90</v>
      </c>
      <c r="G557" s="3" t="b">
        <f ca="1">INDEX(dict_zul_Var_Meth[kval_active],MATCH(table_Methods[[#This Row],[ID]],dict_zul_Var_Meth[ID_Methods],0))</f>
        <v>0</v>
      </c>
      <c r="H557">
        <f t="shared" ca="1" si="56"/>
        <v>6586</v>
      </c>
      <c r="I557">
        <f t="shared" ca="1" si="57"/>
        <v>12288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52"/>
        <v>710</v>
      </c>
      <c r="D558">
        <f t="shared" ca="1" si="53"/>
        <v>6.92</v>
      </c>
      <c r="E558">
        <f t="shared" ca="1" si="54"/>
        <v>-20</v>
      </c>
      <c r="F558">
        <f t="shared" ca="1" si="55"/>
        <v>920</v>
      </c>
      <c r="G558" s="3" t="b">
        <f ca="1">INDEX(dict_zul_Var_Meth[kval_active],MATCH(table_Methods[[#This Row],[ID]],dict_zul_Var_Meth[ID_Methods],0))</f>
        <v>0</v>
      </c>
      <c r="H558">
        <f t="shared" ca="1" si="56"/>
        <v>1566</v>
      </c>
      <c r="I558">
        <f t="shared" ca="1" si="57"/>
        <v>1184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52"/>
        <v>8900</v>
      </c>
      <c r="D559">
        <f t="shared" ca="1" si="53"/>
        <v>2.14</v>
      </c>
      <c r="E559">
        <f t="shared" ca="1" si="54"/>
        <v>-80</v>
      </c>
      <c r="F559">
        <f t="shared" ca="1" si="55"/>
        <v>970</v>
      </c>
      <c r="G559" s="3" t="b">
        <f ca="1">INDEX(dict_zul_Var_Meth[kval_active],MATCH(table_Methods[[#This Row],[ID]],dict_zul_Var_Meth[ID_Methods],0))</f>
        <v>0</v>
      </c>
      <c r="H559">
        <f t="shared" ca="1" si="56"/>
        <v>22816</v>
      </c>
      <c r="I559">
        <f t="shared" ca="1" si="57"/>
        <v>184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52"/>
        <v>7300</v>
      </c>
      <c r="D560">
        <f t="shared" ca="1" si="53"/>
        <v>1.2</v>
      </c>
      <c r="E560">
        <f t="shared" ca="1" si="54"/>
        <v>-100</v>
      </c>
      <c r="F560">
        <f t="shared" ca="1" si="55"/>
        <v>950</v>
      </c>
      <c r="G560" s="3" t="b">
        <f ca="1">INDEX(dict_zul_Var_Meth[kval_active],MATCH(table_Methods[[#This Row],[ID]],dict_zul_Var_Meth[ID_Methods],0))</f>
        <v>0</v>
      </c>
      <c r="H560">
        <f t="shared" ca="1" si="56"/>
        <v>1404</v>
      </c>
      <c r="I560">
        <f t="shared" ca="1" si="57"/>
        <v>192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52"/>
        <v>30</v>
      </c>
      <c r="D561">
        <f t="shared" ca="1" si="53"/>
        <v>2.96</v>
      </c>
      <c r="E561">
        <f t="shared" ca="1" si="54"/>
        <v>10</v>
      </c>
      <c r="F561">
        <f t="shared" ca="1" si="55"/>
        <v>740</v>
      </c>
      <c r="G561" s="3" t="b">
        <f ca="1">INDEX(dict_zul_Var_Meth[kval_active],MATCH(table_Methods[[#This Row],[ID]],dict_zul_Var_Meth[ID_Methods],0))</f>
        <v>1</v>
      </c>
      <c r="H561">
        <f t="shared" ca="1" si="56"/>
        <v>3420</v>
      </c>
      <c r="I561">
        <f t="shared" ca="1" si="57"/>
        <v>21760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52"/>
        <v>8600</v>
      </c>
      <c r="D562">
        <f t="shared" ca="1" si="53"/>
        <v>0.3</v>
      </c>
      <c r="E562">
        <f t="shared" ca="1" si="54"/>
        <v>-30</v>
      </c>
      <c r="F562">
        <f t="shared" ca="1" si="55"/>
        <v>780</v>
      </c>
      <c r="G562" s="3" t="b">
        <f ca="1">INDEX(dict_zul_Var_Meth[kval_active],MATCH(table_Methods[[#This Row],[ID]],dict_zul_Var_Meth[ID_Methods],0))</f>
        <v>0</v>
      </c>
      <c r="H562">
        <f t="shared" ca="1" si="56"/>
        <v>16785</v>
      </c>
      <c r="I562">
        <f t="shared" ca="1" si="57"/>
        <v>88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52"/>
        <v>3500</v>
      </c>
      <c r="D563">
        <f t="shared" ca="1" si="53"/>
        <v>4.47</v>
      </c>
      <c r="E563">
        <f t="shared" ca="1" si="54"/>
        <v>-90</v>
      </c>
      <c r="F563">
        <f t="shared" ca="1" si="55"/>
        <v>360</v>
      </c>
      <c r="G563" s="3" t="b">
        <f ca="1">INDEX(dict_zul_Var_Meth[kval_active],MATCH(table_Methods[[#This Row],[ID]],dict_zul_Var_Meth[ID_Methods],0))</f>
        <v>0</v>
      </c>
      <c r="H563">
        <f t="shared" ca="1" si="56"/>
        <v>4994</v>
      </c>
      <c r="I563">
        <f t="shared" ca="1" si="57"/>
        <v>7168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52"/>
        <v>6500</v>
      </c>
      <c r="D564">
        <f t="shared" ca="1" si="53"/>
        <v>1.55</v>
      </c>
      <c r="E564">
        <f t="shared" ca="1" si="54"/>
        <v>-70</v>
      </c>
      <c r="F564">
        <f t="shared" ca="1" si="55"/>
        <v>510</v>
      </c>
      <c r="G564" s="3" t="b">
        <f ca="1">INDEX(dict_zul_Var_Meth[kval_active],MATCH(table_Methods[[#This Row],[ID]],dict_zul_Var_Meth[ID_Methods],0))</f>
        <v>0</v>
      </c>
      <c r="H564">
        <f t="shared" ca="1" si="56"/>
        <v>8045</v>
      </c>
      <c r="I564">
        <f t="shared" ca="1" si="57"/>
        <v>60416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52"/>
        <v>760</v>
      </c>
      <c r="D565">
        <f t="shared" ca="1" si="53"/>
        <v>6.21</v>
      </c>
      <c r="E565">
        <f t="shared" ca="1" si="54"/>
        <v>-90</v>
      </c>
      <c r="F565">
        <f t="shared" ca="1" si="55"/>
        <v>40</v>
      </c>
      <c r="G565" s="3" t="b">
        <f ca="1">INDEX(dict_zul_Var_Meth[kval_active],MATCH(table_Methods[[#This Row],[ID]],dict_zul_Var_Meth[ID_Methods],0))</f>
        <v>0</v>
      </c>
      <c r="H565">
        <f t="shared" ca="1" si="56"/>
        <v>39285</v>
      </c>
      <c r="I565">
        <f t="shared" ca="1" si="57"/>
        <v>6656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52"/>
        <v>2200</v>
      </c>
      <c r="D566">
        <f t="shared" ca="1" si="53"/>
        <v>9.1999999999999993</v>
      </c>
      <c r="E566">
        <f t="shared" ca="1" si="54"/>
        <v>-60</v>
      </c>
      <c r="F566">
        <f t="shared" ca="1" si="55"/>
        <v>440</v>
      </c>
      <c r="G566" s="3" t="b">
        <f ca="1">INDEX(dict_zul_Var_Meth[kval_active],MATCH(table_Methods[[#This Row],[ID]],dict_zul_Var_Meth[ID_Methods],0))</f>
        <v>0</v>
      </c>
      <c r="H566">
        <f t="shared" ca="1" si="56"/>
        <v>12843</v>
      </c>
      <c r="I566">
        <f t="shared" ca="1" si="57"/>
        <v>560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52"/>
        <v>980</v>
      </c>
      <c r="D567">
        <f t="shared" ca="1" si="53"/>
        <v>0.91</v>
      </c>
      <c r="E567">
        <f t="shared" ca="1" si="54"/>
        <v>-10</v>
      </c>
      <c r="F567">
        <f t="shared" ca="1" si="55"/>
        <v>90</v>
      </c>
      <c r="G567" s="3" t="b">
        <f ca="1">INDEX(dict_zul_Var_Meth[kval_active],MATCH(table_Methods[[#This Row],[ID]],dict_zul_Var_Meth[ID_Methods],0))</f>
        <v>0</v>
      </c>
      <c r="H567">
        <f t="shared" ca="1" si="56"/>
        <v>3603</v>
      </c>
      <c r="I567">
        <f t="shared" ca="1" si="57"/>
        <v>138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52"/>
        <v>660</v>
      </c>
      <c r="D568">
        <f t="shared" ca="1" si="53"/>
        <v>4.04</v>
      </c>
      <c r="E568">
        <f t="shared" ca="1" si="54"/>
        <v>10</v>
      </c>
      <c r="F568">
        <f t="shared" ca="1" si="55"/>
        <v>860</v>
      </c>
      <c r="G568" s="3" t="b">
        <f ca="1">INDEX(dict_zul_Var_Meth[kval_active],MATCH(table_Methods[[#This Row],[ID]],dict_zul_Var_Meth[ID_Methods],0))</f>
        <v>0</v>
      </c>
      <c r="H568">
        <f t="shared" ca="1" si="56"/>
        <v>1936</v>
      </c>
      <c r="I568">
        <f t="shared" ca="1" si="57"/>
        <v>15360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52"/>
        <v>140</v>
      </c>
      <c r="D569">
        <f t="shared" ca="1" si="53"/>
        <v>2.25</v>
      </c>
      <c r="E569">
        <f t="shared" ca="1" si="54"/>
        <v>-30</v>
      </c>
      <c r="F569">
        <f t="shared" ca="1" si="55"/>
        <v>770</v>
      </c>
      <c r="G569" s="3" t="b">
        <f ca="1">INDEX(dict_zul_Var_Meth[kval_active],MATCH(table_Methods[[#This Row],[ID]],dict_zul_Var_Meth[ID_Methods],0))</f>
        <v>0</v>
      </c>
      <c r="H569">
        <f t="shared" ca="1" si="56"/>
        <v>20367</v>
      </c>
      <c r="I569">
        <f t="shared" ca="1" si="57"/>
        <v>16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52"/>
        <v>84</v>
      </c>
      <c r="D570">
        <f t="shared" ca="1" si="53"/>
        <v>1.23</v>
      </c>
      <c r="E570">
        <f t="shared" ca="1" si="54"/>
        <v>-30</v>
      </c>
      <c r="F570">
        <f t="shared" ca="1" si="55"/>
        <v>160</v>
      </c>
      <c r="G570" s="3" t="b">
        <f ca="1">INDEX(dict_zul_Var_Meth[kval_active],MATCH(table_Methods[[#This Row],[ID]],dict_zul_Var_Meth[ID_Methods],0))</f>
        <v>0</v>
      </c>
      <c r="H570">
        <f t="shared" ca="1" si="56"/>
        <v>261</v>
      </c>
      <c r="I570">
        <f t="shared" ca="1" si="57"/>
        <v>14848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52"/>
        <v>10</v>
      </c>
      <c r="D571">
        <f t="shared" ca="1" si="53"/>
        <v>1.52</v>
      </c>
      <c r="E571">
        <f t="shared" ca="1" si="54"/>
        <v>0</v>
      </c>
      <c r="F571">
        <f t="shared" ca="1" si="55"/>
        <v>410</v>
      </c>
      <c r="G571" s="3" t="b">
        <f ca="1">INDEX(dict_zul_Var_Meth[kval_active],MATCH(table_Methods[[#This Row],[ID]],dict_zul_Var_Meth[ID_Methods],0))</f>
        <v>1</v>
      </c>
      <c r="H571">
        <f t="shared" ca="1" si="56"/>
        <v>4694</v>
      </c>
      <c r="I571">
        <f t="shared" ca="1" si="57"/>
        <v>11264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52"/>
        <v>9400</v>
      </c>
      <c r="D572">
        <f t="shared" ca="1" si="53"/>
        <v>1.29</v>
      </c>
      <c r="E572">
        <f t="shared" ca="1" si="54"/>
        <v>-10</v>
      </c>
      <c r="F572">
        <f t="shared" ca="1" si="55"/>
        <v>90</v>
      </c>
      <c r="G572" s="3" t="b">
        <f ca="1">INDEX(dict_zul_Var_Meth[kval_active],MATCH(table_Methods[[#This Row],[ID]],dict_zul_Var_Meth[ID_Methods],0))</f>
        <v>0</v>
      </c>
      <c r="H572">
        <f t="shared" ca="1" si="56"/>
        <v>22001</v>
      </c>
      <c r="I572">
        <f t="shared" ca="1" si="57"/>
        <v>77824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52"/>
        <v>18</v>
      </c>
      <c r="D573">
        <f t="shared" ca="1" si="53"/>
        <v>1.4</v>
      </c>
      <c r="E573">
        <f t="shared" ca="1" si="54"/>
        <v>-20</v>
      </c>
      <c r="F573">
        <f t="shared" ca="1" si="55"/>
        <v>320</v>
      </c>
      <c r="G573" s="3" t="b">
        <f ca="1">INDEX(dict_zul_Var_Meth[kval_active],MATCH(table_Methods[[#This Row],[ID]],dict_zul_Var_Meth[ID_Methods],0))</f>
        <v>0</v>
      </c>
      <c r="H573">
        <f t="shared" ca="1" si="56"/>
        <v>32263</v>
      </c>
      <c r="I573">
        <f t="shared" ca="1" si="57"/>
        <v>720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52"/>
        <v>740</v>
      </c>
      <c r="D574">
        <f t="shared" ca="1" si="53"/>
        <v>1.26</v>
      </c>
      <c r="E574">
        <f t="shared" ca="1" si="54"/>
        <v>-50</v>
      </c>
      <c r="F574">
        <f t="shared" ca="1" si="55"/>
        <v>60</v>
      </c>
      <c r="G574" s="3" t="b">
        <f ca="1">INDEX(dict_zul_Var_Meth[kval_active],MATCH(table_Methods[[#This Row],[ID]],dict_zul_Var_Meth[ID_Methods],0))</f>
        <v>0</v>
      </c>
      <c r="H574">
        <f t="shared" ca="1" si="56"/>
        <v>17568</v>
      </c>
      <c r="I574">
        <f t="shared" ca="1" si="57"/>
        <v>5888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52"/>
        <v>250</v>
      </c>
      <c r="D575">
        <f t="shared" ca="1" si="53"/>
        <v>4.3499999999999996</v>
      </c>
      <c r="E575">
        <f t="shared" ca="1" si="54"/>
        <v>-80</v>
      </c>
      <c r="F575">
        <f t="shared" ca="1" si="55"/>
        <v>270</v>
      </c>
      <c r="G575" s="3" t="b">
        <f ca="1">INDEX(dict_zul_Var_Meth[kval_active],MATCH(table_Methods[[#This Row],[ID]],dict_zul_Var_Meth[ID_Methods],0))</f>
        <v>0</v>
      </c>
      <c r="H575">
        <f t="shared" ca="1" si="56"/>
        <v>7852</v>
      </c>
      <c r="I575">
        <f t="shared" ca="1" si="57"/>
        <v>292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52"/>
        <v>54</v>
      </c>
      <c r="D576">
        <f t="shared" ca="1" si="53"/>
        <v>4.83</v>
      </c>
      <c r="E576">
        <f t="shared" ca="1" si="54"/>
        <v>0</v>
      </c>
      <c r="F576">
        <f t="shared" ca="1" si="55"/>
        <v>820</v>
      </c>
      <c r="G576" s="3" t="b">
        <f ca="1">INDEX(dict_zul_Var_Meth[kval_active],MATCH(table_Methods[[#This Row],[ID]],dict_zul_Var_Meth[ID_Methods],0))</f>
        <v>0</v>
      </c>
      <c r="H576">
        <f t="shared" ca="1" si="56"/>
        <v>9342</v>
      </c>
      <c r="I576">
        <f t="shared" ca="1" si="57"/>
        <v>640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52"/>
        <v>10</v>
      </c>
      <c r="D577">
        <f t="shared" ca="1" si="53"/>
        <v>2.2999999999999998</v>
      </c>
      <c r="E577">
        <f t="shared" ca="1" si="54"/>
        <v>10</v>
      </c>
      <c r="F577">
        <f t="shared" ca="1" si="55"/>
        <v>940</v>
      </c>
      <c r="G577" s="3" t="b">
        <f ca="1">INDEX(dict_zul_Var_Meth[kval_active],MATCH(table_Methods[[#This Row],[ID]],dict_zul_Var_Meth[ID_Methods],0))</f>
        <v>0</v>
      </c>
      <c r="H577">
        <f t="shared" ca="1" si="56"/>
        <v>20920</v>
      </c>
      <c r="I577">
        <f t="shared" ca="1" si="57"/>
        <v>2496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8">10^(RANDBETWEEN(-1,1))*RANDBETWEEN(1,100)*10</f>
        <v>3900</v>
      </c>
      <c r="D578">
        <f t="shared" ca="1" si="53"/>
        <v>2.35</v>
      </c>
      <c r="E578">
        <f t="shared" ca="1" si="54"/>
        <v>-80</v>
      </c>
      <c r="F578">
        <f t="shared" ca="1" si="55"/>
        <v>440</v>
      </c>
      <c r="G578" s="3" t="b">
        <f ca="1">INDEX(dict_zul_Var_Meth[kval_active],MATCH(table_Methods[[#This Row],[ID]],dict_zul_Var_Meth[ID_Methods],0))</f>
        <v>0</v>
      </c>
      <c r="H578">
        <f t="shared" ca="1" si="56"/>
        <v>4914</v>
      </c>
      <c r="I578">
        <f t="shared" ca="1" si="57"/>
        <v>2944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8"/>
        <v>90</v>
      </c>
      <c r="D579">
        <f t="shared" ref="D579:D642" ca="1" si="59">RANDBETWEEN(10,1000)/(100)</f>
        <v>6.24</v>
      </c>
      <c r="E579">
        <f t="shared" ca="1" si="54"/>
        <v>-20</v>
      </c>
      <c r="F579">
        <f t="shared" ca="1" si="55"/>
        <v>670</v>
      </c>
      <c r="G579" s="3" t="b">
        <f ca="1">INDEX(dict_zul_Var_Meth[kval_active],MATCH(table_Methods[[#This Row],[ID]],dict_zul_Var_Meth[ID_Methods],0))</f>
        <v>0</v>
      </c>
      <c r="H579">
        <f t="shared" ca="1" si="56"/>
        <v>15748</v>
      </c>
      <c r="I579">
        <f t="shared" ca="1" si="57"/>
        <v>188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8"/>
        <v>560</v>
      </c>
      <c r="D580">
        <f t="shared" ca="1" si="59"/>
        <v>1.02</v>
      </c>
      <c r="E580">
        <f t="shared" ca="1" si="54"/>
        <v>-40</v>
      </c>
      <c r="F580">
        <f t="shared" ca="1" si="55"/>
        <v>880</v>
      </c>
      <c r="G580" s="3" t="b">
        <f ca="1">INDEX(dict_zul_Var_Meth[kval_active],MATCH(table_Methods[[#This Row],[ID]],dict_zul_Var_Meth[ID_Methods],0))</f>
        <v>1</v>
      </c>
      <c r="H580">
        <f t="shared" ca="1" si="56"/>
        <v>13806</v>
      </c>
      <c r="I580">
        <f t="shared" ca="1" si="57"/>
        <v>276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8"/>
        <v>8200</v>
      </c>
      <c r="D581">
        <f t="shared" ca="1" si="59"/>
        <v>0.39</v>
      </c>
      <c r="E581">
        <f t="shared" ca="1" si="54"/>
        <v>-100</v>
      </c>
      <c r="F581">
        <f t="shared" ca="1" si="55"/>
        <v>560</v>
      </c>
      <c r="G581" s="3" t="b">
        <f ca="1">INDEX(dict_zul_Var_Meth[kval_active],MATCH(table_Methods[[#This Row],[ID]],dict_zul_Var_Meth[ID_Methods],0))</f>
        <v>0</v>
      </c>
      <c r="H581">
        <f t="shared" ca="1" si="56"/>
        <v>4123</v>
      </c>
      <c r="I581">
        <f t="shared" ca="1" si="57"/>
        <v>60416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8"/>
        <v>6000</v>
      </c>
      <c r="D582">
        <f t="shared" ca="1" si="59"/>
        <v>5.86</v>
      </c>
      <c r="E582">
        <f t="shared" ca="1" si="54"/>
        <v>-80</v>
      </c>
      <c r="F582">
        <f t="shared" ca="1" si="55"/>
        <v>710</v>
      </c>
      <c r="G582" s="3" t="b">
        <f ca="1">INDEX(dict_zul_Var_Meth[kval_active],MATCH(table_Methods[[#This Row],[ID]],dict_zul_Var_Meth[ID_Methods],0))</f>
        <v>0</v>
      </c>
      <c r="H582">
        <f t="shared" ca="1" si="56"/>
        <v>4524</v>
      </c>
      <c r="I582">
        <f t="shared" ca="1" si="57"/>
        <v>2112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8"/>
        <v>51.000000000000007</v>
      </c>
      <c r="D583">
        <f t="shared" ca="1" si="59"/>
        <v>6.91</v>
      </c>
      <c r="E583">
        <f t="shared" ca="1" si="54"/>
        <v>20</v>
      </c>
      <c r="F583">
        <f t="shared" ca="1" si="55"/>
        <v>100</v>
      </c>
      <c r="G583" s="3" t="b">
        <f ca="1">INDEX(dict_zul_Var_Meth[kval_active],MATCH(table_Methods[[#This Row],[ID]],dict_zul_Var_Meth[ID_Methods],0))</f>
        <v>0</v>
      </c>
      <c r="H583">
        <f t="shared" ca="1" si="56"/>
        <v>21490</v>
      </c>
      <c r="I583">
        <f t="shared" ca="1" si="57"/>
        <v>768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8"/>
        <v>15</v>
      </c>
      <c r="D584">
        <f t="shared" ca="1" si="59"/>
        <v>9</v>
      </c>
      <c r="E584">
        <f t="shared" ca="1" si="54"/>
        <v>-30</v>
      </c>
      <c r="F584">
        <f t="shared" ca="1" si="55"/>
        <v>600</v>
      </c>
      <c r="G584" s="3" t="b">
        <f ca="1">INDEX(dict_zul_Var_Meth[kval_active],MATCH(table_Methods[[#This Row],[ID]],dict_zul_Var_Meth[ID_Methods],0))</f>
        <v>0</v>
      </c>
      <c r="H584">
        <f t="shared" ca="1" si="56"/>
        <v>16198</v>
      </c>
      <c r="I584">
        <f t="shared" ca="1" si="57"/>
        <v>1280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8"/>
        <v>2300</v>
      </c>
      <c r="D585">
        <f t="shared" ca="1" si="59"/>
        <v>2.9</v>
      </c>
      <c r="E585">
        <f t="shared" ca="1" si="54"/>
        <v>30</v>
      </c>
      <c r="F585">
        <f t="shared" ca="1" si="55"/>
        <v>70</v>
      </c>
      <c r="G585" s="3" t="b">
        <f ca="1">INDEX(dict_zul_Var_Meth[kval_active],MATCH(table_Methods[[#This Row],[ID]],dict_zul_Var_Meth[ID_Methods],0))</f>
        <v>0</v>
      </c>
      <c r="H585">
        <f t="shared" ca="1" si="56"/>
        <v>9156</v>
      </c>
      <c r="I585">
        <f t="shared" ca="1" si="57"/>
        <v>800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8"/>
        <v>3000</v>
      </c>
      <c r="D586">
        <f t="shared" ca="1" si="59"/>
        <v>5.51</v>
      </c>
      <c r="E586">
        <f t="shared" ca="1" si="54"/>
        <v>-70</v>
      </c>
      <c r="F586">
        <f t="shared" ca="1" si="55"/>
        <v>970</v>
      </c>
      <c r="G586" s="3" t="b">
        <f ca="1">INDEX(dict_zul_Var_Meth[kval_active],MATCH(table_Methods[[#This Row],[ID]],dict_zul_Var_Meth[ID_Methods],0))</f>
        <v>0</v>
      </c>
      <c r="H586">
        <f t="shared" ca="1" si="56"/>
        <v>18792</v>
      </c>
      <c r="I586">
        <f t="shared" ca="1" si="57"/>
        <v>102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8"/>
        <v>490</v>
      </c>
      <c r="D587">
        <f t="shared" ca="1" si="59"/>
        <v>4.82</v>
      </c>
      <c r="E587">
        <f t="shared" ca="1" si="54"/>
        <v>10</v>
      </c>
      <c r="F587">
        <f t="shared" ca="1" si="55"/>
        <v>90</v>
      </c>
      <c r="G587" s="3" t="b">
        <f ca="1">INDEX(dict_zul_Var_Meth[kval_active],MATCH(table_Methods[[#This Row],[ID]],dict_zul_Var_Meth[ID_Methods],0))</f>
        <v>1</v>
      </c>
      <c r="H587">
        <f t="shared" ca="1" si="56"/>
        <v>3058</v>
      </c>
      <c r="I587">
        <f t="shared" ca="1" si="57"/>
        <v>384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8"/>
        <v>10</v>
      </c>
      <c r="D588">
        <f t="shared" ca="1" si="59"/>
        <v>3.53</v>
      </c>
      <c r="E588">
        <f t="shared" ca="1" si="54"/>
        <v>20</v>
      </c>
      <c r="F588">
        <f t="shared" ca="1" si="55"/>
        <v>220</v>
      </c>
      <c r="G588" s="3" t="b">
        <f ca="1">INDEX(dict_zul_Var_Meth[kval_active],MATCH(table_Methods[[#This Row],[ID]],dict_zul_Var_Meth[ID_Methods],0))</f>
        <v>0</v>
      </c>
      <c r="H588">
        <f t="shared" ca="1" si="56"/>
        <v>9302</v>
      </c>
      <c r="I588">
        <f t="shared" ca="1" si="57"/>
        <v>37888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8"/>
        <v>8000</v>
      </c>
      <c r="D589">
        <f t="shared" ca="1" si="59"/>
        <v>2.33</v>
      </c>
      <c r="E589">
        <f t="shared" ca="1" si="54"/>
        <v>-30</v>
      </c>
      <c r="F589">
        <f t="shared" ca="1" si="55"/>
        <v>230</v>
      </c>
      <c r="G589" s="3" t="b">
        <f ca="1">INDEX(dict_zul_Var_Meth[kval_active],MATCH(table_Methods[[#This Row],[ID]],dict_zul_Var_Meth[ID_Methods],0))</f>
        <v>0</v>
      </c>
      <c r="H589">
        <f t="shared" ca="1" si="56"/>
        <v>14364</v>
      </c>
      <c r="I589">
        <f t="shared" ca="1" si="57"/>
        <v>8192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8"/>
        <v>52</v>
      </c>
      <c r="D590">
        <f t="shared" ca="1" si="59"/>
        <v>8.3800000000000008</v>
      </c>
      <c r="E590">
        <f t="shared" ca="1" si="54"/>
        <v>-20</v>
      </c>
      <c r="F590">
        <f t="shared" ca="1" si="55"/>
        <v>40</v>
      </c>
      <c r="G590" s="3" t="b">
        <f ca="1">INDEX(dict_zul_Var_Meth[kval_active],MATCH(table_Methods[[#This Row],[ID]],dict_zul_Var_Meth[ID_Methods],0))</f>
        <v>0</v>
      </c>
      <c r="H590">
        <f t="shared" ca="1" si="56"/>
        <v>16740</v>
      </c>
      <c r="I590">
        <f t="shared" ca="1" si="57"/>
        <v>4416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8"/>
        <v>680</v>
      </c>
      <c r="D591">
        <f t="shared" ca="1" si="59"/>
        <v>7.36</v>
      </c>
      <c r="E591">
        <f t="shared" ca="1" si="54"/>
        <v>30</v>
      </c>
      <c r="F591">
        <f t="shared" ca="1" si="55"/>
        <v>440</v>
      </c>
      <c r="G591" s="3" t="b">
        <f ca="1">INDEX(dict_zul_Var_Meth[kval_active],MATCH(table_Methods[[#This Row],[ID]],dict_zul_Var_Meth[ID_Methods],0))</f>
        <v>0</v>
      </c>
      <c r="H591">
        <f t="shared" ca="1" si="56"/>
        <v>8752</v>
      </c>
      <c r="I591">
        <f t="shared" ca="1" si="57"/>
        <v>2528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8"/>
        <v>9700</v>
      </c>
      <c r="D592">
        <f t="shared" ca="1" si="59"/>
        <v>9.44</v>
      </c>
      <c r="E592">
        <f t="shared" ca="1" si="54"/>
        <v>30</v>
      </c>
      <c r="F592">
        <f t="shared" ca="1" si="55"/>
        <v>800</v>
      </c>
      <c r="G592" s="3" t="b">
        <f ca="1">INDEX(dict_zul_Var_Meth[kval_active],MATCH(table_Methods[[#This Row],[ID]],dict_zul_Var_Meth[ID_Methods],0))</f>
        <v>0</v>
      </c>
      <c r="H592">
        <f t="shared" ca="1" si="56"/>
        <v>16544</v>
      </c>
      <c r="I592">
        <f t="shared" ca="1" si="57"/>
        <v>2944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8"/>
        <v>92.000000000000014</v>
      </c>
      <c r="D593">
        <f t="shared" ca="1" si="59"/>
        <v>1.86</v>
      </c>
      <c r="E593">
        <f t="shared" ca="1" si="54"/>
        <v>-80</v>
      </c>
      <c r="F593">
        <f t="shared" ca="1" si="55"/>
        <v>590</v>
      </c>
      <c r="G593" s="3" t="b">
        <f ca="1">INDEX(dict_zul_Var_Meth[kval_active],MATCH(table_Methods[[#This Row],[ID]],dict_zul_Var_Meth[ID_Methods],0))</f>
        <v>0</v>
      </c>
      <c r="H593">
        <f t="shared" ca="1" si="56"/>
        <v>1362</v>
      </c>
      <c r="I593">
        <f t="shared" ca="1" si="57"/>
        <v>34304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8"/>
        <v>43</v>
      </c>
      <c r="D594">
        <f t="shared" ca="1" si="59"/>
        <v>2.5499999999999998</v>
      </c>
      <c r="E594">
        <f t="shared" ca="1" si="54"/>
        <v>-80</v>
      </c>
      <c r="F594">
        <f t="shared" ca="1" si="55"/>
        <v>480</v>
      </c>
      <c r="G594" s="3" t="b">
        <f ca="1">INDEX(dict_zul_Var_Meth[kval_active],MATCH(table_Methods[[#This Row],[ID]],dict_zul_Var_Meth[ID_Methods],0))</f>
        <v>0</v>
      </c>
      <c r="H594">
        <f t="shared" ca="1" si="56"/>
        <v>13155</v>
      </c>
      <c r="I594">
        <f t="shared" ca="1" si="57"/>
        <v>16896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8"/>
        <v>90</v>
      </c>
      <c r="D595">
        <f t="shared" ca="1" si="59"/>
        <v>4.32</v>
      </c>
      <c r="E595">
        <f t="shared" ca="1" si="54"/>
        <v>0</v>
      </c>
      <c r="F595">
        <f t="shared" ca="1" si="55"/>
        <v>670</v>
      </c>
      <c r="G595" s="3" t="b">
        <f ca="1">INDEX(dict_zul_Var_Meth[kval_active],MATCH(table_Methods[[#This Row],[ID]],dict_zul_Var_Meth[ID_Methods],0))</f>
        <v>1</v>
      </c>
      <c r="H595">
        <f t="shared" ca="1" si="56"/>
        <v>23510</v>
      </c>
      <c r="I595">
        <f t="shared" ca="1" si="57"/>
        <v>20480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8"/>
        <v>810</v>
      </c>
      <c r="D596">
        <f t="shared" ca="1" si="59"/>
        <v>8.33</v>
      </c>
      <c r="E596">
        <f t="shared" ca="1" si="54"/>
        <v>-30</v>
      </c>
      <c r="F596">
        <f t="shared" ca="1" si="55"/>
        <v>680</v>
      </c>
      <c r="G596" s="3" t="b">
        <f ca="1">INDEX(dict_zul_Var_Meth[kval_active],MATCH(table_Methods[[#This Row],[ID]],dict_zul_Var_Meth[ID_Methods],0))</f>
        <v>0</v>
      </c>
      <c r="H596">
        <f t="shared" ca="1" si="56"/>
        <v>18100</v>
      </c>
      <c r="I596">
        <f t="shared" ca="1" si="57"/>
        <v>99328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8"/>
        <v>580</v>
      </c>
      <c r="D597">
        <f t="shared" ca="1" si="59"/>
        <v>9.35</v>
      </c>
      <c r="E597">
        <f t="shared" ca="1" si="54"/>
        <v>-30</v>
      </c>
      <c r="F597">
        <f t="shared" ca="1" si="55"/>
        <v>910</v>
      </c>
      <c r="G597" s="3" t="b">
        <f ca="1">INDEX(dict_zul_Var_Meth[kval_active],MATCH(table_Methods[[#This Row],[ID]],dict_zul_Var_Meth[ID_Methods],0))</f>
        <v>0</v>
      </c>
      <c r="H597">
        <f t="shared" ca="1" si="56"/>
        <v>2568</v>
      </c>
      <c r="I597">
        <f t="shared" ca="1" si="57"/>
        <v>9728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8"/>
        <v>940</v>
      </c>
      <c r="D598">
        <f t="shared" ca="1" si="59"/>
        <v>0.69</v>
      </c>
      <c r="E598">
        <f t="shared" ca="1" si="54"/>
        <v>-80</v>
      </c>
      <c r="F598">
        <f t="shared" ca="1" si="55"/>
        <v>100</v>
      </c>
      <c r="G598" s="3" t="b">
        <f ca="1">INDEX(dict_zul_Var_Meth[kval_active],MATCH(table_Methods[[#This Row],[ID]],dict_zul_Var_Meth[ID_Methods],0))</f>
        <v>0</v>
      </c>
      <c r="H598">
        <f t="shared" ca="1" si="56"/>
        <v>29560</v>
      </c>
      <c r="I598">
        <f t="shared" ca="1" si="57"/>
        <v>54272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8"/>
        <v>2200</v>
      </c>
      <c r="D599">
        <f t="shared" ca="1" si="59"/>
        <v>4.34</v>
      </c>
      <c r="E599">
        <f t="shared" ca="1" si="54"/>
        <v>-70</v>
      </c>
      <c r="F599">
        <f t="shared" ca="1" si="55"/>
        <v>170</v>
      </c>
      <c r="G599" s="3" t="b">
        <f ca="1">INDEX(dict_zul_Var_Meth[kval_active],MATCH(table_Methods[[#This Row],[ID]],dict_zul_Var_Meth[ID_Methods],0))</f>
        <v>0</v>
      </c>
      <c r="H599">
        <f t="shared" ca="1" si="56"/>
        <v>16506</v>
      </c>
      <c r="I599">
        <f t="shared" ca="1" si="57"/>
        <v>11008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8"/>
        <v>7200</v>
      </c>
      <c r="D600">
        <f t="shared" ca="1" si="59"/>
        <v>0.18</v>
      </c>
      <c r="E600">
        <f t="shared" ca="1" si="54"/>
        <v>-70</v>
      </c>
      <c r="F600">
        <f t="shared" ca="1" si="55"/>
        <v>540</v>
      </c>
      <c r="G600" s="3" t="b">
        <f ca="1">INDEX(dict_zul_Var_Meth[kval_active],MATCH(table_Methods[[#This Row],[ID]],dict_zul_Var_Meth[ID_Methods],0))</f>
        <v>0</v>
      </c>
      <c r="H600">
        <f t="shared" ca="1" si="56"/>
        <v>32872</v>
      </c>
      <c r="I600">
        <f t="shared" ca="1" si="57"/>
        <v>26624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8"/>
        <v>990</v>
      </c>
      <c r="D601">
        <f t="shared" ca="1" si="59"/>
        <v>4.21</v>
      </c>
      <c r="E601">
        <f t="shared" ca="1" si="54"/>
        <v>-40</v>
      </c>
      <c r="F601">
        <f t="shared" ca="1" si="55"/>
        <v>540</v>
      </c>
      <c r="G601" s="3" t="b">
        <f ca="1">INDEX(dict_zul_Var_Meth[kval_active],MATCH(table_Methods[[#This Row],[ID]],dict_zul_Var_Meth[ID_Methods],0))</f>
        <v>0</v>
      </c>
      <c r="H601">
        <f t="shared" ca="1" si="56"/>
        <v>17685</v>
      </c>
      <c r="I601">
        <f t="shared" ca="1" si="57"/>
        <v>328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8"/>
        <v>42</v>
      </c>
      <c r="D602">
        <f t="shared" ca="1" si="59"/>
        <v>1.83</v>
      </c>
      <c r="E602">
        <f t="shared" ca="1" si="54"/>
        <v>-20</v>
      </c>
      <c r="F602">
        <f t="shared" ca="1" si="55"/>
        <v>210</v>
      </c>
      <c r="G602" s="3" t="b">
        <f ca="1">INDEX(dict_zul_Var_Meth[kval_active],MATCH(table_Methods[[#This Row],[ID]],dict_zul_Var_Meth[ID_Methods],0))</f>
        <v>0</v>
      </c>
      <c r="H602">
        <f t="shared" ca="1" si="56"/>
        <v>43137</v>
      </c>
      <c r="I602">
        <f t="shared" ca="1" si="57"/>
        <v>696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8"/>
        <v>17</v>
      </c>
      <c r="D603">
        <f t="shared" ca="1" si="59"/>
        <v>4.8099999999999996</v>
      </c>
      <c r="E603">
        <f t="shared" ca="1" si="54"/>
        <v>-10</v>
      </c>
      <c r="F603">
        <f t="shared" ca="1" si="55"/>
        <v>780</v>
      </c>
      <c r="G603" s="3" t="b">
        <f ca="1">INDEX(dict_zul_Var_Meth[kval_active],MATCH(table_Methods[[#This Row],[ID]],dict_zul_Var_Meth[ID_Methods],0))</f>
        <v>0</v>
      </c>
      <c r="H603">
        <f t="shared" ca="1" si="56"/>
        <v>3148</v>
      </c>
      <c r="I603">
        <f t="shared" ca="1" si="57"/>
        <v>5120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8"/>
        <v>3300</v>
      </c>
      <c r="D604">
        <f t="shared" ca="1" si="59"/>
        <v>5.99</v>
      </c>
      <c r="E604">
        <f t="shared" ca="1" si="54"/>
        <v>-10</v>
      </c>
      <c r="F604">
        <f t="shared" ca="1" si="55"/>
        <v>550</v>
      </c>
      <c r="G604" s="3" t="b">
        <f ca="1">INDEX(dict_zul_Var_Meth[kval_active],MATCH(table_Methods[[#This Row],[ID]],dict_zul_Var_Meth[ID_Methods],0))</f>
        <v>0</v>
      </c>
      <c r="H604">
        <f t="shared" ca="1" si="56"/>
        <v>7609</v>
      </c>
      <c r="I604">
        <f t="shared" ca="1" si="57"/>
        <v>8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8"/>
        <v>850</v>
      </c>
      <c r="D605">
        <f t="shared" ca="1" si="59"/>
        <v>1.52</v>
      </c>
      <c r="E605">
        <f t="shared" ca="1" si="54"/>
        <v>-10</v>
      </c>
      <c r="F605">
        <f t="shared" ca="1" si="55"/>
        <v>940</v>
      </c>
      <c r="G605" s="3" t="b">
        <f ca="1">INDEX(dict_zul_Var_Meth[kval_active],MATCH(table_Methods[[#This Row],[ID]],dict_zul_Var_Meth[ID_Methods],0))</f>
        <v>0</v>
      </c>
      <c r="H605">
        <f t="shared" ca="1" si="56"/>
        <v>12194</v>
      </c>
      <c r="I605">
        <f t="shared" ca="1" si="57"/>
        <v>544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8"/>
        <v>38</v>
      </c>
      <c r="D606">
        <f t="shared" ca="1" si="59"/>
        <v>3.8</v>
      </c>
      <c r="E606">
        <f t="shared" ca="1" si="54"/>
        <v>-60</v>
      </c>
      <c r="F606">
        <f t="shared" ca="1" si="55"/>
        <v>580</v>
      </c>
      <c r="G606" s="3" t="b">
        <f ca="1">INDEX(dict_zul_Var_Meth[kval_active],MATCH(table_Methods[[#This Row],[ID]],dict_zul_Var_Meth[ID_Methods],0))</f>
        <v>0</v>
      </c>
      <c r="H606">
        <f t="shared" ca="1" si="56"/>
        <v>34190</v>
      </c>
      <c r="I606">
        <f t="shared" ca="1" si="57"/>
        <v>720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8"/>
        <v>870</v>
      </c>
      <c r="D607">
        <f t="shared" ca="1" si="59"/>
        <v>4.3499999999999996</v>
      </c>
      <c r="E607">
        <f t="shared" ca="1" si="54"/>
        <v>-100</v>
      </c>
      <c r="F607">
        <f t="shared" ca="1" si="55"/>
        <v>670</v>
      </c>
      <c r="G607" s="3" t="b">
        <f ca="1">INDEX(dict_zul_Var_Meth[kval_active],MATCH(table_Methods[[#This Row],[ID]],dict_zul_Var_Meth[ID_Methods],0))</f>
        <v>0</v>
      </c>
      <c r="H607">
        <f t="shared" ca="1" si="56"/>
        <v>7335</v>
      </c>
      <c r="I607">
        <f t="shared" ca="1" si="57"/>
        <v>2048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8"/>
        <v>840</v>
      </c>
      <c r="D608">
        <f t="shared" ca="1" si="59"/>
        <v>8.9499999999999993</v>
      </c>
      <c r="E608">
        <f t="shared" ca="1" si="54"/>
        <v>10</v>
      </c>
      <c r="F608">
        <f t="shared" ca="1" si="55"/>
        <v>560</v>
      </c>
      <c r="G608" s="3" t="b">
        <f ca="1">INDEX(dict_zul_Var_Meth[kval_active],MATCH(table_Methods[[#This Row],[ID]],dict_zul_Var_Meth[ID_Methods],0))</f>
        <v>0</v>
      </c>
      <c r="H608">
        <f t="shared" ca="1" si="56"/>
        <v>7008</v>
      </c>
      <c r="I608">
        <f t="shared" ca="1" si="57"/>
        <v>120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8"/>
        <v>72</v>
      </c>
      <c r="D609">
        <f t="shared" ca="1" si="59"/>
        <v>9.73</v>
      </c>
      <c r="E609">
        <f t="shared" ca="1" si="54"/>
        <v>-60</v>
      </c>
      <c r="F609">
        <f t="shared" ca="1" si="55"/>
        <v>360</v>
      </c>
      <c r="G609" s="3" t="b">
        <f ca="1">INDEX(dict_zul_Var_Meth[kval_active],MATCH(table_Methods[[#This Row],[ID]],dict_zul_Var_Meth[ID_Methods],0))</f>
        <v>0</v>
      </c>
      <c r="H609">
        <f t="shared" ca="1" si="56"/>
        <v>3291</v>
      </c>
      <c r="I609">
        <f t="shared" ca="1" si="57"/>
        <v>80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8"/>
        <v>23.000000000000004</v>
      </c>
      <c r="D610">
        <f t="shared" ca="1" si="59"/>
        <v>5.74</v>
      </c>
      <c r="E610">
        <f t="shared" ca="1" si="54"/>
        <v>-40</v>
      </c>
      <c r="F610">
        <f t="shared" ca="1" si="55"/>
        <v>230</v>
      </c>
      <c r="G610" s="3" t="b">
        <f ca="1">INDEX(dict_zul_Var_Meth[kval_active],MATCH(table_Methods[[#This Row],[ID]],dict_zul_Var_Meth[ID_Methods],0))</f>
        <v>0</v>
      </c>
      <c r="H610">
        <f t="shared" ca="1" si="56"/>
        <v>4088</v>
      </c>
      <c r="I610">
        <f t="shared" ca="1" si="57"/>
        <v>2752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8"/>
        <v>990</v>
      </c>
      <c r="D611">
        <f t="shared" ca="1" si="59"/>
        <v>1.74</v>
      </c>
      <c r="E611">
        <f t="shared" ca="1" si="54"/>
        <v>-30</v>
      </c>
      <c r="F611">
        <f t="shared" ca="1" si="55"/>
        <v>260</v>
      </c>
      <c r="G611" s="3" t="b">
        <f ca="1">INDEX(dict_zul_Var_Meth[kval_active],MATCH(table_Methods[[#This Row],[ID]],dict_zul_Var_Meth[ID_Methods],0))</f>
        <v>0</v>
      </c>
      <c r="H611">
        <f t="shared" ca="1" si="56"/>
        <v>4950</v>
      </c>
      <c r="I611">
        <f t="shared" ca="1" si="57"/>
        <v>272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8"/>
        <v>3200</v>
      </c>
      <c r="D612">
        <f t="shared" ca="1" si="59"/>
        <v>4.7699999999999996</v>
      </c>
      <c r="E612">
        <f t="shared" ref="E612:E675" ca="1" si="60">RANDBETWEEN(-10,3)*10</f>
        <v>-80</v>
      </c>
      <c r="F612">
        <f t="shared" ref="F612:F675" ca="1" si="61">RANDBETWEEN(2,100)*10</f>
        <v>100</v>
      </c>
      <c r="G612" s="3" t="b">
        <f ca="1">INDEX(dict_zul_Var_Meth[kval_active],MATCH(table_Methods[[#This Row],[ID]],dict_zul_Var_Meth[ID_Methods],0))</f>
        <v>0</v>
      </c>
      <c r="H612">
        <f t="shared" ref="H612:H675" ca="1" si="62">RANDBETWEEN(1,10)*RANDBETWEEN(1,5000)</f>
        <v>7698</v>
      </c>
      <c r="I612">
        <f t="shared" ref="I612:I675" ca="1" si="63">2^RANDBETWEEN(1,10)*RANDBETWEEN(1,100)</f>
        <v>332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8"/>
        <v>23.000000000000004</v>
      </c>
      <c r="D613">
        <f t="shared" ca="1" si="59"/>
        <v>9.27</v>
      </c>
      <c r="E613">
        <f t="shared" ca="1" si="60"/>
        <v>-80</v>
      </c>
      <c r="F613">
        <f t="shared" ca="1" si="61"/>
        <v>650</v>
      </c>
      <c r="G613" s="3" t="b">
        <f ca="1">INDEX(dict_zul_Var_Meth[kval_active],MATCH(table_Methods[[#This Row],[ID]],dict_zul_Var_Meth[ID_Methods],0))</f>
        <v>0</v>
      </c>
      <c r="H613">
        <f t="shared" ca="1" si="62"/>
        <v>448</v>
      </c>
      <c r="I613">
        <f t="shared" ca="1" si="63"/>
        <v>60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8"/>
        <v>69</v>
      </c>
      <c r="D614">
        <f t="shared" ca="1" si="59"/>
        <v>5.88</v>
      </c>
      <c r="E614">
        <f t="shared" ca="1" si="60"/>
        <v>-30</v>
      </c>
      <c r="F614">
        <f t="shared" ca="1" si="61"/>
        <v>440</v>
      </c>
      <c r="G614" s="3" t="b">
        <f ca="1">INDEX(dict_zul_Var_Meth[kval_active],MATCH(table_Methods[[#This Row],[ID]],dict_zul_Var_Meth[ID_Methods],0))</f>
        <v>0</v>
      </c>
      <c r="H614">
        <f t="shared" ca="1" si="62"/>
        <v>21952</v>
      </c>
      <c r="I614">
        <f t="shared" ca="1" si="63"/>
        <v>1232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8"/>
        <v>65</v>
      </c>
      <c r="D615">
        <f t="shared" ca="1" si="59"/>
        <v>8.83</v>
      </c>
      <c r="E615">
        <f t="shared" ca="1" si="60"/>
        <v>-30</v>
      </c>
      <c r="F615">
        <f t="shared" ca="1" si="61"/>
        <v>150</v>
      </c>
      <c r="G615" s="3" t="b">
        <f ca="1">INDEX(dict_zul_Var_Meth[kval_active],MATCH(table_Methods[[#This Row],[ID]],dict_zul_Var_Meth[ID_Methods],0))</f>
        <v>0</v>
      </c>
      <c r="H615">
        <f t="shared" ca="1" si="62"/>
        <v>16163</v>
      </c>
      <c r="I615">
        <f t="shared" ca="1" si="63"/>
        <v>8960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8"/>
        <v>270</v>
      </c>
      <c r="D616">
        <f t="shared" ca="1" si="59"/>
        <v>0.21</v>
      </c>
      <c r="E616">
        <f t="shared" ca="1" si="60"/>
        <v>-10</v>
      </c>
      <c r="F616">
        <f t="shared" ca="1" si="61"/>
        <v>890</v>
      </c>
      <c r="G616" s="3" t="b">
        <f ca="1">INDEX(dict_zul_Var_Meth[kval_active],MATCH(table_Methods[[#This Row],[ID]],dict_zul_Var_Meth[ID_Methods],0))</f>
        <v>0</v>
      </c>
      <c r="H616">
        <f t="shared" ca="1" si="62"/>
        <v>3213</v>
      </c>
      <c r="I616">
        <f t="shared" ca="1" si="63"/>
        <v>11776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8"/>
        <v>30</v>
      </c>
      <c r="D617">
        <f t="shared" ca="1" si="59"/>
        <v>6.19</v>
      </c>
      <c r="E617">
        <f t="shared" ca="1" si="60"/>
        <v>-10</v>
      </c>
      <c r="F617">
        <f t="shared" ca="1" si="61"/>
        <v>540</v>
      </c>
      <c r="G617" s="3" t="b">
        <f ca="1">INDEX(dict_zul_Var_Meth[kval_active],MATCH(table_Methods[[#This Row],[ID]],dict_zul_Var_Meth[ID_Methods],0))</f>
        <v>0</v>
      </c>
      <c r="H617">
        <f t="shared" ca="1" si="62"/>
        <v>9072</v>
      </c>
      <c r="I617">
        <f t="shared" ca="1" si="63"/>
        <v>6400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8"/>
        <v>2300</v>
      </c>
      <c r="D618">
        <f t="shared" ca="1" si="59"/>
        <v>6.45</v>
      </c>
      <c r="E618">
        <f t="shared" ca="1" si="60"/>
        <v>30</v>
      </c>
      <c r="F618">
        <f t="shared" ca="1" si="61"/>
        <v>590</v>
      </c>
      <c r="G618" s="3" t="b">
        <f ca="1">INDEX(dict_zul_Var_Meth[kval_active],MATCH(table_Methods[[#This Row],[ID]],dict_zul_Var_Meth[ID_Methods],0))</f>
        <v>0</v>
      </c>
      <c r="H618">
        <f t="shared" ca="1" si="62"/>
        <v>4345</v>
      </c>
      <c r="I618">
        <f t="shared" ca="1" si="63"/>
        <v>1376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8"/>
        <v>620</v>
      </c>
      <c r="D619">
        <f t="shared" ca="1" si="59"/>
        <v>5.65</v>
      </c>
      <c r="E619">
        <f t="shared" ca="1" si="60"/>
        <v>-60</v>
      </c>
      <c r="F619">
        <f t="shared" ca="1" si="61"/>
        <v>250</v>
      </c>
      <c r="G619" s="3" t="b">
        <f ca="1">INDEX(dict_zul_Var_Meth[kval_active],MATCH(table_Methods[[#This Row],[ID]],dict_zul_Var_Meth[ID_Methods],0))</f>
        <v>0</v>
      </c>
      <c r="H619">
        <f t="shared" ca="1" si="62"/>
        <v>16248</v>
      </c>
      <c r="I619">
        <f t="shared" ca="1" si="63"/>
        <v>24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8"/>
        <v>36</v>
      </c>
      <c r="D620">
        <f t="shared" ca="1" si="59"/>
        <v>9.64</v>
      </c>
      <c r="E620">
        <f t="shared" ca="1" si="60"/>
        <v>-50</v>
      </c>
      <c r="F620">
        <f t="shared" ca="1" si="61"/>
        <v>130</v>
      </c>
      <c r="G620" s="3" t="b">
        <f ca="1">INDEX(dict_zul_Var_Meth[kval_active],MATCH(table_Methods[[#This Row],[ID]],dict_zul_Var_Meth[ID_Methods],0))</f>
        <v>0</v>
      </c>
      <c r="H620">
        <f t="shared" ca="1" si="62"/>
        <v>7116</v>
      </c>
      <c r="I620">
        <f t="shared" ca="1" si="63"/>
        <v>432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8"/>
        <v>120</v>
      </c>
      <c r="D621">
        <f t="shared" ca="1" si="59"/>
        <v>6.27</v>
      </c>
      <c r="E621">
        <f t="shared" ca="1" si="60"/>
        <v>-60</v>
      </c>
      <c r="F621">
        <f t="shared" ca="1" si="61"/>
        <v>350</v>
      </c>
      <c r="G621" s="3" t="b">
        <f ca="1">INDEX(dict_zul_Var_Meth[kval_active],MATCH(table_Methods[[#This Row],[ID]],dict_zul_Var_Meth[ID_Methods],0))</f>
        <v>0</v>
      </c>
      <c r="H621">
        <f t="shared" ca="1" si="62"/>
        <v>5802</v>
      </c>
      <c r="I621">
        <f t="shared" ca="1" si="63"/>
        <v>1024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8"/>
        <v>460</v>
      </c>
      <c r="D622">
        <f t="shared" ca="1" si="59"/>
        <v>7.34</v>
      </c>
      <c r="E622">
        <f t="shared" ca="1" si="60"/>
        <v>-90</v>
      </c>
      <c r="F622">
        <f t="shared" ca="1" si="61"/>
        <v>80</v>
      </c>
      <c r="G622" s="3" t="b">
        <f ca="1">INDEX(dict_zul_Var_Meth[kval_active],MATCH(table_Methods[[#This Row],[ID]],dict_zul_Var_Meth[ID_Methods],0))</f>
        <v>0</v>
      </c>
      <c r="H622">
        <f t="shared" ca="1" si="62"/>
        <v>6656</v>
      </c>
      <c r="I622">
        <f t="shared" ca="1" si="63"/>
        <v>128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8"/>
        <v>8200</v>
      </c>
      <c r="D623">
        <f t="shared" ca="1" si="59"/>
        <v>2.17</v>
      </c>
      <c r="E623">
        <f t="shared" ca="1" si="60"/>
        <v>30</v>
      </c>
      <c r="F623">
        <f t="shared" ca="1" si="61"/>
        <v>370</v>
      </c>
      <c r="G623" s="3" t="b">
        <f ca="1">INDEX(dict_zul_Var_Meth[kval_active],MATCH(table_Methods[[#This Row],[ID]],dict_zul_Var_Meth[ID_Methods],0))</f>
        <v>0</v>
      </c>
      <c r="H623">
        <f t="shared" ca="1" si="62"/>
        <v>43956</v>
      </c>
      <c r="I623">
        <f t="shared" ca="1" si="63"/>
        <v>124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8"/>
        <v>3700</v>
      </c>
      <c r="D624">
        <f t="shared" ca="1" si="59"/>
        <v>6.93</v>
      </c>
      <c r="E624">
        <f t="shared" ca="1" si="60"/>
        <v>-20</v>
      </c>
      <c r="F624">
        <f t="shared" ca="1" si="61"/>
        <v>310</v>
      </c>
      <c r="G624" s="3" t="b">
        <f ca="1">INDEX(dict_zul_Var_Meth[kval_active],MATCH(table_Methods[[#This Row],[ID]],dict_zul_Var_Meth[ID_Methods],0))</f>
        <v>0</v>
      </c>
      <c r="H624">
        <f t="shared" ca="1" si="62"/>
        <v>16770</v>
      </c>
      <c r="I624">
        <f t="shared" ca="1" si="63"/>
        <v>30208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8"/>
        <v>22</v>
      </c>
      <c r="D625">
        <f t="shared" ca="1" si="59"/>
        <v>8.3699999999999992</v>
      </c>
      <c r="E625">
        <f t="shared" ca="1" si="60"/>
        <v>-90</v>
      </c>
      <c r="F625">
        <f t="shared" ca="1" si="61"/>
        <v>520</v>
      </c>
      <c r="G625" s="3" t="b">
        <f ca="1">INDEX(dict_zul_Var_Meth[kval_active],MATCH(table_Methods[[#This Row],[ID]],dict_zul_Var_Meth[ID_Methods],0))</f>
        <v>0</v>
      </c>
      <c r="H625">
        <f t="shared" ca="1" si="62"/>
        <v>16772</v>
      </c>
      <c r="I625">
        <f t="shared" ca="1" si="63"/>
        <v>2688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8"/>
        <v>47</v>
      </c>
      <c r="D626">
        <f t="shared" ca="1" si="59"/>
        <v>8.33</v>
      </c>
      <c r="E626">
        <f t="shared" ca="1" si="60"/>
        <v>20</v>
      </c>
      <c r="F626">
        <f t="shared" ca="1" si="61"/>
        <v>790</v>
      </c>
      <c r="G626" s="3" t="b">
        <f ca="1">INDEX(dict_zul_Var_Meth[kval_active],MATCH(table_Methods[[#This Row],[ID]],dict_zul_Var_Meth[ID_Methods],0))</f>
        <v>0</v>
      </c>
      <c r="H626">
        <f t="shared" ca="1" si="62"/>
        <v>3863</v>
      </c>
      <c r="I626">
        <f t="shared" ca="1" si="63"/>
        <v>12800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8"/>
        <v>53.000000000000007</v>
      </c>
      <c r="D627">
        <f t="shared" ca="1" si="59"/>
        <v>4.55</v>
      </c>
      <c r="E627">
        <f t="shared" ca="1" si="60"/>
        <v>-20</v>
      </c>
      <c r="F627">
        <f t="shared" ca="1" si="61"/>
        <v>800</v>
      </c>
      <c r="G627" s="3" t="b">
        <f ca="1">INDEX(dict_zul_Var_Meth[kval_active],MATCH(table_Methods[[#This Row],[ID]],dict_zul_Var_Meth[ID_Methods],0))</f>
        <v>0</v>
      </c>
      <c r="H627">
        <f t="shared" ca="1" si="62"/>
        <v>15480</v>
      </c>
      <c r="I627">
        <f t="shared" ca="1" si="63"/>
        <v>232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8"/>
        <v>720</v>
      </c>
      <c r="D628">
        <f t="shared" ca="1" si="59"/>
        <v>1.7</v>
      </c>
      <c r="E628">
        <f t="shared" ca="1" si="60"/>
        <v>-20</v>
      </c>
      <c r="F628">
        <f t="shared" ca="1" si="61"/>
        <v>700</v>
      </c>
      <c r="G628" s="3" t="b">
        <f ca="1">INDEX(dict_zul_Var_Meth[kval_active],MATCH(table_Methods[[#This Row],[ID]],dict_zul_Var_Meth[ID_Methods],0))</f>
        <v>0</v>
      </c>
      <c r="H628">
        <f t="shared" ca="1" si="62"/>
        <v>9380</v>
      </c>
      <c r="I628">
        <f t="shared" ca="1" si="63"/>
        <v>14336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8"/>
        <v>520</v>
      </c>
      <c r="D629">
        <f t="shared" ca="1" si="59"/>
        <v>0.27</v>
      </c>
      <c r="E629">
        <f t="shared" ca="1" si="60"/>
        <v>-20</v>
      </c>
      <c r="F629">
        <f t="shared" ca="1" si="61"/>
        <v>60</v>
      </c>
      <c r="G629" s="3" t="b">
        <f ca="1">INDEX(dict_zul_Var_Meth[kval_active],MATCH(table_Methods[[#This Row],[ID]],dict_zul_Var_Meth[ID_Methods],0))</f>
        <v>0</v>
      </c>
      <c r="H629">
        <f t="shared" ca="1" si="62"/>
        <v>8912</v>
      </c>
      <c r="I629">
        <f t="shared" ca="1" si="63"/>
        <v>106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8"/>
        <v>9100</v>
      </c>
      <c r="D630">
        <f t="shared" ca="1" si="59"/>
        <v>6.21</v>
      </c>
      <c r="E630">
        <f t="shared" ca="1" si="60"/>
        <v>-50</v>
      </c>
      <c r="F630">
        <f t="shared" ca="1" si="61"/>
        <v>680</v>
      </c>
      <c r="G630" s="3" t="b">
        <f ca="1">INDEX(dict_zul_Var_Meth[kval_active],MATCH(table_Methods[[#This Row],[ID]],dict_zul_Var_Meth[ID_Methods],0))</f>
        <v>0</v>
      </c>
      <c r="H630">
        <f t="shared" ca="1" si="62"/>
        <v>8235</v>
      </c>
      <c r="I630">
        <f t="shared" ca="1" si="63"/>
        <v>20480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8"/>
        <v>3300</v>
      </c>
      <c r="D631">
        <f t="shared" ca="1" si="59"/>
        <v>5.54</v>
      </c>
      <c r="E631">
        <f t="shared" ca="1" si="60"/>
        <v>-10</v>
      </c>
      <c r="F631">
        <f t="shared" ca="1" si="61"/>
        <v>330</v>
      </c>
      <c r="G631" s="3" t="b">
        <f ca="1">INDEX(dict_zul_Var_Meth[kval_active],MATCH(table_Methods[[#This Row],[ID]],dict_zul_Var_Meth[ID_Methods],0))</f>
        <v>0</v>
      </c>
      <c r="H631">
        <f t="shared" ca="1" si="62"/>
        <v>14892</v>
      </c>
      <c r="I631">
        <f t="shared" ca="1" si="63"/>
        <v>1120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8"/>
        <v>1600</v>
      </c>
      <c r="D632">
        <f t="shared" ca="1" si="59"/>
        <v>6.27</v>
      </c>
      <c r="E632">
        <f t="shared" ca="1" si="60"/>
        <v>-40</v>
      </c>
      <c r="F632">
        <f t="shared" ca="1" si="61"/>
        <v>450</v>
      </c>
      <c r="G632" s="3" t="b">
        <f ca="1">INDEX(dict_zul_Var_Meth[kval_active],MATCH(table_Methods[[#This Row],[ID]],dict_zul_Var_Meth[ID_Methods],0))</f>
        <v>0</v>
      </c>
      <c r="H632">
        <f t="shared" ca="1" si="62"/>
        <v>3985</v>
      </c>
      <c r="I632">
        <f t="shared" ca="1" si="63"/>
        <v>2944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8"/>
        <v>72</v>
      </c>
      <c r="D633">
        <f t="shared" ca="1" si="59"/>
        <v>1.46</v>
      </c>
      <c r="E633">
        <f t="shared" ca="1" si="60"/>
        <v>-60</v>
      </c>
      <c r="F633">
        <f t="shared" ca="1" si="61"/>
        <v>580</v>
      </c>
      <c r="G633" s="3" t="b">
        <f ca="1">INDEX(dict_zul_Var_Meth[kval_active],MATCH(table_Methods[[#This Row],[ID]],dict_zul_Var_Meth[ID_Methods],0))</f>
        <v>0</v>
      </c>
      <c r="H633">
        <f t="shared" ca="1" si="62"/>
        <v>20190</v>
      </c>
      <c r="I633">
        <f t="shared" ca="1" si="63"/>
        <v>190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8"/>
        <v>22</v>
      </c>
      <c r="D634">
        <f t="shared" ca="1" si="59"/>
        <v>7.57</v>
      </c>
      <c r="E634">
        <f t="shared" ca="1" si="60"/>
        <v>10</v>
      </c>
      <c r="F634">
        <f t="shared" ca="1" si="61"/>
        <v>940</v>
      </c>
      <c r="G634" s="3" t="b">
        <f ca="1">INDEX(dict_zul_Var_Meth[kval_active],MATCH(table_Methods[[#This Row],[ID]],dict_zul_Var_Meth[ID_Methods],0))</f>
        <v>0</v>
      </c>
      <c r="H634">
        <f t="shared" ca="1" si="62"/>
        <v>12440</v>
      </c>
      <c r="I634">
        <f t="shared" ca="1" si="63"/>
        <v>320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8"/>
        <v>360</v>
      </c>
      <c r="D635">
        <f t="shared" ca="1" si="59"/>
        <v>5.46</v>
      </c>
      <c r="E635">
        <f t="shared" ca="1" si="60"/>
        <v>-20</v>
      </c>
      <c r="F635">
        <f t="shared" ca="1" si="61"/>
        <v>830</v>
      </c>
      <c r="G635" s="3" t="b">
        <f ca="1">INDEX(dict_zul_Var_Meth[kval_active],MATCH(table_Methods[[#This Row],[ID]],dict_zul_Var_Meth[ID_Methods],0))</f>
        <v>0</v>
      </c>
      <c r="H635">
        <f t="shared" ca="1" si="62"/>
        <v>9054</v>
      </c>
      <c r="I635">
        <f t="shared" ca="1" si="63"/>
        <v>18688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8"/>
        <v>770</v>
      </c>
      <c r="D636">
        <f t="shared" ca="1" si="59"/>
        <v>7.91</v>
      </c>
      <c r="E636">
        <f t="shared" ca="1" si="60"/>
        <v>20</v>
      </c>
      <c r="F636">
        <f t="shared" ca="1" si="61"/>
        <v>590</v>
      </c>
      <c r="G636" s="3" t="b">
        <f ca="1">INDEX(dict_zul_Var_Meth[kval_active],MATCH(table_Methods[[#This Row],[ID]],dict_zul_Var_Meth[ID_Methods],0))</f>
        <v>0</v>
      </c>
      <c r="H636">
        <f t="shared" ca="1" si="62"/>
        <v>1998</v>
      </c>
      <c r="I636">
        <f t="shared" ca="1" si="63"/>
        <v>48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8"/>
        <v>210</v>
      </c>
      <c r="D637">
        <f t="shared" ca="1" si="59"/>
        <v>5.68</v>
      </c>
      <c r="E637">
        <f t="shared" ca="1" si="60"/>
        <v>10</v>
      </c>
      <c r="F637">
        <f t="shared" ca="1" si="61"/>
        <v>650</v>
      </c>
      <c r="G637" s="3" t="b">
        <f ca="1">INDEX(dict_zul_Var_Meth[kval_active],MATCH(table_Methods[[#This Row],[ID]],dict_zul_Var_Meth[ID_Methods],0))</f>
        <v>0</v>
      </c>
      <c r="H637">
        <f t="shared" ca="1" si="62"/>
        <v>6696</v>
      </c>
      <c r="I637">
        <f t="shared" ca="1" si="63"/>
        <v>1024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8"/>
        <v>30</v>
      </c>
      <c r="D638">
        <f t="shared" ca="1" si="59"/>
        <v>3.14</v>
      </c>
      <c r="E638">
        <f t="shared" ca="1" si="60"/>
        <v>-30</v>
      </c>
      <c r="F638">
        <f t="shared" ca="1" si="61"/>
        <v>710</v>
      </c>
      <c r="G638" s="3" t="b">
        <f ca="1">INDEX(dict_zul_Var_Meth[kval_active],MATCH(table_Methods[[#This Row],[ID]],dict_zul_Var_Meth[ID_Methods],0))</f>
        <v>0</v>
      </c>
      <c r="H638">
        <f t="shared" ca="1" si="62"/>
        <v>8554</v>
      </c>
      <c r="I638">
        <f t="shared" ca="1" si="63"/>
        <v>176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8"/>
        <v>780</v>
      </c>
      <c r="D639">
        <f t="shared" ca="1" si="59"/>
        <v>8.75</v>
      </c>
      <c r="E639">
        <f t="shared" ca="1" si="60"/>
        <v>-60</v>
      </c>
      <c r="F639">
        <f t="shared" ca="1" si="61"/>
        <v>270</v>
      </c>
      <c r="G639" s="3" t="b">
        <f ca="1">INDEX(dict_zul_Var_Meth[kval_active],MATCH(table_Methods[[#This Row],[ID]],dict_zul_Var_Meth[ID_Methods],0))</f>
        <v>0</v>
      </c>
      <c r="H639">
        <f t="shared" ca="1" si="62"/>
        <v>24945</v>
      </c>
      <c r="I639">
        <f t="shared" ca="1" si="63"/>
        <v>1040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8"/>
        <v>2400</v>
      </c>
      <c r="D640">
        <f t="shared" ca="1" si="59"/>
        <v>9.48</v>
      </c>
      <c r="E640">
        <f t="shared" ca="1" si="60"/>
        <v>-90</v>
      </c>
      <c r="F640">
        <f t="shared" ca="1" si="61"/>
        <v>860</v>
      </c>
      <c r="G640" s="3" t="b">
        <f ca="1">INDEX(dict_zul_Var_Meth[kval_active],MATCH(table_Methods[[#This Row],[ID]],dict_zul_Var_Meth[ID_Methods],0))</f>
        <v>0</v>
      </c>
      <c r="H640">
        <f t="shared" ca="1" si="62"/>
        <v>28728</v>
      </c>
      <c r="I640">
        <f t="shared" ca="1" si="63"/>
        <v>96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8"/>
        <v>500</v>
      </c>
      <c r="D641">
        <f t="shared" ca="1" si="59"/>
        <v>0.42</v>
      </c>
      <c r="E641">
        <f t="shared" ca="1" si="60"/>
        <v>-10</v>
      </c>
      <c r="F641">
        <f t="shared" ca="1" si="61"/>
        <v>360</v>
      </c>
      <c r="G641" s="3" t="b">
        <f ca="1">INDEX(dict_zul_Var_Meth[kval_active],MATCH(table_Methods[[#This Row],[ID]],dict_zul_Var_Meth[ID_Methods],0))</f>
        <v>0</v>
      </c>
      <c r="H641">
        <f t="shared" ca="1" si="62"/>
        <v>12824</v>
      </c>
      <c r="I641">
        <f t="shared" ca="1" si="63"/>
        <v>13824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64">10^(RANDBETWEEN(-1,1))*RANDBETWEEN(1,100)*10</f>
        <v>490</v>
      </c>
      <c r="D642">
        <f t="shared" ca="1" si="59"/>
        <v>5.53</v>
      </c>
      <c r="E642">
        <f t="shared" ca="1" si="60"/>
        <v>-100</v>
      </c>
      <c r="F642">
        <f t="shared" ca="1" si="61"/>
        <v>860</v>
      </c>
      <c r="G642" s="3" t="b">
        <f ca="1">INDEX(dict_zul_Var_Meth[kval_active],MATCH(table_Methods[[#This Row],[ID]],dict_zul_Var_Meth[ID_Methods],0))</f>
        <v>0</v>
      </c>
      <c r="H642">
        <f t="shared" ca="1" si="62"/>
        <v>8560</v>
      </c>
      <c r="I642">
        <f t="shared" ca="1" si="63"/>
        <v>128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64"/>
        <v>800</v>
      </c>
      <c r="D643">
        <f t="shared" ref="D643:D702" ca="1" si="65">RANDBETWEEN(10,1000)/(100)</f>
        <v>9.67</v>
      </c>
      <c r="E643">
        <f t="shared" ca="1" si="60"/>
        <v>-60</v>
      </c>
      <c r="F643">
        <f t="shared" ca="1" si="61"/>
        <v>780</v>
      </c>
      <c r="G643" s="3" t="b">
        <f ca="1">INDEX(dict_zul_Var_Meth[kval_active],MATCH(table_Methods[[#This Row],[ID]],dict_zul_Var_Meth[ID_Methods],0))</f>
        <v>0</v>
      </c>
      <c r="H643">
        <f t="shared" ca="1" si="62"/>
        <v>43101</v>
      </c>
      <c r="I643">
        <f t="shared" ca="1" si="63"/>
        <v>152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64"/>
        <v>7400</v>
      </c>
      <c r="D644">
        <f t="shared" ca="1" si="65"/>
        <v>1.51</v>
      </c>
      <c r="E644">
        <f t="shared" ca="1" si="60"/>
        <v>30</v>
      </c>
      <c r="F644">
        <f t="shared" ca="1" si="61"/>
        <v>270</v>
      </c>
      <c r="G644" s="3" t="b">
        <f ca="1">INDEX(dict_zul_Var_Meth[kval_active],MATCH(table_Methods[[#This Row],[ID]],dict_zul_Var_Meth[ID_Methods],0))</f>
        <v>0</v>
      </c>
      <c r="H644">
        <f t="shared" ca="1" si="62"/>
        <v>1472</v>
      </c>
      <c r="I644">
        <f t="shared" ca="1" si="63"/>
        <v>7424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64"/>
        <v>2300</v>
      </c>
      <c r="D645">
        <f t="shared" ca="1" si="65"/>
        <v>8.7799999999999994</v>
      </c>
      <c r="E645">
        <f t="shared" ca="1" si="60"/>
        <v>30</v>
      </c>
      <c r="F645">
        <f t="shared" ca="1" si="61"/>
        <v>360</v>
      </c>
      <c r="G645" s="3" t="b">
        <f ca="1">INDEX(dict_zul_Var_Meth[kval_active],MATCH(table_Methods[[#This Row],[ID]],dict_zul_Var_Meth[ID_Methods],0))</f>
        <v>0</v>
      </c>
      <c r="H645">
        <f t="shared" ca="1" si="62"/>
        <v>19287</v>
      </c>
      <c r="I645">
        <f t="shared" ca="1" si="63"/>
        <v>112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64"/>
        <v>1</v>
      </c>
      <c r="D646">
        <f t="shared" ca="1" si="65"/>
        <v>0.39</v>
      </c>
      <c r="E646">
        <f t="shared" ca="1" si="60"/>
        <v>0</v>
      </c>
      <c r="F646">
        <f t="shared" ca="1" si="61"/>
        <v>690</v>
      </c>
      <c r="G646" s="3" t="b">
        <f ca="1">INDEX(dict_zul_Var_Meth[kval_active],MATCH(table_Methods[[#This Row],[ID]],dict_zul_Var_Meth[ID_Methods],0))</f>
        <v>0</v>
      </c>
      <c r="H646">
        <f t="shared" ca="1" si="62"/>
        <v>24</v>
      </c>
      <c r="I646">
        <f t="shared" ca="1" si="63"/>
        <v>1136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64"/>
        <v>8200</v>
      </c>
      <c r="D647">
        <f t="shared" ca="1" si="65"/>
        <v>8.33</v>
      </c>
      <c r="E647">
        <f t="shared" ca="1" si="60"/>
        <v>-60</v>
      </c>
      <c r="F647">
        <f t="shared" ca="1" si="61"/>
        <v>880</v>
      </c>
      <c r="G647" s="3" t="b">
        <f ca="1">INDEX(dict_zul_Var_Meth[kval_active],MATCH(table_Methods[[#This Row],[ID]],dict_zul_Var_Meth[ID_Methods],0))</f>
        <v>0</v>
      </c>
      <c r="H647">
        <f t="shared" ca="1" si="62"/>
        <v>5832</v>
      </c>
      <c r="I647">
        <f t="shared" ca="1" si="63"/>
        <v>10880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64"/>
        <v>7.0000000000000009</v>
      </c>
      <c r="D648">
        <f t="shared" ca="1" si="65"/>
        <v>6.59</v>
      </c>
      <c r="E648">
        <f t="shared" ca="1" si="60"/>
        <v>0</v>
      </c>
      <c r="F648">
        <f t="shared" ca="1" si="61"/>
        <v>960</v>
      </c>
      <c r="G648" s="3" t="b">
        <f ca="1">INDEX(dict_zul_Var_Meth[kval_active],MATCH(table_Methods[[#This Row],[ID]],dict_zul_Var_Meth[ID_Methods],0))</f>
        <v>0</v>
      </c>
      <c r="H648">
        <f t="shared" ca="1" si="62"/>
        <v>6042</v>
      </c>
      <c r="I648">
        <f t="shared" ca="1" si="63"/>
        <v>186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64"/>
        <v>880</v>
      </c>
      <c r="D649">
        <f t="shared" ca="1" si="65"/>
        <v>3.93</v>
      </c>
      <c r="E649">
        <f t="shared" ca="1" si="60"/>
        <v>-10</v>
      </c>
      <c r="F649">
        <f t="shared" ca="1" si="61"/>
        <v>630</v>
      </c>
      <c r="G649" s="3" t="b">
        <f ca="1">INDEX(dict_zul_Var_Meth[kval_active],MATCH(table_Methods[[#This Row],[ID]],dict_zul_Var_Meth[ID_Methods],0))</f>
        <v>0</v>
      </c>
      <c r="H649">
        <f t="shared" ca="1" si="62"/>
        <v>17109</v>
      </c>
      <c r="I649">
        <f t="shared" ca="1" si="63"/>
        <v>784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64"/>
        <v>200</v>
      </c>
      <c r="D650">
        <f t="shared" ca="1" si="65"/>
        <v>2.73</v>
      </c>
      <c r="E650">
        <f t="shared" ca="1" si="60"/>
        <v>-60</v>
      </c>
      <c r="F650">
        <f t="shared" ca="1" si="61"/>
        <v>710</v>
      </c>
      <c r="G650" s="3" t="b">
        <f ca="1">INDEX(dict_zul_Var_Meth[kval_active],MATCH(table_Methods[[#This Row],[ID]],dict_zul_Var_Meth[ID_Methods],0))</f>
        <v>0</v>
      </c>
      <c r="H650">
        <f t="shared" ca="1" si="62"/>
        <v>2784</v>
      </c>
      <c r="I650">
        <f t="shared" ca="1" si="63"/>
        <v>23808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64"/>
        <v>4</v>
      </c>
      <c r="D651">
        <f t="shared" ca="1" si="65"/>
        <v>2.06</v>
      </c>
      <c r="E651">
        <f t="shared" ca="1" si="60"/>
        <v>-10</v>
      </c>
      <c r="F651">
        <f t="shared" ca="1" si="61"/>
        <v>390</v>
      </c>
      <c r="G651" s="3" t="b">
        <f ca="1">INDEX(dict_zul_Var_Meth[kval_active],MATCH(table_Methods[[#This Row],[ID]],dict_zul_Var_Meth[ID_Methods],0))</f>
        <v>0</v>
      </c>
      <c r="H651">
        <f t="shared" ca="1" si="62"/>
        <v>3451</v>
      </c>
      <c r="I651">
        <f t="shared" ca="1" si="63"/>
        <v>768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64"/>
        <v>340</v>
      </c>
      <c r="D652">
        <f t="shared" ca="1" si="65"/>
        <v>5.33</v>
      </c>
      <c r="E652">
        <f t="shared" ca="1" si="60"/>
        <v>10</v>
      </c>
      <c r="F652">
        <f t="shared" ca="1" si="61"/>
        <v>520</v>
      </c>
      <c r="G652" s="3" t="b">
        <f ca="1">INDEX(dict_zul_Var_Meth[kval_active],MATCH(table_Methods[[#This Row],[ID]],dict_zul_Var_Meth[ID_Methods],0))</f>
        <v>0</v>
      </c>
      <c r="H652">
        <f t="shared" ca="1" si="62"/>
        <v>8774</v>
      </c>
      <c r="I652">
        <f t="shared" ca="1" si="63"/>
        <v>64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64"/>
        <v>470</v>
      </c>
      <c r="D653">
        <f t="shared" ca="1" si="65"/>
        <v>8.11</v>
      </c>
      <c r="E653">
        <f t="shared" ca="1" si="60"/>
        <v>-20</v>
      </c>
      <c r="F653">
        <f t="shared" ca="1" si="61"/>
        <v>410</v>
      </c>
      <c r="G653" s="3" t="b">
        <f ca="1">INDEX(dict_zul_Var_Meth[kval_active],MATCH(table_Methods[[#This Row],[ID]],dict_zul_Var_Meth[ID_Methods],0))</f>
        <v>0</v>
      </c>
      <c r="H653">
        <f t="shared" ca="1" si="62"/>
        <v>3223</v>
      </c>
      <c r="I653">
        <f t="shared" ca="1" si="63"/>
        <v>2880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64"/>
        <v>920</v>
      </c>
      <c r="D654">
        <f t="shared" ca="1" si="65"/>
        <v>8.18</v>
      </c>
      <c r="E654">
        <f t="shared" ca="1" si="60"/>
        <v>-10</v>
      </c>
      <c r="F654">
        <f t="shared" ca="1" si="61"/>
        <v>620</v>
      </c>
      <c r="G654" s="3" t="b">
        <f ca="1">INDEX(dict_zul_Var_Meth[kval_active],MATCH(table_Methods[[#This Row],[ID]],dict_zul_Var_Meth[ID_Methods],0))</f>
        <v>0</v>
      </c>
      <c r="H654">
        <f t="shared" ca="1" si="62"/>
        <v>2412</v>
      </c>
      <c r="I654">
        <f t="shared" ca="1" si="63"/>
        <v>25600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64"/>
        <v>5700</v>
      </c>
      <c r="D655">
        <f t="shared" ca="1" si="65"/>
        <v>5.4</v>
      </c>
      <c r="E655">
        <f t="shared" ca="1" si="60"/>
        <v>-40</v>
      </c>
      <c r="F655">
        <f t="shared" ca="1" si="61"/>
        <v>870</v>
      </c>
      <c r="G655" s="3" t="b">
        <f ca="1">INDEX(dict_zul_Var_Meth[kval_active],MATCH(table_Methods[[#This Row],[ID]],dict_zul_Var_Meth[ID_Methods],0))</f>
        <v>0</v>
      </c>
      <c r="H655">
        <f t="shared" ca="1" si="62"/>
        <v>37312</v>
      </c>
      <c r="I655">
        <f t="shared" ca="1" si="63"/>
        <v>196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64"/>
        <v>61.000000000000007</v>
      </c>
      <c r="D656">
        <f t="shared" ca="1" si="65"/>
        <v>4.3</v>
      </c>
      <c r="E656">
        <f t="shared" ca="1" si="60"/>
        <v>-50</v>
      </c>
      <c r="F656">
        <f t="shared" ca="1" si="61"/>
        <v>300</v>
      </c>
      <c r="G656" s="3" t="b">
        <f ca="1">INDEX(dict_zul_Var_Meth[kval_active],MATCH(table_Methods[[#This Row],[ID]],dict_zul_Var_Meth[ID_Methods],0))</f>
        <v>0</v>
      </c>
      <c r="H656">
        <f t="shared" ca="1" si="62"/>
        <v>1332</v>
      </c>
      <c r="I656">
        <f t="shared" ca="1" si="63"/>
        <v>43008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64"/>
        <v>2100</v>
      </c>
      <c r="D657">
        <f t="shared" ca="1" si="65"/>
        <v>7.36</v>
      </c>
      <c r="E657">
        <f t="shared" ca="1" si="60"/>
        <v>-30</v>
      </c>
      <c r="F657">
        <f t="shared" ca="1" si="61"/>
        <v>930</v>
      </c>
      <c r="G657" s="3" t="b">
        <f ca="1">INDEX(dict_zul_Var_Meth[kval_active],MATCH(table_Methods[[#This Row],[ID]],dict_zul_Var_Meth[ID_Methods],0))</f>
        <v>0</v>
      </c>
      <c r="H657">
        <f t="shared" ca="1" si="62"/>
        <v>26010</v>
      </c>
      <c r="I657">
        <f t="shared" ca="1" si="63"/>
        <v>292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64"/>
        <v>990</v>
      </c>
      <c r="D658">
        <f t="shared" ca="1" si="65"/>
        <v>9.8000000000000007</v>
      </c>
      <c r="E658">
        <f t="shared" ca="1" si="60"/>
        <v>-30</v>
      </c>
      <c r="F658">
        <f t="shared" ca="1" si="61"/>
        <v>750</v>
      </c>
      <c r="G658" s="3" t="b">
        <f ca="1">INDEX(dict_zul_Var_Meth[kval_active],MATCH(table_Methods[[#This Row],[ID]],dict_zul_Var_Meth[ID_Methods],0))</f>
        <v>0</v>
      </c>
      <c r="H658">
        <f t="shared" ca="1" si="62"/>
        <v>12348</v>
      </c>
      <c r="I658">
        <f t="shared" ca="1" si="63"/>
        <v>56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64"/>
        <v>9900</v>
      </c>
      <c r="D659">
        <f t="shared" ca="1" si="65"/>
        <v>7.78</v>
      </c>
      <c r="E659">
        <f t="shared" ca="1" si="60"/>
        <v>-40</v>
      </c>
      <c r="F659">
        <f t="shared" ca="1" si="61"/>
        <v>820</v>
      </c>
      <c r="G659" s="3" t="b">
        <f ca="1">INDEX(dict_zul_Var_Meth[kval_active],MATCH(table_Methods[[#This Row],[ID]],dict_zul_Var_Meth[ID_Methods],0))</f>
        <v>0</v>
      </c>
      <c r="H659">
        <f t="shared" ca="1" si="62"/>
        <v>35703</v>
      </c>
      <c r="I659">
        <f t="shared" ca="1" si="63"/>
        <v>960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64"/>
        <v>3500</v>
      </c>
      <c r="D660">
        <f t="shared" ca="1" si="65"/>
        <v>2.62</v>
      </c>
      <c r="E660">
        <f t="shared" ca="1" si="60"/>
        <v>0</v>
      </c>
      <c r="F660">
        <f t="shared" ca="1" si="61"/>
        <v>720</v>
      </c>
      <c r="G660" s="3" t="b">
        <f ca="1">INDEX(dict_zul_Var_Meth[kval_active],MATCH(table_Methods[[#This Row],[ID]],dict_zul_Var_Meth[ID_Methods],0))</f>
        <v>0</v>
      </c>
      <c r="H660">
        <f t="shared" ca="1" si="62"/>
        <v>3059</v>
      </c>
      <c r="I660">
        <f t="shared" ca="1" si="63"/>
        <v>4416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64"/>
        <v>5600</v>
      </c>
      <c r="D661">
        <f t="shared" ca="1" si="65"/>
        <v>7.41</v>
      </c>
      <c r="E661">
        <f t="shared" ca="1" si="60"/>
        <v>30</v>
      </c>
      <c r="F661">
        <f t="shared" ca="1" si="61"/>
        <v>610</v>
      </c>
      <c r="G661" s="3" t="b">
        <f ca="1">INDEX(dict_zul_Var_Meth[kval_active],MATCH(table_Methods[[#This Row],[ID]],dict_zul_Var_Meth[ID_Methods],0))</f>
        <v>0</v>
      </c>
      <c r="H661">
        <f t="shared" ca="1" si="62"/>
        <v>2176</v>
      </c>
      <c r="I661">
        <f t="shared" ca="1" si="63"/>
        <v>8192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64"/>
        <v>3600</v>
      </c>
      <c r="D662">
        <f t="shared" ca="1" si="65"/>
        <v>6.04</v>
      </c>
      <c r="E662">
        <f t="shared" ca="1" si="60"/>
        <v>-40</v>
      </c>
      <c r="F662">
        <f t="shared" ca="1" si="61"/>
        <v>420</v>
      </c>
      <c r="G662" s="3" t="b">
        <f ca="1">INDEX(dict_zul_Var_Meth[kval_active],MATCH(table_Methods[[#This Row],[ID]],dict_zul_Var_Meth[ID_Methods],0))</f>
        <v>0</v>
      </c>
      <c r="H662">
        <f t="shared" ca="1" si="62"/>
        <v>5202</v>
      </c>
      <c r="I662">
        <f t="shared" ca="1" si="63"/>
        <v>244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64"/>
        <v>190</v>
      </c>
      <c r="D663">
        <f t="shared" ca="1" si="65"/>
        <v>0.46</v>
      </c>
      <c r="E663">
        <f t="shared" ca="1" si="60"/>
        <v>-20</v>
      </c>
      <c r="F663">
        <f t="shared" ca="1" si="61"/>
        <v>70</v>
      </c>
      <c r="G663" s="3" t="b">
        <f ca="1">INDEX(dict_zul_Var_Meth[kval_active],MATCH(table_Methods[[#This Row],[ID]],dict_zul_Var_Meth[ID_Methods],0))</f>
        <v>0</v>
      </c>
      <c r="H663">
        <f t="shared" ca="1" si="62"/>
        <v>22057</v>
      </c>
      <c r="I663">
        <f t="shared" ca="1" si="63"/>
        <v>12288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64"/>
        <v>740</v>
      </c>
      <c r="D664">
        <f t="shared" ca="1" si="65"/>
        <v>0.95</v>
      </c>
      <c r="E664">
        <f t="shared" ca="1" si="60"/>
        <v>30</v>
      </c>
      <c r="F664">
        <f t="shared" ca="1" si="61"/>
        <v>360</v>
      </c>
      <c r="G664" s="3" t="b">
        <f ca="1">INDEX(dict_zul_Var_Meth[kval_active],MATCH(table_Methods[[#This Row],[ID]],dict_zul_Var_Meth[ID_Methods],0))</f>
        <v>0</v>
      </c>
      <c r="H664">
        <f t="shared" ca="1" si="62"/>
        <v>35280</v>
      </c>
      <c r="I664">
        <f t="shared" ca="1" si="63"/>
        <v>4736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64"/>
        <v>5800</v>
      </c>
      <c r="D665">
        <f t="shared" ca="1" si="65"/>
        <v>4.49</v>
      </c>
      <c r="E665">
        <f t="shared" ca="1" si="60"/>
        <v>-70</v>
      </c>
      <c r="F665">
        <f t="shared" ca="1" si="61"/>
        <v>530</v>
      </c>
      <c r="G665" s="3" t="b">
        <f ca="1">INDEX(dict_zul_Var_Meth[kval_active],MATCH(table_Methods[[#This Row],[ID]],dict_zul_Var_Meth[ID_Methods],0))</f>
        <v>0</v>
      </c>
      <c r="H665">
        <f t="shared" ca="1" si="62"/>
        <v>9148</v>
      </c>
      <c r="I665">
        <f t="shared" ca="1" si="63"/>
        <v>138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64"/>
        <v>700</v>
      </c>
      <c r="D666">
        <f t="shared" ca="1" si="65"/>
        <v>5.62</v>
      </c>
      <c r="E666">
        <f t="shared" ca="1" si="60"/>
        <v>20</v>
      </c>
      <c r="F666">
        <f t="shared" ca="1" si="61"/>
        <v>340</v>
      </c>
      <c r="G666" s="3" t="b">
        <f ca="1">INDEX(dict_zul_Var_Meth[kval_active],MATCH(table_Methods[[#This Row],[ID]],dict_zul_Var_Meth[ID_Methods],0))</f>
        <v>0</v>
      </c>
      <c r="H666">
        <f t="shared" ca="1" si="62"/>
        <v>14460</v>
      </c>
      <c r="I666">
        <f t="shared" ca="1" si="63"/>
        <v>26624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64"/>
        <v>6400</v>
      </c>
      <c r="D667">
        <f t="shared" ca="1" si="65"/>
        <v>0.18</v>
      </c>
      <c r="E667">
        <f t="shared" ca="1" si="60"/>
        <v>-40</v>
      </c>
      <c r="F667">
        <f t="shared" ca="1" si="61"/>
        <v>140</v>
      </c>
      <c r="G667" s="3" t="b">
        <f ca="1">INDEX(dict_zul_Var_Meth[kval_active],MATCH(table_Methods[[#This Row],[ID]],dict_zul_Var_Meth[ID_Methods],0))</f>
        <v>0</v>
      </c>
      <c r="H667">
        <f t="shared" ca="1" si="62"/>
        <v>25914</v>
      </c>
      <c r="I667">
        <f t="shared" ca="1" si="63"/>
        <v>552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64"/>
        <v>5300</v>
      </c>
      <c r="D668">
        <f t="shared" ca="1" si="65"/>
        <v>6.92</v>
      </c>
      <c r="E668">
        <f t="shared" ca="1" si="60"/>
        <v>-100</v>
      </c>
      <c r="F668">
        <f t="shared" ca="1" si="61"/>
        <v>610</v>
      </c>
      <c r="G668" s="3" t="b">
        <f ca="1">INDEX(dict_zul_Var_Meth[kval_active],MATCH(table_Methods[[#This Row],[ID]],dict_zul_Var_Meth[ID_Methods],0))</f>
        <v>0</v>
      </c>
      <c r="H668">
        <f t="shared" ca="1" si="62"/>
        <v>1845</v>
      </c>
      <c r="I668">
        <f t="shared" ca="1" si="63"/>
        <v>800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64"/>
        <v>69</v>
      </c>
      <c r="D669">
        <f t="shared" ca="1" si="65"/>
        <v>9.5299999999999994</v>
      </c>
      <c r="E669">
        <f t="shared" ca="1" si="60"/>
        <v>-10</v>
      </c>
      <c r="F669">
        <f t="shared" ca="1" si="61"/>
        <v>330</v>
      </c>
      <c r="G669" s="3" t="b">
        <f ca="1">INDEX(dict_zul_Var_Meth[kval_active],MATCH(table_Methods[[#This Row],[ID]],dict_zul_Var_Meth[ID_Methods],0))</f>
        <v>0</v>
      </c>
      <c r="H669">
        <f t="shared" ca="1" si="62"/>
        <v>3682</v>
      </c>
      <c r="I669">
        <f t="shared" ca="1" si="63"/>
        <v>288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64"/>
        <v>3400</v>
      </c>
      <c r="D670">
        <f t="shared" ca="1" si="65"/>
        <v>7.2</v>
      </c>
      <c r="E670">
        <f t="shared" ca="1" si="60"/>
        <v>20</v>
      </c>
      <c r="F670">
        <f t="shared" ca="1" si="61"/>
        <v>710</v>
      </c>
      <c r="G670" s="3" t="b">
        <f ca="1">INDEX(dict_zul_Var_Meth[kval_active],MATCH(table_Methods[[#This Row],[ID]],dict_zul_Var_Meth[ID_Methods],0))</f>
        <v>0</v>
      </c>
      <c r="H670">
        <f t="shared" ca="1" si="62"/>
        <v>293</v>
      </c>
      <c r="I670">
        <f t="shared" ca="1" si="63"/>
        <v>30720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64"/>
        <v>3700</v>
      </c>
      <c r="D671">
        <f t="shared" ca="1" si="65"/>
        <v>2</v>
      </c>
      <c r="E671">
        <f t="shared" ca="1" si="60"/>
        <v>20</v>
      </c>
      <c r="F671">
        <f t="shared" ca="1" si="61"/>
        <v>290</v>
      </c>
      <c r="G671" s="3" t="b">
        <f ca="1">INDEX(dict_zul_Var_Meth[kval_active],MATCH(table_Methods[[#This Row],[ID]],dict_zul_Var_Meth[ID_Methods],0))</f>
        <v>0</v>
      </c>
      <c r="H671">
        <f t="shared" ca="1" si="62"/>
        <v>23670</v>
      </c>
      <c r="I671">
        <f t="shared" ca="1" si="63"/>
        <v>576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64"/>
        <v>810</v>
      </c>
      <c r="D672">
        <f t="shared" ca="1" si="65"/>
        <v>4.7699999999999996</v>
      </c>
      <c r="E672">
        <f t="shared" ca="1" si="60"/>
        <v>-10</v>
      </c>
      <c r="F672">
        <f t="shared" ca="1" si="61"/>
        <v>280</v>
      </c>
      <c r="G672" s="3" t="b">
        <f ca="1">INDEX(dict_zul_Var_Meth[kval_active],MATCH(table_Methods[[#This Row],[ID]],dict_zul_Var_Meth[ID_Methods],0))</f>
        <v>0</v>
      </c>
      <c r="H672">
        <f t="shared" ca="1" si="62"/>
        <v>12616</v>
      </c>
      <c r="I672">
        <f t="shared" ca="1" si="63"/>
        <v>52224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64"/>
        <v>730</v>
      </c>
      <c r="D673">
        <f t="shared" ca="1" si="65"/>
        <v>5.33</v>
      </c>
      <c r="E673">
        <f t="shared" ca="1" si="60"/>
        <v>-40</v>
      </c>
      <c r="F673">
        <f t="shared" ca="1" si="61"/>
        <v>790</v>
      </c>
      <c r="G673" s="3" t="b">
        <f ca="1">INDEX(dict_zul_Var_Meth[kval_active],MATCH(table_Methods[[#This Row],[ID]],dict_zul_Var_Meth[ID_Methods],0))</f>
        <v>0</v>
      </c>
      <c r="H673">
        <f t="shared" ca="1" si="62"/>
        <v>7624</v>
      </c>
      <c r="I673">
        <f t="shared" ca="1" si="63"/>
        <v>1984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64"/>
        <v>8600</v>
      </c>
      <c r="D674">
        <f t="shared" ca="1" si="65"/>
        <v>1.8</v>
      </c>
      <c r="E674">
        <f t="shared" ca="1" si="60"/>
        <v>-20</v>
      </c>
      <c r="F674">
        <f t="shared" ca="1" si="61"/>
        <v>600</v>
      </c>
      <c r="G674" s="3" t="b">
        <f ca="1">INDEX(dict_zul_Var_Meth[kval_active],MATCH(table_Methods[[#This Row],[ID]],dict_zul_Var_Meth[ID_Methods],0))</f>
        <v>0</v>
      </c>
      <c r="H674">
        <f t="shared" ca="1" si="62"/>
        <v>29400</v>
      </c>
      <c r="I674">
        <f t="shared" ca="1" si="63"/>
        <v>10624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64"/>
        <v>67</v>
      </c>
      <c r="D675">
        <f t="shared" ca="1" si="65"/>
        <v>6.61</v>
      </c>
      <c r="E675">
        <f t="shared" ca="1" si="60"/>
        <v>-30</v>
      </c>
      <c r="F675">
        <f t="shared" ca="1" si="61"/>
        <v>590</v>
      </c>
      <c r="G675" s="3" t="b">
        <f ca="1">INDEX(dict_zul_Var_Meth[kval_active],MATCH(table_Methods[[#This Row],[ID]],dict_zul_Var_Meth[ID_Methods],0))</f>
        <v>0</v>
      </c>
      <c r="H675">
        <f t="shared" ca="1" si="62"/>
        <v>324</v>
      </c>
      <c r="I675">
        <f t="shared" ca="1" si="63"/>
        <v>24064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64"/>
        <v>11</v>
      </c>
      <c r="D676">
        <f t="shared" ca="1" si="65"/>
        <v>3.44</v>
      </c>
      <c r="E676">
        <f t="shared" ref="E676:E702" ca="1" si="66">RANDBETWEEN(-10,3)*10</f>
        <v>-90</v>
      </c>
      <c r="F676">
        <f t="shared" ref="F676:F702" ca="1" si="67">RANDBETWEEN(2,100)*10</f>
        <v>470</v>
      </c>
      <c r="G676" s="3" t="b">
        <f ca="1">INDEX(dict_zul_Var_Meth[kval_active],MATCH(table_Methods[[#This Row],[ID]],dict_zul_Var_Meth[ID_Methods],0))</f>
        <v>1</v>
      </c>
      <c r="H676">
        <f t="shared" ref="H676:H702" ca="1" si="68">RANDBETWEEN(1,10)*RANDBETWEEN(1,5000)</f>
        <v>14112</v>
      </c>
      <c r="I676">
        <f t="shared" ref="I676:I702" ca="1" si="69">2^RANDBETWEEN(1,10)*RANDBETWEEN(1,100)</f>
        <v>368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64"/>
        <v>900</v>
      </c>
      <c r="D677">
        <f t="shared" ca="1" si="65"/>
        <v>2.19</v>
      </c>
      <c r="E677">
        <f t="shared" ca="1" si="66"/>
        <v>-60</v>
      </c>
      <c r="F677">
        <f t="shared" ca="1" si="67"/>
        <v>940</v>
      </c>
      <c r="G677" s="3" t="b">
        <f ca="1">INDEX(dict_zul_Var_Meth[kval_active],MATCH(table_Methods[[#This Row],[ID]],dict_zul_Var_Meth[ID_Methods],0))</f>
        <v>0</v>
      </c>
      <c r="H677">
        <f t="shared" ca="1" si="68"/>
        <v>5862</v>
      </c>
      <c r="I677">
        <f t="shared" ca="1" si="69"/>
        <v>2304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64"/>
        <v>2300</v>
      </c>
      <c r="D678">
        <f t="shared" ca="1" si="65"/>
        <v>4.2699999999999996</v>
      </c>
      <c r="E678">
        <f t="shared" ca="1" si="66"/>
        <v>-100</v>
      </c>
      <c r="F678">
        <f t="shared" ca="1" si="67"/>
        <v>130</v>
      </c>
      <c r="G678" s="3" t="b">
        <f ca="1">INDEX(dict_zul_Var_Meth[kval_active],MATCH(table_Methods[[#This Row],[ID]],dict_zul_Var_Meth[ID_Methods],0))</f>
        <v>0</v>
      </c>
      <c r="H678">
        <f t="shared" ca="1" si="68"/>
        <v>25806</v>
      </c>
      <c r="I678">
        <f t="shared" ca="1" si="69"/>
        <v>1152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64"/>
        <v>59</v>
      </c>
      <c r="D679">
        <f t="shared" ca="1" si="65"/>
        <v>6.52</v>
      </c>
      <c r="E679">
        <f t="shared" ca="1" si="66"/>
        <v>30</v>
      </c>
      <c r="F679">
        <f t="shared" ca="1" si="67"/>
        <v>200</v>
      </c>
      <c r="G679" s="3" t="b">
        <f ca="1">INDEX(dict_zul_Var_Meth[kval_active],MATCH(table_Methods[[#This Row],[ID]],dict_zul_Var_Meth[ID_Methods],0))</f>
        <v>0</v>
      </c>
      <c r="H679">
        <f t="shared" ca="1" si="68"/>
        <v>20180</v>
      </c>
      <c r="I679">
        <f t="shared" ca="1" si="69"/>
        <v>2304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64"/>
        <v>4500</v>
      </c>
      <c r="D680">
        <f t="shared" ca="1" si="65"/>
        <v>1.31</v>
      </c>
      <c r="E680">
        <f t="shared" ca="1" si="66"/>
        <v>-40</v>
      </c>
      <c r="F680">
        <f t="shared" ca="1" si="67"/>
        <v>490</v>
      </c>
      <c r="G680" s="3" t="b">
        <f ca="1">INDEX(dict_zul_Var_Meth[kval_active],MATCH(table_Methods[[#This Row],[ID]],dict_zul_Var_Meth[ID_Methods],0))</f>
        <v>0</v>
      </c>
      <c r="H680">
        <f t="shared" ca="1" si="68"/>
        <v>17765</v>
      </c>
      <c r="I680">
        <f t="shared" ca="1" si="69"/>
        <v>688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64"/>
        <v>210</v>
      </c>
      <c r="D681">
        <f t="shared" ca="1" si="65"/>
        <v>6.96</v>
      </c>
      <c r="E681">
        <f t="shared" ca="1" si="66"/>
        <v>-10</v>
      </c>
      <c r="F681">
        <f t="shared" ca="1" si="67"/>
        <v>260</v>
      </c>
      <c r="G681" s="3" t="b">
        <f ca="1">INDEX(dict_zul_Var_Meth[kval_active],MATCH(table_Methods[[#This Row],[ID]],dict_zul_Var_Meth[ID_Methods],0))</f>
        <v>0</v>
      </c>
      <c r="H681">
        <f t="shared" ca="1" si="68"/>
        <v>9590</v>
      </c>
      <c r="I681">
        <f t="shared" ca="1" si="69"/>
        <v>704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64"/>
        <v>84</v>
      </c>
      <c r="D682">
        <f t="shared" ca="1" si="65"/>
        <v>9.14</v>
      </c>
      <c r="E682">
        <f t="shared" ca="1" si="66"/>
        <v>30</v>
      </c>
      <c r="F682">
        <f t="shared" ca="1" si="67"/>
        <v>950</v>
      </c>
      <c r="G682" s="3" t="b">
        <f ca="1">INDEX(dict_zul_Var_Meth[kval_active],MATCH(table_Methods[[#This Row],[ID]],dict_zul_Var_Meth[ID_Methods],0))</f>
        <v>0</v>
      </c>
      <c r="H682">
        <f t="shared" ca="1" si="68"/>
        <v>13920</v>
      </c>
      <c r="I682">
        <f t="shared" ca="1" si="69"/>
        <v>448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64"/>
        <v>470</v>
      </c>
      <c r="D683">
        <f t="shared" ca="1" si="65"/>
        <v>8.86</v>
      </c>
      <c r="E683">
        <f t="shared" ca="1" si="66"/>
        <v>-70</v>
      </c>
      <c r="F683">
        <f t="shared" ca="1" si="67"/>
        <v>400</v>
      </c>
      <c r="G683" s="3" t="b">
        <f ca="1">INDEX(dict_zul_Var_Meth[kval_active],MATCH(table_Methods[[#This Row],[ID]],dict_zul_Var_Meth[ID_Methods],0))</f>
        <v>0</v>
      </c>
      <c r="H683">
        <f t="shared" ca="1" si="68"/>
        <v>10668</v>
      </c>
      <c r="I683">
        <f t="shared" ca="1" si="69"/>
        <v>3040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64"/>
        <v>160</v>
      </c>
      <c r="D684">
        <f t="shared" ca="1" si="65"/>
        <v>9.6300000000000008</v>
      </c>
      <c r="E684">
        <f t="shared" ca="1" si="66"/>
        <v>-20</v>
      </c>
      <c r="F684">
        <f t="shared" ca="1" si="67"/>
        <v>290</v>
      </c>
      <c r="G684" s="3" t="b">
        <f ca="1">INDEX(dict_zul_Var_Meth[kval_active],MATCH(table_Methods[[#This Row],[ID]],dict_zul_Var_Meth[ID_Methods],0))</f>
        <v>0</v>
      </c>
      <c r="H684">
        <f t="shared" ca="1" si="68"/>
        <v>36720</v>
      </c>
      <c r="I684">
        <f t="shared" ca="1" si="69"/>
        <v>3200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64"/>
        <v>60</v>
      </c>
      <c r="D685">
        <f t="shared" ca="1" si="65"/>
        <v>4.45</v>
      </c>
      <c r="E685">
        <f t="shared" ca="1" si="66"/>
        <v>10</v>
      </c>
      <c r="F685">
        <f t="shared" ca="1" si="67"/>
        <v>240</v>
      </c>
      <c r="G685" s="3" t="b">
        <f ca="1">INDEX(dict_zul_Var_Meth[kval_active],MATCH(table_Methods[[#This Row],[ID]],dict_zul_Var_Meth[ID_Methods],0))</f>
        <v>1</v>
      </c>
      <c r="H685">
        <f t="shared" ca="1" si="68"/>
        <v>31977</v>
      </c>
      <c r="I685">
        <f t="shared" ca="1" si="69"/>
        <v>2048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64"/>
        <v>7400</v>
      </c>
      <c r="D686">
        <f t="shared" ca="1" si="65"/>
        <v>4.3899999999999997</v>
      </c>
      <c r="E686">
        <f t="shared" ca="1" si="66"/>
        <v>-50</v>
      </c>
      <c r="F686">
        <f t="shared" ca="1" si="67"/>
        <v>310</v>
      </c>
      <c r="G686" s="3" t="b">
        <f ca="1">INDEX(dict_zul_Var_Meth[kval_active],MATCH(table_Methods[[#This Row],[ID]],dict_zul_Var_Meth[ID_Methods],0))</f>
        <v>0</v>
      </c>
      <c r="H686">
        <f t="shared" ca="1" si="68"/>
        <v>4719</v>
      </c>
      <c r="I686">
        <f t="shared" ca="1" si="69"/>
        <v>1024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64"/>
        <v>1700</v>
      </c>
      <c r="D687">
        <f t="shared" ca="1" si="65"/>
        <v>5.2</v>
      </c>
      <c r="E687">
        <f t="shared" ca="1" si="66"/>
        <v>-50</v>
      </c>
      <c r="F687">
        <f t="shared" ca="1" si="67"/>
        <v>910</v>
      </c>
      <c r="G687" s="3" t="b">
        <f ca="1">INDEX(dict_zul_Var_Meth[kval_active],MATCH(table_Methods[[#This Row],[ID]],dict_zul_Var_Meth[ID_Methods],0))</f>
        <v>0</v>
      </c>
      <c r="H687">
        <f t="shared" ca="1" si="68"/>
        <v>8435</v>
      </c>
      <c r="I687">
        <f t="shared" ca="1" si="69"/>
        <v>1008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64"/>
        <v>89</v>
      </c>
      <c r="D688">
        <f t="shared" ca="1" si="65"/>
        <v>8.76</v>
      </c>
      <c r="E688">
        <f t="shared" ca="1" si="66"/>
        <v>-20</v>
      </c>
      <c r="F688">
        <f t="shared" ca="1" si="67"/>
        <v>90</v>
      </c>
      <c r="G688" s="3" t="b">
        <f ca="1">INDEX(dict_zul_Var_Meth[kval_active],MATCH(table_Methods[[#This Row],[ID]],dict_zul_Var_Meth[ID_Methods],0))</f>
        <v>0</v>
      </c>
      <c r="H688">
        <f t="shared" ca="1" si="68"/>
        <v>17768</v>
      </c>
      <c r="I688">
        <f t="shared" ca="1" si="69"/>
        <v>560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64"/>
        <v>2600</v>
      </c>
      <c r="D689">
        <f t="shared" ca="1" si="65"/>
        <v>3.97</v>
      </c>
      <c r="E689">
        <f t="shared" ca="1" si="66"/>
        <v>-70</v>
      </c>
      <c r="F689">
        <f t="shared" ca="1" si="67"/>
        <v>760</v>
      </c>
      <c r="G689" s="3" t="b">
        <f ca="1">INDEX(dict_zul_Var_Meth[kval_active],MATCH(table_Methods[[#This Row],[ID]],dict_zul_Var_Meth[ID_Methods],0))</f>
        <v>0</v>
      </c>
      <c r="H689">
        <f t="shared" ca="1" si="68"/>
        <v>15957</v>
      </c>
      <c r="I689">
        <f t="shared" ca="1" si="69"/>
        <v>1376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64"/>
        <v>81</v>
      </c>
      <c r="D690">
        <f t="shared" ca="1" si="65"/>
        <v>8.7100000000000009</v>
      </c>
      <c r="E690">
        <f t="shared" ca="1" si="66"/>
        <v>-50</v>
      </c>
      <c r="F690">
        <f t="shared" ca="1" si="67"/>
        <v>710</v>
      </c>
      <c r="G690" s="3" t="b">
        <f ca="1">INDEX(dict_zul_Var_Meth[kval_active],MATCH(table_Methods[[#This Row],[ID]],dict_zul_Var_Meth[ID_Methods],0))</f>
        <v>0</v>
      </c>
      <c r="H690">
        <f t="shared" ca="1" si="68"/>
        <v>4374</v>
      </c>
      <c r="I690">
        <f t="shared" ca="1" si="69"/>
        <v>108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64"/>
        <v>92.000000000000014</v>
      </c>
      <c r="D691">
        <f t="shared" ca="1" si="65"/>
        <v>1.03</v>
      </c>
      <c r="E691">
        <f t="shared" ca="1" si="66"/>
        <v>-30</v>
      </c>
      <c r="F691">
        <f t="shared" ca="1" si="67"/>
        <v>690</v>
      </c>
      <c r="G691" s="3" t="b">
        <f ca="1">INDEX(dict_zul_Var_Meth[kval_active],MATCH(table_Methods[[#This Row],[ID]],dict_zul_Var_Meth[ID_Methods],0))</f>
        <v>0</v>
      </c>
      <c r="H691">
        <f t="shared" ca="1" si="68"/>
        <v>384</v>
      </c>
      <c r="I691">
        <f t="shared" ca="1" si="69"/>
        <v>21504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64"/>
        <v>260</v>
      </c>
      <c r="D692">
        <f t="shared" ca="1" si="65"/>
        <v>2.89</v>
      </c>
      <c r="E692">
        <f t="shared" ca="1" si="66"/>
        <v>-50</v>
      </c>
      <c r="F692">
        <f t="shared" ca="1" si="67"/>
        <v>410</v>
      </c>
      <c r="G692" s="3" t="b">
        <f ca="1">INDEX(dict_zul_Var_Meth[kval_active],MATCH(table_Methods[[#This Row],[ID]],dict_zul_Var_Meth[ID_Methods],0))</f>
        <v>0</v>
      </c>
      <c r="H692">
        <f t="shared" ca="1" si="68"/>
        <v>25440</v>
      </c>
      <c r="I692">
        <f t="shared" ca="1" si="69"/>
        <v>128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64"/>
        <v>300</v>
      </c>
      <c r="D693">
        <f t="shared" ca="1" si="65"/>
        <v>3.57</v>
      </c>
      <c r="E693">
        <f t="shared" ca="1" si="66"/>
        <v>-10</v>
      </c>
      <c r="F693">
        <f t="shared" ca="1" si="67"/>
        <v>40</v>
      </c>
      <c r="G693" s="3" t="b">
        <f ca="1">INDEX(dict_zul_Var_Meth[kval_active],MATCH(table_Methods[[#This Row],[ID]],dict_zul_Var_Meth[ID_Methods],0))</f>
        <v>0</v>
      </c>
      <c r="H693">
        <f t="shared" ca="1" si="68"/>
        <v>3896</v>
      </c>
      <c r="I693">
        <f t="shared" ca="1" si="69"/>
        <v>188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64"/>
        <v>570</v>
      </c>
      <c r="D694">
        <f t="shared" ca="1" si="65"/>
        <v>3.78</v>
      </c>
      <c r="E694">
        <f t="shared" ca="1" si="66"/>
        <v>0</v>
      </c>
      <c r="F694">
        <f t="shared" ca="1" si="67"/>
        <v>620</v>
      </c>
      <c r="G694" s="3" t="b">
        <f ca="1">INDEX(dict_zul_Var_Meth[kval_active],MATCH(table_Methods[[#This Row],[ID]],dict_zul_Var_Meth[ID_Methods],0))</f>
        <v>0</v>
      </c>
      <c r="H694">
        <f t="shared" ca="1" si="68"/>
        <v>1262</v>
      </c>
      <c r="I694">
        <f t="shared" ca="1" si="69"/>
        <v>33792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64"/>
        <v>120</v>
      </c>
      <c r="D695">
        <f t="shared" ca="1" si="65"/>
        <v>2.92</v>
      </c>
      <c r="E695">
        <f t="shared" ca="1" si="66"/>
        <v>30</v>
      </c>
      <c r="F695">
        <f t="shared" ca="1" si="67"/>
        <v>260</v>
      </c>
      <c r="G695" s="3" t="b">
        <f ca="1">INDEX(dict_zul_Var_Meth[kval_active],MATCH(table_Methods[[#This Row],[ID]],dict_zul_Var_Meth[ID_Methods],0))</f>
        <v>1</v>
      </c>
      <c r="H695">
        <f t="shared" ca="1" si="68"/>
        <v>32814</v>
      </c>
      <c r="I695">
        <f t="shared" ca="1" si="69"/>
        <v>6144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64"/>
        <v>3700</v>
      </c>
      <c r="D696">
        <f t="shared" ca="1" si="65"/>
        <v>5.0599999999999996</v>
      </c>
      <c r="E696">
        <f t="shared" ca="1" si="66"/>
        <v>-20</v>
      </c>
      <c r="F696">
        <f t="shared" ca="1" si="67"/>
        <v>570</v>
      </c>
      <c r="G696" s="3" t="b">
        <f ca="1">INDEX(dict_zul_Var_Meth[kval_active],MATCH(table_Methods[[#This Row],[ID]],dict_zul_Var_Meth[ID_Methods],0))</f>
        <v>0</v>
      </c>
      <c r="H696">
        <f t="shared" ca="1" si="68"/>
        <v>22150</v>
      </c>
      <c r="I696">
        <f t="shared" ca="1" si="69"/>
        <v>48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64"/>
        <v>360</v>
      </c>
      <c r="D697">
        <f t="shared" ca="1" si="65"/>
        <v>7.23</v>
      </c>
      <c r="E697">
        <f t="shared" ca="1" si="66"/>
        <v>-100</v>
      </c>
      <c r="F697">
        <f t="shared" ca="1" si="67"/>
        <v>450</v>
      </c>
      <c r="G697" s="3" t="b">
        <f ca="1">INDEX(dict_zul_Var_Meth[kval_active],MATCH(table_Methods[[#This Row],[ID]],dict_zul_Var_Meth[ID_Methods],0))</f>
        <v>0</v>
      </c>
      <c r="H697">
        <f t="shared" ca="1" si="68"/>
        <v>28590</v>
      </c>
      <c r="I697">
        <f t="shared" ca="1" si="69"/>
        <v>184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64"/>
        <v>710</v>
      </c>
      <c r="D698">
        <f t="shared" ca="1" si="65"/>
        <v>1.1100000000000001</v>
      </c>
      <c r="E698">
        <f t="shared" ca="1" si="66"/>
        <v>-20</v>
      </c>
      <c r="F698">
        <f t="shared" ca="1" si="67"/>
        <v>710</v>
      </c>
      <c r="G698" s="3" t="b">
        <f ca="1">INDEX(dict_zul_Var_Meth[kval_active],MATCH(table_Methods[[#This Row],[ID]],dict_zul_Var_Meth[ID_Methods],0))</f>
        <v>0</v>
      </c>
      <c r="H698">
        <f t="shared" ca="1" si="68"/>
        <v>18788</v>
      </c>
      <c r="I698">
        <f t="shared" ca="1" si="69"/>
        <v>1280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64"/>
        <v>10000</v>
      </c>
      <c r="D699">
        <f t="shared" ca="1" si="65"/>
        <v>4.55</v>
      </c>
      <c r="E699">
        <f t="shared" ca="1" si="66"/>
        <v>-10</v>
      </c>
      <c r="F699">
        <f t="shared" ca="1" si="67"/>
        <v>560</v>
      </c>
      <c r="G699" s="3" t="b">
        <f ca="1">INDEX(dict_zul_Var_Meth[kval_active],MATCH(table_Methods[[#This Row],[ID]],dict_zul_Var_Meth[ID_Methods],0))</f>
        <v>0</v>
      </c>
      <c r="H699">
        <f t="shared" ca="1" si="68"/>
        <v>7380</v>
      </c>
      <c r="I699">
        <f t="shared" ca="1" si="69"/>
        <v>104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64"/>
        <v>210</v>
      </c>
      <c r="D700">
        <f t="shared" ca="1" si="65"/>
        <v>6.56</v>
      </c>
      <c r="E700">
        <f t="shared" ca="1" si="66"/>
        <v>-30</v>
      </c>
      <c r="F700">
        <f t="shared" ca="1" si="67"/>
        <v>710</v>
      </c>
      <c r="G700" s="3" t="b">
        <f ca="1">INDEX(dict_zul_Var_Meth[kval_active],MATCH(table_Methods[[#This Row],[ID]],dict_zul_Var_Meth[ID_Methods],0))</f>
        <v>0</v>
      </c>
      <c r="H700">
        <f t="shared" ca="1" si="68"/>
        <v>6050</v>
      </c>
      <c r="I700">
        <f t="shared" ca="1" si="69"/>
        <v>1664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64"/>
        <v>5500</v>
      </c>
      <c r="D701">
        <f t="shared" ca="1" si="65"/>
        <v>8.69</v>
      </c>
      <c r="E701">
        <f t="shared" ca="1" si="66"/>
        <v>-50</v>
      </c>
      <c r="F701">
        <f t="shared" ca="1" si="67"/>
        <v>200</v>
      </c>
      <c r="G701" s="3" t="b">
        <f ca="1">INDEX(dict_zul_Var_Meth[kval_active],MATCH(table_Methods[[#This Row],[ID]],dict_zul_Var_Meth[ID_Methods],0))</f>
        <v>0</v>
      </c>
      <c r="H701">
        <f t="shared" ca="1" si="68"/>
        <v>8808</v>
      </c>
      <c r="I701">
        <f t="shared" ca="1" si="69"/>
        <v>2688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64"/>
        <v>9</v>
      </c>
      <c r="D702">
        <f t="shared" ca="1" si="65"/>
        <v>9.16</v>
      </c>
      <c r="E702">
        <f t="shared" ca="1" si="66"/>
        <v>20</v>
      </c>
      <c r="F702">
        <f t="shared" ca="1" si="67"/>
        <v>190</v>
      </c>
      <c r="G702" s="3" t="b">
        <f ca="1">INDEX(dict_zul_Var_Meth[kval_active],MATCH(table_Methods[[#This Row],[ID]],dict_zul_Var_Meth[ID_Methods],0))</f>
        <v>0</v>
      </c>
      <c r="H702">
        <f t="shared" ca="1" si="68"/>
        <v>19998</v>
      </c>
      <c r="I702">
        <f t="shared" ca="1" si="69"/>
        <v>22528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E32"/>
  <sheetViews>
    <sheetView topLeftCell="A7" workbookViewId="0">
      <selection activeCell="C3" sqref="C3"/>
    </sheetView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1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0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1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1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1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0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1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1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1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0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0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0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0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1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0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0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1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1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0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0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0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1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0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0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0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1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1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1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0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1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1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F202"/>
  <sheetViews>
    <sheetView topLeftCell="A190" workbookViewId="0">
      <selection activeCell="C3" sqref="C3"/>
    </sheetView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1</v>
      </c>
      <c r="D2">
        <f t="shared" ref="D2:D65" ca="1" si="0">20+RANDBETWEEN(0,10)*RANDBETWEEN(0,10)-RANDBETWEEN(0,20)</f>
        <v>18</v>
      </c>
      <c r="E2">
        <f ca="1">table_Positions[[#This Row],[temp_lb]]+10+RANDBETWEEN(0,100)*RANDBETWEEN(0,10)-RANDBETWEEN(0,10)</f>
        <v>413</v>
      </c>
      <c r="F2" t="b">
        <f ca="1">COUNTIF(dict_zuord_Meth_Pos[ID_Positions], table_Positions[[#This Row],[ID]]) &gt; 0</f>
        <v>1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1</v>
      </c>
      <c r="D3">
        <f t="shared" ca="1" si="0"/>
        <v>12</v>
      </c>
      <c r="E3">
        <f ca="1">table_Positions[[#This Row],[temp_lb]]+10+RANDBETWEEN(0,100)*RANDBETWEEN(0,10)-RANDBETWEEN(0,10)</f>
        <v>308</v>
      </c>
      <c r="F3" t="b">
        <f ca="1">COUNTIF(dict_zuord_Meth_Pos[ID_Positions], table_Positions[[#This Row],[ID]]) &gt; 0</f>
        <v>1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1</v>
      </c>
      <c r="D4">
        <f t="shared" ca="1" si="0"/>
        <v>1</v>
      </c>
      <c r="E4">
        <f ca="1">table_Positions[[#This Row],[temp_lb]]+10+RANDBETWEEN(0,100)*RANDBETWEEN(0,10)-RANDBETWEEN(0,10)</f>
        <v>469</v>
      </c>
      <c r="F4" t="b">
        <f ca="1">COUNTIF(dict_zuord_Meth_Pos[ID_Positions], table_Positions[[#This Row],[ID]]) &gt; 0</f>
        <v>1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1</v>
      </c>
      <c r="D5">
        <f t="shared" ca="1" si="0"/>
        <v>5</v>
      </c>
      <c r="E5">
        <f ca="1">table_Positions[[#This Row],[temp_lb]]+10+RANDBETWEEN(0,100)*RANDBETWEEN(0,10)-RANDBETWEEN(0,10)</f>
        <v>106</v>
      </c>
      <c r="F5" t="b">
        <f ca="1">COUNTIF(dict_zuord_Meth_Pos[ID_Positions], table_Positions[[#This Row],[ID]]) &gt; 0</f>
        <v>1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1</v>
      </c>
      <c r="D6">
        <f t="shared" ca="1" si="0"/>
        <v>48</v>
      </c>
      <c r="E6">
        <f ca="1">table_Positions[[#This Row],[temp_lb]]+10+RANDBETWEEN(0,100)*RANDBETWEEN(0,10)-RANDBETWEEN(0,10)</f>
        <v>323</v>
      </c>
      <c r="F6" t="b">
        <f ca="1">COUNTIF(dict_zuord_Meth_Pos[ID_Positions], table_Positions[[#This Row],[ID]]) &gt; 0</f>
        <v>1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1</v>
      </c>
      <c r="D7">
        <f t="shared" ca="1" si="0"/>
        <v>62</v>
      </c>
      <c r="E7">
        <f ca="1">table_Positions[[#This Row],[temp_lb]]+10+RANDBETWEEN(0,100)*RANDBETWEEN(0,10)-RANDBETWEEN(0,10)</f>
        <v>180</v>
      </c>
      <c r="F7" t="b">
        <f ca="1">COUNTIF(dict_zuord_Meth_Pos[ID_Positions], table_Positions[[#This Row],[ID]]) &gt; 0</f>
        <v>1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1</v>
      </c>
      <c r="D8">
        <f t="shared" ca="1" si="0"/>
        <v>20</v>
      </c>
      <c r="E8">
        <f ca="1">table_Positions[[#This Row],[temp_lb]]+10+RANDBETWEEN(0,100)*RANDBETWEEN(0,10)-RANDBETWEEN(0,10)</f>
        <v>241</v>
      </c>
      <c r="F8" t="b">
        <f ca="1">COUNTIF(dict_zuord_Meth_Pos[ID_Positions], table_Positions[[#This Row],[ID]]) &gt; 0</f>
        <v>1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1</v>
      </c>
      <c r="D9">
        <f t="shared" ca="1" si="0"/>
        <v>23</v>
      </c>
      <c r="E9">
        <f ca="1">table_Positions[[#This Row],[temp_lb]]+10+RANDBETWEEN(0,100)*RANDBETWEEN(0,10)-RANDBETWEEN(0,10)</f>
        <v>111</v>
      </c>
      <c r="F9" t="b">
        <f ca="1">COUNTIF(dict_zuord_Meth_Pos[ID_Positions], table_Positions[[#This Row],[ID]]) &gt; 0</f>
        <v>1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1</v>
      </c>
      <c r="D10">
        <f t="shared" ca="1" si="0"/>
        <v>53</v>
      </c>
      <c r="E10">
        <f ca="1">table_Positions[[#This Row],[temp_lb]]+10+RANDBETWEEN(0,100)*RANDBETWEEN(0,10)-RANDBETWEEN(0,10)</f>
        <v>102</v>
      </c>
      <c r="F10" t="b">
        <f ca="1">COUNTIF(dict_zuord_Meth_Pos[ID_Positions], table_Positions[[#This Row],[ID]]) &gt; 0</f>
        <v>1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1</v>
      </c>
      <c r="D11">
        <f t="shared" ca="1" si="0"/>
        <v>10</v>
      </c>
      <c r="E11">
        <f ca="1">table_Positions[[#This Row],[temp_lb]]+10+RANDBETWEEN(0,100)*RANDBETWEEN(0,10)-RANDBETWEEN(0,10)</f>
        <v>128</v>
      </c>
      <c r="F11" t="b">
        <f ca="1">COUNTIF(dict_zuord_Meth_Pos[ID_Positions], table_Positions[[#This Row],[ID]]) &gt; 0</f>
        <v>1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0</v>
      </c>
      <c r="D12">
        <f t="shared" ca="1" si="0"/>
        <v>85</v>
      </c>
      <c r="E12">
        <f ca="1">table_Positions[[#This Row],[temp_lb]]+10+RANDBETWEEN(0,100)*RANDBETWEEN(0,10)-RANDBETWEEN(0,10)</f>
        <v>359</v>
      </c>
      <c r="F12" t="b">
        <f ca="1">COUNTIF(dict_zuord_Meth_Pos[ID_Positions], table_Positions[[#This Row],[ID]]) &gt; 0</f>
        <v>1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0</v>
      </c>
      <c r="D13">
        <f t="shared" ca="1" si="0"/>
        <v>42</v>
      </c>
      <c r="E13">
        <f ca="1">table_Positions[[#This Row],[temp_lb]]+10+RANDBETWEEN(0,100)*RANDBETWEEN(0,10)-RANDBETWEEN(0,10)</f>
        <v>77</v>
      </c>
      <c r="F13" t="b">
        <f ca="1">COUNTIF(dict_zuord_Meth_Pos[ID_Positions], table_Positions[[#This Row],[ID]]) &gt; 0</f>
        <v>1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0</v>
      </c>
      <c r="D14">
        <f t="shared" ca="1" si="0"/>
        <v>82</v>
      </c>
      <c r="E14">
        <f ca="1">table_Positions[[#This Row],[temp_lb]]+10+RANDBETWEEN(0,100)*RANDBETWEEN(0,10)-RANDBETWEEN(0,10)</f>
        <v>93</v>
      </c>
      <c r="F14" t="b">
        <f ca="1">COUNTIF(dict_zuord_Meth_Pos[ID_Positions], table_Positions[[#This Row],[ID]]) &gt; 0</f>
        <v>1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0</v>
      </c>
      <c r="D15">
        <f t="shared" ca="1" si="0"/>
        <v>12</v>
      </c>
      <c r="E15">
        <f ca="1">table_Positions[[#This Row],[temp_lb]]+10+RANDBETWEEN(0,100)*RANDBETWEEN(0,10)-RANDBETWEEN(0,10)</f>
        <v>413</v>
      </c>
      <c r="F15" t="b">
        <f ca="1">COUNTIF(dict_zuord_Meth_Pos[ID_Positions], table_Positions[[#This Row],[ID]]) &gt; 0</f>
        <v>1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0</v>
      </c>
      <c r="D16">
        <f t="shared" ca="1" si="0"/>
        <v>58</v>
      </c>
      <c r="E16">
        <f ca="1">table_Positions[[#This Row],[temp_lb]]+10+RANDBETWEEN(0,100)*RANDBETWEEN(0,10)-RANDBETWEEN(0,10)</f>
        <v>678</v>
      </c>
      <c r="F16" t="b">
        <f ca="1">COUNTIF(dict_zuord_Meth_Pos[ID_Positions], table_Positions[[#This Row],[ID]]) &gt; 0</f>
        <v>1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0</v>
      </c>
      <c r="D17">
        <f t="shared" ca="1" si="0"/>
        <v>7</v>
      </c>
      <c r="E17">
        <f ca="1">table_Positions[[#This Row],[temp_lb]]+10+RANDBETWEEN(0,100)*RANDBETWEEN(0,10)-RANDBETWEEN(0,10)</f>
        <v>325</v>
      </c>
      <c r="F17" t="b">
        <f ca="1">COUNTIF(dict_zuord_Meth_Pos[ID_Positions], table_Positions[[#This Row],[ID]]) &gt; 0</f>
        <v>1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0</v>
      </c>
      <c r="D18">
        <f t="shared" ca="1" si="0"/>
        <v>87</v>
      </c>
      <c r="E18">
        <f ca="1">table_Positions[[#This Row],[temp_lb]]+10+RANDBETWEEN(0,100)*RANDBETWEEN(0,10)-RANDBETWEEN(0,10)</f>
        <v>454</v>
      </c>
      <c r="F18" t="b">
        <f ca="1">COUNTIF(dict_zuord_Meth_Pos[ID_Positions], table_Positions[[#This Row],[ID]]) &gt; 0</f>
        <v>1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0</v>
      </c>
      <c r="D19">
        <f t="shared" ca="1" si="0"/>
        <v>14</v>
      </c>
      <c r="E19">
        <f ca="1">table_Positions[[#This Row],[temp_lb]]+10+RANDBETWEEN(0,100)*RANDBETWEEN(0,10)-RANDBETWEEN(0,10)</f>
        <v>419</v>
      </c>
      <c r="F19" t="b">
        <f ca="1">COUNTIF(dict_zuord_Meth_Pos[ID_Positions], table_Positions[[#This Row],[ID]]) &gt; 0</f>
        <v>1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0</v>
      </c>
      <c r="D20">
        <f t="shared" ca="1" si="0"/>
        <v>18</v>
      </c>
      <c r="E20">
        <f ca="1">table_Positions[[#This Row],[temp_lb]]+10+RANDBETWEEN(0,100)*RANDBETWEEN(0,10)-RANDBETWEEN(0,10)</f>
        <v>207</v>
      </c>
      <c r="F20" t="b">
        <f ca="1">COUNTIF(dict_zuord_Meth_Pos[ID_Positions], table_Positions[[#This Row],[ID]]) &gt; 0</f>
        <v>1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0</v>
      </c>
      <c r="D21">
        <f t="shared" ca="1" si="0"/>
        <v>13</v>
      </c>
      <c r="E21">
        <f ca="1">table_Positions[[#This Row],[temp_lb]]+10+RANDBETWEEN(0,100)*RANDBETWEEN(0,10)-RANDBETWEEN(0,10)</f>
        <v>22</v>
      </c>
      <c r="F21" t="b">
        <f ca="1">COUNTIF(dict_zuord_Meth_Pos[ID_Positions], table_Positions[[#This Row],[ID]]) &gt; 0</f>
        <v>1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0</v>
      </c>
      <c r="D22">
        <f t="shared" ca="1" si="0"/>
        <v>18</v>
      </c>
      <c r="E22">
        <f ca="1">table_Positions[[#This Row],[temp_lb]]+10+RANDBETWEEN(0,100)*RANDBETWEEN(0,10)-RANDBETWEEN(0,10)</f>
        <v>446</v>
      </c>
      <c r="F22" t="b">
        <f ca="1">COUNTIF(dict_zuord_Meth_Pos[ID_Positions], table_Positions[[#This Row],[ID]]) &gt; 0</f>
        <v>1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1</v>
      </c>
      <c r="D23">
        <f t="shared" ca="1" si="0"/>
        <v>9</v>
      </c>
      <c r="E23">
        <f ca="1">table_Positions[[#This Row],[temp_lb]]+10+RANDBETWEEN(0,100)*RANDBETWEEN(0,10)-RANDBETWEEN(0,10)</f>
        <v>11</v>
      </c>
      <c r="F23" t="b">
        <f ca="1">COUNTIF(dict_zuord_Meth_Pos[ID_Positions], table_Positions[[#This Row],[ID]]) &gt; 0</f>
        <v>1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0</v>
      </c>
      <c r="D24">
        <f t="shared" ca="1" si="0"/>
        <v>16</v>
      </c>
      <c r="E24">
        <f ca="1">table_Positions[[#This Row],[temp_lb]]+10+RANDBETWEEN(0,100)*RANDBETWEEN(0,10)-RANDBETWEEN(0,10)</f>
        <v>550</v>
      </c>
      <c r="F24" t="b">
        <f ca="1">COUNTIF(dict_zuord_Meth_Pos[ID_Positions], table_Positions[[#This Row],[ID]]) &gt; 0</f>
        <v>1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0</v>
      </c>
      <c r="D25">
        <f t="shared" ca="1" si="0"/>
        <v>24</v>
      </c>
      <c r="E25">
        <f ca="1">table_Positions[[#This Row],[temp_lb]]+10+RANDBETWEEN(0,100)*RANDBETWEEN(0,10)-RANDBETWEEN(0,10)</f>
        <v>150</v>
      </c>
      <c r="F25" t="b">
        <f ca="1">COUNTIF(dict_zuord_Meth_Pos[ID_Positions], table_Positions[[#This Row],[ID]]) &gt; 0</f>
        <v>1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1</v>
      </c>
      <c r="D26">
        <f t="shared" ca="1" si="0"/>
        <v>19</v>
      </c>
      <c r="E26">
        <f ca="1">table_Positions[[#This Row],[temp_lb]]+10+RANDBETWEEN(0,100)*RANDBETWEEN(0,10)-RANDBETWEEN(0,10)</f>
        <v>298</v>
      </c>
      <c r="F26" t="b">
        <f ca="1">COUNTIF(dict_zuord_Meth_Pos[ID_Positions], table_Positions[[#This Row],[ID]]) &gt; 0</f>
        <v>1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0</v>
      </c>
      <c r="D27">
        <f t="shared" ca="1" si="0"/>
        <v>24</v>
      </c>
      <c r="E27">
        <f ca="1">table_Positions[[#This Row],[temp_lb]]+10+RANDBETWEEN(0,100)*RANDBETWEEN(0,10)-RANDBETWEEN(0,10)</f>
        <v>27</v>
      </c>
      <c r="F27" t="b">
        <f ca="1">COUNTIF(dict_zuord_Meth_Pos[ID_Positions], table_Positions[[#This Row],[ID]]) &gt; 0</f>
        <v>1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0</v>
      </c>
      <c r="D28">
        <f t="shared" ca="1" si="0"/>
        <v>22</v>
      </c>
      <c r="E28">
        <f ca="1">table_Positions[[#This Row],[temp_lb]]+10+RANDBETWEEN(0,100)*RANDBETWEEN(0,10)-RANDBETWEEN(0,10)</f>
        <v>49</v>
      </c>
      <c r="F28" t="b">
        <f ca="1">COUNTIF(dict_zuord_Meth_Pos[ID_Positions], table_Positions[[#This Row],[ID]]) &gt; 0</f>
        <v>1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0</v>
      </c>
      <c r="D29">
        <f t="shared" ca="1" si="0"/>
        <v>19</v>
      </c>
      <c r="E29">
        <f ca="1">table_Positions[[#This Row],[temp_lb]]+10+RANDBETWEEN(0,100)*RANDBETWEEN(0,10)-RANDBETWEEN(0,10)</f>
        <v>714</v>
      </c>
      <c r="F29" t="b">
        <f ca="1">COUNTIF(dict_zuord_Meth_Pos[ID_Positions], table_Positions[[#This Row],[ID]]) &gt; 0</f>
        <v>1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0</v>
      </c>
      <c r="D30">
        <f t="shared" ca="1" si="0"/>
        <v>61</v>
      </c>
      <c r="E30">
        <f ca="1">table_Positions[[#This Row],[temp_lb]]+10+RANDBETWEEN(0,100)*RANDBETWEEN(0,10)-RANDBETWEEN(0,10)</f>
        <v>150</v>
      </c>
      <c r="F30" t="b">
        <f ca="1">COUNTIF(dict_zuord_Meth_Pos[ID_Positions], table_Positions[[#This Row],[ID]]) &gt; 0</f>
        <v>1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0</v>
      </c>
      <c r="D31">
        <f t="shared" ca="1" si="0"/>
        <v>35</v>
      </c>
      <c r="E31">
        <f ca="1">table_Positions[[#This Row],[temp_lb]]+10+RANDBETWEEN(0,100)*RANDBETWEEN(0,10)-RANDBETWEEN(0,10)</f>
        <v>307</v>
      </c>
      <c r="F31" t="b">
        <f ca="1">COUNTIF(dict_zuord_Meth_Pos[ID_Positions], table_Positions[[#This Row],[ID]]) &gt; 0</f>
        <v>1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0</v>
      </c>
      <c r="D32">
        <f t="shared" ca="1" si="0"/>
        <v>25</v>
      </c>
      <c r="E32">
        <f ca="1">table_Positions[[#This Row],[temp_lb]]+10+RANDBETWEEN(0,100)*RANDBETWEEN(0,10)-RANDBETWEEN(0,10)</f>
        <v>376</v>
      </c>
      <c r="F32" t="b">
        <f ca="1">COUNTIF(dict_zuord_Meth_Pos[ID_Positions], table_Positions[[#This Row],[ID]]) &gt; 0</f>
        <v>1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0</v>
      </c>
      <c r="D33">
        <f t="shared" ca="1" si="0"/>
        <v>19</v>
      </c>
      <c r="E33">
        <f ca="1">table_Positions[[#This Row],[temp_lb]]+10+RANDBETWEEN(0,100)*RANDBETWEEN(0,10)-RANDBETWEEN(0,10)</f>
        <v>463</v>
      </c>
      <c r="F33" t="b">
        <f ca="1">COUNTIF(dict_zuord_Meth_Pos[ID_Positions], table_Positions[[#This Row],[ID]]) &gt; 0</f>
        <v>1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0</v>
      </c>
      <c r="D34">
        <f t="shared" ca="1" si="0"/>
        <v>23</v>
      </c>
      <c r="E34">
        <f ca="1">table_Positions[[#This Row],[temp_lb]]+10+RANDBETWEEN(0,100)*RANDBETWEEN(0,10)-RANDBETWEEN(0,10)</f>
        <v>716</v>
      </c>
      <c r="F34" t="b">
        <f ca="1">COUNTIF(dict_zuord_Meth_Pos[ID_Positions], table_Positions[[#This Row],[ID]]) &gt; 0</f>
        <v>1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0</v>
      </c>
      <c r="D35">
        <f t="shared" ca="1" si="0"/>
        <v>37</v>
      </c>
      <c r="E35">
        <f ca="1">table_Positions[[#This Row],[temp_lb]]+10+RANDBETWEEN(0,100)*RANDBETWEEN(0,10)-RANDBETWEEN(0,10)</f>
        <v>310</v>
      </c>
      <c r="F35" t="b">
        <f ca="1">COUNTIF(dict_zuord_Meth_Pos[ID_Positions], table_Positions[[#This Row],[ID]]) &gt; 0</f>
        <v>1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0</v>
      </c>
      <c r="D36">
        <f t="shared" ca="1" si="0"/>
        <v>41</v>
      </c>
      <c r="E36">
        <f ca="1">table_Positions[[#This Row],[temp_lb]]+10+RANDBETWEEN(0,100)*RANDBETWEEN(0,10)-RANDBETWEEN(0,10)</f>
        <v>98</v>
      </c>
      <c r="F36" t="b">
        <f ca="1">COUNTIF(dict_zuord_Meth_Pos[ID_Positions], table_Positions[[#This Row],[ID]]) &gt; 0</f>
        <v>1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0</v>
      </c>
      <c r="D37">
        <f t="shared" ca="1" si="0"/>
        <v>9</v>
      </c>
      <c r="E37">
        <f ca="1">table_Positions[[#This Row],[temp_lb]]+10+RANDBETWEEN(0,100)*RANDBETWEEN(0,10)-RANDBETWEEN(0,10)</f>
        <v>120</v>
      </c>
      <c r="F37" t="b">
        <f ca="1">COUNTIF(dict_zuord_Meth_Pos[ID_Positions], table_Positions[[#This Row],[ID]]) &gt; 0</f>
        <v>1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0</v>
      </c>
      <c r="D38">
        <f t="shared" ca="1" si="0"/>
        <v>66</v>
      </c>
      <c r="E38">
        <f ca="1">table_Positions[[#This Row],[temp_lb]]+10+RANDBETWEEN(0,100)*RANDBETWEEN(0,10)-RANDBETWEEN(0,10)</f>
        <v>180</v>
      </c>
      <c r="F38" t="b">
        <f ca="1">COUNTIF(dict_zuord_Meth_Pos[ID_Positions], table_Positions[[#This Row],[ID]]) &gt; 0</f>
        <v>1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0</v>
      </c>
      <c r="D39">
        <f t="shared" ca="1" si="0"/>
        <v>37</v>
      </c>
      <c r="E39">
        <f ca="1">table_Positions[[#This Row],[temp_lb]]+10+RANDBETWEEN(0,100)*RANDBETWEEN(0,10)-RANDBETWEEN(0,10)</f>
        <v>500</v>
      </c>
      <c r="F39" t="b">
        <f ca="1">COUNTIF(dict_zuord_Meth_Pos[ID_Positions], table_Positions[[#This Row],[ID]]) &gt; 0</f>
        <v>1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0</v>
      </c>
      <c r="D40">
        <f t="shared" ca="1" si="0"/>
        <v>27</v>
      </c>
      <c r="E40">
        <f ca="1">table_Positions[[#This Row],[temp_lb]]+10+RANDBETWEEN(0,100)*RANDBETWEEN(0,10)-RANDBETWEEN(0,10)</f>
        <v>374</v>
      </c>
      <c r="F40" t="b">
        <f ca="1">COUNTIF(dict_zuord_Meth_Pos[ID_Positions], table_Positions[[#This Row],[ID]]) &gt; 0</f>
        <v>1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0</v>
      </c>
      <c r="D41">
        <f t="shared" ca="1" si="0"/>
        <v>46</v>
      </c>
      <c r="E41">
        <f ca="1">table_Positions[[#This Row],[temp_lb]]+10+RANDBETWEEN(0,100)*RANDBETWEEN(0,10)-RANDBETWEEN(0,10)</f>
        <v>453</v>
      </c>
      <c r="F41" t="b">
        <f ca="1">COUNTIF(dict_zuord_Meth_Pos[ID_Positions], table_Positions[[#This Row],[ID]]) &gt; 0</f>
        <v>1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0</v>
      </c>
      <c r="D42">
        <f t="shared" ca="1" si="0"/>
        <v>27</v>
      </c>
      <c r="E42">
        <f ca="1">table_Positions[[#This Row],[temp_lb]]+10+RANDBETWEEN(0,100)*RANDBETWEEN(0,10)-RANDBETWEEN(0,10)</f>
        <v>291</v>
      </c>
      <c r="F42" t="b">
        <f ca="1">COUNTIF(dict_zuord_Meth_Pos[ID_Positions], table_Positions[[#This Row],[ID]]) &gt; 0</f>
        <v>1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0</v>
      </c>
      <c r="D43">
        <f t="shared" ca="1" si="0"/>
        <v>70</v>
      </c>
      <c r="E43">
        <f ca="1">table_Positions[[#This Row],[temp_lb]]+10+RANDBETWEEN(0,100)*RANDBETWEEN(0,10)-RANDBETWEEN(0,10)</f>
        <v>441</v>
      </c>
      <c r="F43" t="b">
        <f ca="1">COUNTIF(dict_zuord_Meth_Pos[ID_Positions], table_Positions[[#This Row],[ID]]) &gt; 0</f>
        <v>1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0</v>
      </c>
      <c r="D44">
        <f t="shared" ca="1" si="0"/>
        <v>40</v>
      </c>
      <c r="E44">
        <f ca="1">table_Positions[[#This Row],[temp_lb]]+10+RANDBETWEEN(0,100)*RANDBETWEEN(0,10)-RANDBETWEEN(0,10)</f>
        <v>168</v>
      </c>
      <c r="F44" t="b">
        <f ca="1">COUNTIF(dict_zuord_Meth_Pos[ID_Positions], table_Positions[[#This Row],[ID]]) &gt; 0</f>
        <v>1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0</v>
      </c>
      <c r="D45">
        <f t="shared" ca="1" si="0"/>
        <v>30</v>
      </c>
      <c r="E45">
        <f ca="1">table_Positions[[#This Row],[temp_lb]]+10+RANDBETWEEN(0,100)*RANDBETWEEN(0,10)-RANDBETWEEN(0,10)</f>
        <v>244</v>
      </c>
      <c r="F45" t="b">
        <f ca="1">COUNTIF(dict_zuord_Meth_Pos[ID_Positions], table_Positions[[#This Row],[ID]]) &gt; 0</f>
        <v>1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0</v>
      </c>
      <c r="D46">
        <f t="shared" ca="1" si="0"/>
        <v>18</v>
      </c>
      <c r="E46">
        <f ca="1">table_Positions[[#This Row],[temp_lb]]+10+RANDBETWEEN(0,100)*RANDBETWEEN(0,10)-RANDBETWEEN(0,10)</f>
        <v>158</v>
      </c>
      <c r="F46" t="b">
        <f ca="1">COUNTIF(dict_zuord_Meth_Pos[ID_Positions], table_Positions[[#This Row],[ID]]) &gt; 0</f>
        <v>1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0</v>
      </c>
      <c r="D47">
        <f t="shared" ca="1" si="0"/>
        <v>34</v>
      </c>
      <c r="E47">
        <f ca="1">table_Positions[[#This Row],[temp_lb]]+10+RANDBETWEEN(0,100)*RANDBETWEEN(0,10)-RANDBETWEEN(0,10)</f>
        <v>375</v>
      </c>
      <c r="F47" t="b">
        <f ca="1">COUNTIF(dict_zuord_Meth_Pos[ID_Positions], table_Positions[[#This Row],[ID]]) &gt; 0</f>
        <v>1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0</v>
      </c>
      <c r="D48">
        <f t="shared" ca="1" si="0"/>
        <v>68</v>
      </c>
      <c r="E48">
        <f ca="1">table_Positions[[#This Row],[temp_lb]]+10+RANDBETWEEN(0,100)*RANDBETWEEN(0,10)-RANDBETWEEN(0,10)</f>
        <v>548</v>
      </c>
      <c r="F48" t="b">
        <f ca="1">COUNTIF(dict_zuord_Meth_Pos[ID_Positions], table_Positions[[#This Row],[ID]]) &gt; 0</f>
        <v>1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1</v>
      </c>
      <c r="D49">
        <f t="shared" ca="1" si="0"/>
        <v>11</v>
      </c>
      <c r="E49">
        <f ca="1">table_Positions[[#This Row],[temp_lb]]+10+RANDBETWEEN(0,100)*RANDBETWEEN(0,10)-RANDBETWEEN(0,10)</f>
        <v>753</v>
      </c>
      <c r="F49" t="b">
        <f ca="1">COUNTIF(dict_zuord_Meth_Pos[ID_Positions], table_Positions[[#This Row],[ID]]) &gt; 0</f>
        <v>1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0</v>
      </c>
      <c r="D50">
        <f t="shared" ca="1" si="0"/>
        <v>37</v>
      </c>
      <c r="E50">
        <f ca="1">table_Positions[[#This Row],[temp_lb]]+10+RANDBETWEEN(0,100)*RANDBETWEEN(0,10)-RANDBETWEEN(0,10)</f>
        <v>45</v>
      </c>
      <c r="F50" t="b">
        <f ca="1">COUNTIF(dict_zuord_Meth_Pos[ID_Positions], table_Positions[[#This Row],[ID]]) &gt; 0</f>
        <v>1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0</v>
      </c>
      <c r="D51">
        <f t="shared" ca="1" si="0"/>
        <v>59</v>
      </c>
      <c r="E51">
        <f ca="1">table_Positions[[#This Row],[temp_lb]]+10+RANDBETWEEN(0,100)*RANDBETWEEN(0,10)-RANDBETWEEN(0,10)</f>
        <v>361</v>
      </c>
      <c r="F51" t="b">
        <f ca="1">COUNTIF(dict_zuord_Meth_Pos[ID_Positions], table_Positions[[#This Row],[ID]]) &gt; 0</f>
        <v>1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0</v>
      </c>
      <c r="D52">
        <f t="shared" ca="1" si="0"/>
        <v>24</v>
      </c>
      <c r="E52">
        <f ca="1">table_Positions[[#This Row],[temp_lb]]+10+RANDBETWEEN(0,100)*RANDBETWEEN(0,10)-RANDBETWEEN(0,10)</f>
        <v>79</v>
      </c>
      <c r="F52" t="b">
        <f ca="1">COUNTIF(dict_zuord_Meth_Pos[ID_Positions], table_Positions[[#This Row],[ID]]) &gt; 0</f>
        <v>1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0</v>
      </c>
      <c r="D53">
        <f t="shared" ca="1" si="0"/>
        <v>16</v>
      </c>
      <c r="E53">
        <f ca="1">table_Positions[[#This Row],[temp_lb]]+10+RANDBETWEEN(0,100)*RANDBETWEEN(0,10)-RANDBETWEEN(0,10)</f>
        <v>489</v>
      </c>
      <c r="F53" t="b">
        <f ca="1">COUNTIF(dict_zuord_Meth_Pos[ID_Positions], table_Positions[[#This Row],[ID]]) &gt; 0</f>
        <v>1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0</v>
      </c>
      <c r="D54">
        <f t="shared" ca="1" si="0"/>
        <v>24</v>
      </c>
      <c r="E54">
        <f ca="1">table_Positions[[#This Row],[temp_lb]]+10+RANDBETWEEN(0,100)*RANDBETWEEN(0,10)-RANDBETWEEN(0,10)</f>
        <v>31</v>
      </c>
      <c r="F54" t="b">
        <f ca="1">COUNTIF(dict_zuord_Meth_Pos[ID_Positions], table_Positions[[#This Row],[ID]]) &gt; 0</f>
        <v>1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0</v>
      </c>
      <c r="D55">
        <f t="shared" ca="1" si="0"/>
        <v>24</v>
      </c>
      <c r="E55">
        <f ca="1">table_Positions[[#This Row],[temp_lb]]+10+RANDBETWEEN(0,100)*RANDBETWEEN(0,10)-RANDBETWEEN(0,10)</f>
        <v>147</v>
      </c>
      <c r="F55" t="b">
        <f ca="1">COUNTIF(dict_zuord_Meth_Pos[ID_Positions], table_Positions[[#This Row],[ID]]) &gt; 0</f>
        <v>1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0</v>
      </c>
      <c r="D56">
        <f t="shared" ca="1" si="0"/>
        <v>67</v>
      </c>
      <c r="E56">
        <f ca="1">table_Positions[[#This Row],[temp_lb]]+10+RANDBETWEEN(0,100)*RANDBETWEEN(0,10)-RANDBETWEEN(0,10)</f>
        <v>1041</v>
      </c>
      <c r="F56" t="b">
        <f ca="1">COUNTIF(dict_zuord_Meth_Pos[ID_Positions], table_Positions[[#This Row],[ID]]) &gt; 0</f>
        <v>1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0</v>
      </c>
      <c r="D57">
        <f t="shared" ca="1" si="0"/>
        <v>59</v>
      </c>
      <c r="E57">
        <f ca="1">table_Positions[[#This Row],[temp_lb]]+10+RANDBETWEEN(0,100)*RANDBETWEEN(0,10)-RANDBETWEEN(0,10)</f>
        <v>262</v>
      </c>
      <c r="F57" t="b">
        <f ca="1">COUNTIF(dict_zuord_Meth_Pos[ID_Positions], table_Positions[[#This Row],[ID]]) &gt; 0</f>
        <v>1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0</v>
      </c>
      <c r="D58">
        <f t="shared" ca="1" si="0"/>
        <v>45</v>
      </c>
      <c r="E58">
        <f ca="1">table_Positions[[#This Row],[temp_lb]]+10+RANDBETWEEN(0,100)*RANDBETWEEN(0,10)-RANDBETWEEN(0,10)</f>
        <v>55</v>
      </c>
      <c r="F58" t="b">
        <f ca="1">COUNTIF(dict_zuord_Meth_Pos[ID_Positions], table_Positions[[#This Row],[ID]]) &gt; 0</f>
        <v>1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0</v>
      </c>
      <c r="D59">
        <f t="shared" ca="1" si="0"/>
        <v>35</v>
      </c>
      <c r="E59">
        <f ca="1">table_Positions[[#This Row],[temp_lb]]+10+RANDBETWEEN(0,100)*RANDBETWEEN(0,10)-RANDBETWEEN(0,10)</f>
        <v>135</v>
      </c>
      <c r="F59" t="b">
        <f ca="1">COUNTIF(dict_zuord_Meth_Pos[ID_Positions], table_Positions[[#This Row],[ID]]) &gt; 0</f>
        <v>1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0</v>
      </c>
      <c r="D60">
        <f t="shared" ca="1" si="0"/>
        <v>16</v>
      </c>
      <c r="E60">
        <f ca="1">table_Positions[[#This Row],[temp_lb]]+10+RANDBETWEEN(0,100)*RANDBETWEEN(0,10)-RANDBETWEEN(0,10)</f>
        <v>423</v>
      </c>
      <c r="F60" t="b">
        <f ca="1">COUNTIF(dict_zuord_Meth_Pos[ID_Positions], table_Positions[[#This Row],[ID]]) &gt; 0</f>
        <v>1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0</v>
      </c>
      <c r="D61">
        <f t="shared" ca="1" si="0"/>
        <v>25</v>
      </c>
      <c r="E61">
        <f ca="1">table_Positions[[#This Row],[temp_lb]]+10+RANDBETWEEN(0,100)*RANDBETWEEN(0,10)-RANDBETWEEN(0,10)</f>
        <v>592</v>
      </c>
      <c r="F61" t="b">
        <f ca="1">COUNTIF(dict_zuord_Meth_Pos[ID_Positions], table_Positions[[#This Row],[ID]]) &gt; 0</f>
        <v>1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0</v>
      </c>
      <c r="D62">
        <f t="shared" ca="1" si="0"/>
        <v>22</v>
      </c>
      <c r="E62">
        <f ca="1">table_Positions[[#This Row],[temp_lb]]+10+RANDBETWEEN(0,100)*RANDBETWEEN(0,10)-RANDBETWEEN(0,10)</f>
        <v>228</v>
      </c>
      <c r="F62" t="b">
        <f ca="1">COUNTIF(dict_zuord_Meth_Pos[ID_Positions], table_Positions[[#This Row],[ID]]) &gt; 0</f>
        <v>1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0</v>
      </c>
      <c r="D63">
        <f t="shared" ca="1" si="0"/>
        <v>0</v>
      </c>
      <c r="E63">
        <f ca="1">table_Positions[[#This Row],[temp_lb]]+10+RANDBETWEEN(0,100)*RANDBETWEEN(0,10)-RANDBETWEEN(0,10)</f>
        <v>96</v>
      </c>
      <c r="F63" t="b">
        <f ca="1">COUNTIF(dict_zuord_Meth_Pos[ID_Positions], table_Positions[[#This Row],[ID]]) &gt; 0</f>
        <v>1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0</v>
      </c>
      <c r="D64">
        <f t="shared" ca="1" si="0"/>
        <v>17</v>
      </c>
      <c r="E64">
        <f ca="1">table_Positions[[#This Row],[temp_lb]]+10+RANDBETWEEN(0,100)*RANDBETWEEN(0,10)-RANDBETWEEN(0,10)</f>
        <v>555</v>
      </c>
      <c r="F64" t="b">
        <f ca="1">COUNTIF(dict_zuord_Meth_Pos[ID_Positions], table_Positions[[#This Row],[ID]]) &gt; 0</f>
        <v>1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0</v>
      </c>
      <c r="D65">
        <f t="shared" ca="1" si="0"/>
        <v>29</v>
      </c>
      <c r="E65">
        <f ca="1">table_Positions[[#This Row],[temp_lb]]+10+RANDBETWEEN(0,100)*RANDBETWEEN(0,10)-RANDBETWEEN(0,10)</f>
        <v>412</v>
      </c>
      <c r="F65" t="b">
        <f ca="1">COUNTIF(dict_zuord_Meth_Pos[ID_Positions], table_Positions[[#This Row],[ID]]) &gt; 0</f>
        <v>1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0</v>
      </c>
      <c r="D66">
        <f t="shared" ref="D66:D129" ca="1" si="1">20+RANDBETWEEN(0,10)*RANDBETWEEN(0,10)-RANDBETWEEN(0,20)</f>
        <v>28</v>
      </c>
      <c r="E66">
        <f ca="1">table_Positions[[#This Row],[temp_lb]]+10+RANDBETWEEN(0,100)*RANDBETWEEN(0,10)-RANDBETWEEN(0,10)</f>
        <v>86</v>
      </c>
      <c r="F66" t="b">
        <f ca="1">COUNTIF(dict_zuord_Meth_Pos[ID_Positions], table_Positions[[#This Row],[ID]]) &gt; 0</f>
        <v>1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0</v>
      </c>
      <c r="D67">
        <f t="shared" ca="1" si="1"/>
        <v>51</v>
      </c>
      <c r="E67">
        <f ca="1">table_Positions[[#This Row],[temp_lb]]+10+RANDBETWEEN(0,100)*RANDBETWEEN(0,10)-RANDBETWEEN(0,10)</f>
        <v>298</v>
      </c>
      <c r="F67" t="b">
        <f ca="1">COUNTIF(dict_zuord_Meth_Pos[ID_Positions], table_Positions[[#This Row],[ID]]) &gt; 0</f>
        <v>1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0</v>
      </c>
      <c r="D68">
        <f t="shared" ca="1" si="1"/>
        <v>22</v>
      </c>
      <c r="E68">
        <f ca="1">table_Positions[[#This Row],[temp_lb]]+10+RANDBETWEEN(0,100)*RANDBETWEEN(0,10)-RANDBETWEEN(0,10)</f>
        <v>86</v>
      </c>
      <c r="F68" t="b">
        <f ca="1">COUNTIF(dict_zuord_Meth_Pos[ID_Positions], table_Positions[[#This Row],[ID]]) &gt; 0</f>
        <v>1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0</v>
      </c>
      <c r="D69">
        <f t="shared" ca="1" si="1"/>
        <v>16</v>
      </c>
      <c r="E69">
        <f ca="1">table_Positions[[#This Row],[temp_lb]]+10+RANDBETWEEN(0,100)*RANDBETWEEN(0,10)-RANDBETWEEN(0,10)</f>
        <v>220</v>
      </c>
      <c r="F69" t="b">
        <f ca="1">COUNTIF(dict_zuord_Meth_Pos[ID_Positions], table_Positions[[#This Row],[ID]]) &gt; 0</f>
        <v>1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0</v>
      </c>
      <c r="D70">
        <f t="shared" ca="1" si="1"/>
        <v>65</v>
      </c>
      <c r="E70">
        <f ca="1">table_Positions[[#This Row],[temp_lb]]+10+RANDBETWEEN(0,100)*RANDBETWEEN(0,10)-RANDBETWEEN(0,10)</f>
        <v>66</v>
      </c>
      <c r="F70" t="b">
        <f ca="1">COUNTIF(dict_zuord_Meth_Pos[ID_Positions], table_Positions[[#This Row],[ID]]) &gt; 0</f>
        <v>1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0</v>
      </c>
      <c r="D71">
        <f t="shared" ca="1" si="1"/>
        <v>1</v>
      </c>
      <c r="E71">
        <f ca="1">table_Positions[[#This Row],[temp_lb]]+10+RANDBETWEEN(0,100)*RANDBETWEEN(0,10)-RANDBETWEEN(0,10)</f>
        <v>479</v>
      </c>
      <c r="F71" t="b">
        <f ca="1">COUNTIF(dict_zuord_Meth_Pos[ID_Positions], table_Positions[[#This Row],[ID]]) &gt; 0</f>
        <v>1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0</v>
      </c>
      <c r="D72">
        <f t="shared" ca="1" si="1"/>
        <v>15</v>
      </c>
      <c r="E72">
        <f ca="1">table_Positions[[#This Row],[temp_lb]]+10+RANDBETWEEN(0,100)*RANDBETWEEN(0,10)-RANDBETWEEN(0,10)</f>
        <v>58</v>
      </c>
      <c r="F72" t="b">
        <f ca="1">COUNTIF(dict_zuord_Meth_Pos[ID_Positions], table_Positions[[#This Row],[ID]]) &gt; 0</f>
        <v>1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0</v>
      </c>
      <c r="D73">
        <f t="shared" ca="1" si="1"/>
        <v>65</v>
      </c>
      <c r="E73">
        <f ca="1">table_Positions[[#This Row],[temp_lb]]+10+RANDBETWEEN(0,100)*RANDBETWEEN(0,10)-RANDBETWEEN(0,10)</f>
        <v>359</v>
      </c>
      <c r="F73" t="b">
        <f ca="1">COUNTIF(dict_zuord_Meth_Pos[ID_Positions], table_Positions[[#This Row],[ID]]) &gt; 0</f>
        <v>1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0</v>
      </c>
      <c r="D74">
        <f t="shared" ca="1" si="1"/>
        <v>4</v>
      </c>
      <c r="E74">
        <f ca="1">table_Positions[[#This Row],[temp_lb]]+10+RANDBETWEEN(0,100)*RANDBETWEEN(0,10)-RANDBETWEEN(0,10)</f>
        <v>44</v>
      </c>
      <c r="F74" t="b">
        <f ca="1">COUNTIF(dict_zuord_Meth_Pos[ID_Positions], table_Positions[[#This Row],[ID]]) &gt; 0</f>
        <v>1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0</v>
      </c>
      <c r="D75">
        <f t="shared" ca="1" si="1"/>
        <v>53</v>
      </c>
      <c r="E75">
        <f ca="1">table_Positions[[#This Row],[temp_lb]]+10+RANDBETWEEN(0,100)*RANDBETWEEN(0,10)-RANDBETWEEN(0,10)</f>
        <v>564</v>
      </c>
      <c r="F75" t="b">
        <f ca="1">COUNTIF(dict_zuord_Meth_Pos[ID_Positions], table_Positions[[#This Row],[ID]]) &gt; 0</f>
        <v>1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0</v>
      </c>
      <c r="D76">
        <f t="shared" ca="1" si="1"/>
        <v>47</v>
      </c>
      <c r="E76">
        <f ca="1">table_Positions[[#This Row],[temp_lb]]+10+RANDBETWEEN(0,100)*RANDBETWEEN(0,10)-RANDBETWEEN(0,10)</f>
        <v>434</v>
      </c>
      <c r="F76" t="b">
        <f ca="1">COUNTIF(dict_zuord_Meth_Pos[ID_Positions], table_Positions[[#This Row],[ID]]) &gt; 0</f>
        <v>1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0</v>
      </c>
      <c r="D77">
        <f t="shared" ca="1" si="1"/>
        <v>29</v>
      </c>
      <c r="E77">
        <f ca="1">table_Positions[[#This Row],[temp_lb]]+10+RANDBETWEEN(0,100)*RANDBETWEEN(0,10)-RANDBETWEEN(0,10)</f>
        <v>375</v>
      </c>
      <c r="F77" t="b">
        <f ca="1">COUNTIF(dict_zuord_Meth_Pos[ID_Positions], table_Positions[[#This Row],[ID]]) &gt; 0</f>
        <v>1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0</v>
      </c>
      <c r="D78">
        <f t="shared" ca="1" si="1"/>
        <v>49</v>
      </c>
      <c r="E78">
        <f ca="1">table_Positions[[#This Row],[temp_lb]]+10+RANDBETWEEN(0,100)*RANDBETWEEN(0,10)-RANDBETWEEN(0,10)</f>
        <v>474</v>
      </c>
      <c r="F78" t="b">
        <f ca="1">COUNTIF(dict_zuord_Meth_Pos[ID_Positions], table_Positions[[#This Row],[ID]]) &gt; 0</f>
        <v>1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0</v>
      </c>
      <c r="D79">
        <f t="shared" ca="1" si="1"/>
        <v>26</v>
      </c>
      <c r="E79">
        <f ca="1">table_Positions[[#This Row],[temp_lb]]+10+RANDBETWEEN(0,100)*RANDBETWEEN(0,10)-RANDBETWEEN(0,10)</f>
        <v>104</v>
      </c>
      <c r="F79" t="b">
        <f ca="1">COUNTIF(dict_zuord_Meth_Pos[ID_Positions], table_Positions[[#This Row],[ID]]) &gt; 0</f>
        <v>1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0</v>
      </c>
      <c r="D80">
        <f t="shared" ca="1" si="1"/>
        <v>23</v>
      </c>
      <c r="E80">
        <f ca="1">table_Positions[[#This Row],[temp_lb]]+10+RANDBETWEEN(0,100)*RANDBETWEEN(0,10)-RANDBETWEEN(0,10)</f>
        <v>63</v>
      </c>
      <c r="F80" t="b">
        <f ca="1">COUNTIF(dict_zuord_Meth_Pos[ID_Positions], table_Positions[[#This Row],[ID]]) &gt; 0</f>
        <v>1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0</v>
      </c>
      <c r="D81">
        <f t="shared" ca="1" si="1"/>
        <v>19</v>
      </c>
      <c r="E81">
        <f ca="1">table_Positions[[#This Row],[temp_lb]]+10+RANDBETWEEN(0,100)*RANDBETWEEN(0,10)-RANDBETWEEN(0,10)</f>
        <v>428</v>
      </c>
      <c r="F81" t="b">
        <f ca="1">COUNTIF(dict_zuord_Meth_Pos[ID_Positions], table_Positions[[#This Row],[ID]]) &gt; 0</f>
        <v>1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0</v>
      </c>
      <c r="D82">
        <f t="shared" ca="1" si="1"/>
        <v>34</v>
      </c>
      <c r="E82">
        <f ca="1">table_Positions[[#This Row],[temp_lb]]+10+RANDBETWEEN(0,100)*RANDBETWEEN(0,10)-RANDBETWEEN(0,10)</f>
        <v>267</v>
      </c>
      <c r="F82" t="b">
        <f ca="1">COUNTIF(dict_zuord_Meth_Pos[ID_Positions], table_Positions[[#This Row],[ID]]) &gt; 0</f>
        <v>1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1</v>
      </c>
      <c r="D83">
        <f t="shared" ca="1" si="1"/>
        <v>57</v>
      </c>
      <c r="E83">
        <f ca="1">table_Positions[[#This Row],[temp_lb]]+10+RANDBETWEEN(0,100)*RANDBETWEEN(0,10)-RANDBETWEEN(0,10)</f>
        <v>85</v>
      </c>
      <c r="F83" t="b">
        <f ca="1">COUNTIF(dict_zuord_Meth_Pos[ID_Positions], table_Positions[[#This Row],[ID]]) &gt; 0</f>
        <v>1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0</v>
      </c>
      <c r="D84">
        <f t="shared" ca="1" si="1"/>
        <v>30</v>
      </c>
      <c r="E84">
        <f ca="1">table_Positions[[#This Row],[temp_lb]]+10+RANDBETWEEN(0,100)*RANDBETWEEN(0,10)-RANDBETWEEN(0,10)</f>
        <v>52</v>
      </c>
      <c r="F84" t="b">
        <f ca="1">COUNTIF(dict_zuord_Meth_Pos[ID_Positions], table_Positions[[#This Row],[ID]]) &gt; 0</f>
        <v>1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0</v>
      </c>
      <c r="D85">
        <f t="shared" ca="1" si="1"/>
        <v>80</v>
      </c>
      <c r="E85">
        <f ca="1">table_Positions[[#This Row],[temp_lb]]+10+RANDBETWEEN(0,100)*RANDBETWEEN(0,10)-RANDBETWEEN(0,10)</f>
        <v>158</v>
      </c>
      <c r="F85" t="b">
        <f ca="1">COUNTIF(dict_zuord_Meth_Pos[ID_Positions], table_Positions[[#This Row],[ID]]) &gt; 0</f>
        <v>1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0</v>
      </c>
      <c r="D86">
        <f t="shared" ca="1" si="1"/>
        <v>13</v>
      </c>
      <c r="E86">
        <f ca="1">table_Positions[[#This Row],[temp_lb]]+10+RANDBETWEEN(0,100)*RANDBETWEEN(0,10)-RANDBETWEEN(0,10)</f>
        <v>225</v>
      </c>
      <c r="F86" t="b">
        <f ca="1">COUNTIF(dict_zuord_Meth_Pos[ID_Positions], table_Positions[[#This Row],[ID]]) &gt; 0</f>
        <v>1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0</v>
      </c>
      <c r="D87">
        <f t="shared" ca="1" si="1"/>
        <v>18</v>
      </c>
      <c r="E87">
        <f ca="1">table_Positions[[#This Row],[temp_lb]]+10+RANDBETWEEN(0,100)*RANDBETWEEN(0,10)-RANDBETWEEN(0,10)</f>
        <v>48</v>
      </c>
      <c r="F87" t="b">
        <f ca="1">COUNTIF(dict_zuord_Meth_Pos[ID_Positions], table_Positions[[#This Row],[ID]]) &gt; 0</f>
        <v>1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0</v>
      </c>
      <c r="D88">
        <f t="shared" ca="1" si="1"/>
        <v>62</v>
      </c>
      <c r="E88">
        <f ca="1">table_Positions[[#This Row],[temp_lb]]+10+RANDBETWEEN(0,100)*RANDBETWEEN(0,10)-RANDBETWEEN(0,10)</f>
        <v>196</v>
      </c>
      <c r="F88" t="b">
        <f ca="1">COUNTIF(dict_zuord_Meth_Pos[ID_Positions], table_Positions[[#This Row],[ID]]) &gt; 0</f>
        <v>1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0</v>
      </c>
      <c r="D89">
        <f t="shared" ca="1" si="1"/>
        <v>27</v>
      </c>
      <c r="E89">
        <f ca="1">table_Positions[[#This Row],[temp_lb]]+10+RANDBETWEEN(0,100)*RANDBETWEEN(0,10)-RANDBETWEEN(0,10)</f>
        <v>916</v>
      </c>
      <c r="F89" t="b">
        <f ca="1">COUNTIF(dict_zuord_Meth_Pos[ID_Positions], table_Positions[[#This Row],[ID]]) &gt; 0</f>
        <v>1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0</v>
      </c>
      <c r="D90">
        <f t="shared" ca="1" si="1"/>
        <v>18</v>
      </c>
      <c r="E90">
        <f ca="1">table_Positions[[#This Row],[temp_lb]]+10+RANDBETWEEN(0,100)*RANDBETWEEN(0,10)-RANDBETWEEN(0,10)</f>
        <v>110</v>
      </c>
      <c r="F90" t="b">
        <f ca="1">COUNTIF(dict_zuord_Meth_Pos[ID_Positions], table_Positions[[#This Row],[ID]]) &gt; 0</f>
        <v>1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0</v>
      </c>
      <c r="D91">
        <f t="shared" ca="1" si="1"/>
        <v>19</v>
      </c>
      <c r="E91">
        <f ca="1">table_Positions[[#This Row],[temp_lb]]+10+RANDBETWEEN(0,100)*RANDBETWEEN(0,10)-RANDBETWEEN(0,10)</f>
        <v>193</v>
      </c>
      <c r="F91" t="b">
        <f ca="1">COUNTIF(dict_zuord_Meth_Pos[ID_Positions], table_Positions[[#This Row],[ID]]) &gt; 0</f>
        <v>1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0</v>
      </c>
      <c r="D92">
        <f t="shared" ca="1" si="1"/>
        <v>39</v>
      </c>
      <c r="E92">
        <f ca="1">table_Positions[[#This Row],[temp_lb]]+10+RANDBETWEEN(0,100)*RANDBETWEEN(0,10)-RANDBETWEEN(0,10)</f>
        <v>355</v>
      </c>
      <c r="F92" t="b">
        <f ca="1">COUNTIF(dict_zuord_Meth_Pos[ID_Positions], table_Positions[[#This Row],[ID]]) &gt; 0</f>
        <v>1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0</v>
      </c>
      <c r="D93">
        <f t="shared" ca="1" si="1"/>
        <v>65</v>
      </c>
      <c r="E93">
        <f ca="1">table_Positions[[#This Row],[temp_lb]]+10+RANDBETWEEN(0,100)*RANDBETWEEN(0,10)-RANDBETWEEN(0,10)</f>
        <v>436</v>
      </c>
      <c r="F93" t="b">
        <f ca="1">COUNTIF(dict_zuord_Meth_Pos[ID_Positions], table_Positions[[#This Row],[ID]]) &gt; 0</f>
        <v>1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0</v>
      </c>
      <c r="D94">
        <f t="shared" ca="1" si="1"/>
        <v>31</v>
      </c>
      <c r="E94">
        <f ca="1">table_Positions[[#This Row],[temp_lb]]+10+RANDBETWEEN(0,100)*RANDBETWEEN(0,10)-RANDBETWEEN(0,10)</f>
        <v>90</v>
      </c>
      <c r="F94" t="b">
        <f ca="1">COUNTIF(dict_zuord_Meth_Pos[ID_Positions], table_Positions[[#This Row],[ID]]) &gt; 0</f>
        <v>1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0</v>
      </c>
      <c r="D95">
        <f t="shared" ca="1" si="1"/>
        <v>13</v>
      </c>
      <c r="E95">
        <f ca="1">table_Positions[[#This Row],[temp_lb]]+10+RANDBETWEEN(0,100)*RANDBETWEEN(0,10)-RANDBETWEEN(0,10)</f>
        <v>668</v>
      </c>
      <c r="F95" t="b">
        <f ca="1">COUNTIF(dict_zuord_Meth_Pos[ID_Positions], table_Positions[[#This Row],[ID]]) &gt; 0</f>
        <v>1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0</v>
      </c>
      <c r="D96">
        <f t="shared" ca="1" si="1"/>
        <v>36</v>
      </c>
      <c r="E96">
        <f ca="1">table_Positions[[#This Row],[temp_lb]]+10+RANDBETWEEN(0,100)*RANDBETWEEN(0,10)-RANDBETWEEN(0,10)</f>
        <v>877</v>
      </c>
      <c r="F96" t="b">
        <f ca="1">COUNTIF(dict_zuord_Meth_Pos[ID_Positions], table_Positions[[#This Row],[ID]]) &gt; 0</f>
        <v>1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0</v>
      </c>
      <c r="D97">
        <f t="shared" ca="1" si="1"/>
        <v>90</v>
      </c>
      <c r="E97">
        <f ca="1">table_Positions[[#This Row],[temp_lb]]+10+RANDBETWEEN(0,100)*RANDBETWEEN(0,10)-RANDBETWEEN(0,10)</f>
        <v>224</v>
      </c>
      <c r="F97" t="b">
        <f ca="1">COUNTIF(dict_zuord_Meth_Pos[ID_Positions], table_Positions[[#This Row],[ID]]) &gt; 0</f>
        <v>1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0</v>
      </c>
      <c r="D98">
        <f t="shared" ca="1" si="1"/>
        <v>20</v>
      </c>
      <c r="E98">
        <f ca="1">table_Positions[[#This Row],[temp_lb]]+10+RANDBETWEEN(0,100)*RANDBETWEEN(0,10)-RANDBETWEEN(0,10)</f>
        <v>253</v>
      </c>
      <c r="F98" t="b">
        <f ca="1">COUNTIF(dict_zuord_Meth_Pos[ID_Positions], table_Positions[[#This Row],[ID]]) &gt; 0</f>
        <v>1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0</v>
      </c>
      <c r="D99">
        <f t="shared" ca="1" si="1"/>
        <v>17</v>
      </c>
      <c r="E99">
        <f ca="1">table_Positions[[#This Row],[temp_lb]]+10+RANDBETWEEN(0,100)*RANDBETWEEN(0,10)-RANDBETWEEN(0,10)</f>
        <v>37</v>
      </c>
      <c r="F99" t="b">
        <f ca="1">COUNTIF(dict_zuord_Meth_Pos[ID_Positions], table_Positions[[#This Row],[ID]]) &gt; 0</f>
        <v>1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0</v>
      </c>
      <c r="D100">
        <f t="shared" ca="1" si="1"/>
        <v>17</v>
      </c>
      <c r="E100">
        <f ca="1">table_Positions[[#This Row],[temp_lb]]+10+RANDBETWEEN(0,100)*RANDBETWEEN(0,10)-RANDBETWEEN(0,10)</f>
        <v>85</v>
      </c>
      <c r="F100" t="b">
        <f ca="1">COUNTIF(dict_zuord_Meth_Pos[ID_Positions], table_Positions[[#This Row],[ID]]) &gt; 0</f>
        <v>1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1</v>
      </c>
      <c r="D101">
        <f t="shared" ca="1" si="1"/>
        <v>9</v>
      </c>
      <c r="E101">
        <f ca="1">table_Positions[[#This Row],[temp_lb]]+10+RANDBETWEEN(0,100)*RANDBETWEEN(0,10)-RANDBETWEEN(0,10)</f>
        <v>16</v>
      </c>
      <c r="F101" t="b">
        <f ca="1">COUNTIF(dict_zuord_Meth_Pos[ID_Positions], table_Positions[[#This Row],[ID]]) &gt; 0</f>
        <v>1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0</v>
      </c>
      <c r="D102">
        <f t="shared" ca="1" si="1"/>
        <v>42</v>
      </c>
      <c r="E102">
        <f ca="1">table_Positions[[#This Row],[temp_lb]]+10+RANDBETWEEN(0,100)*RANDBETWEEN(0,10)-RANDBETWEEN(0,10)</f>
        <v>406</v>
      </c>
      <c r="F102" t="b">
        <f ca="1">COUNTIF(dict_zuord_Meth_Pos[ID_Positions], table_Positions[[#This Row],[ID]]) &gt; 0</f>
        <v>1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0</v>
      </c>
      <c r="D103">
        <f t="shared" ca="1" si="1"/>
        <v>23</v>
      </c>
      <c r="E103">
        <f ca="1">table_Positions[[#This Row],[temp_lb]]+10+RANDBETWEEN(0,100)*RANDBETWEEN(0,10)-RANDBETWEEN(0,10)</f>
        <v>438</v>
      </c>
      <c r="F103" t="b">
        <f ca="1">COUNTIF(dict_zuord_Meth_Pos[ID_Positions], table_Positions[[#This Row],[ID]]) &gt; 0</f>
        <v>1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0</v>
      </c>
      <c r="D104">
        <f t="shared" ca="1" si="1"/>
        <v>9</v>
      </c>
      <c r="E104">
        <f ca="1">table_Positions[[#This Row],[temp_lb]]+10+RANDBETWEEN(0,100)*RANDBETWEEN(0,10)-RANDBETWEEN(0,10)</f>
        <v>122</v>
      </c>
      <c r="F104" t="b">
        <f ca="1">COUNTIF(dict_zuord_Meth_Pos[ID_Positions], table_Positions[[#This Row],[ID]]) &gt; 0</f>
        <v>1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0</v>
      </c>
      <c r="D105">
        <f t="shared" ca="1" si="1"/>
        <v>33</v>
      </c>
      <c r="E105">
        <f ca="1">table_Positions[[#This Row],[temp_lb]]+10+RANDBETWEEN(0,100)*RANDBETWEEN(0,10)-RANDBETWEEN(0,10)</f>
        <v>300</v>
      </c>
      <c r="F105" t="b">
        <f ca="1">COUNTIF(dict_zuord_Meth_Pos[ID_Positions], table_Positions[[#This Row],[ID]]) &gt; 0</f>
        <v>1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0</v>
      </c>
      <c r="D106">
        <f t="shared" ca="1" si="1"/>
        <v>2</v>
      </c>
      <c r="E106">
        <f ca="1">table_Positions[[#This Row],[temp_lb]]+10+RANDBETWEEN(0,100)*RANDBETWEEN(0,10)-RANDBETWEEN(0,10)</f>
        <v>465</v>
      </c>
      <c r="F106" t="b">
        <f ca="1">COUNTIF(dict_zuord_Meth_Pos[ID_Positions], table_Positions[[#This Row],[ID]]) &gt; 0</f>
        <v>1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0</v>
      </c>
      <c r="D107">
        <f t="shared" ca="1" si="1"/>
        <v>23</v>
      </c>
      <c r="E107">
        <f ca="1">table_Positions[[#This Row],[temp_lb]]+10+RANDBETWEEN(0,100)*RANDBETWEEN(0,10)-RANDBETWEEN(0,10)</f>
        <v>273</v>
      </c>
      <c r="F107" t="b">
        <f ca="1">COUNTIF(dict_zuord_Meth_Pos[ID_Positions], table_Positions[[#This Row],[ID]]) &gt; 0</f>
        <v>1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0</v>
      </c>
      <c r="D108">
        <f t="shared" ca="1" si="1"/>
        <v>0</v>
      </c>
      <c r="E108">
        <f ca="1">table_Positions[[#This Row],[temp_lb]]+10+RANDBETWEEN(0,100)*RANDBETWEEN(0,10)-RANDBETWEEN(0,10)</f>
        <v>6</v>
      </c>
      <c r="F108" t="b">
        <f ca="1">COUNTIF(dict_zuord_Meth_Pos[ID_Positions], table_Positions[[#This Row],[ID]]) &gt; 0</f>
        <v>1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0</v>
      </c>
      <c r="D109">
        <f t="shared" ca="1" si="1"/>
        <v>13</v>
      </c>
      <c r="E109">
        <f ca="1">table_Positions[[#This Row],[temp_lb]]+10+RANDBETWEEN(0,100)*RANDBETWEEN(0,10)-RANDBETWEEN(0,10)</f>
        <v>519</v>
      </c>
      <c r="F109" t="b">
        <f ca="1">COUNTIF(dict_zuord_Meth_Pos[ID_Positions], table_Positions[[#This Row],[ID]]) &gt; 0</f>
        <v>1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0</v>
      </c>
      <c r="D110">
        <f t="shared" ca="1" si="1"/>
        <v>42</v>
      </c>
      <c r="E110">
        <f ca="1">table_Positions[[#This Row],[temp_lb]]+10+RANDBETWEEN(0,100)*RANDBETWEEN(0,10)-RANDBETWEEN(0,10)</f>
        <v>299</v>
      </c>
      <c r="F110" t="b">
        <f ca="1">COUNTIF(dict_zuord_Meth_Pos[ID_Positions], table_Positions[[#This Row],[ID]]) &gt; 0</f>
        <v>1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0</v>
      </c>
      <c r="D111">
        <f t="shared" ca="1" si="1"/>
        <v>75</v>
      </c>
      <c r="E111">
        <f ca="1">table_Positions[[#This Row],[temp_lb]]+10+RANDBETWEEN(0,100)*RANDBETWEEN(0,10)-RANDBETWEEN(0,10)</f>
        <v>75</v>
      </c>
      <c r="F111" t="b">
        <f ca="1">COUNTIF(dict_zuord_Meth_Pos[ID_Positions], table_Positions[[#This Row],[ID]]) &gt; 0</f>
        <v>1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0</v>
      </c>
      <c r="D112">
        <f t="shared" ca="1" si="1"/>
        <v>34</v>
      </c>
      <c r="E112">
        <f ca="1">table_Positions[[#This Row],[temp_lb]]+10+RANDBETWEEN(0,100)*RANDBETWEEN(0,10)-RANDBETWEEN(0,10)</f>
        <v>290</v>
      </c>
      <c r="F112" t="b">
        <f ca="1">COUNTIF(dict_zuord_Meth_Pos[ID_Positions], table_Positions[[#This Row],[ID]]) &gt; 0</f>
        <v>1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0</v>
      </c>
      <c r="D113">
        <f t="shared" ca="1" si="1"/>
        <v>17</v>
      </c>
      <c r="E113">
        <f ca="1">table_Positions[[#This Row],[temp_lb]]+10+RANDBETWEEN(0,100)*RANDBETWEEN(0,10)-RANDBETWEEN(0,10)</f>
        <v>277</v>
      </c>
      <c r="F113" t="b">
        <f ca="1">COUNTIF(dict_zuord_Meth_Pos[ID_Positions], table_Positions[[#This Row],[ID]]) &gt; 0</f>
        <v>1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0</v>
      </c>
      <c r="D114">
        <f t="shared" ca="1" si="1"/>
        <v>62</v>
      </c>
      <c r="E114">
        <f ca="1">table_Positions[[#This Row],[temp_lb]]+10+RANDBETWEEN(0,100)*RANDBETWEEN(0,10)-RANDBETWEEN(0,10)</f>
        <v>71</v>
      </c>
      <c r="F114" t="b">
        <f ca="1">COUNTIF(dict_zuord_Meth_Pos[ID_Positions], table_Positions[[#This Row],[ID]]) &gt; 0</f>
        <v>1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0</v>
      </c>
      <c r="D115">
        <f t="shared" ca="1" si="1"/>
        <v>14</v>
      </c>
      <c r="E115">
        <f ca="1">table_Positions[[#This Row],[temp_lb]]+10+RANDBETWEEN(0,100)*RANDBETWEEN(0,10)-RANDBETWEEN(0,10)</f>
        <v>186</v>
      </c>
      <c r="F115" t="b">
        <f ca="1">COUNTIF(dict_zuord_Meth_Pos[ID_Positions], table_Positions[[#This Row],[ID]]) &gt; 0</f>
        <v>1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0</v>
      </c>
      <c r="D116">
        <f t="shared" ca="1" si="1"/>
        <v>17</v>
      </c>
      <c r="E116">
        <f ca="1">table_Positions[[#This Row],[temp_lb]]+10+RANDBETWEEN(0,100)*RANDBETWEEN(0,10)-RANDBETWEEN(0,10)</f>
        <v>625</v>
      </c>
      <c r="F116" t="b">
        <f ca="1">COUNTIF(dict_zuord_Meth_Pos[ID_Positions], table_Positions[[#This Row],[ID]]) &gt; 0</f>
        <v>1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0</v>
      </c>
      <c r="D117">
        <f t="shared" ca="1" si="1"/>
        <v>6</v>
      </c>
      <c r="E117">
        <f ca="1">table_Positions[[#This Row],[temp_lb]]+10+RANDBETWEEN(0,100)*RANDBETWEEN(0,10)-RANDBETWEEN(0,10)</f>
        <v>263</v>
      </c>
      <c r="F117" t="b">
        <f ca="1">COUNTIF(dict_zuord_Meth_Pos[ID_Positions], table_Positions[[#This Row],[ID]]) &gt; 0</f>
        <v>1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0</v>
      </c>
      <c r="D118">
        <f t="shared" ca="1" si="1"/>
        <v>64</v>
      </c>
      <c r="E118">
        <f ca="1">table_Positions[[#This Row],[temp_lb]]+10+RANDBETWEEN(0,100)*RANDBETWEEN(0,10)-RANDBETWEEN(0,10)</f>
        <v>139</v>
      </c>
      <c r="F118" t="b">
        <f ca="1">COUNTIF(dict_zuord_Meth_Pos[ID_Positions], table_Positions[[#This Row],[ID]]) &gt; 0</f>
        <v>1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0</v>
      </c>
      <c r="D119">
        <f t="shared" ca="1" si="1"/>
        <v>6</v>
      </c>
      <c r="E119">
        <f ca="1">table_Positions[[#This Row],[temp_lb]]+10+RANDBETWEEN(0,100)*RANDBETWEEN(0,10)-RANDBETWEEN(0,10)</f>
        <v>569</v>
      </c>
      <c r="F119" t="b">
        <f ca="1">COUNTIF(dict_zuord_Meth_Pos[ID_Positions], table_Positions[[#This Row],[ID]]) &gt; 0</f>
        <v>1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0</v>
      </c>
      <c r="D120">
        <f t="shared" ca="1" si="1"/>
        <v>92</v>
      </c>
      <c r="E120">
        <f ca="1">table_Positions[[#This Row],[temp_lb]]+10+RANDBETWEEN(0,100)*RANDBETWEEN(0,10)-RANDBETWEEN(0,10)</f>
        <v>697</v>
      </c>
      <c r="F120" t="b">
        <f ca="1">COUNTIF(dict_zuord_Meth_Pos[ID_Positions], table_Positions[[#This Row],[ID]]) &gt; 0</f>
        <v>1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0</v>
      </c>
      <c r="D121">
        <f t="shared" ca="1" si="1"/>
        <v>6</v>
      </c>
      <c r="E121">
        <f ca="1">table_Positions[[#This Row],[temp_lb]]+10+RANDBETWEEN(0,100)*RANDBETWEEN(0,10)-RANDBETWEEN(0,10)</f>
        <v>160</v>
      </c>
      <c r="F121" t="b">
        <f ca="1">COUNTIF(dict_zuord_Meth_Pos[ID_Positions], table_Positions[[#This Row],[ID]]) &gt; 0</f>
        <v>1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0</v>
      </c>
      <c r="D122">
        <f t="shared" ca="1" si="1"/>
        <v>26</v>
      </c>
      <c r="E122">
        <f ca="1">table_Positions[[#This Row],[temp_lb]]+10+RANDBETWEEN(0,100)*RANDBETWEEN(0,10)-RANDBETWEEN(0,10)</f>
        <v>32</v>
      </c>
      <c r="F122" t="b">
        <f ca="1">COUNTIF(dict_zuord_Meth_Pos[ID_Positions], table_Positions[[#This Row],[ID]]) &gt; 0</f>
        <v>1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0</v>
      </c>
      <c r="D123">
        <f t="shared" ca="1" si="1"/>
        <v>37</v>
      </c>
      <c r="E123">
        <f ca="1">table_Positions[[#This Row],[temp_lb]]+10+RANDBETWEEN(0,100)*RANDBETWEEN(0,10)-RANDBETWEEN(0,10)</f>
        <v>44</v>
      </c>
      <c r="F123" t="b">
        <f ca="1">COUNTIF(dict_zuord_Meth_Pos[ID_Positions], table_Positions[[#This Row],[ID]]) &gt; 0</f>
        <v>1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0</v>
      </c>
      <c r="D124">
        <f t="shared" ca="1" si="1"/>
        <v>17</v>
      </c>
      <c r="E124">
        <f ca="1">table_Positions[[#This Row],[temp_lb]]+10+RANDBETWEEN(0,100)*RANDBETWEEN(0,10)-RANDBETWEEN(0,10)</f>
        <v>345</v>
      </c>
      <c r="F124" t="b">
        <f ca="1">COUNTIF(dict_zuord_Meth_Pos[ID_Positions], table_Positions[[#This Row],[ID]]) &gt; 0</f>
        <v>1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0</v>
      </c>
      <c r="D125">
        <f t="shared" ca="1" si="1"/>
        <v>47</v>
      </c>
      <c r="E125">
        <f ca="1">table_Positions[[#This Row],[temp_lb]]+10+RANDBETWEEN(0,100)*RANDBETWEEN(0,10)-RANDBETWEEN(0,10)</f>
        <v>305</v>
      </c>
      <c r="F125" t="b">
        <f ca="1">COUNTIF(dict_zuord_Meth_Pos[ID_Positions], table_Positions[[#This Row],[ID]]) &gt; 0</f>
        <v>1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0</v>
      </c>
      <c r="D126">
        <f t="shared" ca="1" si="1"/>
        <v>57</v>
      </c>
      <c r="E126">
        <f ca="1">table_Positions[[#This Row],[temp_lb]]+10+RANDBETWEEN(0,100)*RANDBETWEEN(0,10)-RANDBETWEEN(0,10)</f>
        <v>96</v>
      </c>
      <c r="F126" t="b">
        <f ca="1">COUNTIF(dict_zuord_Meth_Pos[ID_Positions], table_Positions[[#This Row],[ID]]) &gt; 0</f>
        <v>1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1</v>
      </c>
      <c r="D127">
        <f t="shared" ca="1" si="1"/>
        <v>97</v>
      </c>
      <c r="E127">
        <f ca="1">table_Positions[[#This Row],[temp_lb]]+10+RANDBETWEEN(0,100)*RANDBETWEEN(0,10)-RANDBETWEEN(0,10)</f>
        <v>134</v>
      </c>
      <c r="F127" t="b">
        <f ca="1">COUNTIF(dict_zuord_Meth_Pos[ID_Positions], table_Positions[[#This Row],[ID]]) &gt; 0</f>
        <v>1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0</v>
      </c>
      <c r="D128">
        <f t="shared" ca="1" si="1"/>
        <v>68</v>
      </c>
      <c r="E128">
        <f ca="1">table_Positions[[#This Row],[temp_lb]]+10+RANDBETWEEN(0,100)*RANDBETWEEN(0,10)-RANDBETWEEN(0,10)</f>
        <v>337</v>
      </c>
      <c r="F128" t="b">
        <f ca="1">COUNTIF(dict_zuord_Meth_Pos[ID_Positions], table_Positions[[#This Row],[ID]]) &gt; 0</f>
        <v>1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0</v>
      </c>
      <c r="D129">
        <f t="shared" ca="1" si="1"/>
        <v>56</v>
      </c>
      <c r="E129">
        <f ca="1">table_Positions[[#This Row],[temp_lb]]+10+RANDBETWEEN(0,100)*RANDBETWEEN(0,10)-RANDBETWEEN(0,10)</f>
        <v>236</v>
      </c>
      <c r="F129" t="b">
        <f ca="1">COUNTIF(dict_zuord_Meth_Pos[ID_Positions], table_Positions[[#This Row],[ID]]) &gt; 0</f>
        <v>1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0</v>
      </c>
      <c r="D130">
        <f t="shared" ref="D130:D193" ca="1" si="2">20+RANDBETWEEN(0,10)*RANDBETWEEN(0,10)-RANDBETWEEN(0,20)</f>
        <v>31</v>
      </c>
      <c r="E130">
        <f ca="1">table_Positions[[#This Row],[temp_lb]]+10+RANDBETWEEN(0,100)*RANDBETWEEN(0,10)-RANDBETWEEN(0,10)</f>
        <v>371</v>
      </c>
      <c r="F130" t="b">
        <f ca="1">COUNTIF(dict_zuord_Meth_Pos[ID_Positions], table_Positions[[#This Row],[ID]]) &gt; 0</f>
        <v>1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0</v>
      </c>
      <c r="D131">
        <f t="shared" ca="1" si="2"/>
        <v>86</v>
      </c>
      <c r="E131">
        <f ca="1">table_Positions[[#This Row],[temp_lb]]+10+RANDBETWEEN(0,100)*RANDBETWEEN(0,10)-RANDBETWEEN(0,10)</f>
        <v>442</v>
      </c>
      <c r="F131" t="b">
        <f ca="1">COUNTIF(dict_zuord_Meth_Pos[ID_Positions], table_Positions[[#This Row],[ID]]) &gt; 0</f>
        <v>1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0</v>
      </c>
      <c r="D132">
        <f t="shared" ca="1" si="2"/>
        <v>28</v>
      </c>
      <c r="E132">
        <f ca="1">table_Positions[[#This Row],[temp_lb]]+10+RANDBETWEEN(0,100)*RANDBETWEEN(0,10)-RANDBETWEEN(0,10)</f>
        <v>224</v>
      </c>
      <c r="F132" t="b">
        <f ca="1">COUNTIF(dict_zuord_Meth_Pos[ID_Positions], table_Positions[[#This Row],[ID]]) &gt; 0</f>
        <v>1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0</v>
      </c>
      <c r="D133">
        <f t="shared" ca="1" si="2"/>
        <v>17</v>
      </c>
      <c r="E133">
        <f ca="1">table_Positions[[#This Row],[temp_lb]]+10+RANDBETWEEN(0,100)*RANDBETWEEN(0,10)-RANDBETWEEN(0,10)</f>
        <v>407</v>
      </c>
      <c r="F133" t="b">
        <f ca="1">COUNTIF(dict_zuord_Meth_Pos[ID_Positions], table_Positions[[#This Row],[ID]]) &gt; 0</f>
        <v>1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1</v>
      </c>
      <c r="D134">
        <f t="shared" ca="1" si="2"/>
        <v>37</v>
      </c>
      <c r="E134">
        <f ca="1">table_Positions[[#This Row],[temp_lb]]+10+RANDBETWEEN(0,100)*RANDBETWEEN(0,10)-RANDBETWEEN(0,10)</f>
        <v>690</v>
      </c>
      <c r="F134" t="b">
        <f ca="1">COUNTIF(dict_zuord_Meth_Pos[ID_Positions], table_Positions[[#This Row],[ID]]) &gt; 0</f>
        <v>1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0</v>
      </c>
      <c r="D135">
        <f t="shared" ca="1" si="2"/>
        <v>25</v>
      </c>
      <c r="E135">
        <f ca="1">table_Positions[[#This Row],[temp_lb]]+10+RANDBETWEEN(0,100)*RANDBETWEEN(0,10)-RANDBETWEEN(0,10)</f>
        <v>52</v>
      </c>
      <c r="F135" t="b">
        <f ca="1">COUNTIF(dict_zuord_Meth_Pos[ID_Positions], table_Positions[[#This Row],[ID]]) &gt; 0</f>
        <v>1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0</v>
      </c>
      <c r="D136">
        <f t="shared" ca="1" si="2"/>
        <v>20</v>
      </c>
      <c r="E136">
        <f ca="1">table_Positions[[#This Row],[temp_lb]]+10+RANDBETWEEN(0,100)*RANDBETWEEN(0,10)-RANDBETWEEN(0,10)</f>
        <v>63</v>
      </c>
      <c r="F136" t="b">
        <f ca="1">COUNTIF(dict_zuord_Meth_Pos[ID_Positions], table_Positions[[#This Row],[ID]]) &gt; 0</f>
        <v>1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0</v>
      </c>
      <c r="D137">
        <f t="shared" ca="1" si="2"/>
        <v>55</v>
      </c>
      <c r="E137">
        <f ca="1">table_Positions[[#This Row],[temp_lb]]+10+RANDBETWEEN(0,100)*RANDBETWEEN(0,10)-RANDBETWEEN(0,10)</f>
        <v>531</v>
      </c>
      <c r="F137" t="b">
        <f ca="1">COUNTIF(dict_zuord_Meth_Pos[ID_Positions], table_Positions[[#This Row],[ID]]) &gt; 0</f>
        <v>1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0</v>
      </c>
      <c r="D138">
        <f t="shared" ca="1" si="2"/>
        <v>23</v>
      </c>
      <c r="E138">
        <f ca="1">table_Positions[[#This Row],[temp_lb]]+10+RANDBETWEEN(0,100)*RANDBETWEEN(0,10)-RANDBETWEEN(0,10)</f>
        <v>42</v>
      </c>
      <c r="F138" t="b">
        <f ca="1">COUNTIF(dict_zuord_Meth_Pos[ID_Positions], table_Positions[[#This Row],[ID]]) &gt; 0</f>
        <v>1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0</v>
      </c>
      <c r="D139">
        <f t="shared" ca="1" si="2"/>
        <v>12</v>
      </c>
      <c r="E139">
        <f ca="1">table_Positions[[#This Row],[temp_lb]]+10+RANDBETWEEN(0,100)*RANDBETWEEN(0,10)-RANDBETWEEN(0,10)</f>
        <v>136</v>
      </c>
      <c r="F139" t="b">
        <f ca="1">COUNTIF(dict_zuord_Meth_Pos[ID_Positions], table_Positions[[#This Row],[ID]]) &gt; 0</f>
        <v>1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0</v>
      </c>
      <c r="D140">
        <f t="shared" ca="1" si="2"/>
        <v>67</v>
      </c>
      <c r="E140">
        <f ca="1">table_Positions[[#This Row],[temp_lb]]+10+RANDBETWEEN(0,100)*RANDBETWEEN(0,10)-RANDBETWEEN(0,10)</f>
        <v>75</v>
      </c>
      <c r="F140" t="b">
        <f ca="1">COUNTIF(dict_zuord_Meth_Pos[ID_Positions], table_Positions[[#This Row],[ID]]) &gt; 0</f>
        <v>1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0</v>
      </c>
      <c r="D141">
        <f t="shared" ca="1" si="2"/>
        <v>28</v>
      </c>
      <c r="E141">
        <f ca="1">table_Positions[[#This Row],[temp_lb]]+10+RANDBETWEEN(0,100)*RANDBETWEEN(0,10)-RANDBETWEEN(0,10)</f>
        <v>181</v>
      </c>
      <c r="F141" t="b">
        <f ca="1">COUNTIF(dict_zuord_Meth_Pos[ID_Positions], table_Positions[[#This Row],[ID]]) &gt; 0</f>
        <v>1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0</v>
      </c>
      <c r="D142">
        <f t="shared" ca="1" si="2"/>
        <v>16</v>
      </c>
      <c r="E142">
        <f ca="1">table_Positions[[#This Row],[temp_lb]]+10+RANDBETWEEN(0,100)*RANDBETWEEN(0,10)-RANDBETWEEN(0,10)</f>
        <v>93</v>
      </c>
      <c r="F142" t="b">
        <f ca="1">COUNTIF(dict_zuord_Meth_Pos[ID_Positions], table_Positions[[#This Row],[ID]]) &gt; 0</f>
        <v>1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0</v>
      </c>
      <c r="D143">
        <f t="shared" ca="1" si="2"/>
        <v>12</v>
      </c>
      <c r="E143">
        <f ca="1">table_Positions[[#This Row],[temp_lb]]+10+RANDBETWEEN(0,100)*RANDBETWEEN(0,10)-RANDBETWEEN(0,10)</f>
        <v>407</v>
      </c>
      <c r="F143" t="b">
        <f ca="1">COUNTIF(dict_zuord_Meth_Pos[ID_Positions], table_Positions[[#This Row],[ID]]) &gt; 0</f>
        <v>1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0</v>
      </c>
      <c r="D144">
        <f t="shared" ca="1" si="2"/>
        <v>22</v>
      </c>
      <c r="E144">
        <f ca="1">table_Positions[[#This Row],[temp_lb]]+10+RANDBETWEEN(0,100)*RANDBETWEEN(0,10)-RANDBETWEEN(0,10)</f>
        <v>535</v>
      </c>
      <c r="F144" t="b">
        <f ca="1">COUNTIF(dict_zuord_Meth_Pos[ID_Positions], table_Positions[[#This Row],[ID]]) &gt; 0</f>
        <v>1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0</v>
      </c>
      <c r="D145">
        <f t="shared" ca="1" si="2"/>
        <v>23</v>
      </c>
      <c r="E145">
        <f ca="1">table_Positions[[#This Row],[temp_lb]]+10+RANDBETWEEN(0,100)*RANDBETWEEN(0,10)-RANDBETWEEN(0,10)</f>
        <v>126</v>
      </c>
      <c r="F145" t="b">
        <f ca="1">COUNTIF(dict_zuord_Meth_Pos[ID_Positions], table_Positions[[#This Row],[ID]]) &gt; 0</f>
        <v>1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0</v>
      </c>
      <c r="D146">
        <f t="shared" ca="1" si="2"/>
        <v>52</v>
      </c>
      <c r="E146">
        <f ca="1">table_Positions[[#This Row],[temp_lb]]+10+RANDBETWEEN(0,100)*RANDBETWEEN(0,10)-RANDBETWEEN(0,10)</f>
        <v>58</v>
      </c>
      <c r="F146" t="b">
        <f ca="1">COUNTIF(dict_zuord_Meth_Pos[ID_Positions], table_Positions[[#This Row],[ID]]) &gt; 0</f>
        <v>1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0</v>
      </c>
      <c r="D147">
        <f t="shared" ca="1" si="2"/>
        <v>10</v>
      </c>
      <c r="E147">
        <f ca="1">table_Positions[[#This Row],[temp_lb]]+10+RANDBETWEEN(0,100)*RANDBETWEEN(0,10)-RANDBETWEEN(0,10)</f>
        <v>804</v>
      </c>
      <c r="F147" t="b">
        <f ca="1">COUNTIF(dict_zuord_Meth_Pos[ID_Positions], table_Positions[[#This Row],[ID]]) &gt; 0</f>
        <v>1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0</v>
      </c>
      <c r="D148">
        <f t="shared" ca="1" si="2"/>
        <v>13</v>
      </c>
      <c r="E148">
        <f ca="1">table_Positions[[#This Row],[temp_lb]]+10+RANDBETWEEN(0,100)*RANDBETWEEN(0,10)-RANDBETWEEN(0,10)</f>
        <v>77</v>
      </c>
      <c r="F148" t="b">
        <f ca="1">COUNTIF(dict_zuord_Meth_Pos[ID_Positions], table_Positions[[#This Row],[ID]]) &gt; 0</f>
        <v>1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0</v>
      </c>
      <c r="D149">
        <f t="shared" ca="1" si="2"/>
        <v>58</v>
      </c>
      <c r="E149">
        <f ca="1">table_Positions[[#This Row],[temp_lb]]+10+RANDBETWEEN(0,100)*RANDBETWEEN(0,10)-RANDBETWEEN(0,10)</f>
        <v>616</v>
      </c>
      <c r="F149" t="b">
        <f ca="1">COUNTIF(dict_zuord_Meth_Pos[ID_Positions], table_Positions[[#This Row],[ID]]) &gt; 0</f>
        <v>1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0</v>
      </c>
      <c r="D150">
        <f t="shared" ca="1" si="2"/>
        <v>16</v>
      </c>
      <c r="E150">
        <f ca="1">table_Positions[[#This Row],[temp_lb]]+10+RANDBETWEEN(0,100)*RANDBETWEEN(0,10)-RANDBETWEEN(0,10)</f>
        <v>23</v>
      </c>
      <c r="F150" t="b">
        <f ca="1">COUNTIF(dict_zuord_Meth_Pos[ID_Positions], table_Positions[[#This Row],[ID]]) &gt; 0</f>
        <v>1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0</v>
      </c>
      <c r="D151">
        <f t="shared" ca="1" si="2"/>
        <v>21</v>
      </c>
      <c r="E151">
        <f ca="1">table_Positions[[#This Row],[temp_lb]]+10+RANDBETWEEN(0,100)*RANDBETWEEN(0,10)-RANDBETWEEN(0,10)</f>
        <v>36</v>
      </c>
      <c r="F151" t="b">
        <f ca="1">COUNTIF(dict_zuord_Meth_Pos[ID_Positions], table_Positions[[#This Row],[ID]]) &gt; 0</f>
        <v>1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0</v>
      </c>
      <c r="D152">
        <f t="shared" ca="1" si="2"/>
        <v>0</v>
      </c>
      <c r="E152">
        <f ca="1">table_Positions[[#This Row],[temp_lb]]+10+RANDBETWEEN(0,100)*RANDBETWEEN(0,10)-RANDBETWEEN(0,10)</f>
        <v>23</v>
      </c>
      <c r="F152" t="b">
        <f ca="1">COUNTIF(dict_zuord_Meth_Pos[ID_Positions], table_Positions[[#This Row],[ID]]) &gt; 0</f>
        <v>1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0</v>
      </c>
      <c r="D153">
        <f t="shared" ca="1" si="2"/>
        <v>48</v>
      </c>
      <c r="E153">
        <f ca="1">table_Positions[[#This Row],[temp_lb]]+10+RANDBETWEEN(0,100)*RANDBETWEEN(0,10)-RANDBETWEEN(0,10)</f>
        <v>429</v>
      </c>
      <c r="F153" t="b">
        <f ca="1">COUNTIF(dict_zuord_Meth_Pos[ID_Positions], table_Positions[[#This Row],[ID]]) &gt; 0</f>
        <v>1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0</v>
      </c>
      <c r="D154">
        <f t="shared" ca="1" si="2"/>
        <v>6</v>
      </c>
      <c r="E154">
        <f ca="1">table_Positions[[#This Row],[temp_lb]]+10+RANDBETWEEN(0,100)*RANDBETWEEN(0,10)-RANDBETWEEN(0,10)</f>
        <v>746</v>
      </c>
      <c r="F154" t="b">
        <f ca="1">COUNTIF(dict_zuord_Meth_Pos[ID_Positions], table_Positions[[#This Row],[ID]]) &gt; 0</f>
        <v>1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0</v>
      </c>
      <c r="D155">
        <f t="shared" ca="1" si="2"/>
        <v>17</v>
      </c>
      <c r="E155">
        <f ca="1">table_Positions[[#This Row],[temp_lb]]+10+RANDBETWEEN(0,100)*RANDBETWEEN(0,10)-RANDBETWEEN(0,10)</f>
        <v>123</v>
      </c>
      <c r="F155" t="b">
        <f ca="1">COUNTIF(dict_zuord_Meth_Pos[ID_Positions], table_Positions[[#This Row],[ID]]) &gt; 0</f>
        <v>1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0</v>
      </c>
      <c r="D156">
        <f t="shared" ca="1" si="2"/>
        <v>40</v>
      </c>
      <c r="E156">
        <f ca="1">table_Positions[[#This Row],[temp_lb]]+10+RANDBETWEEN(0,100)*RANDBETWEEN(0,10)-RANDBETWEEN(0,10)</f>
        <v>257</v>
      </c>
      <c r="F156" t="b">
        <f ca="1">COUNTIF(dict_zuord_Meth_Pos[ID_Positions], table_Positions[[#This Row],[ID]]) &gt; 0</f>
        <v>1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0</v>
      </c>
      <c r="D157">
        <f t="shared" ca="1" si="2"/>
        <v>24</v>
      </c>
      <c r="E157">
        <f ca="1">table_Positions[[#This Row],[temp_lb]]+10+RANDBETWEEN(0,100)*RANDBETWEEN(0,10)-RANDBETWEEN(0,10)</f>
        <v>130</v>
      </c>
      <c r="F157" t="b">
        <f ca="1">COUNTIF(dict_zuord_Meth_Pos[ID_Positions], table_Positions[[#This Row],[ID]]) &gt; 0</f>
        <v>1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0</v>
      </c>
      <c r="D158">
        <f t="shared" ca="1" si="2"/>
        <v>27</v>
      </c>
      <c r="E158">
        <f ca="1">table_Positions[[#This Row],[temp_lb]]+10+RANDBETWEEN(0,100)*RANDBETWEEN(0,10)-RANDBETWEEN(0,10)</f>
        <v>403</v>
      </c>
      <c r="F158" t="b">
        <f ca="1">COUNTIF(dict_zuord_Meth_Pos[ID_Positions], table_Positions[[#This Row],[ID]]) &gt; 0</f>
        <v>1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0</v>
      </c>
      <c r="D159">
        <f t="shared" ca="1" si="2"/>
        <v>34</v>
      </c>
      <c r="E159">
        <f ca="1">table_Positions[[#This Row],[temp_lb]]+10+RANDBETWEEN(0,100)*RANDBETWEEN(0,10)-RANDBETWEEN(0,10)</f>
        <v>170</v>
      </c>
      <c r="F159" t="b">
        <f ca="1">COUNTIF(dict_zuord_Meth_Pos[ID_Positions], table_Positions[[#This Row],[ID]]) &gt; 0</f>
        <v>1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0</v>
      </c>
      <c r="D160">
        <f t="shared" ca="1" si="2"/>
        <v>26</v>
      </c>
      <c r="E160">
        <f ca="1">table_Positions[[#This Row],[temp_lb]]+10+RANDBETWEEN(0,100)*RANDBETWEEN(0,10)-RANDBETWEEN(0,10)</f>
        <v>410</v>
      </c>
      <c r="F160" t="b">
        <f ca="1">COUNTIF(dict_zuord_Meth_Pos[ID_Positions], table_Positions[[#This Row],[ID]]) &gt; 0</f>
        <v>1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0</v>
      </c>
      <c r="D161">
        <f t="shared" ca="1" si="2"/>
        <v>25</v>
      </c>
      <c r="E161">
        <f ca="1">table_Positions[[#This Row],[temp_lb]]+10+RANDBETWEEN(0,100)*RANDBETWEEN(0,10)-RANDBETWEEN(0,10)</f>
        <v>87</v>
      </c>
      <c r="F161" t="b">
        <f ca="1">COUNTIF(dict_zuord_Meth_Pos[ID_Positions], table_Positions[[#This Row],[ID]]) &gt; 0</f>
        <v>1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0</v>
      </c>
      <c r="D162">
        <f t="shared" ca="1" si="2"/>
        <v>14</v>
      </c>
      <c r="E162">
        <f ca="1">table_Positions[[#This Row],[temp_lb]]+10+RANDBETWEEN(0,100)*RANDBETWEEN(0,10)-RANDBETWEEN(0,10)</f>
        <v>208</v>
      </c>
      <c r="F162" t="b">
        <f ca="1">COUNTIF(dict_zuord_Meth_Pos[ID_Positions], table_Positions[[#This Row],[ID]]) &gt; 0</f>
        <v>1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0</v>
      </c>
      <c r="D163">
        <f t="shared" ca="1" si="2"/>
        <v>26</v>
      </c>
      <c r="E163">
        <f ca="1">table_Positions[[#This Row],[temp_lb]]+10+RANDBETWEEN(0,100)*RANDBETWEEN(0,10)-RANDBETWEEN(0,10)</f>
        <v>53</v>
      </c>
      <c r="F163" t="b">
        <f ca="1">COUNTIF(dict_zuord_Meth_Pos[ID_Positions], table_Positions[[#This Row],[ID]]) &gt; 0</f>
        <v>1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0</v>
      </c>
      <c r="D164">
        <f t="shared" ca="1" si="2"/>
        <v>7</v>
      </c>
      <c r="E164">
        <f ca="1">table_Positions[[#This Row],[temp_lb]]+10+RANDBETWEEN(0,100)*RANDBETWEEN(0,10)-RANDBETWEEN(0,10)</f>
        <v>13</v>
      </c>
      <c r="F164" t="b">
        <f ca="1">COUNTIF(dict_zuord_Meth_Pos[ID_Positions], table_Positions[[#This Row],[ID]]) &gt; 0</f>
        <v>1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0</v>
      </c>
      <c r="D165">
        <f t="shared" ca="1" si="2"/>
        <v>83</v>
      </c>
      <c r="E165">
        <f ca="1">table_Positions[[#This Row],[temp_lb]]+10+RANDBETWEEN(0,100)*RANDBETWEEN(0,10)-RANDBETWEEN(0,10)</f>
        <v>938</v>
      </c>
      <c r="F165" t="b">
        <f ca="1">COUNTIF(dict_zuord_Meth_Pos[ID_Positions], table_Positions[[#This Row],[ID]]) &gt; 0</f>
        <v>1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0</v>
      </c>
      <c r="D166">
        <f t="shared" ca="1" si="2"/>
        <v>65</v>
      </c>
      <c r="E166">
        <f ca="1">table_Positions[[#This Row],[temp_lb]]+10+RANDBETWEEN(0,100)*RANDBETWEEN(0,10)-RANDBETWEEN(0,10)</f>
        <v>143</v>
      </c>
      <c r="F166" t="b">
        <f ca="1">COUNTIF(dict_zuord_Meth_Pos[ID_Positions], table_Positions[[#This Row],[ID]]) &gt; 0</f>
        <v>1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0</v>
      </c>
      <c r="D167">
        <f t="shared" ca="1" si="2"/>
        <v>37</v>
      </c>
      <c r="E167">
        <f ca="1">table_Positions[[#This Row],[temp_lb]]+10+RANDBETWEEN(0,100)*RANDBETWEEN(0,10)-RANDBETWEEN(0,10)</f>
        <v>295</v>
      </c>
      <c r="F167" t="b">
        <f ca="1">COUNTIF(dict_zuord_Meth_Pos[ID_Positions], table_Positions[[#This Row],[ID]]) &gt; 0</f>
        <v>1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0</v>
      </c>
      <c r="D168">
        <f t="shared" ca="1" si="2"/>
        <v>63</v>
      </c>
      <c r="E168">
        <f ca="1">table_Positions[[#This Row],[temp_lb]]+10+RANDBETWEEN(0,100)*RANDBETWEEN(0,10)-RANDBETWEEN(0,10)</f>
        <v>66</v>
      </c>
      <c r="F168" t="b">
        <f ca="1">COUNTIF(dict_zuord_Meth_Pos[ID_Positions], table_Positions[[#This Row],[ID]]) &gt; 0</f>
        <v>1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0</v>
      </c>
      <c r="D169">
        <f t="shared" ca="1" si="2"/>
        <v>26</v>
      </c>
      <c r="E169">
        <f ca="1">table_Positions[[#This Row],[temp_lb]]+10+RANDBETWEEN(0,100)*RANDBETWEEN(0,10)-RANDBETWEEN(0,10)</f>
        <v>35</v>
      </c>
      <c r="F169" t="b">
        <f ca="1">COUNTIF(dict_zuord_Meth_Pos[ID_Positions], table_Positions[[#This Row],[ID]]) &gt; 0</f>
        <v>1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0</v>
      </c>
      <c r="D170">
        <f t="shared" ca="1" si="2"/>
        <v>42</v>
      </c>
      <c r="E170">
        <f ca="1">table_Positions[[#This Row],[temp_lb]]+10+RANDBETWEEN(0,100)*RANDBETWEEN(0,10)-RANDBETWEEN(0,10)</f>
        <v>132</v>
      </c>
      <c r="F170" t="b">
        <f ca="1">COUNTIF(dict_zuord_Meth_Pos[ID_Positions], table_Positions[[#This Row],[ID]]) &gt; 0</f>
        <v>1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0</v>
      </c>
      <c r="D171">
        <f t="shared" ca="1" si="2"/>
        <v>11</v>
      </c>
      <c r="E171">
        <f ca="1">table_Positions[[#This Row],[temp_lb]]+10+RANDBETWEEN(0,100)*RANDBETWEEN(0,10)-RANDBETWEEN(0,10)</f>
        <v>371</v>
      </c>
      <c r="F171" t="b">
        <f ca="1">COUNTIF(dict_zuord_Meth_Pos[ID_Positions], table_Positions[[#This Row],[ID]]) &gt; 0</f>
        <v>1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0</v>
      </c>
      <c r="D172">
        <f t="shared" ca="1" si="2"/>
        <v>11</v>
      </c>
      <c r="E172">
        <f ca="1">table_Positions[[#This Row],[temp_lb]]+10+RANDBETWEEN(0,100)*RANDBETWEEN(0,10)-RANDBETWEEN(0,10)</f>
        <v>862</v>
      </c>
      <c r="F172" t="b">
        <f ca="1">COUNTIF(dict_zuord_Meth_Pos[ID_Positions], table_Positions[[#This Row],[ID]]) &gt; 0</f>
        <v>1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0</v>
      </c>
      <c r="D173">
        <f t="shared" ca="1" si="2"/>
        <v>10</v>
      </c>
      <c r="E173">
        <f ca="1">table_Positions[[#This Row],[temp_lb]]+10+RANDBETWEEN(0,100)*RANDBETWEEN(0,10)-RANDBETWEEN(0,10)</f>
        <v>113</v>
      </c>
      <c r="F173" t="b">
        <f ca="1">COUNTIF(dict_zuord_Meth_Pos[ID_Positions], table_Positions[[#This Row],[ID]]) &gt; 0</f>
        <v>1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0</v>
      </c>
      <c r="D174">
        <f t="shared" ca="1" si="2"/>
        <v>38</v>
      </c>
      <c r="E174">
        <f ca="1">table_Positions[[#This Row],[temp_lb]]+10+RANDBETWEEN(0,100)*RANDBETWEEN(0,10)-RANDBETWEEN(0,10)</f>
        <v>292</v>
      </c>
      <c r="F174" t="b">
        <f ca="1">COUNTIF(dict_zuord_Meth_Pos[ID_Positions], table_Positions[[#This Row],[ID]]) &gt; 0</f>
        <v>1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0</v>
      </c>
      <c r="D175">
        <f t="shared" ca="1" si="2"/>
        <v>6</v>
      </c>
      <c r="E175">
        <f ca="1">table_Positions[[#This Row],[temp_lb]]+10+RANDBETWEEN(0,100)*RANDBETWEEN(0,10)-RANDBETWEEN(0,10)</f>
        <v>11</v>
      </c>
      <c r="F175" t="b">
        <f ca="1">COUNTIF(dict_zuord_Meth_Pos[ID_Positions], table_Positions[[#This Row],[ID]]) &gt; 0</f>
        <v>1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0</v>
      </c>
      <c r="D176">
        <f t="shared" ca="1" si="2"/>
        <v>7</v>
      </c>
      <c r="E176">
        <f ca="1">table_Positions[[#This Row],[temp_lb]]+10+RANDBETWEEN(0,100)*RANDBETWEEN(0,10)-RANDBETWEEN(0,10)</f>
        <v>83</v>
      </c>
      <c r="F176" t="b">
        <f ca="1">COUNTIF(dict_zuord_Meth_Pos[ID_Positions], table_Positions[[#This Row],[ID]]) &gt; 0</f>
        <v>1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0</v>
      </c>
      <c r="D177">
        <f t="shared" ca="1" si="2"/>
        <v>32</v>
      </c>
      <c r="E177">
        <f ca="1">table_Positions[[#This Row],[temp_lb]]+10+RANDBETWEEN(0,100)*RANDBETWEEN(0,10)-RANDBETWEEN(0,10)</f>
        <v>212</v>
      </c>
      <c r="F177" t="b">
        <f ca="1">COUNTIF(dict_zuord_Meth_Pos[ID_Positions], table_Positions[[#This Row],[ID]]) &gt; 0</f>
        <v>1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0</v>
      </c>
      <c r="D178">
        <f t="shared" ca="1" si="2"/>
        <v>31</v>
      </c>
      <c r="E178">
        <f ca="1">table_Positions[[#This Row],[temp_lb]]+10+RANDBETWEEN(0,100)*RANDBETWEEN(0,10)-RANDBETWEEN(0,10)</f>
        <v>169</v>
      </c>
      <c r="F178" t="b">
        <f ca="1">COUNTIF(dict_zuord_Meth_Pos[ID_Positions], table_Positions[[#This Row],[ID]]) &gt; 0</f>
        <v>1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0</v>
      </c>
      <c r="D179">
        <f t="shared" ca="1" si="2"/>
        <v>7</v>
      </c>
      <c r="E179">
        <f ca="1">table_Positions[[#This Row],[temp_lb]]+10+RANDBETWEEN(0,100)*RANDBETWEEN(0,10)-RANDBETWEEN(0,10)</f>
        <v>243</v>
      </c>
      <c r="F179" t="b">
        <f ca="1">COUNTIF(dict_zuord_Meth_Pos[ID_Positions], table_Positions[[#This Row],[ID]]) &gt; 0</f>
        <v>1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0</v>
      </c>
      <c r="D180">
        <f t="shared" ca="1" si="2"/>
        <v>47</v>
      </c>
      <c r="E180">
        <f ca="1">table_Positions[[#This Row],[temp_lb]]+10+RANDBETWEEN(0,100)*RANDBETWEEN(0,10)-RANDBETWEEN(0,10)</f>
        <v>53</v>
      </c>
      <c r="F180" t="b">
        <f ca="1">COUNTIF(dict_zuord_Meth_Pos[ID_Positions], table_Positions[[#This Row],[ID]]) &gt; 0</f>
        <v>1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0</v>
      </c>
      <c r="D181">
        <f t="shared" ca="1" si="2"/>
        <v>37</v>
      </c>
      <c r="E181">
        <f ca="1">table_Positions[[#This Row],[temp_lb]]+10+RANDBETWEEN(0,100)*RANDBETWEEN(0,10)-RANDBETWEEN(0,10)</f>
        <v>192</v>
      </c>
      <c r="F181" t="b">
        <f ca="1">COUNTIF(dict_zuord_Meth_Pos[ID_Positions], table_Positions[[#This Row],[ID]]) &gt; 0</f>
        <v>1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0</v>
      </c>
      <c r="D182">
        <f t="shared" ca="1" si="2"/>
        <v>16</v>
      </c>
      <c r="E182">
        <f ca="1">table_Positions[[#This Row],[temp_lb]]+10+RANDBETWEEN(0,100)*RANDBETWEEN(0,10)-RANDBETWEEN(0,10)</f>
        <v>262</v>
      </c>
      <c r="F182" t="b">
        <f ca="1">COUNTIF(dict_zuord_Meth_Pos[ID_Positions], table_Positions[[#This Row],[ID]]) &gt; 0</f>
        <v>1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0</v>
      </c>
      <c r="D183">
        <f t="shared" ca="1" si="2"/>
        <v>14</v>
      </c>
      <c r="E183">
        <f ca="1">table_Positions[[#This Row],[temp_lb]]+10+RANDBETWEEN(0,100)*RANDBETWEEN(0,10)-RANDBETWEEN(0,10)</f>
        <v>414</v>
      </c>
      <c r="F183" t="b">
        <f ca="1">COUNTIF(dict_zuord_Meth_Pos[ID_Positions], table_Positions[[#This Row],[ID]]) &gt; 0</f>
        <v>1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0</v>
      </c>
      <c r="D184">
        <f t="shared" ca="1" si="2"/>
        <v>16</v>
      </c>
      <c r="E184">
        <f ca="1">table_Positions[[#This Row],[temp_lb]]+10+RANDBETWEEN(0,100)*RANDBETWEEN(0,10)-RANDBETWEEN(0,10)</f>
        <v>212</v>
      </c>
      <c r="F184" t="b">
        <f ca="1">COUNTIF(dict_zuord_Meth_Pos[ID_Positions], table_Positions[[#This Row],[ID]]) &gt; 0</f>
        <v>1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0</v>
      </c>
      <c r="D185">
        <f t="shared" ca="1" si="2"/>
        <v>32</v>
      </c>
      <c r="E185">
        <f ca="1">table_Positions[[#This Row],[temp_lb]]+10+RANDBETWEEN(0,100)*RANDBETWEEN(0,10)-RANDBETWEEN(0,10)</f>
        <v>441</v>
      </c>
      <c r="F185" t="b">
        <f ca="1">COUNTIF(dict_zuord_Meth_Pos[ID_Positions], table_Positions[[#This Row],[ID]]) &gt; 0</f>
        <v>1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1</v>
      </c>
      <c r="D186">
        <f t="shared" ca="1" si="2"/>
        <v>13</v>
      </c>
      <c r="E186">
        <f ca="1">table_Positions[[#This Row],[temp_lb]]+10+RANDBETWEEN(0,100)*RANDBETWEEN(0,10)-RANDBETWEEN(0,10)</f>
        <v>510</v>
      </c>
      <c r="F186" t="b">
        <f ca="1">COUNTIF(dict_zuord_Meth_Pos[ID_Positions], table_Positions[[#This Row],[ID]]) &gt; 0</f>
        <v>1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0</v>
      </c>
      <c r="D187">
        <f t="shared" ca="1" si="2"/>
        <v>6</v>
      </c>
      <c r="E187">
        <f ca="1">table_Positions[[#This Row],[temp_lb]]+10+RANDBETWEEN(0,100)*RANDBETWEEN(0,10)-RANDBETWEEN(0,10)</f>
        <v>330</v>
      </c>
      <c r="F187" t="b">
        <f ca="1">COUNTIF(dict_zuord_Meth_Pos[ID_Positions], table_Positions[[#This Row],[ID]]) &gt; 0</f>
        <v>1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0</v>
      </c>
      <c r="D188">
        <f t="shared" ca="1" si="2"/>
        <v>24</v>
      </c>
      <c r="E188">
        <f ca="1">table_Positions[[#This Row],[temp_lb]]+10+RANDBETWEEN(0,100)*RANDBETWEEN(0,10)-RANDBETWEEN(0,10)</f>
        <v>226</v>
      </c>
      <c r="F188" t="b">
        <f ca="1">COUNTIF(dict_zuord_Meth_Pos[ID_Positions], table_Positions[[#This Row],[ID]]) &gt; 0</f>
        <v>1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0</v>
      </c>
      <c r="D189">
        <f t="shared" ca="1" si="2"/>
        <v>20</v>
      </c>
      <c r="E189">
        <f ca="1">table_Positions[[#This Row],[temp_lb]]+10+RANDBETWEEN(0,100)*RANDBETWEEN(0,10)-RANDBETWEEN(0,10)</f>
        <v>94</v>
      </c>
      <c r="F189" t="b">
        <f ca="1">COUNTIF(dict_zuord_Meth_Pos[ID_Positions], table_Positions[[#This Row],[ID]]) &gt; 0</f>
        <v>1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0</v>
      </c>
      <c r="D190">
        <f t="shared" ca="1" si="2"/>
        <v>60</v>
      </c>
      <c r="E190">
        <f ca="1">table_Positions[[#This Row],[temp_lb]]+10+RANDBETWEEN(0,100)*RANDBETWEEN(0,10)-RANDBETWEEN(0,10)</f>
        <v>303</v>
      </c>
      <c r="F190" t="b">
        <f ca="1">COUNTIF(dict_zuord_Meth_Pos[ID_Positions], table_Positions[[#This Row],[ID]]) &gt; 0</f>
        <v>1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0</v>
      </c>
      <c r="D191">
        <f t="shared" ca="1" si="2"/>
        <v>14</v>
      </c>
      <c r="E191">
        <f ca="1">table_Positions[[#This Row],[temp_lb]]+10+RANDBETWEEN(0,100)*RANDBETWEEN(0,10)-RANDBETWEEN(0,10)</f>
        <v>77</v>
      </c>
      <c r="F191" t="b">
        <f ca="1">COUNTIF(dict_zuord_Meth_Pos[ID_Positions], table_Positions[[#This Row],[ID]]) &gt; 0</f>
        <v>1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0</v>
      </c>
      <c r="D192">
        <f t="shared" ca="1" si="2"/>
        <v>15</v>
      </c>
      <c r="E192">
        <f ca="1">table_Positions[[#This Row],[temp_lb]]+10+RANDBETWEEN(0,100)*RANDBETWEEN(0,10)-RANDBETWEEN(0,10)</f>
        <v>408</v>
      </c>
      <c r="F192" t="b">
        <f ca="1">COUNTIF(dict_zuord_Meth_Pos[ID_Positions], table_Positions[[#This Row],[ID]]) &gt; 0</f>
        <v>1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0</v>
      </c>
      <c r="D193">
        <f t="shared" ca="1" si="2"/>
        <v>75</v>
      </c>
      <c r="E193">
        <f ca="1">table_Positions[[#This Row],[temp_lb]]+10+RANDBETWEEN(0,100)*RANDBETWEEN(0,10)-RANDBETWEEN(0,10)</f>
        <v>168</v>
      </c>
      <c r="F193" t="b">
        <f ca="1">COUNTIF(dict_zuord_Meth_Pos[ID_Positions], table_Positions[[#This Row],[ID]]) &gt; 0</f>
        <v>1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0</v>
      </c>
      <c r="D194">
        <f t="shared" ref="D194:D202" ca="1" si="3">20+RANDBETWEEN(0,10)*RANDBETWEEN(0,10)-RANDBETWEEN(0,20)</f>
        <v>0</v>
      </c>
      <c r="E194">
        <f ca="1">table_Positions[[#This Row],[temp_lb]]+10+RANDBETWEEN(0,100)*RANDBETWEEN(0,10)-RANDBETWEEN(0,10)</f>
        <v>168</v>
      </c>
      <c r="F194" t="b">
        <f ca="1">COUNTIF(dict_zuord_Meth_Pos[ID_Positions], table_Positions[[#This Row],[ID]]) &gt; 0</f>
        <v>1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0</v>
      </c>
      <c r="D195">
        <f t="shared" ca="1" si="3"/>
        <v>100</v>
      </c>
      <c r="E195">
        <f ca="1">table_Positions[[#This Row],[temp_lb]]+10+RANDBETWEEN(0,100)*RANDBETWEEN(0,10)-RANDBETWEEN(0,10)</f>
        <v>416</v>
      </c>
      <c r="F195" t="b">
        <f ca="1">COUNTIF(dict_zuord_Meth_Pos[ID_Positions], table_Positions[[#This Row],[ID]]) &gt; 0</f>
        <v>1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0</v>
      </c>
      <c r="D196">
        <f t="shared" ca="1" si="3"/>
        <v>75</v>
      </c>
      <c r="E196">
        <f ca="1">table_Positions[[#This Row],[temp_lb]]+10+RANDBETWEEN(0,100)*RANDBETWEEN(0,10)-RANDBETWEEN(0,10)</f>
        <v>418</v>
      </c>
      <c r="F196" t="b">
        <f ca="1">COUNTIF(dict_zuord_Meth_Pos[ID_Positions], table_Positions[[#This Row],[ID]]) &gt; 0</f>
        <v>1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0</v>
      </c>
      <c r="D197">
        <f t="shared" ca="1" si="3"/>
        <v>10</v>
      </c>
      <c r="E197">
        <f ca="1">table_Positions[[#This Row],[temp_lb]]+10+RANDBETWEEN(0,100)*RANDBETWEEN(0,10)-RANDBETWEEN(0,10)</f>
        <v>99</v>
      </c>
      <c r="F197" t="b">
        <f ca="1">COUNTIF(dict_zuord_Meth_Pos[ID_Positions], table_Positions[[#This Row],[ID]]) &gt; 0</f>
        <v>1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0</v>
      </c>
      <c r="D198">
        <f t="shared" ca="1" si="3"/>
        <v>13</v>
      </c>
      <c r="E198">
        <f ca="1">table_Positions[[#This Row],[temp_lb]]+10+RANDBETWEEN(0,100)*RANDBETWEEN(0,10)-RANDBETWEEN(0,10)</f>
        <v>273</v>
      </c>
      <c r="F198" t="b">
        <f ca="1">COUNTIF(dict_zuord_Meth_Pos[ID_Positions], table_Positions[[#This Row],[ID]]) &gt; 0</f>
        <v>1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0</v>
      </c>
      <c r="D199">
        <f t="shared" ca="1" si="3"/>
        <v>26</v>
      </c>
      <c r="E199">
        <f ca="1">table_Positions[[#This Row],[temp_lb]]+10+RANDBETWEEN(0,100)*RANDBETWEEN(0,10)-RANDBETWEEN(0,10)</f>
        <v>134</v>
      </c>
      <c r="F199" t="b">
        <f ca="1">COUNTIF(dict_zuord_Meth_Pos[ID_Positions], table_Positions[[#This Row],[ID]]) &gt; 0</f>
        <v>1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0</v>
      </c>
      <c r="D200">
        <f t="shared" ca="1" si="3"/>
        <v>25</v>
      </c>
      <c r="E200">
        <f ca="1">table_Positions[[#This Row],[temp_lb]]+10+RANDBETWEEN(0,100)*RANDBETWEEN(0,10)-RANDBETWEEN(0,10)</f>
        <v>31</v>
      </c>
      <c r="F200" t="b">
        <f ca="1">COUNTIF(dict_zuord_Meth_Pos[ID_Positions], table_Positions[[#This Row],[ID]]) &gt; 0</f>
        <v>1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0</v>
      </c>
      <c r="D201">
        <f t="shared" ca="1" si="3"/>
        <v>38</v>
      </c>
      <c r="E201">
        <f ca="1">table_Positions[[#This Row],[temp_lb]]+10+RANDBETWEEN(0,100)*RANDBETWEEN(0,10)-RANDBETWEEN(0,10)</f>
        <v>54</v>
      </c>
      <c r="F201" t="b">
        <f ca="1">COUNTIF(dict_zuord_Meth_Pos[ID_Positions], table_Positions[[#This Row],[ID]]) &gt; 0</f>
        <v>1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0</v>
      </c>
      <c r="D202">
        <f t="shared" ca="1" si="3"/>
        <v>63</v>
      </c>
      <c r="E202">
        <f ca="1">table_Positions[[#This Row],[temp_lb]]+10+RANDBETWEEN(0,100)*RANDBETWEEN(0,10)-RANDBETWEEN(0,10)</f>
        <v>370</v>
      </c>
      <c r="F202" t="b">
        <f ca="1"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F202"/>
  <sheetViews>
    <sheetView workbookViewId="0">
      <selection activeCell="C3" sqref="C3"/>
    </sheetView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1</v>
      </c>
      <c r="D2">
        <f t="shared" ref="D2:D33" ca="1" si="0">2^RANDBETWEEN(6,12)*100*RANDBETWEEN(10,100)</f>
        <v>2176000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282</v>
      </c>
      <c r="F2">
        <f ca="1">ROUND(ROUND(1/table_Transfers[[#This Row],[investcost]],3)*RANDBETWEEN(10,100)/10,5)</f>
        <v>2.8000000000000001E-2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1</v>
      </c>
      <c r="D3">
        <f t="shared" ca="1" si="0"/>
        <v>16588800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1206</v>
      </c>
      <c r="F3">
        <f ca="1">ROUND(1/table_Transfers[[#This Row],[investcost]]*RANDBETWEEN(10,100)/10,5)</f>
        <v>5.5599999999999998E-3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0</v>
      </c>
      <c r="D4">
        <f t="shared" ca="1" si="0"/>
        <v>614400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</v>
      </c>
      <c r="F4">
        <f ca="1">ROUND(1/table_Transfers[[#This Row],[investcost]]*RANDBETWEEN(10,100)/10,5)</f>
        <v>0.18462000000000001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1638400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181</v>
      </c>
      <c r="F5">
        <f ca="1">ROUND(1/table_Transfers[[#This Row],[investcost]]*RANDBETWEEN(10,100)/10,5)</f>
        <v>3.9780000000000003E-2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1</v>
      </c>
      <c r="D6">
        <f t="shared" ca="1" si="0"/>
        <v>1459200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163</v>
      </c>
      <c r="F6">
        <f ca="1">ROUND(1/table_Transfers[[#This Row],[investcost]]*RANDBETWEEN(10,100)/10,5)</f>
        <v>1.043E-2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0</v>
      </c>
      <c r="D7">
        <f t="shared" ca="1" si="0"/>
        <v>288000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</v>
      </c>
      <c r="F7">
        <f ca="1">ROUND(1/table_Transfers[[#This Row],[investcost]]*RANDBETWEEN(10,100)/10,5)</f>
        <v>6.1219999999999997E-2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0</v>
      </c>
      <c r="D8">
        <f t="shared" ca="1" si="0"/>
        <v>5068800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645</v>
      </c>
      <c r="F8">
        <f ca="1">ROUND(1/table_Transfers[[#This Row],[investcost]]*RANDBETWEEN(10,100)/10,5)</f>
        <v>7.6E-3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0</v>
      </c>
      <c r="D9">
        <f t="shared" ca="1" si="0"/>
        <v>40550400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5090</v>
      </c>
      <c r="F9">
        <f ca="1">ROUND(1/table_Transfers[[#This Row],[investcost]]*RANDBETWEEN(10,100)/10,5)</f>
        <v>4.4999999999999999E-4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1</v>
      </c>
      <c r="D10">
        <f t="shared" ca="1" si="0"/>
        <v>18022400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3046</v>
      </c>
      <c r="F10">
        <f ca="1">ROUND(1/table_Transfers[[#This Row],[investcost]]*RANDBETWEEN(10,100)/10,5)</f>
        <v>3.8999999999999999E-4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1</v>
      </c>
      <c r="D11">
        <f t="shared" ca="1" si="0"/>
        <v>2662400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303</v>
      </c>
      <c r="F11">
        <f ca="1">ROUND(1/table_Transfers[[#This Row],[investcost]]*RANDBETWEEN(10,100)/10,5)</f>
        <v>1.4189999999999999E-2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0</v>
      </c>
      <c r="D12">
        <f t="shared" ca="1" si="0"/>
        <v>1036800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117</v>
      </c>
      <c r="F12">
        <f ca="1">ROUND(1/table_Transfers[[#This Row],[investcost]]*RANDBETWEEN(10,100)/10,5)</f>
        <v>3.5040000000000002E-2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0</v>
      </c>
      <c r="D13">
        <f t="shared" ca="1" si="0"/>
        <v>8601600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618</v>
      </c>
      <c r="F13">
        <f ca="1">ROUND(1/table_Transfers[[#This Row],[investcost]]*RANDBETWEEN(10,100)/10,5)</f>
        <v>6.96E-3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1</v>
      </c>
      <c r="D14">
        <f t="shared" ca="1" si="0"/>
        <v>588800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</v>
      </c>
      <c r="F14">
        <f ca="1">ROUND(1/table_Transfers[[#This Row],[investcost]]*RANDBETWEEN(10,100)/10,5)</f>
        <v>5.4429999999999999E-2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1</v>
      </c>
      <c r="D15">
        <f t="shared" ca="1" si="0"/>
        <v>5120000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445</v>
      </c>
      <c r="F15">
        <f ca="1">ROUND(1/table_Transfers[[#This Row],[investcost]]*RANDBETWEEN(10,100)/10,5)</f>
        <v>1.506E-2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0</v>
      </c>
      <c r="D16">
        <f t="shared" ca="1" si="0"/>
        <v>3584000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331</v>
      </c>
      <c r="F16">
        <f ca="1">ROUND(1/table_Transfers[[#This Row],[investcost]]*RANDBETWEEN(10,100)/10,5)</f>
        <v>2.1149999999999999E-2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1</v>
      </c>
      <c r="D17">
        <f t="shared" ca="1" si="0"/>
        <v>563200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92</v>
      </c>
      <c r="F17">
        <f ca="1">ROUND(1/table_Transfers[[#This Row],[investcost]]*RANDBETWEEN(10,100)/10,5)</f>
        <v>1.5219999999999999E-2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0</v>
      </c>
      <c r="D18">
        <f t="shared" ca="1" si="0"/>
        <v>7782400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1006</v>
      </c>
      <c r="F18">
        <f ca="1">ROUND(1/table_Transfers[[#This Row],[investcost]]*RANDBETWEEN(10,100)/10,5)</f>
        <v>7.1599999999999997E-3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1</v>
      </c>
      <c r="D19">
        <f t="shared" ca="1" si="0"/>
        <v>819200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193</v>
      </c>
      <c r="F19">
        <f ca="1">ROUND(1/table_Transfers[[#This Row],[investcost]]*RANDBETWEEN(10,100)/10,5)</f>
        <v>3.8859999999999999E-2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0</v>
      </c>
      <c r="D20">
        <f t="shared" ca="1" si="0"/>
        <v>5734400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1144</v>
      </c>
      <c r="F20">
        <f ca="1">ROUND(1/table_Transfers[[#This Row],[investcost]]*RANDBETWEEN(10,100)/10,5)</f>
        <v>2.8E-3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1</v>
      </c>
      <c r="D21">
        <f t="shared" ca="1" si="0"/>
        <v>768000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91</v>
      </c>
      <c r="F21">
        <f ca="1">ROUND(1/table_Transfers[[#This Row],[investcost]]*RANDBETWEEN(10,100)/10,5)</f>
        <v>9.1209999999999999E-2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1</v>
      </c>
      <c r="D22">
        <f t="shared" ca="1" si="0"/>
        <v>620800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</v>
      </c>
      <c r="F22">
        <f ca="1">ROUND(1/table_Transfers[[#This Row],[investcost]]*RANDBETWEEN(10,100)/10,5)</f>
        <v>9.1920000000000002E-2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1</v>
      </c>
      <c r="D23">
        <f t="shared" ca="1" si="0"/>
        <v>1075200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128</v>
      </c>
      <c r="F23">
        <f ca="1">ROUND(1/table_Transfers[[#This Row],[investcost]]*RANDBETWEEN(10,100)/10,5)</f>
        <v>6.5629999999999994E-2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0</v>
      </c>
      <c r="D24">
        <f t="shared" ca="1" si="0"/>
        <v>10240000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856</v>
      </c>
      <c r="F24">
        <f ca="1">ROUND(1/table_Transfers[[#This Row],[investcost]]*RANDBETWEEN(10,100)/10,5)</f>
        <v>7.0099999999999997E-3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0</v>
      </c>
      <c r="D25">
        <f t="shared" ca="1" si="0"/>
        <v>1945600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183</v>
      </c>
      <c r="F25">
        <f ca="1">ROUND(1/table_Transfers[[#This Row],[investcost]]*RANDBETWEEN(10,100)/10,5)</f>
        <v>4.9730000000000003E-2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0</v>
      </c>
      <c r="D26">
        <f t="shared" ca="1" si="0"/>
        <v>26214400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3760</v>
      </c>
      <c r="F26">
        <f ca="1">ROUND(1/table_Transfers[[#This Row],[investcost]]*RANDBETWEEN(10,100)/10,5)</f>
        <v>1.1999999999999999E-3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1</v>
      </c>
      <c r="D27">
        <f t="shared" ca="1" si="0"/>
        <v>1689600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</v>
      </c>
      <c r="F27">
        <f ca="1">ROUND(1/table_Transfers[[#This Row],[investcost]]*RANDBETWEEN(10,100)/10,5)</f>
        <v>2.7660000000000001E-2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1</v>
      </c>
      <c r="D28">
        <f t="shared" ca="1" si="0"/>
        <v>140800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</v>
      </c>
      <c r="F28">
        <f ca="1">ROUND(1/table_Transfers[[#This Row],[investcost]]*RANDBETWEEN(10,100)/10,5)</f>
        <v>2.0750000000000001E-2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1</v>
      </c>
      <c r="D29">
        <f t="shared" ca="1" si="0"/>
        <v>1894400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281</v>
      </c>
      <c r="F29">
        <f ca="1">ROUND(1/table_Transfers[[#This Row],[investcost]]*RANDBETWEEN(10,100)/10,5)</f>
        <v>1.2460000000000001E-2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0</v>
      </c>
      <c r="D30">
        <f t="shared" ca="1" si="0"/>
        <v>262400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</v>
      </c>
      <c r="F30">
        <f ca="1">ROUND(1/table_Transfers[[#This Row],[investcost]]*RANDBETWEEN(10,100)/10,5)</f>
        <v>0.13913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0</v>
      </c>
      <c r="D31">
        <f t="shared" ca="1" si="0"/>
        <v>14131200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1213</v>
      </c>
      <c r="F31">
        <f ca="1">ROUND(1/table_Transfers[[#This Row],[investcost]]*RANDBETWEEN(10,100)/10,5)</f>
        <v>6.0200000000000002E-3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0</v>
      </c>
      <c r="D32">
        <f t="shared" ca="1" si="0"/>
        <v>473600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F32">
        <f ca="1">ROUND(1/table_Transfers[[#This Row],[investcost]]*RANDBETWEEN(10,100)/10,5)</f>
        <v>5.3449999999999998E-2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1</v>
      </c>
      <c r="D33">
        <f t="shared" ca="1" si="0"/>
        <v>358400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</v>
      </c>
      <c r="F33">
        <f ca="1">ROUND(1/table_Transfers[[#This Row],[investcost]]*RANDBETWEEN(10,100)/10,5)</f>
        <v>0.20222000000000001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1</v>
      </c>
      <c r="D34">
        <f t="shared" ref="D34:D65" ca="1" si="1">2^RANDBETWEEN(6,12)*100*RANDBETWEEN(10,100)</f>
        <v>460800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</v>
      </c>
      <c r="F34">
        <f ca="1">ROUND(1/table_Transfers[[#This Row],[investcost]]*RANDBETWEEN(10,100)/10,5)</f>
        <v>1.4080000000000001E-2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0</v>
      </c>
      <c r="D35">
        <f t="shared" ca="1" si="1"/>
        <v>204800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</v>
      </c>
      <c r="F35">
        <f ca="1">ROUND(1/table_Transfers[[#This Row],[investcost]]*RANDBETWEEN(10,100)/10,5)</f>
        <v>0.23547999999999999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1</v>
      </c>
      <c r="D36">
        <f t="shared" ca="1" si="1"/>
        <v>11878400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2413</v>
      </c>
      <c r="F36">
        <f ca="1">ROUND(1/table_Transfers[[#This Row],[investcost]]*RANDBETWEEN(10,100)/10,5)</f>
        <v>5.4000000000000001E-4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0</v>
      </c>
      <c r="D37">
        <f t="shared" ca="1" si="1"/>
        <v>2048000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173</v>
      </c>
      <c r="F37">
        <f ca="1">ROUND(1/table_Transfers[[#This Row],[investcost]]*RANDBETWEEN(10,100)/10,5)</f>
        <v>1.04E-2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1</v>
      </c>
      <c r="D38">
        <f t="shared" ca="1" si="1"/>
        <v>211200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</v>
      </c>
      <c r="F38">
        <f ca="1">ROUND(1/table_Transfers[[#This Row],[investcost]]*RANDBETWEEN(10,100)/10,5)</f>
        <v>0.12667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1</v>
      </c>
      <c r="D39">
        <f t="shared" ca="1" si="1"/>
        <v>544000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</v>
      </c>
      <c r="F39">
        <f ca="1">ROUND(1/table_Transfers[[#This Row],[investcost]]*RANDBETWEEN(10,100)/10,5)</f>
        <v>0.11713999999999999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1</v>
      </c>
      <c r="D40">
        <f t="shared" ca="1" si="1"/>
        <v>11264000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1031</v>
      </c>
      <c r="F40">
        <f ca="1">ROUND(1/table_Transfers[[#This Row],[investcost]]*RANDBETWEEN(10,100)/10,5)</f>
        <v>4.8500000000000001E-3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1</v>
      </c>
      <c r="D41">
        <f t="shared" ca="1" si="1"/>
        <v>1024000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115</v>
      </c>
      <c r="F41">
        <f ca="1">ROUND(1/table_Transfers[[#This Row],[investcost]]*RANDBETWEEN(10,100)/10,5)</f>
        <v>0.02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0</v>
      </c>
      <c r="D42">
        <f t="shared" ca="1" si="1"/>
        <v>275200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</v>
      </c>
      <c r="F42">
        <f ca="1">ROUND(1/table_Transfers[[#This Row],[investcost]]*RANDBETWEEN(10,100)/10,5)</f>
        <v>4.231E-2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1</v>
      </c>
      <c r="D43">
        <f t="shared" ca="1" si="1"/>
        <v>10240000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1317</v>
      </c>
      <c r="F43">
        <f ca="1">ROUND(1/table_Transfers[[#This Row],[investcost]]*RANDBETWEEN(10,100)/10,5)</f>
        <v>1.9E-3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1</v>
      </c>
      <c r="D44">
        <f t="shared" ca="1" si="1"/>
        <v>6963200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545</v>
      </c>
      <c r="F44">
        <f ca="1">ROUND(1/table_Transfers[[#This Row],[investcost]]*RANDBETWEEN(10,100)/10,5)</f>
        <v>1.321E-2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0</v>
      </c>
      <c r="D45">
        <f t="shared" ca="1" si="1"/>
        <v>15769600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1359</v>
      </c>
      <c r="F45">
        <f ca="1">ROUND(1/table_Transfers[[#This Row],[investcost]]*RANDBETWEEN(10,100)/10,5)</f>
        <v>4.4200000000000003E-3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1</v>
      </c>
      <c r="D46">
        <f t="shared" ca="1" si="1"/>
        <v>524800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</v>
      </c>
      <c r="F46">
        <f ca="1">ROUND(1/table_Transfers[[#This Row],[investcost]]*RANDBETWEEN(10,100)/10,5)</f>
        <v>0.13561999999999999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0</v>
      </c>
      <c r="D47">
        <f t="shared" ca="1" si="1"/>
        <v>396800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</v>
      </c>
      <c r="F47">
        <f ca="1">ROUND(1/table_Transfers[[#This Row],[investcost]]*RANDBETWEEN(10,100)/10,5)</f>
        <v>2.078E-2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1</v>
      </c>
      <c r="D48">
        <f t="shared" ca="1" si="1"/>
        <v>1139200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</v>
      </c>
      <c r="F48">
        <f ca="1">ROUND(1/table_Transfers[[#This Row],[investcost]]*RANDBETWEEN(10,100)/10,5)</f>
        <v>8.0699999999999994E-2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1</v>
      </c>
      <c r="D49">
        <f t="shared" ca="1" si="1"/>
        <v>1689600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140</v>
      </c>
      <c r="F49">
        <f ca="1">ROUND(1/table_Transfers[[#This Row],[investcost]]*RANDBETWEEN(10,100)/10,5)</f>
        <v>3.4290000000000001E-2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1</v>
      </c>
      <c r="D50">
        <f t="shared" ca="1" si="1"/>
        <v>18432000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1434</v>
      </c>
      <c r="F50">
        <f ca="1">ROUND(1/table_Transfers[[#This Row],[investcost]]*RANDBETWEEN(10,100)/10,5)</f>
        <v>3.0699999999999998E-3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1</v>
      </c>
      <c r="D51">
        <f t="shared" ca="1" si="1"/>
        <v>4966400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386</v>
      </c>
      <c r="F51">
        <f ca="1">ROUND(1/table_Transfers[[#This Row],[investcost]]*RANDBETWEEN(10,100)/10,5)</f>
        <v>2.2540000000000001E-2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1</v>
      </c>
      <c r="D52">
        <f t="shared" ca="1" si="1"/>
        <v>22937600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1541</v>
      </c>
      <c r="F52">
        <f ca="1">ROUND(1/table_Transfers[[#This Row],[investcost]]*RANDBETWEEN(10,100)/10,5)</f>
        <v>8.4000000000000003E-4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0</v>
      </c>
      <c r="D53">
        <f t="shared" ca="1" si="1"/>
        <v>416000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53">
        <f ca="1">ROUND(1/table_Transfers[[#This Row],[investcost]]*RANDBETWEEN(10,100)/10,5)</f>
        <v>0.41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0</v>
      </c>
      <c r="D54">
        <f t="shared" ca="1" si="1"/>
        <v>1843200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211</v>
      </c>
      <c r="F54">
        <f ca="1">ROUND(1/table_Transfers[[#This Row],[investcost]]*RANDBETWEEN(10,100)/10,5)</f>
        <v>9.4800000000000006E-3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1</v>
      </c>
      <c r="D55">
        <f t="shared" ca="1" si="1"/>
        <v>5120000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686</v>
      </c>
      <c r="F55">
        <f ca="1">ROUND(1/table_Transfers[[#This Row],[investcost]]*RANDBETWEEN(10,100)/10,5)</f>
        <v>5.5399999999999998E-3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1</v>
      </c>
      <c r="D56">
        <f t="shared" ca="1" si="1"/>
        <v>10649600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1540</v>
      </c>
      <c r="F56">
        <f ca="1">ROUND(1/table_Transfers[[#This Row],[investcost]]*RANDBETWEEN(10,100)/10,5)</f>
        <v>5.9699999999999996E-3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1</v>
      </c>
      <c r="D57">
        <f t="shared" ca="1" si="1"/>
        <v>1510400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149</v>
      </c>
      <c r="F57">
        <f ca="1">ROUND(1/table_Transfers[[#This Row],[investcost]]*RANDBETWEEN(10,100)/10,5)</f>
        <v>1.409E-2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0</v>
      </c>
      <c r="D58">
        <f t="shared" ca="1" si="1"/>
        <v>7372800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1066</v>
      </c>
      <c r="F58">
        <f ca="1">ROUND(1/table_Transfers[[#This Row],[investcost]]*RANDBETWEEN(10,100)/10,5)</f>
        <v>3.9399999999999999E-3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0</v>
      </c>
      <c r="D59">
        <f t="shared" ca="1" si="1"/>
        <v>8396800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1683</v>
      </c>
      <c r="F59">
        <f ca="1">ROUND(1/table_Transfers[[#This Row],[investcost]]*RANDBETWEEN(10,100)/10,5)</f>
        <v>5.0499999999999998E-3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1</v>
      </c>
      <c r="D60">
        <f t="shared" ca="1" si="1"/>
        <v>3584000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324</v>
      </c>
      <c r="F60">
        <f ca="1">ROUND(1/table_Transfers[[#This Row],[investcost]]*RANDBETWEEN(10,100)/10,5)</f>
        <v>2.963E-2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1</v>
      </c>
      <c r="D61">
        <f t="shared" ca="1" si="1"/>
        <v>1203200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204</v>
      </c>
      <c r="F61">
        <f ca="1">ROUND(1/table_Transfers[[#This Row],[investcost]]*RANDBETWEEN(10,100)/10,5)</f>
        <v>2.402E-2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0</v>
      </c>
      <c r="D62">
        <f t="shared" ca="1" si="1"/>
        <v>13107200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1047</v>
      </c>
      <c r="F62">
        <f ca="1">ROUND(1/table_Transfers[[#This Row],[investcost]]*RANDBETWEEN(10,100)/10,5)</f>
        <v>1.81E-3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1</v>
      </c>
      <c r="D63">
        <f t="shared" ca="1" si="1"/>
        <v>20480000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1715</v>
      </c>
      <c r="F63">
        <f ca="1">ROUND(1/table_Transfers[[#This Row],[investcost]]*RANDBETWEEN(10,100)/10,5)</f>
        <v>1.92E-3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0</v>
      </c>
      <c r="D64">
        <f t="shared" ca="1" si="1"/>
        <v>20070400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1374</v>
      </c>
      <c r="F64">
        <f ca="1">ROUND(1/table_Transfers[[#This Row],[investcost]]*RANDBETWEEN(10,100)/10,5)</f>
        <v>1.5299999999999999E-3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1</v>
      </c>
      <c r="D65">
        <f t="shared" ca="1" si="1"/>
        <v>428800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106</v>
      </c>
      <c r="F65">
        <f ca="1">ROUND(1/table_Transfers[[#This Row],[investcost]]*RANDBETWEEN(10,100)/10,5)</f>
        <v>3.3020000000000001E-2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0</v>
      </c>
      <c r="D66">
        <f t="shared" ref="D66:D129" ca="1" si="2">2^RANDBETWEEN(6,12)*100*RANDBETWEEN(10,100)</f>
        <v>37683200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3811</v>
      </c>
      <c r="F66">
        <f ca="1">ROUND(1/table_Transfers[[#This Row],[investcost]]*RANDBETWEEN(10,100)/10,5)</f>
        <v>8.4000000000000003E-4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0</v>
      </c>
      <c r="D67">
        <f t="shared" ca="1" si="2"/>
        <v>1100800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</v>
      </c>
      <c r="F67">
        <f ca="1">ROUND(1/table_Transfers[[#This Row],[investcost]]*RANDBETWEEN(10,100)/10,5)</f>
        <v>0.11364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1</v>
      </c>
      <c r="D68">
        <f t="shared" ca="1" si="2"/>
        <v>2406400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237</v>
      </c>
      <c r="F68">
        <f ca="1">ROUND(1/table_Transfers[[#This Row],[investcost]]*RANDBETWEEN(10,100)/10,5)</f>
        <v>3.3759999999999998E-2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1</v>
      </c>
      <c r="D69">
        <f t="shared" ca="1" si="2"/>
        <v>10854400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2184</v>
      </c>
      <c r="F69">
        <f ca="1">ROUND(1/table_Transfers[[#This Row],[investcost]]*RANDBETWEEN(10,100)/10,5)</f>
        <v>9.6000000000000002E-4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1</v>
      </c>
      <c r="D70">
        <f t="shared" ca="1" si="2"/>
        <v>13721600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1558</v>
      </c>
      <c r="F70">
        <f ca="1">ROUND(1/table_Transfers[[#This Row],[investcost]]*RANDBETWEEN(10,100)/10,5)</f>
        <v>2.2499999999999998E-3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1</v>
      </c>
      <c r="D71">
        <f t="shared" ca="1" si="2"/>
        <v>8601600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1728</v>
      </c>
      <c r="F71">
        <f ca="1">ROUND(1/table_Transfers[[#This Row],[investcost]]*RANDBETWEEN(10,100)/10,5)</f>
        <v>4.5700000000000003E-3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0</v>
      </c>
      <c r="D72">
        <f t="shared" ca="1" si="2"/>
        <v>729600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190</v>
      </c>
      <c r="F72">
        <f ca="1">ROUND(1/table_Transfers[[#This Row],[investcost]]*RANDBETWEEN(10,100)/10,5)</f>
        <v>2.947E-2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1</v>
      </c>
      <c r="D73">
        <f t="shared" ca="1" si="2"/>
        <v>256000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</v>
      </c>
      <c r="F73">
        <f ca="1">ROUND(1/table_Transfers[[#This Row],[investcost]]*RANDBETWEEN(10,100)/10,5)</f>
        <v>4.8480000000000002E-2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1</v>
      </c>
      <c r="D74">
        <f t="shared" ca="1" si="2"/>
        <v>819200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</v>
      </c>
      <c r="F74">
        <f ca="1">ROUND(1/table_Transfers[[#This Row],[investcost]]*RANDBETWEEN(10,100)/10,5)</f>
        <v>0.09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1</v>
      </c>
      <c r="D75">
        <f t="shared" ca="1" si="2"/>
        <v>1190400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102</v>
      </c>
      <c r="F75">
        <f ca="1">ROUND(1/table_Transfers[[#This Row],[investcost]]*RANDBETWEEN(10,100)/10,5)</f>
        <v>2.1569999999999999E-2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1</v>
      </c>
      <c r="D76">
        <f t="shared" ca="1" si="2"/>
        <v>2764800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222</v>
      </c>
      <c r="F76">
        <f ca="1">ROUND(1/table_Transfers[[#This Row],[investcost]]*RANDBETWEEN(10,100)/10,5)</f>
        <v>3.3779999999999998E-2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1</v>
      </c>
      <c r="D77">
        <f t="shared" ca="1" si="2"/>
        <v>2406400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176</v>
      </c>
      <c r="F77">
        <f ca="1">ROUND(1/table_Transfers[[#This Row],[investcost]]*RANDBETWEEN(10,100)/10,5)</f>
        <v>1.932E-2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1</v>
      </c>
      <c r="D78">
        <f t="shared" ca="1" si="2"/>
        <v>31129600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2262</v>
      </c>
      <c r="F78">
        <f ca="1">ROUND(1/table_Transfers[[#This Row],[investcost]]*RANDBETWEEN(10,100)/10,5)</f>
        <v>1.64E-3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1</v>
      </c>
      <c r="D79">
        <f t="shared" ca="1" si="2"/>
        <v>9625600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875</v>
      </c>
      <c r="F79">
        <f ca="1">ROUND(1/table_Transfers[[#This Row],[investcost]]*RANDBETWEEN(10,100)/10,5)</f>
        <v>3.0899999999999999E-3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1</v>
      </c>
      <c r="D80">
        <f t="shared" ca="1" si="2"/>
        <v>518400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</v>
      </c>
      <c r="F80">
        <f ca="1">ROUND(1/table_Transfers[[#This Row],[investcost]]*RANDBETWEEN(10,100)/10,5)</f>
        <v>0.11944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0</v>
      </c>
      <c r="D81">
        <f t="shared" ca="1" si="2"/>
        <v>4915200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581</v>
      </c>
      <c r="F81">
        <f ca="1">ROUND(1/table_Transfers[[#This Row],[investcost]]*RANDBETWEEN(10,100)/10,5)</f>
        <v>1.102E-2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1</v>
      </c>
      <c r="D82">
        <f t="shared" ca="1" si="2"/>
        <v>128000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</v>
      </c>
      <c r="F82">
        <f ca="1">ROUND(1/table_Transfers[[#This Row],[investcost]]*RANDBETWEEN(10,100)/10,5)</f>
        <v>0.18204999999999999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0</v>
      </c>
      <c r="D83">
        <f t="shared" ca="1" si="2"/>
        <v>614400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</v>
      </c>
      <c r="F83">
        <f ca="1">ROUND(1/table_Transfers[[#This Row],[investcost]]*RANDBETWEEN(10,100)/10,5)</f>
        <v>7.0919999999999997E-2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0</v>
      </c>
      <c r="D84">
        <f t="shared" ca="1" si="2"/>
        <v>4505600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311</v>
      </c>
      <c r="F84">
        <f ca="1">ROUND(1/table_Transfers[[#This Row],[investcost]]*RANDBETWEEN(10,100)/10,5)</f>
        <v>5.47E-3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1</v>
      </c>
      <c r="D85">
        <f t="shared" ca="1" si="2"/>
        <v>1177600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92</v>
      </c>
      <c r="F85">
        <f ca="1">ROUND(1/table_Transfers[[#This Row],[investcost]]*RANDBETWEEN(10,100)/10,5)</f>
        <v>8.6959999999999996E-2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0</v>
      </c>
      <c r="D86">
        <f t="shared" ca="1" si="2"/>
        <v>21708800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1569</v>
      </c>
      <c r="F86">
        <f ca="1">ROUND(1/table_Transfers[[#This Row],[investcost]]*RANDBETWEEN(10,100)/10,5)</f>
        <v>3.82E-3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1</v>
      </c>
      <c r="D87">
        <f t="shared" ca="1" si="2"/>
        <v>3584000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367</v>
      </c>
      <c r="F87">
        <f ca="1">ROUND(1/table_Transfers[[#This Row],[investcost]]*RANDBETWEEN(10,100)/10,5)</f>
        <v>1.4710000000000001E-2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0</v>
      </c>
      <c r="D88">
        <f t="shared" ca="1" si="2"/>
        <v>5324800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678</v>
      </c>
      <c r="F88">
        <f ca="1">ROUND(1/table_Transfers[[#This Row],[investcost]]*RANDBETWEEN(10,100)/10,5)</f>
        <v>2.8E-3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0</v>
      </c>
      <c r="D89">
        <f t="shared" ca="1" si="2"/>
        <v>3737600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764</v>
      </c>
      <c r="F89">
        <f ca="1">ROUND(1/table_Transfers[[#This Row],[investcost]]*RANDBETWEEN(10,100)/10,5)</f>
        <v>1.2829999999999999E-2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1</v>
      </c>
      <c r="D90">
        <f t="shared" ca="1" si="2"/>
        <v>230400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</v>
      </c>
      <c r="F90">
        <f ca="1">ROUND(1/table_Transfers[[#This Row],[investcost]]*RANDBETWEEN(10,100)/10,5)</f>
        <v>0.17419000000000001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1</v>
      </c>
      <c r="D91">
        <f t="shared" ca="1" si="2"/>
        <v>2560000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200</v>
      </c>
      <c r="F91">
        <f ca="1">ROUND(1/table_Transfers[[#This Row],[investcost]]*RANDBETWEEN(10,100)/10,5)</f>
        <v>1.2E-2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1</v>
      </c>
      <c r="D92">
        <f t="shared" ca="1" si="2"/>
        <v>768000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96</v>
      </c>
      <c r="F92">
        <f ca="1">ROUND(1/table_Transfers[[#This Row],[investcost]]*RANDBETWEEN(10,100)/10,5)</f>
        <v>3.7499999999999999E-2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1</v>
      </c>
      <c r="D93">
        <f t="shared" ca="1" si="2"/>
        <v>27852800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2796</v>
      </c>
      <c r="F93">
        <f ca="1">ROUND(1/table_Transfers[[#This Row],[investcost]]*RANDBETWEEN(10,100)/10,5)</f>
        <v>8.8999999999999995E-4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0</v>
      </c>
      <c r="D94">
        <f t="shared" ca="1" si="2"/>
        <v>153600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</v>
      </c>
      <c r="F94">
        <f ca="1">ROUND(1/table_Transfers[[#This Row],[investcost]]*RANDBETWEEN(10,100)/10,5)</f>
        <v>8.8639999999999997E-2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0</v>
      </c>
      <c r="D95">
        <f t="shared" ca="1" si="2"/>
        <v>460800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112</v>
      </c>
      <c r="F95">
        <f ca="1">ROUND(1/table_Transfers[[#This Row],[investcost]]*RANDBETWEEN(10,100)/10,5)</f>
        <v>7.8570000000000001E-2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1</v>
      </c>
      <c r="D96">
        <f t="shared" ca="1" si="2"/>
        <v>614400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103</v>
      </c>
      <c r="F96">
        <f ca="1">ROUND(1/table_Transfers[[#This Row],[investcost]]*RANDBETWEEN(10,100)/10,5)</f>
        <v>8.5440000000000002E-2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1</v>
      </c>
      <c r="D97">
        <f t="shared" ca="1" si="2"/>
        <v>23347200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1831</v>
      </c>
      <c r="F97">
        <f ca="1">ROUND(1/table_Transfers[[#This Row],[investcost]]*RANDBETWEEN(10,100)/10,5)</f>
        <v>3.9300000000000003E-3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0</v>
      </c>
      <c r="D98">
        <f t="shared" ca="1" si="2"/>
        <v>13926400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2785</v>
      </c>
      <c r="F98">
        <f ca="1">ROUND(1/table_Transfers[[#This Row],[investcost]]*RANDBETWEEN(10,100)/10,5)</f>
        <v>4.6999999999999999E-4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0</v>
      </c>
      <c r="D99">
        <f t="shared" ca="1" si="2"/>
        <v>204800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</v>
      </c>
      <c r="F99">
        <f ca="1">ROUND(1/table_Transfers[[#This Row],[investcost]]*RANDBETWEEN(10,100)/10,5)</f>
        <v>3.5479999999999998E-2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1</v>
      </c>
      <c r="D100">
        <f t="shared" ca="1" si="2"/>
        <v>8294400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556</v>
      </c>
      <c r="F100">
        <f ca="1">ROUND(1/table_Transfers[[#This Row],[investcost]]*RANDBETWEEN(10,100)/10,5)</f>
        <v>8.4499999999999992E-3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0</v>
      </c>
      <c r="D101">
        <f t="shared" ca="1" si="2"/>
        <v>467200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</v>
      </c>
      <c r="F101">
        <f ca="1">ROUND(1/table_Transfers[[#This Row],[investcost]]*RANDBETWEEN(10,100)/10,5)</f>
        <v>0.08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0</v>
      </c>
      <c r="D102">
        <f t="shared" ca="1" si="2"/>
        <v>1075200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124</v>
      </c>
      <c r="F102">
        <f ca="1">ROUND(1/table_Transfers[[#This Row],[investcost]]*RANDBETWEEN(10,100)/10,5)</f>
        <v>4.274E-2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1</v>
      </c>
      <c r="D103">
        <f t="shared" ca="1" si="2"/>
        <v>3840000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313</v>
      </c>
      <c r="F103">
        <f ca="1">ROUND(1/table_Transfers[[#This Row],[investcost]]*RANDBETWEEN(10,100)/10,5)</f>
        <v>1.6289999999999999E-2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1</v>
      </c>
      <c r="D104">
        <f t="shared" ca="1" si="2"/>
        <v>691200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181</v>
      </c>
      <c r="F104">
        <f ca="1">ROUND(1/table_Transfers[[#This Row],[investcost]]*RANDBETWEEN(10,100)/10,5)</f>
        <v>3.4250000000000003E-2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1</v>
      </c>
      <c r="D105">
        <f t="shared" ca="1" si="2"/>
        <v>10854400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1097</v>
      </c>
      <c r="F105">
        <f ca="1">ROUND(1/table_Transfers[[#This Row],[investcost]]*RANDBETWEEN(10,100)/10,5)</f>
        <v>9.1E-4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1</v>
      </c>
      <c r="D106">
        <f t="shared" ca="1" si="2"/>
        <v>1254400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155</v>
      </c>
      <c r="F106">
        <f ca="1">ROUND(1/table_Transfers[[#This Row],[investcost]]*RANDBETWEEN(10,100)/10,5)</f>
        <v>1.0319999999999999E-2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1</v>
      </c>
      <c r="D107">
        <f t="shared" ca="1" si="2"/>
        <v>1100800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105</v>
      </c>
      <c r="F107">
        <f ca="1">ROUND(1/table_Transfers[[#This Row],[investcost]]*RANDBETWEEN(10,100)/10,5)</f>
        <v>7.3330000000000006E-2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1</v>
      </c>
      <c r="D108">
        <f t="shared" ca="1" si="2"/>
        <v>4096000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447</v>
      </c>
      <c r="F108">
        <f ca="1">ROUND(1/table_Transfers[[#This Row],[investcost]]*RANDBETWEEN(10,100)/10,5)</f>
        <v>1.32E-2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1</v>
      </c>
      <c r="D109">
        <f t="shared" ca="1" si="2"/>
        <v>313600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</v>
      </c>
      <c r="F109">
        <f ca="1">ROUND(1/table_Transfers[[#This Row],[investcost]]*RANDBETWEEN(10,100)/10,5)</f>
        <v>9.8460000000000006E-2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1</v>
      </c>
      <c r="D110">
        <f t="shared" ca="1" si="2"/>
        <v>460800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</v>
      </c>
      <c r="F110">
        <f ca="1">ROUND(1/table_Transfers[[#This Row],[investcost]]*RANDBETWEEN(10,100)/10,5)</f>
        <v>0.11817999999999999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1</v>
      </c>
      <c r="D111">
        <f t="shared" ca="1" si="2"/>
        <v>563200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11">
        <f ca="1">ROUND(1/table_Transfers[[#This Row],[investcost]]*RANDBETWEEN(10,100)/10,5)</f>
        <v>0.89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1</v>
      </c>
      <c r="D112">
        <f t="shared" ca="1" si="2"/>
        <v>15564800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2267</v>
      </c>
      <c r="F112">
        <f ca="1">ROUND(1/table_Transfers[[#This Row],[investcost]]*RANDBETWEEN(10,100)/10,5)</f>
        <v>1.24E-3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1</v>
      </c>
      <c r="D113">
        <f t="shared" ca="1" si="2"/>
        <v>6758400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855</v>
      </c>
      <c r="F113">
        <f ca="1">ROUND(1/table_Transfers[[#This Row],[investcost]]*RANDBETWEEN(10,100)/10,5)</f>
        <v>1.123E-2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1</v>
      </c>
      <c r="D114">
        <f t="shared" ca="1" si="2"/>
        <v>5017600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496</v>
      </c>
      <c r="F114">
        <f ca="1">ROUND(1/table_Transfers[[#This Row],[investcost]]*RANDBETWEEN(10,100)/10,5)</f>
        <v>5.8500000000000002E-3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1</v>
      </c>
      <c r="D115">
        <f t="shared" ca="1" si="2"/>
        <v>18841600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1613</v>
      </c>
      <c r="F115">
        <f ca="1">ROUND(1/table_Transfers[[#This Row],[investcost]]*RANDBETWEEN(10,100)/10,5)</f>
        <v>3.4099999999999998E-3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1</v>
      </c>
      <c r="D116">
        <f t="shared" ca="1" si="2"/>
        <v>249600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</v>
      </c>
      <c r="F116">
        <f ca="1">ROUND(1/table_Transfers[[#This Row],[investcost]]*RANDBETWEEN(10,100)/10,5)</f>
        <v>0.17308000000000001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0</v>
      </c>
      <c r="D117">
        <f t="shared" ca="1" si="2"/>
        <v>14540800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1367</v>
      </c>
      <c r="F117">
        <f ca="1">ROUND(1/table_Transfers[[#This Row],[investcost]]*RANDBETWEEN(10,100)/10,5)</f>
        <v>5.5599999999999998E-3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1</v>
      </c>
      <c r="D118">
        <f t="shared" ca="1" si="2"/>
        <v>16793600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1427</v>
      </c>
      <c r="F118">
        <f ca="1">ROUND(1/table_Transfers[[#This Row],[investcost]]*RANDBETWEEN(10,100)/10,5)</f>
        <v>6.3800000000000003E-3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1</v>
      </c>
      <c r="D119">
        <f t="shared" ca="1" si="2"/>
        <v>550400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</v>
      </c>
      <c r="F119">
        <f ca="1">ROUND(1/table_Transfers[[#This Row],[investcost]]*RANDBETWEEN(10,100)/10,5)</f>
        <v>8.7099999999999997E-2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1</v>
      </c>
      <c r="D120">
        <f t="shared" ca="1" si="2"/>
        <v>9728000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885</v>
      </c>
      <c r="F120">
        <f ca="1">ROUND(1/table_Transfers[[#This Row],[investcost]]*RANDBETWEEN(10,100)/10,5)</f>
        <v>1.085E-2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0</v>
      </c>
      <c r="D121">
        <f t="shared" ca="1" si="2"/>
        <v>4915200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465</v>
      </c>
      <c r="F121">
        <f ca="1">ROUND(1/table_Transfers[[#This Row],[investcost]]*RANDBETWEEN(10,100)/10,5)</f>
        <v>4.5199999999999997E-3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1</v>
      </c>
      <c r="D122">
        <f t="shared" ca="1" si="2"/>
        <v>4915200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500</v>
      </c>
      <c r="F122">
        <f ca="1">ROUND(1/table_Transfers[[#This Row],[investcost]]*RANDBETWEEN(10,100)/10,5)</f>
        <v>6.6E-3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1</v>
      </c>
      <c r="D123">
        <f t="shared" ca="1" si="2"/>
        <v>7577600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716</v>
      </c>
      <c r="F123">
        <f ca="1">ROUND(1/table_Transfers[[#This Row],[investcost]]*RANDBETWEEN(10,100)/10,5)</f>
        <v>7.26E-3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0</v>
      </c>
      <c r="D124">
        <f t="shared" ca="1" si="2"/>
        <v>9420800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712</v>
      </c>
      <c r="F124">
        <f ca="1">ROUND(1/table_Transfers[[#This Row],[investcost]]*RANDBETWEEN(10,100)/10,5)</f>
        <v>9.2700000000000005E-3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1</v>
      </c>
      <c r="D125">
        <f t="shared" ca="1" si="2"/>
        <v>3532800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392</v>
      </c>
      <c r="F125">
        <f ca="1">ROUND(1/table_Transfers[[#This Row],[investcost]]*RANDBETWEEN(10,100)/10,5)</f>
        <v>1.2760000000000001E-2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1</v>
      </c>
      <c r="D126">
        <f t="shared" ca="1" si="2"/>
        <v>12288000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1239</v>
      </c>
      <c r="F126">
        <f ca="1">ROUND(1/table_Transfers[[#This Row],[investcost]]*RANDBETWEEN(10,100)/10,5)</f>
        <v>2.2599999999999999E-3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1</v>
      </c>
      <c r="D127">
        <f t="shared" ca="1" si="2"/>
        <v>10240000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850</v>
      </c>
      <c r="F127">
        <f ca="1">ROUND(1/table_Transfers[[#This Row],[investcost]]*RANDBETWEEN(10,100)/10,5)</f>
        <v>1.65E-3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1</v>
      </c>
      <c r="D128">
        <f t="shared" ca="1" si="2"/>
        <v>294400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</v>
      </c>
      <c r="F128">
        <f ca="1">ROUND(1/table_Transfers[[#This Row],[investcost]]*RANDBETWEEN(10,100)/10,5)</f>
        <v>8.3529999999999993E-2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1</v>
      </c>
      <c r="D129">
        <f t="shared" ca="1" si="2"/>
        <v>23756800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1696</v>
      </c>
      <c r="F129">
        <f ca="1">ROUND(1/table_Transfers[[#This Row],[investcost]]*RANDBETWEEN(10,100)/10,5)</f>
        <v>5.0699999999999999E-3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0</v>
      </c>
      <c r="D130">
        <f t="shared" ref="D130:D193" ca="1" si="3">2^RANDBETWEEN(6,12)*100*RANDBETWEEN(10,100)</f>
        <v>35225600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2946</v>
      </c>
      <c r="F130">
        <f ca="1">ROUND(1/table_Transfers[[#This Row],[investcost]]*RANDBETWEEN(10,100)/10,5)</f>
        <v>3.3600000000000001E-3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0</v>
      </c>
      <c r="D131">
        <f t="shared" ca="1" si="3"/>
        <v>11878400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1073</v>
      </c>
      <c r="F131">
        <f ca="1">ROUND(1/table_Transfers[[#This Row],[investcost]]*RANDBETWEEN(10,100)/10,5)</f>
        <v>4.8500000000000001E-3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1</v>
      </c>
      <c r="D132">
        <f t="shared" ca="1" si="3"/>
        <v>3891200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264</v>
      </c>
      <c r="F132">
        <f ca="1">ROUND(1/table_Transfers[[#This Row],[investcost]]*RANDBETWEEN(10,100)/10,5)</f>
        <v>1.2120000000000001E-2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1</v>
      </c>
      <c r="D133">
        <f t="shared" ca="1" si="3"/>
        <v>20480000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1900</v>
      </c>
      <c r="F133">
        <f ca="1">ROUND(1/table_Transfers[[#This Row],[investcost]]*RANDBETWEEN(10,100)/10,5)</f>
        <v>1.58E-3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1</v>
      </c>
      <c r="D134">
        <f t="shared" ca="1" si="3"/>
        <v>588800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</v>
      </c>
      <c r="F134">
        <f ca="1">ROUND(1/table_Transfers[[#This Row],[investcost]]*RANDBETWEEN(10,100)/10,5)</f>
        <v>4.7620000000000003E-2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0</v>
      </c>
      <c r="D135">
        <f t="shared" ca="1" si="3"/>
        <v>4454400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321</v>
      </c>
      <c r="F135">
        <f ca="1">ROUND(1/table_Transfers[[#This Row],[investcost]]*RANDBETWEEN(10,100)/10,5)</f>
        <v>1.9939999999999999E-2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1</v>
      </c>
      <c r="D136">
        <f t="shared" ca="1" si="3"/>
        <v>742400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</v>
      </c>
      <c r="F136">
        <f ca="1">ROUND(1/table_Transfers[[#This Row],[investcost]]*RANDBETWEEN(10,100)/10,5)</f>
        <v>5.6410000000000002E-2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1</v>
      </c>
      <c r="D137">
        <f t="shared" ca="1" si="3"/>
        <v>614400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</v>
      </c>
      <c r="F137">
        <f ca="1">ROUND(1/table_Transfers[[#This Row],[investcost]]*RANDBETWEEN(10,100)/10,5)</f>
        <v>0.12856999999999999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1</v>
      </c>
      <c r="D138">
        <f t="shared" ca="1" si="3"/>
        <v>9420800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1894</v>
      </c>
      <c r="F138">
        <f ca="1">ROUND(1/table_Transfers[[#This Row],[investcost]]*RANDBETWEEN(10,100)/10,5)</f>
        <v>1.8E-3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1</v>
      </c>
      <c r="D139">
        <f t="shared" ca="1" si="3"/>
        <v>204800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</v>
      </c>
      <c r="F139">
        <f ca="1">ROUND(1/table_Transfers[[#This Row],[investcost]]*RANDBETWEEN(10,100)/10,5)</f>
        <v>0.24443999999999999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1</v>
      </c>
      <c r="D140">
        <f t="shared" ca="1" si="3"/>
        <v>115200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</v>
      </c>
      <c r="F140">
        <f ca="1">ROUND(1/table_Transfers[[#This Row],[investcost]]*RANDBETWEEN(10,100)/10,5)</f>
        <v>3.6170000000000001E-2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1</v>
      </c>
      <c r="D141">
        <f t="shared" ca="1" si="3"/>
        <v>345600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</v>
      </c>
      <c r="F141">
        <f ca="1">ROUND(1/table_Transfers[[#This Row],[investcost]]*RANDBETWEEN(10,100)/10,5)</f>
        <v>3.0159999999999999E-2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0</v>
      </c>
      <c r="D142">
        <f t="shared" ca="1" si="3"/>
        <v>38912000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2781</v>
      </c>
      <c r="F142">
        <f ca="1">ROUND(1/table_Transfers[[#This Row],[investcost]]*RANDBETWEEN(10,100)/10,5)</f>
        <v>3.0899999999999999E-3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0</v>
      </c>
      <c r="D143">
        <f t="shared" ca="1" si="3"/>
        <v>23756800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2654</v>
      </c>
      <c r="F143">
        <f ca="1">ROUND(1/table_Transfers[[#This Row],[investcost]]*RANDBETWEEN(10,100)/10,5)</f>
        <v>3.0899999999999999E-3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0</v>
      </c>
      <c r="D144">
        <f t="shared" ca="1" si="3"/>
        <v>1945600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220</v>
      </c>
      <c r="F144">
        <f ca="1">ROUND(1/table_Transfers[[#This Row],[investcost]]*RANDBETWEEN(10,100)/10,5)</f>
        <v>2.682E-2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1</v>
      </c>
      <c r="D145">
        <f t="shared" ca="1" si="3"/>
        <v>326400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</v>
      </c>
      <c r="F145">
        <f ca="1">ROUND(1/table_Transfers[[#This Row],[investcost]]*RANDBETWEEN(10,100)/10,5)</f>
        <v>5.6520000000000001E-2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1</v>
      </c>
      <c r="D146">
        <f t="shared" ca="1" si="3"/>
        <v>768000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</v>
      </c>
      <c r="F146">
        <f ca="1">ROUND(1/table_Transfers[[#This Row],[investcost]]*RANDBETWEEN(10,100)/10,5)</f>
        <v>8.788E-2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1</v>
      </c>
      <c r="D147">
        <f t="shared" ca="1" si="3"/>
        <v>2355200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281</v>
      </c>
      <c r="F147">
        <f ca="1">ROUND(1/table_Transfers[[#This Row],[investcost]]*RANDBETWEEN(10,100)/10,5)</f>
        <v>3.3099999999999997E-2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1</v>
      </c>
      <c r="D148">
        <f t="shared" ca="1" si="3"/>
        <v>8294400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789</v>
      </c>
      <c r="F148">
        <f ca="1">ROUND(1/table_Transfers[[#This Row],[investcost]]*RANDBETWEEN(10,100)/10,5)</f>
        <v>6.0800000000000003E-3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0</v>
      </c>
      <c r="D149">
        <f t="shared" ca="1" si="3"/>
        <v>21708800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4364</v>
      </c>
      <c r="F149">
        <f ca="1">ROUND(1/table_Transfers[[#This Row],[investcost]]*RANDBETWEEN(10,100)/10,5)</f>
        <v>1.4E-3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1</v>
      </c>
      <c r="D150">
        <f t="shared" ca="1" si="3"/>
        <v>29491200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4919</v>
      </c>
      <c r="F150">
        <f ca="1">ROUND(1/table_Transfers[[#This Row],[investcost]]*RANDBETWEEN(10,100)/10,5)</f>
        <v>4.4999999999999999E-4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0</v>
      </c>
      <c r="D151">
        <f t="shared" ca="1" si="3"/>
        <v>1920000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403</v>
      </c>
      <c r="F151">
        <f ca="1">ROUND(1/table_Transfers[[#This Row],[investcost]]*RANDBETWEEN(10,100)/10,5)</f>
        <v>4.2199999999999998E-3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1</v>
      </c>
      <c r="D152">
        <f t="shared" ca="1" si="3"/>
        <v>24166400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3483</v>
      </c>
      <c r="F152">
        <f ca="1">ROUND(1/table_Transfers[[#This Row],[investcost]]*RANDBETWEEN(10,100)/10,5)</f>
        <v>9.5E-4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1</v>
      </c>
      <c r="D153">
        <f t="shared" ca="1" si="3"/>
        <v>89600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59</v>
      </c>
      <c r="F153">
        <f ca="1">ROUND(1/table_Transfers[[#This Row],[investcost]]*RANDBETWEEN(10,100)/10,5)</f>
        <v>3.39E-2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1</v>
      </c>
      <c r="D154">
        <f t="shared" ca="1" si="3"/>
        <v>640000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113</v>
      </c>
      <c r="F154">
        <f ca="1">ROUND(1/table_Transfers[[#This Row],[investcost]]*RANDBETWEEN(10,100)/10,5)</f>
        <v>8.2299999999999998E-2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1</v>
      </c>
      <c r="D155">
        <f t="shared" ca="1" si="3"/>
        <v>1126400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</v>
      </c>
      <c r="F155">
        <f ca="1">ROUND(1/table_Transfers[[#This Row],[investcost]]*RANDBETWEEN(10,100)/10,5)</f>
        <v>7.0239999999999997E-2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0</v>
      </c>
      <c r="D156">
        <f t="shared" ca="1" si="3"/>
        <v>5734400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408</v>
      </c>
      <c r="F156">
        <f ca="1">ROUND(1/table_Transfers[[#This Row],[investcost]]*RANDBETWEEN(10,100)/10,5)</f>
        <v>2.206E-2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0</v>
      </c>
      <c r="D157">
        <f t="shared" ca="1" si="3"/>
        <v>147200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</v>
      </c>
      <c r="F157">
        <f ca="1">ROUND(1/table_Transfers[[#This Row],[investcost]]*RANDBETWEEN(10,100)/10,5)</f>
        <v>4.8980000000000003E-2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1</v>
      </c>
      <c r="D158">
        <f t="shared" ca="1" si="3"/>
        <v>6451200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495</v>
      </c>
      <c r="F158">
        <f ca="1">ROUND(1/table_Transfers[[#This Row],[investcost]]*RANDBETWEEN(10,100)/10,5)</f>
        <v>1.515E-2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0</v>
      </c>
      <c r="D159">
        <f t="shared" ca="1" si="3"/>
        <v>6144000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481</v>
      </c>
      <c r="F159">
        <f ca="1">ROUND(1/table_Transfers[[#This Row],[investcost]]*RANDBETWEEN(10,100)/10,5)</f>
        <v>1.8089999999999998E-2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0</v>
      </c>
      <c r="D160">
        <f t="shared" ca="1" si="3"/>
        <v>7987200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562</v>
      </c>
      <c r="F160">
        <f ca="1">ROUND(1/table_Transfers[[#This Row],[investcost]]*RANDBETWEEN(10,100)/10,5)</f>
        <v>1.299E-2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0</v>
      </c>
      <c r="D161">
        <f t="shared" ca="1" si="3"/>
        <v>384000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96</v>
      </c>
      <c r="F161">
        <f ca="1">ROUND(1/table_Transfers[[#This Row],[investcost]]*RANDBETWEEN(10,100)/10,5)</f>
        <v>9.1670000000000001E-2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1</v>
      </c>
      <c r="D162">
        <f t="shared" ca="1" si="3"/>
        <v>11878400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957</v>
      </c>
      <c r="F162">
        <f ca="1">ROUND(1/table_Transfers[[#This Row],[investcost]]*RANDBETWEEN(10,100)/10,5)</f>
        <v>6.8999999999999999E-3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1</v>
      </c>
      <c r="D163">
        <f t="shared" ca="1" si="3"/>
        <v>15769600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1781</v>
      </c>
      <c r="F163">
        <f ca="1">ROUND(1/table_Transfers[[#This Row],[investcost]]*RANDBETWEEN(10,100)/10,5)</f>
        <v>3.48E-3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0</v>
      </c>
      <c r="D164">
        <f t="shared" ca="1" si="3"/>
        <v>7475200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699</v>
      </c>
      <c r="F164">
        <f ca="1">ROUND(1/table_Transfers[[#This Row],[investcost]]*RANDBETWEEN(10,100)/10,5)</f>
        <v>8.7299999999999999E-3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0</v>
      </c>
      <c r="D165">
        <f t="shared" ca="1" si="3"/>
        <v>4505600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368</v>
      </c>
      <c r="F165">
        <f ca="1">ROUND(1/table_Transfers[[#This Row],[investcost]]*RANDBETWEEN(10,100)/10,5)</f>
        <v>1.06E-2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1</v>
      </c>
      <c r="D166">
        <f t="shared" ca="1" si="3"/>
        <v>8704000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1249</v>
      </c>
      <c r="F166">
        <f ca="1">ROUND(1/table_Transfers[[#This Row],[investcost]]*RANDBETWEEN(10,100)/10,5)</f>
        <v>6.9699999999999996E-3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1</v>
      </c>
      <c r="D167">
        <f t="shared" ca="1" si="3"/>
        <v>2278400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237</v>
      </c>
      <c r="F167">
        <f ca="1">ROUND(1/table_Transfers[[#This Row],[investcost]]*RANDBETWEEN(10,100)/10,5)</f>
        <v>1.1809999999999999E-2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1</v>
      </c>
      <c r="D168">
        <f t="shared" ca="1" si="3"/>
        <v>1228800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224</v>
      </c>
      <c r="F168">
        <f ca="1">ROUND(1/table_Transfers[[#This Row],[investcost]]*RANDBETWEEN(10,100)/10,5)</f>
        <v>1.116E-2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0</v>
      </c>
      <c r="D169">
        <f t="shared" ca="1" si="3"/>
        <v>8704000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1265</v>
      </c>
      <c r="F169">
        <f ca="1">ROUND(1/table_Transfers[[#This Row],[investcost]]*RANDBETWEEN(10,100)/10,5)</f>
        <v>1.5E-3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1</v>
      </c>
      <c r="D170">
        <f t="shared" ca="1" si="3"/>
        <v>34406400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4340</v>
      </c>
      <c r="F170">
        <f ca="1">ROUND(1/table_Transfers[[#This Row],[investcost]]*RANDBETWEEN(10,100)/10,5)</f>
        <v>1.64E-3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1</v>
      </c>
      <c r="D171">
        <f t="shared" ca="1" si="3"/>
        <v>1126400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180</v>
      </c>
      <c r="F171">
        <f ca="1">ROUND(1/table_Transfers[[#This Row],[investcost]]*RANDBETWEEN(10,100)/10,5)</f>
        <v>4.8890000000000003E-2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1</v>
      </c>
      <c r="D172">
        <f t="shared" ca="1" si="3"/>
        <v>6553600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955</v>
      </c>
      <c r="F172">
        <f ca="1">ROUND(1/table_Transfers[[#This Row],[investcost]]*RANDBETWEEN(10,100)/10,5)</f>
        <v>8.0599999999999995E-3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1</v>
      </c>
      <c r="D173">
        <f t="shared" ca="1" si="3"/>
        <v>960000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</v>
      </c>
      <c r="F173">
        <f ca="1">ROUND(1/table_Transfers[[#This Row],[investcost]]*RANDBETWEEN(10,100)/10,5)</f>
        <v>3.9710000000000002E-2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0</v>
      </c>
      <c r="D174">
        <f t="shared" ca="1" si="3"/>
        <v>2073600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233</v>
      </c>
      <c r="F174">
        <f ca="1">ROUND(1/table_Transfers[[#This Row],[investcost]]*RANDBETWEEN(10,100)/10,5)</f>
        <v>8.5800000000000008E-3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0</v>
      </c>
      <c r="D175">
        <f t="shared" ca="1" si="3"/>
        <v>2764800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257</v>
      </c>
      <c r="F175">
        <f ca="1">ROUND(1/table_Transfers[[#This Row],[investcost]]*RANDBETWEEN(10,100)/10,5)</f>
        <v>1.0120000000000001E-2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0</v>
      </c>
      <c r="D176">
        <f t="shared" ca="1" si="3"/>
        <v>11673600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907</v>
      </c>
      <c r="F176">
        <f ca="1">ROUND(1/table_Transfers[[#This Row],[investcost]]*RANDBETWEEN(10,100)/10,5)</f>
        <v>9.5899999999999996E-3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0</v>
      </c>
      <c r="D177">
        <f t="shared" ca="1" si="3"/>
        <v>2969600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199</v>
      </c>
      <c r="F177">
        <f ca="1">ROUND(1/table_Transfers[[#This Row],[investcost]]*RANDBETWEEN(10,100)/10,5)</f>
        <v>4.4220000000000002E-2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1</v>
      </c>
      <c r="D178">
        <f t="shared" ca="1" si="3"/>
        <v>16793600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2118</v>
      </c>
      <c r="F178">
        <f ca="1">ROUND(1/table_Transfers[[#This Row],[investcost]]*RANDBETWEEN(10,100)/10,5)</f>
        <v>3.5899999999999999E-3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1</v>
      </c>
      <c r="D179">
        <f t="shared" ca="1" si="3"/>
        <v>115200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</v>
      </c>
      <c r="F179">
        <f ca="1">ROUND(1/table_Transfers[[#This Row],[investcost]]*RANDBETWEEN(10,100)/10,5)</f>
        <v>5.2780000000000001E-2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1</v>
      </c>
      <c r="D180">
        <f t="shared" ca="1" si="3"/>
        <v>9625600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1224</v>
      </c>
      <c r="F180">
        <f ca="1">ROUND(1/table_Transfers[[#This Row],[investcost]]*RANDBETWEEN(10,100)/10,5)</f>
        <v>5.64E-3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1</v>
      </c>
      <c r="D181">
        <f t="shared" ca="1" si="3"/>
        <v>4454400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410</v>
      </c>
      <c r="F181">
        <f ca="1">ROUND(1/table_Transfers[[#This Row],[investcost]]*RANDBETWEEN(10,100)/10,5)</f>
        <v>4.3899999999999998E-3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0</v>
      </c>
      <c r="D182">
        <f t="shared" ca="1" si="3"/>
        <v>1280000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199</v>
      </c>
      <c r="F182">
        <f ca="1">ROUND(1/table_Transfers[[#This Row],[investcost]]*RANDBETWEEN(10,100)/10,5)</f>
        <v>1.558E-2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0</v>
      </c>
      <c r="D183">
        <f t="shared" ca="1" si="3"/>
        <v>2252800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185</v>
      </c>
      <c r="F183">
        <f ca="1">ROUND(1/table_Transfers[[#This Row],[investcost]]*RANDBETWEEN(10,100)/10,5)</f>
        <v>3.0810000000000001E-2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1</v>
      </c>
      <c r="D184">
        <f t="shared" ca="1" si="3"/>
        <v>780800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</v>
      </c>
      <c r="F184">
        <f ca="1">ROUND(1/table_Transfers[[#This Row],[investcost]]*RANDBETWEEN(10,100)/10,5)</f>
        <v>9.3810000000000004E-2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1</v>
      </c>
      <c r="D185">
        <f t="shared" ca="1" si="3"/>
        <v>1587200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160</v>
      </c>
      <c r="F185">
        <f ca="1">ROUND(1/table_Transfers[[#This Row],[investcost]]*RANDBETWEEN(10,100)/10,5)</f>
        <v>4.5629999999999997E-2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0</v>
      </c>
      <c r="D186">
        <f t="shared" ca="1" si="3"/>
        <v>409600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</v>
      </c>
      <c r="F186">
        <f ca="1">ROUND(1/table_Transfers[[#This Row],[investcost]]*RANDBETWEEN(10,100)/10,5)</f>
        <v>0.12393999999999999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1</v>
      </c>
      <c r="D187">
        <f t="shared" ca="1" si="3"/>
        <v>7884800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878</v>
      </c>
      <c r="F187">
        <f ca="1">ROUND(1/table_Transfers[[#This Row],[investcost]]*RANDBETWEEN(10,100)/10,5)</f>
        <v>1.1050000000000001E-2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1</v>
      </c>
      <c r="D188">
        <f t="shared" ca="1" si="3"/>
        <v>640000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</v>
      </c>
      <c r="F188">
        <f ca="1">ROUND(1/table_Transfers[[#This Row],[investcost]]*RANDBETWEEN(10,100)/10,5)</f>
        <v>2.043E-2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1</v>
      </c>
      <c r="D189">
        <f t="shared" ca="1" si="3"/>
        <v>768000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110</v>
      </c>
      <c r="F189">
        <f ca="1">ROUND(1/table_Transfers[[#This Row],[investcost]]*RANDBETWEEN(10,100)/10,5)</f>
        <v>6.182E-2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0</v>
      </c>
      <c r="D190">
        <f t="shared" ca="1" si="3"/>
        <v>3788800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669</v>
      </c>
      <c r="F190">
        <f ca="1">ROUND(1/table_Transfers[[#This Row],[investcost]]*RANDBETWEEN(10,100)/10,5)</f>
        <v>6.5799999999999999E-3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0</v>
      </c>
      <c r="D191">
        <f t="shared" ca="1" si="3"/>
        <v>4608000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357</v>
      </c>
      <c r="F191">
        <f ca="1">ROUND(1/table_Transfers[[#This Row],[investcost]]*RANDBETWEEN(10,100)/10,5)</f>
        <v>1.485E-2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1</v>
      </c>
      <c r="D192">
        <f t="shared" ca="1" si="3"/>
        <v>37683200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3456</v>
      </c>
      <c r="F192">
        <f ca="1">ROUND(1/table_Transfers[[#This Row],[investcost]]*RANDBETWEEN(10,100)/10,5)</f>
        <v>2.4599999999999999E-3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1</v>
      </c>
      <c r="D193">
        <f t="shared" ca="1" si="3"/>
        <v>9420800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631</v>
      </c>
      <c r="F193">
        <f ca="1">ROUND(1/table_Transfers[[#This Row],[investcost]]*RANDBETWEEN(10,100)/10,5)</f>
        <v>1.521E-2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0</v>
      </c>
      <c r="D194">
        <f t="shared" ref="D194:D202" ca="1" si="4">2^RANDBETWEEN(6,12)*100*RANDBETWEEN(10,100)</f>
        <v>1228800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89</v>
      </c>
      <c r="F194">
        <f ca="1">ROUND(1/table_Transfers[[#This Row],[investcost]]*RANDBETWEEN(10,100)/10,5)</f>
        <v>6.8540000000000004E-2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1</v>
      </c>
      <c r="D195">
        <f t="shared" ca="1" si="4"/>
        <v>588800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</v>
      </c>
      <c r="F195">
        <f ca="1">ROUND(1/table_Transfers[[#This Row],[investcost]]*RANDBETWEEN(10,100)/10,5)</f>
        <v>0.12984999999999999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1</v>
      </c>
      <c r="D196">
        <f t="shared" ca="1" si="4"/>
        <v>3686400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327</v>
      </c>
      <c r="F196">
        <f ca="1">ROUND(1/table_Transfers[[#This Row],[investcost]]*RANDBETWEEN(10,100)/10,5)</f>
        <v>9.1699999999999993E-3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1</v>
      </c>
      <c r="D197">
        <f t="shared" ca="1" si="4"/>
        <v>17203200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2467</v>
      </c>
      <c r="F197">
        <f ca="1">ROUND(1/table_Transfers[[#This Row],[investcost]]*RANDBETWEEN(10,100)/10,5)</f>
        <v>3.2799999999999999E-3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1</v>
      </c>
      <c r="D198">
        <f t="shared" ca="1" si="4"/>
        <v>1843200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271</v>
      </c>
      <c r="F198">
        <f ca="1">ROUND(1/table_Transfers[[#This Row],[investcost]]*RANDBETWEEN(10,100)/10,5)</f>
        <v>2.3619999999999999E-2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1</v>
      </c>
      <c r="D199">
        <f t="shared" ca="1" si="4"/>
        <v>204800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</v>
      </c>
      <c r="F199">
        <f ca="1">ROUND(1/table_Transfers[[#This Row],[investcost]]*RANDBETWEEN(10,100)/10,5)</f>
        <v>4.7919999999999997E-2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0</v>
      </c>
      <c r="D200">
        <f t="shared" ca="1" si="4"/>
        <v>10240000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1703</v>
      </c>
      <c r="F200">
        <f ca="1">ROUND(1/table_Transfers[[#This Row],[investcost]]*RANDBETWEEN(10,100)/10,5)</f>
        <v>5.8700000000000002E-3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0</v>
      </c>
      <c r="D201">
        <f t="shared" ca="1" si="4"/>
        <v>2252800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246</v>
      </c>
      <c r="F201">
        <f ca="1">ROUND(1/table_Transfers[[#This Row],[investcost]]*RANDBETWEEN(10,100)/10,5)</f>
        <v>2.2360000000000001E-2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1</v>
      </c>
      <c r="D202">
        <f t="shared" ca="1" si="4"/>
        <v>13926400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2364</v>
      </c>
      <c r="F202">
        <f ca="1">ROUND(1/table_Transfers[[#This Row],[investcost]]*RANDBETWEEN(10,100)/10,5)</f>
        <v>2.16E-3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F102"/>
  <sheetViews>
    <sheetView topLeftCell="A70" workbookViewId="0">
      <selection activeCell="I84" sqref="I84"/>
    </sheetView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4224000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261</v>
      </c>
      <c r="F2">
        <f ca="1">ROUND(ROUND(1/table_Transfers[[#This Row],[investcost]],3)*RANDBETWEEN(5,50)/10,5)</f>
        <v>7.1999999999999998E-3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36352000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2117</v>
      </c>
      <c r="F3">
        <f ca="1">ROUND(1/table_Transfers[[#This Row],[investcost]]*RANDBETWEEN(10,100)/10,5)</f>
        <v>3.5699999999999998E-3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36864000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109</v>
      </c>
      <c r="F4">
        <f ca="1">ROUND(1/table_Transfers[[#This Row],[investcost]]*RANDBETWEEN(10,100)/10,5)</f>
        <v>0.17115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100352000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167</v>
      </c>
      <c r="F5">
        <f ca="1">ROUND(1/table_Transfers[[#This Row],[investcost]]*RANDBETWEEN(10,100)/10,5)</f>
        <v>5.083E-2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393216000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283</v>
      </c>
      <c r="F6">
        <f ca="1">ROUND(1/table_Transfers[[#This Row],[investcost]]*RANDBETWEEN(10,100)/10,5)</f>
        <v>2.2089999999999999E-2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5376000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</v>
      </c>
      <c r="F7">
        <f ca="1">ROUND(1/table_Transfers[[#This Row],[investcost]]*RANDBETWEEN(10,100)/10,5)</f>
        <v>0.18163000000000001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36352000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424</v>
      </c>
      <c r="F8">
        <f ca="1">ROUND(1/table_Transfers[[#This Row],[investcost]]*RANDBETWEEN(10,100)/10,5)</f>
        <v>3.8800000000000002E-3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1152000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3398</v>
      </c>
      <c r="F9">
        <f ca="1">ROUND(1/table_Transfers[[#This Row],[investcost]]*RANDBETWEEN(10,100)/10,5)</f>
        <v>1.9599999999999999E-3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1760000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2010</v>
      </c>
      <c r="F10">
        <f ca="1">ROUND(1/table_Transfers[[#This Row],[investcost]]*RANDBETWEEN(10,100)/10,5)</f>
        <v>1.1199999999999999E-3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1024000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573</v>
      </c>
      <c r="F11">
        <f ca="1">ROUND(1/table_Transfers[[#This Row],[investcost]]*RANDBETWEEN(10,100)/10,5)</f>
        <v>3.3000000000000002E-2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14848000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251</v>
      </c>
      <c r="F12">
        <f ca="1">ROUND(1/table_Transfers[[#This Row],[investcost]]*RANDBETWEEN(10,100)/10,5)</f>
        <v>6.4100000000000004E-2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1</v>
      </c>
      <c r="D13">
        <f t="shared" ca="1" si="0"/>
        <v>45056000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1756</v>
      </c>
      <c r="F13">
        <f ca="1">ROUND(1/table_Transfers[[#This Row],[investcost]]*RANDBETWEEN(10,100)/10,5)</f>
        <v>5.9899999999999997E-3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208896000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</v>
      </c>
      <c r="F14">
        <f ca="1">ROUND(1/table_Transfers[[#This Row],[investcost]]*RANDBETWEEN(10,100)/10,5)</f>
        <v>0.11645999999999999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1664000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360</v>
      </c>
      <c r="F15">
        <f ca="1">ROUND(1/table_Transfers[[#This Row],[investcost]]*RANDBETWEEN(10,100)/10,5)</f>
        <v>3.5999999999999999E-3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41984000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640</v>
      </c>
      <c r="F16">
        <f ca="1">ROUND(1/table_Transfers[[#This Row],[investcost]]*RANDBETWEEN(10,100)/10,5)</f>
        <v>2.87E-2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6784000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56</v>
      </c>
      <c r="F17">
        <f ca="1">ROUND(1/table_Transfers[[#This Row],[investcost]]*RANDBETWEEN(10,100)/10,5)</f>
        <v>3.3700000000000001E-2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364544000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1153</v>
      </c>
      <c r="F18">
        <f ca="1">ROUND(1/table_Transfers[[#This Row],[investcost]]*RANDBETWEEN(10,100)/10,5)</f>
        <v>4.1700000000000001E-3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1024000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164</v>
      </c>
      <c r="F19">
        <f ca="1">ROUND(1/table_Transfers[[#This Row],[investcost]]*RANDBETWEEN(10,100)/10,5)</f>
        <v>4.4040000000000003E-2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544000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553</v>
      </c>
      <c r="F20">
        <f ca="1">ROUND(1/table_Transfers[[#This Row],[investcost]]*RANDBETWEEN(10,100)/10,5)</f>
        <v>2.8E-3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42496000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68</v>
      </c>
      <c r="F21">
        <f ca="1">ROUND(1/table_Transfers[[#This Row],[investcost]]*RANDBETWEEN(10,100)/10,5)</f>
        <v>4.2860000000000002E-2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3136000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104</v>
      </c>
      <c r="F22">
        <f ca="1">ROUND(1/table_Transfers[[#This Row],[investcost]]*RANDBETWEEN(10,100)/10,5)</f>
        <v>1.515E-2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45056000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161</v>
      </c>
      <c r="F23">
        <f ca="1">ROUND(1/table_Transfers[[#This Row],[investcost]]*RANDBETWEEN(10,100)/10,5)</f>
        <v>6.1719999999999997E-2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784000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1492</v>
      </c>
      <c r="F24">
        <f ca="1">ROUND(1/table_Transfers[[#This Row],[investcost]]*RANDBETWEEN(10,100)/10,5)</f>
        <v>5.7200000000000003E-3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165888000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223</v>
      </c>
      <c r="F25">
        <f ca="1">ROUND(1/table_Transfers[[#This Row],[investcost]]*RANDBETWEEN(10,100)/10,5)</f>
        <v>4.3720000000000002E-2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19712000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2954</v>
      </c>
      <c r="F26">
        <f ca="1">ROUND(1/table_Transfers[[#This Row],[investcost]]*RANDBETWEEN(10,100)/10,5)</f>
        <v>1.97E-3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22272000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281</v>
      </c>
      <c r="F27">
        <f ca="1">ROUND(1/table_Transfers[[#This Row],[investcost]]*RANDBETWEEN(10,100)/10,5)</f>
        <v>5.6030000000000003E-2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196608000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</v>
      </c>
      <c r="F28">
        <f ca="1">ROUND(1/table_Transfers[[#This Row],[investcost]]*RANDBETWEEN(10,100)/10,5)</f>
        <v>3.585E-2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5184000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233</v>
      </c>
      <c r="F29">
        <f ca="1">ROUND(1/table_Transfers[[#This Row],[investcost]]*RANDBETWEEN(10,100)/10,5)</f>
        <v>3.5589999999999997E-2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3456000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</v>
      </c>
      <c r="F30">
        <f ca="1">ROUND(1/table_Transfers[[#This Row],[investcost]]*RANDBETWEEN(10,100)/10,5)</f>
        <v>0.13042999999999999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49152000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1580</v>
      </c>
      <c r="F31">
        <f ca="1">ROUND(1/table_Transfers[[#This Row],[investcost]]*RANDBETWEEN(10,100)/10,5)</f>
        <v>2.7200000000000002E-3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3840000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84</v>
      </c>
      <c r="F32">
        <f ca="1">ROUND(1/table_Transfers[[#This Row],[investcost]]*RANDBETWEEN(10,100)/10,5)</f>
        <v>7.5859999999999997E-2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4800000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</v>
      </c>
      <c r="F33">
        <f ca="1">ROUND(1/table_Transfers[[#This Row],[investcost]]*RANDBETWEEN(10,100)/10,5)</f>
        <v>0.17777999999999999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896000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</v>
      </c>
      <c r="F34">
        <f ca="1">ROUND(1/table_Transfers[[#This Row],[investcost]]*RANDBETWEEN(10,100)/10,5)</f>
        <v>0.13099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7936000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</v>
      </c>
      <c r="F35">
        <f ca="1">ROUND(1/table_Transfers[[#This Row],[investcost]]*RANDBETWEEN(10,100)/10,5)</f>
        <v>0.17419000000000001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14848000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2020</v>
      </c>
      <c r="F36">
        <f ca="1">ROUND(1/table_Transfers[[#This Row],[investcost]]*RANDBETWEEN(10,100)/10,5)</f>
        <v>2.7399999999999998E-3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10112000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360</v>
      </c>
      <c r="F37">
        <f ca="1">ROUND(1/table_Transfers[[#This Row],[investcost]]*RANDBETWEEN(10,100)/10,5)</f>
        <v>9.8300000000000002E-3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18688000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37</v>
      </c>
      <c r="F38">
        <f ca="1">ROUND(1/table_Transfers[[#This Row],[investcost]]*RANDBETWEEN(10,100)/10,5)</f>
        <v>0.05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5568000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</v>
      </c>
      <c r="F39">
        <f ca="1">ROUND(1/table_Transfers[[#This Row],[investcost]]*RANDBETWEEN(10,100)/10,5)</f>
        <v>0.13571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1920000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2262</v>
      </c>
      <c r="F40">
        <f ca="1">ROUND(1/table_Transfers[[#This Row],[investcost]]*RANDBETWEEN(10,100)/10,5)</f>
        <v>7.0800000000000004E-3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3904000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104</v>
      </c>
      <c r="F41">
        <f ca="1">ROUND(1/table_Transfers[[#This Row],[investcost]]*RANDBETWEEN(10,100)/10,5)</f>
        <v>7.5649999999999995E-2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3328000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</v>
      </c>
      <c r="F42">
        <f ca="1">ROUND(1/table_Transfers[[#This Row],[investcost]]*RANDBETWEEN(10,100)/10,5)</f>
        <v>0.11538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2048000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2086</v>
      </c>
      <c r="F43">
        <f ca="1">ROUND(1/table_Transfers[[#This Row],[investcost]]*RANDBETWEEN(10,100)/10,5)</f>
        <v>2.5100000000000001E-3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11520000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733</v>
      </c>
      <c r="F44">
        <f ca="1">ROUND(1/table_Transfers[[#This Row],[investcost]]*RANDBETWEEN(10,100)/10,5)</f>
        <v>7.7099999999999998E-3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2880000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1147</v>
      </c>
      <c r="F45">
        <f ca="1">ROUND(1/table_Transfers[[#This Row],[investcost]]*RANDBETWEEN(10,100)/10,5)</f>
        <v>6.2500000000000003E-3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5888000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</v>
      </c>
      <c r="F46">
        <f ca="1">ROUND(1/table_Transfers[[#This Row],[investcost]]*RANDBETWEEN(10,100)/10,5)</f>
        <v>2.1919999999999999E-2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98304000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82</v>
      </c>
      <c r="F47">
        <f ca="1">ROUND(1/table_Transfers[[#This Row],[investcost]]*RANDBETWEEN(10,100)/10,5)</f>
        <v>3.7659999999999999E-2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1280000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118</v>
      </c>
      <c r="F48">
        <f ca="1">ROUND(1/table_Transfers[[#This Row],[investcost]]*RANDBETWEEN(10,100)/10,5)</f>
        <v>3.4209999999999997E-2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31744000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336</v>
      </c>
      <c r="F49">
        <f ca="1">ROUND(1/table_Transfers[[#This Row],[investcost]]*RANDBETWEEN(10,100)/10,5)</f>
        <v>4.5710000000000001E-2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17920000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1854</v>
      </c>
      <c r="F50">
        <f ca="1">ROUND(1/table_Transfers[[#This Row],[investcost]]*RANDBETWEEN(10,100)/10,5)</f>
        <v>1.6000000000000001E-3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90112000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580</v>
      </c>
      <c r="F51">
        <f ca="1">ROUND(1/table_Transfers[[#This Row],[investcost]]*RANDBETWEEN(10,100)/10,5)</f>
        <v>2.0469999999999999E-2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448000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1943</v>
      </c>
      <c r="F52">
        <f ca="1">ROUND(1/table_Transfers[[#This Row],[investcost]]*RANDBETWEEN(10,100)/10,5)</f>
        <v>2.2699999999999999E-3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4352000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70</v>
      </c>
      <c r="F53">
        <f ca="1">ROUND(1/table_Transfers[[#This Row],[investcost]]*RANDBETWEEN(10,100)/10,5)</f>
        <v>0.51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83968000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235</v>
      </c>
      <c r="F54">
        <f ca="1">ROUND(1/table_Transfers[[#This Row],[investcost]]*RANDBETWEEN(10,100)/10,5)</f>
        <v>1.8010000000000002E-2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8448000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543</v>
      </c>
      <c r="F55">
        <f ca="1">ROUND(1/table_Transfers[[#This Row],[investcost]]*RANDBETWEEN(10,100)/10,5)</f>
        <v>1.1950000000000001E-2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47104000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969</v>
      </c>
      <c r="F56">
        <f ca="1">ROUND(1/table_Transfers[[#This Row],[investcost]]*RANDBETWEEN(10,100)/10,5)</f>
        <v>4.4799999999999996E-3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4736000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147</v>
      </c>
      <c r="F57">
        <f ca="1">ROUND(1/table_Transfers[[#This Row],[investcost]]*RANDBETWEEN(10,100)/10,5)</f>
        <v>2.1479999999999999E-2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35328000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770</v>
      </c>
      <c r="F58">
        <f ca="1">ROUND(1/table_Transfers[[#This Row],[investcost]]*RANDBETWEEN(10,100)/10,5)</f>
        <v>7.1300000000000001E-3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139264000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634</v>
      </c>
      <c r="F59">
        <f ca="1">ROUND(1/table_Transfers[[#This Row],[investcost]]*RANDBETWEEN(10,100)/10,5)</f>
        <v>1.31E-3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2304000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259</v>
      </c>
      <c r="F60">
        <f ca="1">ROUND(1/table_Transfers[[#This Row],[investcost]]*RANDBETWEEN(10,100)/10,5)</f>
        <v>2.1600000000000001E-2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167936000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170</v>
      </c>
      <c r="F61">
        <f ca="1">ROUND(1/table_Transfers[[#This Row],[investcost]]*RANDBETWEEN(10,100)/10,5)</f>
        <v>1.3729999999999999E-2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65536000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2636</v>
      </c>
      <c r="F62">
        <f ca="1">ROUND(1/table_Transfers[[#This Row],[investcost]]*RANDBETWEEN(10,100)/10,5)</f>
        <v>2.0999999999999999E-3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135168000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4127</v>
      </c>
      <c r="F63">
        <f ca="1">ROUND(1/table_Transfers[[#This Row],[investcost]]*RANDBETWEEN(10,100)/10,5)</f>
        <v>4.8399999999999997E-3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1360000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1556</v>
      </c>
      <c r="F64">
        <f ca="1">ROUND(1/table_Transfers[[#This Row],[investcost]]*RANDBETWEEN(10,100)/10,5)</f>
        <v>6.4799999999999996E-3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464000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</v>
      </c>
      <c r="F65">
        <f ca="1">ROUND(1/table_Transfers[[#This Row],[investcost]]*RANDBETWEEN(10,100)/10,5)</f>
        <v>6.8870000000000001E-2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25600000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2546</v>
      </c>
      <c r="F66">
        <f ca="1">ROUND(1/table_Transfers[[#This Row],[investcost]]*RANDBETWEEN(10,100)/10,5)</f>
        <v>1.8600000000000001E-3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3712000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150</v>
      </c>
      <c r="F67">
        <f ca="1">ROUND(1/table_Transfers[[#This Row],[investcost]]*RANDBETWEEN(10,100)/10,5)</f>
        <v>3.295E-2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151552000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288</v>
      </c>
      <c r="F68">
        <f ca="1">ROUND(1/table_Transfers[[#This Row],[investcost]]*RANDBETWEEN(10,100)/10,5)</f>
        <v>3.2070000000000001E-2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53248000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1589</v>
      </c>
      <c r="F69">
        <f ca="1">ROUND(1/table_Transfers[[#This Row],[investcost]]*RANDBETWEEN(10,100)/10,5)</f>
        <v>1.7899999999999999E-3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98304000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1732</v>
      </c>
      <c r="F70">
        <f ca="1">ROUND(1/table_Transfers[[#This Row],[investcost]]*RANDBETWEEN(10,100)/10,5)</f>
        <v>2.82E-3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28160000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807</v>
      </c>
      <c r="F71">
        <f ca="1">ROUND(1/table_Transfers[[#This Row],[investcost]]*RANDBETWEEN(10,100)/10,5)</f>
        <v>2.8400000000000001E-3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22528000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</v>
      </c>
      <c r="F72">
        <f ca="1">ROUND(1/table_Transfers[[#This Row],[investcost]]*RANDBETWEEN(10,100)/10,5)</f>
        <v>3.1050000000000001E-2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944000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43</v>
      </c>
      <c r="F73">
        <f ca="1">ROUND(1/table_Transfers[[#This Row],[investcost]]*RANDBETWEEN(10,100)/10,5)</f>
        <v>0.1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368640000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132</v>
      </c>
      <c r="F74">
        <f ca="1">ROUND(1/table_Transfers[[#This Row],[investcost]]*RANDBETWEEN(10,100)/10,5)</f>
        <v>2.6669999999999999E-2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24832000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186</v>
      </c>
      <c r="F75">
        <f ca="1">ROUND(1/table_Transfers[[#This Row],[investcost]]*RANDBETWEEN(10,100)/10,5)</f>
        <v>5.1959999999999999E-2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29696000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224</v>
      </c>
      <c r="F76">
        <f ca="1">ROUND(1/table_Transfers[[#This Row],[investcost]]*RANDBETWEEN(10,100)/10,5)</f>
        <v>2.8379999999999999E-2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10240000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485</v>
      </c>
      <c r="F77">
        <f ca="1">ROUND(1/table_Transfers[[#This Row],[investcost]]*RANDBETWEEN(10,100)/10,5)</f>
        <v>5.6820000000000002E-2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319488000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4478</v>
      </c>
      <c r="F78">
        <f ca="1">ROUND(1/table_Transfers[[#This Row],[investcost]]*RANDBETWEEN(10,100)/10,5)</f>
        <v>3.3600000000000001E-3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4288000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781</v>
      </c>
      <c r="F79">
        <f ca="1">ROUND(1/table_Transfers[[#This Row],[investcost]]*RANDBETWEEN(10,100)/10,5)</f>
        <v>4.5700000000000003E-3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1600000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</v>
      </c>
      <c r="F80">
        <f ca="1">ROUND(1/table_Transfers[[#This Row],[investcost]]*RANDBETWEEN(10,100)/10,5)</f>
        <v>6.8059999999999996E-2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47104000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710</v>
      </c>
      <c r="F81">
        <f ca="1">ROUND(1/table_Transfers[[#This Row],[investcost]]*RANDBETWEEN(10,100)/10,5)</f>
        <v>1.4970000000000001E-2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409600000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</v>
      </c>
      <c r="F82">
        <f ca="1">ROUND(1/table_Transfers[[#This Row],[investcost]]*RANDBETWEEN(10,100)/10,5)</f>
        <v>8.4620000000000001E-2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19456000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</v>
      </c>
      <c r="F83">
        <f ca="1">ROUND(1/table_Transfers[[#This Row],[investcost]]*RANDBETWEEN(10,100)/10,5)</f>
        <v>4.2549999999999998E-2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560000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416</v>
      </c>
      <c r="F84">
        <f ca="1">ROUND(1/table_Transfers[[#This Row],[investcost]]*RANDBETWEEN(10,100)/10,5)</f>
        <v>1.5429999999999999E-2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1664000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107</v>
      </c>
      <c r="F85">
        <f ca="1">ROUND(1/table_Transfers[[#This Row],[investcost]]*RANDBETWEEN(10,100)/10,5)</f>
        <v>2.0650000000000002E-2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212992000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1679</v>
      </c>
      <c r="F86">
        <f ca="1">ROUND(1/table_Transfers[[#This Row],[investcost]]*RANDBETWEEN(10,100)/10,5)</f>
        <v>1.4E-3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768000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416</v>
      </c>
      <c r="F87">
        <f ca="1">ROUND(1/table_Transfers[[#This Row],[investcost]]*RANDBETWEEN(10,100)/10,5)</f>
        <v>1.6889999999999999E-2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9344000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356</v>
      </c>
      <c r="F88">
        <f ca="1">ROUND(1/table_Transfers[[#This Row],[investcost]]*RANDBETWEEN(10,100)/10,5)</f>
        <v>6.0499999999999998E-3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18176000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291</v>
      </c>
      <c r="F89">
        <f ca="1">ROUND(1/table_Transfers[[#This Row],[investcost]]*RANDBETWEEN(10,100)/10,5)</f>
        <v>7.1999999999999998E-3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1952000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</v>
      </c>
      <c r="F90">
        <f ca="1">ROUND(1/table_Transfers[[#This Row],[investcost]]*RANDBETWEEN(10,100)/10,5)</f>
        <v>0.20644999999999999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2880000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272</v>
      </c>
      <c r="F91">
        <f ca="1">ROUND(1/table_Transfers[[#This Row],[investcost]]*RANDBETWEEN(10,100)/10,5)</f>
        <v>5.4999999999999997E-3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6528000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96</v>
      </c>
      <c r="F92">
        <f ca="1">ROUND(1/table_Transfers[[#This Row],[investcost]]*RANDBETWEEN(10,100)/10,5)</f>
        <v>4.3749999999999997E-2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5504000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5590</v>
      </c>
      <c r="F93">
        <f ca="1">ROUND(1/table_Transfers[[#This Row],[investcost]]*RANDBETWEEN(10,100)/10,5)</f>
        <v>7.5000000000000002E-4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816000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</v>
      </c>
      <c r="F94">
        <f ca="1">ROUND(1/table_Transfers[[#This Row],[investcost]]*RANDBETWEEN(10,100)/10,5)</f>
        <v>5.9089999999999997E-2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3200000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</v>
      </c>
      <c r="F95">
        <f ca="1">ROUND(1/table_Transfers[[#This Row],[investcost]]*RANDBETWEEN(10,100)/10,5)</f>
        <v>4.5539999999999997E-2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688000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</v>
      </c>
      <c r="F96">
        <f ca="1">ROUND(1/table_Transfers[[#This Row],[investcost]]*RANDBETWEEN(10,100)/10,5)</f>
        <v>2.913E-2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160000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2341</v>
      </c>
      <c r="F97">
        <f ca="1">ROUND(1/table_Transfers[[#This Row],[investcost]]*RANDBETWEEN(10,100)/10,5)</f>
        <v>2.5100000000000001E-3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114688000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1589</v>
      </c>
      <c r="F98">
        <f ca="1">ROUND(1/table_Transfers[[#This Row],[investcost]]*RANDBETWEEN(10,100)/10,5)</f>
        <v>2.7299999999999998E-3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704000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</v>
      </c>
      <c r="F99">
        <f ca="1">ROUND(1/table_Transfers[[#This Row],[investcost]]*RANDBETWEEN(10,100)/10,5)</f>
        <v>0.19031999999999999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992000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722</v>
      </c>
      <c r="F100">
        <f ca="1">ROUND(1/table_Transfers[[#This Row],[investcost]]*RANDBETWEEN(10,100)/10,5)</f>
        <v>7.0099999999999997E-3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1040000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</v>
      </c>
      <c r="F101">
        <f ca="1">ROUND(1/table_Transfers[[#This Row],[investcost]]*RANDBETWEEN(10,100)/10,5)</f>
        <v>3.8890000000000001E-2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2176000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194</v>
      </c>
      <c r="F102">
        <f ca="1">ROUND(1/table_Transfers[[#This Row],[investcost]]*RANDBETWEEN(10,100)/10,5)</f>
        <v>5.8869999999999999E-2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M1521"/>
  <sheetViews>
    <sheetView topLeftCell="A19" workbookViewId="0">
      <selection activeCell="A2" sqref="A2:M1521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7" width="10.730468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0</v>
      </c>
      <c r="B2" s="10">
        <v>509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1568.1757000000002</v>
      </c>
      <c r="G2" s="12">
        <f ca="1">(RANDBETWEEN(50,100)/100)*(dict_DQ_Meth_max[[#This Row],[Vergleich_ub]]-dict_DQ_Meth_max[[#This Row],[Vergleich_lb]])+dict_DQ_Meth_max[[#This Row],[Vergleich_lb]]</f>
        <v>2613.0194999999999</v>
      </c>
      <c r="H2" s="11" t="str">
        <f ca="1">VLOOKUP(VLOOKUP(dict_DQ_Meth_max[[#This Row],[ID_DataQualities]],table_DataQualities[],3),table_Units[],2)</f>
        <v>Hz</v>
      </c>
      <c r="I2" s="10"/>
      <c r="J2" s="10"/>
      <c r="K2" s="10"/>
      <c r="L2" s="10">
        <f ca="1">VLOOKUP(dict_DQ_Meth_max[[#This Row],[ID_DataQualities]],table_DataQualities[],8,FALSE)</f>
        <v>0.91</v>
      </c>
      <c r="M2" s="10">
        <f ca="1">VLOOKUP(dict_DQ_Meth_max[[#This Row],[ID_DataQualities]],table_DataQualities[],9,FALSE)</f>
        <v>4750.2</v>
      </c>
    </row>
    <row r="3" spans="1:13" x14ac:dyDescent="0.45">
      <c r="A3" s="10">
        <v>0</v>
      </c>
      <c r="B3" s="10">
        <v>554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285.86740000000003</v>
      </c>
      <c r="G3" s="12">
        <f ca="1">(RANDBETWEEN(50,100)/100)*(dict_DQ_Meth_max[[#This Row],[Vergleich_ub]]-dict_DQ_Meth_max[[#This Row],[Vergleich_lb]])+dict_DQ_Meth_max[[#This Row],[Vergleich_lb]]</f>
        <v>3800.3420000000001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0.91</v>
      </c>
      <c r="M3" s="10">
        <f ca="1">VLOOKUP(dict_DQ_Meth_max[[#This Row],[ID_DataQualities]],table_DataQualities[],9,FALSE)</f>
        <v>4750.2</v>
      </c>
    </row>
    <row r="4" spans="1:13" x14ac:dyDescent="0.45">
      <c r="A4" s="10">
        <v>0</v>
      </c>
      <c r="B4" s="10">
        <v>569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1568.1757000000002</v>
      </c>
      <c r="G4" s="12">
        <f ca="1">(RANDBETWEEN(50,100)/100)*(dict_DQ_Meth_max[[#This Row],[Vergleich_ub]]-dict_DQ_Meth_max[[#This Row],[Vergleich_lb]])+dict_DQ_Meth_max[[#This Row],[Vergleich_lb]]</f>
        <v>3087.9485</v>
      </c>
      <c r="H4" s="11" t="str">
        <f ca="1">VLOOKUP(VLOOKUP(dict_DQ_Meth_max[[#This Row],[ID_DataQualities]],table_DataQualities[],3),table_Units[],2)</f>
        <v>Hz</v>
      </c>
      <c r="I4" s="10"/>
      <c r="J4" s="10"/>
      <c r="K4" s="10"/>
      <c r="L4" s="10">
        <f ca="1">VLOOKUP(dict_DQ_Meth_max[[#This Row],[ID_DataQualities]],table_DataQualities[],8,FALSE)</f>
        <v>0.91</v>
      </c>
      <c r="M4" s="10">
        <f ca="1">VLOOKUP(dict_DQ_Meth_max[[#This Row],[ID_DataQualities]],table_DataQualities[],9,FALSE)</f>
        <v>4750.2</v>
      </c>
    </row>
    <row r="5" spans="1:13" x14ac:dyDescent="0.45">
      <c r="A5" s="10">
        <v>1</v>
      </c>
      <c r="B5" s="10">
        <v>509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4.444770000000001</v>
      </c>
      <c r="G5" s="12">
        <f ca="1">(RANDBETWEEN(50,100)/100)*(dict_DQ_Meth_max[[#This Row],[Vergleich_ub]]-dict_DQ_Meth_max[[#This Row],[Vergleich_lb]])+dict_DQ_Meth_max[[#This Row],[Vergleich_lb]]</f>
        <v>7.4615900000000011</v>
      </c>
      <c r="H5" s="11" t="str">
        <f ca="1">VLOOKUP(VLOOKUP(dict_DQ_Meth_max[[#This Row],[ID_DataQualities]],table_DataQualities[],3),table_Units[],2)</f>
        <v>+/- mm</v>
      </c>
      <c r="I5" s="10"/>
      <c r="J5" s="10"/>
      <c r="K5" s="10"/>
      <c r="L5" s="10">
        <f ca="1">VLOOKUP(dict_DQ_Meth_max[[#This Row],[ID_DataQualities]],table_DataQualities[],8,FALSE)</f>
        <v>9.7000000000000003E-2</v>
      </c>
      <c r="M5" s="10">
        <f ca="1">VLOOKUP(dict_DQ_Meth_max[[#This Row],[ID_DataQualities]],table_DataQualities[],9,FALSE)</f>
        <v>8.9700000000000006</v>
      </c>
    </row>
    <row r="6" spans="1:13" x14ac:dyDescent="0.45">
      <c r="A6" s="10">
        <v>1</v>
      </c>
      <c r="B6" s="10">
        <v>554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4.444770000000001</v>
      </c>
      <c r="G6" s="12">
        <f ca="1">(RANDBETWEEN(50,100)/100)*(dict_DQ_Meth_max[[#This Row],[Vergleich_ub]]-dict_DQ_Meth_max[[#This Row],[Vergleich_lb]])+dict_DQ_Meth_max[[#This Row],[Vergleich_lb]]</f>
        <v>5.1546100000000008</v>
      </c>
      <c r="H6" s="11" t="str">
        <f ca="1">VLOOKUP(VLOOKUP(dict_DQ_Meth_max[[#This Row],[ID_DataQualities]],table_DataQualities[],3),table_Units[],2)</f>
        <v>+/- mm</v>
      </c>
      <c r="I6" s="10"/>
      <c r="J6" s="10"/>
      <c r="K6" s="10"/>
      <c r="L6" s="10">
        <f ca="1">VLOOKUP(dict_DQ_Meth_max[[#This Row],[ID_DataQualities]],table_DataQualities[],8,FALSE)</f>
        <v>9.7000000000000003E-2</v>
      </c>
      <c r="M6" s="10">
        <f ca="1">VLOOKUP(dict_DQ_Meth_max[[#This Row],[ID_DataQualities]],table_DataQualities[],9,FALSE)</f>
        <v>8.9700000000000006</v>
      </c>
    </row>
    <row r="7" spans="1:13" x14ac:dyDescent="0.45">
      <c r="A7" s="10">
        <v>1</v>
      </c>
      <c r="B7" s="10">
        <v>569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4.533500000000001</v>
      </c>
      <c r="G7" s="12">
        <f ca="1">(RANDBETWEEN(50,100)/100)*(dict_DQ_Meth_max[[#This Row],[Vergleich_ub]]-dict_DQ_Meth_max[[#This Row],[Vergleich_lb]])+dict_DQ_Meth_max[[#This Row],[Vergleich_lb]]</f>
        <v>8.2601600000000008</v>
      </c>
      <c r="H7" s="11" t="str">
        <f ca="1">VLOOKUP(VLOOKUP(dict_DQ_Meth_max[[#This Row],[ID_DataQualities]],table_DataQualities[],3),table_Units[],2)</f>
        <v>+/- mm</v>
      </c>
      <c r="I7" s="10"/>
      <c r="J7" s="10"/>
      <c r="K7" s="10"/>
      <c r="L7" s="10">
        <f ca="1">VLOOKUP(dict_DQ_Meth_max[[#This Row],[ID_DataQualities]],table_DataQualities[],8,FALSE)</f>
        <v>9.7000000000000003E-2</v>
      </c>
      <c r="M7" s="10">
        <f ca="1">VLOOKUP(dict_DQ_Meth_max[[#This Row],[ID_DataQualities]],table_DataQualities[],9,FALSE)</f>
        <v>8.9700000000000006</v>
      </c>
    </row>
    <row r="8" spans="1:13" x14ac:dyDescent="0.45">
      <c r="A8" s="10">
        <v>2</v>
      </c>
      <c r="B8" s="10">
        <v>421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96.205039999999997</v>
      </c>
      <c r="G8" s="12">
        <f ca="1">(RANDBETWEEN(50,100)/100)*(dict_DQ_Meth_max[[#This Row],[Vergleich_ub]]-dict_DQ_Meth_max[[#This Row],[Vergleich_lb]])+dict_DQ_Meth_max[[#This Row],[Vergleich_lb]]</f>
        <v>160.78548000000001</v>
      </c>
      <c r="H8" s="11" t="str">
        <f ca="1">VLOOKUP(VLOOKUP(dict_DQ_Meth_max[[#This Row],[ID_DataQualities]],table_DataQualities[],3),table_Units[],2)</f>
        <v>Hz</v>
      </c>
      <c r="I8" s="10"/>
      <c r="J8" s="10"/>
      <c r="K8" s="10"/>
      <c r="L8" s="10">
        <f ca="1">VLOOKUP(dict_DQ_Meth_max[[#This Row],[ID_DataQualities]],table_DataQualities[],8,FALSE)</f>
        <v>0.376</v>
      </c>
      <c r="M8" s="10">
        <f ca="1">VLOOKUP(dict_DQ_Meth_max[[#This Row],[ID_DataQualities]],table_DataQualities[],9,FALSE)</f>
        <v>208.7</v>
      </c>
    </row>
    <row r="9" spans="1:13" x14ac:dyDescent="0.45">
      <c r="A9" s="10">
        <v>2</v>
      </c>
      <c r="B9" s="10">
        <v>365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44.124039999999994</v>
      </c>
      <c r="G9" s="12">
        <f ca="1">(RANDBETWEEN(50,100)/100)*(dict_DQ_Meth_max[[#This Row],[Vergleich_ub]]-dict_DQ_Meth_max[[#This Row],[Vergleich_lb]])+dict_DQ_Meth_max[[#This Row],[Vergleich_lb]]</f>
        <v>179.53464</v>
      </c>
      <c r="H9" s="11" t="str">
        <f ca="1">VLOOKUP(VLOOKUP(dict_DQ_Meth_max[[#This Row],[ID_DataQualities]],table_DataQualities[],3),table_Units[],2)</f>
        <v>Hz</v>
      </c>
      <c r="I9" s="10"/>
      <c r="J9" s="10"/>
      <c r="K9" s="10"/>
      <c r="L9" s="10">
        <f ca="1">VLOOKUP(dict_DQ_Meth_max[[#This Row],[ID_DataQualities]],table_DataQualities[],8,FALSE)</f>
        <v>0.376</v>
      </c>
      <c r="M9" s="10">
        <f ca="1">VLOOKUP(dict_DQ_Meth_max[[#This Row],[ID_DataQualities]],table_DataQualities[],9,FALSE)</f>
        <v>208.7</v>
      </c>
    </row>
    <row r="10" spans="1:13" x14ac:dyDescent="0.45">
      <c r="A10" s="10">
        <v>2</v>
      </c>
      <c r="B10" s="10">
        <v>248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46.207279999999997</v>
      </c>
      <c r="G10" s="12">
        <f ca="1">(RANDBETWEEN(50,100)/100)*(dict_DQ_Meth_max[[#This Row],[Vergleich_ub]]-dict_DQ_Meth_max[[#This Row],[Vergleich_lb]])+dict_DQ_Meth_max[[#This Row],[Vergleich_lb]]</f>
        <v>129.53688</v>
      </c>
      <c r="H10" s="11" t="str">
        <f ca="1">VLOOKUP(VLOOKUP(dict_DQ_Meth_max[[#This Row],[ID_DataQualities]],table_DataQualities[],3),table_Units[],2)</f>
        <v>Hz</v>
      </c>
      <c r="I10" s="10"/>
      <c r="J10" s="10"/>
      <c r="K10" s="10"/>
      <c r="L10" s="10">
        <f ca="1">VLOOKUP(dict_DQ_Meth_max[[#This Row],[ID_DataQualities]],table_DataQualities[],8,FALSE)</f>
        <v>0.376</v>
      </c>
      <c r="M10" s="10">
        <f ca="1">VLOOKUP(dict_DQ_Meth_max[[#This Row],[ID_DataQualities]],table_DataQualities[],9,FALSE)</f>
        <v>208.7</v>
      </c>
    </row>
    <row r="11" spans="1:13" x14ac:dyDescent="0.45">
      <c r="A11" s="10">
        <v>3</v>
      </c>
      <c r="B11" s="10">
        <v>365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6.6267999999999994E-2</v>
      </c>
      <c r="G11" s="12">
        <f ca="1">(RANDBETWEEN(50,100)/100)*(dict_DQ_Meth_max[[#This Row],[Vergleich_ub]]-dict_DQ_Meth_max[[#This Row],[Vergleich_lb]])+dict_DQ_Meth_max[[#This Row],[Vergleich_lb]]</f>
        <v>0.71469399999999994</v>
      </c>
      <c r="H11" s="11" t="str">
        <f ca="1">VLOOKUP(VLOOKUP(dict_DQ_Meth_max[[#This Row],[ID_DataQualities]],table_DataQualities[],3),table_Units[],2)</f>
        <v>+/- cm³/s</v>
      </c>
      <c r="I11" s="10"/>
      <c r="J11" s="10"/>
      <c r="K11" s="10"/>
      <c r="L11" s="10">
        <f ca="1">VLOOKUP(dict_DQ_Meth_max[[#This Row],[ID_DataQualities]],table_DataQualities[],8,FALSE)</f>
        <v>8.2000000000000007E-3</v>
      </c>
      <c r="M11" s="10">
        <f ca="1">VLOOKUP(dict_DQ_Meth_max[[#This Row],[ID_DataQualities]],table_DataQualities[],9,FALSE)</f>
        <v>0.97599999999999998</v>
      </c>
    </row>
    <row r="12" spans="1:13" x14ac:dyDescent="0.45">
      <c r="A12" s="10">
        <v>3</v>
      </c>
      <c r="B12" s="10">
        <v>248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0.34692999999999996</v>
      </c>
      <c r="G12" s="12">
        <f ca="1">(RANDBETWEEN(50,100)/100)*(dict_DQ_Meth_max[[#This Row],[Vergleich_ub]]-dict_DQ_Meth_max[[#This Row],[Vergleich_lb]])+dict_DQ_Meth_max[[#This Row],[Vergleich_lb]]</f>
        <v>0.57920199999999999</v>
      </c>
      <c r="H12" s="11" t="str">
        <f ca="1">VLOOKUP(VLOOKUP(dict_DQ_Meth_max[[#This Row],[ID_DataQualities]],table_DataQualities[],3),table_Units[],2)</f>
        <v>+/- cm³/s</v>
      </c>
      <c r="I12" s="10"/>
      <c r="J12" s="10"/>
      <c r="K12" s="10"/>
      <c r="L12" s="10">
        <f ca="1">VLOOKUP(dict_DQ_Meth_max[[#This Row],[ID_DataQualities]],table_DataQualities[],8,FALSE)</f>
        <v>8.2000000000000007E-3</v>
      </c>
      <c r="M12" s="10">
        <f ca="1">VLOOKUP(dict_DQ_Meth_max[[#This Row],[ID_DataQualities]],table_DataQualities[],9,FALSE)</f>
        <v>0.97599999999999998</v>
      </c>
    </row>
    <row r="13" spans="1:13" x14ac:dyDescent="0.45">
      <c r="A13" s="10">
        <v>3</v>
      </c>
      <c r="B13" s="10">
        <v>421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0.337252</v>
      </c>
      <c r="G13" s="12">
        <f ca="1">(RANDBETWEEN(50,100)/100)*(dict_DQ_Meth_max[[#This Row],[Vergleich_ub]]-dict_DQ_Meth_max[[#This Row],[Vergleich_lb]])+dict_DQ_Meth_max[[#This Row],[Vergleich_lb]]</f>
        <v>0.80179599999999995</v>
      </c>
      <c r="H13" s="11" t="str">
        <f ca="1">VLOOKUP(VLOOKUP(dict_DQ_Meth_max[[#This Row],[ID_DataQualities]],table_DataQualities[],3),table_Units[],2)</f>
        <v>+/- cm³/s</v>
      </c>
      <c r="I13" s="10"/>
      <c r="J13" s="10"/>
      <c r="K13" s="10"/>
      <c r="L13" s="10">
        <f ca="1">VLOOKUP(dict_DQ_Meth_max[[#This Row],[ID_DataQualities]],table_DataQualities[],8,FALSE)</f>
        <v>8.2000000000000007E-3</v>
      </c>
      <c r="M13" s="10">
        <f ca="1">VLOOKUP(dict_DQ_Meth_max[[#This Row],[ID_DataQualities]],table_DataQualities[],9,FALSE)</f>
        <v>0.97599999999999998</v>
      </c>
    </row>
    <row r="14" spans="1:13" x14ac:dyDescent="0.45">
      <c r="A14" s="10">
        <v>4</v>
      </c>
      <c r="B14" s="10">
        <v>100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128.63408000000001</v>
      </c>
      <c r="G14" s="12">
        <f ca="1">(RANDBETWEEN(50,100)/100)*(dict_DQ_Meth_max[[#This Row],[Vergleich_ub]]-dict_DQ_Meth_max[[#This Row],[Vergleich_lb]])+dict_DQ_Meth_max[[#This Row],[Vergleich_lb]]</f>
        <v>1795.7031200000001</v>
      </c>
      <c r="H14" s="11" t="str">
        <f ca="1">VLOOKUP(VLOOKUP(dict_DQ_Meth_max[[#This Row],[ID_DataQualities]],table_DataQualities[],3),table_Units[],2)</f>
        <v>Hz</v>
      </c>
      <c r="I14" s="10"/>
      <c r="J14" s="10"/>
      <c r="K14" s="10"/>
      <c r="L14" s="10">
        <f ca="1">VLOOKUP(dict_DQ_Meth_max[[#This Row],[ID_DataQualities]],table_DataQualities[],8,FALSE)</f>
        <v>0.39800000000000002</v>
      </c>
      <c r="M14" s="10">
        <f ca="1">VLOOKUP(dict_DQ_Meth_max[[#This Row],[ID_DataQualities]],table_DataQualities[],9,FALSE)</f>
        <v>3206.3</v>
      </c>
    </row>
    <row r="15" spans="1:13" x14ac:dyDescent="0.45">
      <c r="A15" s="10">
        <v>4</v>
      </c>
      <c r="B15" s="10">
        <v>275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898.05056000000013</v>
      </c>
      <c r="G15" s="12">
        <f ca="1">(RANDBETWEEN(50,100)/100)*(dict_DQ_Meth_max[[#This Row],[Vergleich_ub]]-dict_DQ_Meth_max[[#This Row],[Vergleich_lb]])+dict_DQ_Meth_max[[#This Row],[Vergleich_lb]]</f>
        <v>3110.1229400000002</v>
      </c>
      <c r="H15" s="11" t="str">
        <f ca="1">VLOOKUP(VLOOKUP(dict_DQ_Meth_max[[#This Row],[ID_DataQualities]],table_DataQualities[],3),table_Units[],2)</f>
        <v>Hz</v>
      </c>
      <c r="I15" s="10"/>
      <c r="J15" s="10"/>
      <c r="K15" s="10"/>
      <c r="L15" s="10">
        <f ca="1">VLOOKUP(dict_DQ_Meth_max[[#This Row],[ID_DataQualities]],table_DataQualities[],8,FALSE)</f>
        <v>0.39800000000000002</v>
      </c>
      <c r="M15" s="10">
        <f ca="1">VLOOKUP(dict_DQ_Meth_max[[#This Row],[ID_DataQualities]],table_DataQualities[],9,FALSE)</f>
        <v>3206.3</v>
      </c>
    </row>
    <row r="16" spans="1:13" x14ac:dyDescent="0.45">
      <c r="A16" s="10">
        <v>4</v>
      </c>
      <c r="B16" s="10">
        <v>289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1507.1719399999999</v>
      </c>
      <c r="G16" s="12">
        <f ca="1">(RANDBETWEEN(50,100)/100)*(dict_DQ_Meth_max[[#This Row],[Vergleich_ub]]-dict_DQ_Meth_max[[#This Row],[Vergleich_lb]])+dict_DQ_Meth_max[[#This Row],[Vergleich_lb]]</f>
        <v>2148.3523400000004</v>
      </c>
      <c r="H16" s="11" t="str">
        <f ca="1">VLOOKUP(VLOOKUP(dict_DQ_Meth_max[[#This Row],[ID_DataQualities]],table_DataQualities[],3),table_Units[],2)</f>
        <v>Hz</v>
      </c>
      <c r="I16" s="10"/>
      <c r="J16" s="10"/>
      <c r="K16" s="10"/>
      <c r="L16" s="10">
        <f ca="1">VLOOKUP(dict_DQ_Meth_max[[#This Row],[ID_DataQualities]],table_DataQualities[],8,FALSE)</f>
        <v>0.39800000000000002</v>
      </c>
      <c r="M16" s="10">
        <f ca="1">VLOOKUP(dict_DQ_Meth_max[[#This Row],[ID_DataQualities]],table_DataQualities[],9,FALSE)</f>
        <v>3206.3</v>
      </c>
    </row>
    <row r="17" spans="1:13" x14ac:dyDescent="0.45">
      <c r="A17" s="10">
        <v>4</v>
      </c>
      <c r="B17" s="10">
        <v>39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160.69310000000002</v>
      </c>
      <c r="G17" s="12">
        <f ca="1">(RANDBETWEEN(50,100)/100)*(dict_DQ_Meth_max[[#This Row],[Vergleich_ub]]-dict_DQ_Meth_max[[#This Row],[Vergleich_lb]])+dict_DQ_Meth_max[[#This Row],[Vergleich_lb]]</f>
        <v>2212.4703800000002</v>
      </c>
      <c r="H17" s="11" t="str">
        <f ca="1">VLOOKUP(VLOOKUP(dict_DQ_Meth_max[[#This Row],[ID_DataQualities]],table_DataQualities[],3),table_Units[],2)</f>
        <v>Hz</v>
      </c>
      <c r="I17" s="10"/>
      <c r="J17" s="10"/>
      <c r="K17" s="10"/>
      <c r="L17" s="10">
        <f ca="1">VLOOKUP(dict_DQ_Meth_max[[#This Row],[ID_DataQualities]],table_DataQualities[],8,FALSE)</f>
        <v>0.39800000000000002</v>
      </c>
      <c r="M17" s="10">
        <f ca="1">VLOOKUP(dict_DQ_Meth_max[[#This Row],[ID_DataQualities]],table_DataQualities[],9,FALSE)</f>
        <v>3206.3</v>
      </c>
    </row>
    <row r="18" spans="1:13" x14ac:dyDescent="0.45">
      <c r="A18" s="10">
        <v>4</v>
      </c>
      <c r="B18" s="10">
        <v>466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994.22762</v>
      </c>
      <c r="G18" s="12">
        <f ca="1">(RANDBETWEEN(50,100)/100)*(dict_DQ_Meth_max[[#This Row],[Vergleich_ub]]-dict_DQ_Meth_max[[#This Row],[Vergleich_lb]])+dict_DQ_Meth_max[[#This Row],[Vergleich_lb]]</f>
        <v>1955.9982199999999</v>
      </c>
      <c r="H18" s="11" t="str">
        <f ca="1">VLOOKUP(VLOOKUP(dict_DQ_Meth_max[[#This Row],[ID_DataQualities]],table_DataQualities[],3),table_Units[],2)</f>
        <v>Hz</v>
      </c>
      <c r="I18" s="10"/>
      <c r="J18" s="10"/>
      <c r="K18" s="10"/>
      <c r="L18" s="10">
        <f ca="1">VLOOKUP(dict_DQ_Meth_max[[#This Row],[ID_DataQualities]],table_DataQualities[],8,FALSE)</f>
        <v>0.39800000000000002</v>
      </c>
      <c r="M18" s="10">
        <f ca="1">VLOOKUP(dict_DQ_Meth_max[[#This Row],[ID_DataQualities]],table_DataQualities[],9,FALSE)</f>
        <v>3206.3</v>
      </c>
    </row>
    <row r="19" spans="1:13" x14ac:dyDescent="0.45">
      <c r="A19" s="10">
        <v>5</v>
      </c>
      <c r="B19" s="10">
        <v>39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1.44136</v>
      </c>
      <c r="G19" s="12">
        <f ca="1">(RANDBETWEEN(50,100)/100)*(dict_DQ_Meth_max[[#This Row],[Vergleich_ub]]-dict_DQ_Meth_max[[#This Row],[Vergleich_lb]])+dict_DQ_Meth_max[[#This Row],[Vergleich_lb]]</f>
        <v>6.3980399999999991</v>
      </c>
      <c r="H19" s="11" t="str">
        <f ca="1">VLOOKUP(VLOOKUP(dict_DQ_Meth_max[[#This Row],[ID_DataQualities]],table_DataQualities[],3),table_Units[],2)</f>
        <v>+/- mm</v>
      </c>
      <c r="I19" s="10"/>
      <c r="J19" s="10"/>
      <c r="K19" s="10"/>
      <c r="L19" s="10">
        <f ca="1">VLOOKUP(dict_DQ_Meth_max[[#This Row],[ID_DataQualities]],table_DataQualities[],8,FALSE)</f>
        <v>7.3999999999999996E-2</v>
      </c>
      <c r="M19" s="10">
        <f ca="1">VLOOKUP(dict_DQ_Meth_max[[#This Row],[ID_DataQualities]],table_DataQualities[],9,FALSE)</f>
        <v>8.6199999999999992</v>
      </c>
    </row>
    <row r="20" spans="1:13" x14ac:dyDescent="0.45">
      <c r="A20" s="10">
        <v>5</v>
      </c>
      <c r="B20" s="10">
        <v>100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1.01406</v>
      </c>
      <c r="G20" s="12">
        <f ca="1">(RANDBETWEEN(50,100)/100)*(dict_DQ_Meth_max[[#This Row],[Vergleich_ub]]-dict_DQ_Meth_max[[#This Row],[Vergleich_lb]])+dict_DQ_Meth_max[[#This Row],[Vergleich_lb]]</f>
        <v>5.6288999999999998</v>
      </c>
      <c r="H20" s="11" t="str">
        <f ca="1">VLOOKUP(VLOOKUP(dict_DQ_Meth_max[[#This Row],[ID_DataQualities]],table_DataQualities[],3),table_Units[],2)</f>
        <v>+/- mm</v>
      </c>
      <c r="I20" s="10"/>
      <c r="J20" s="10"/>
      <c r="K20" s="10"/>
      <c r="L20" s="10">
        <f ca="1">VLOOKUP(dict_DQ_Meth_max[[#This Row],[ID_DataQualities]],table_DataQualities[],8,FALSE)</f>
        <v>7.3999999999999996E-2</v>
      </c>
      <c r="M20" s="10">
        <f ca="1">VLOOKUP(dict_DQ_Meth_max[[#This Row],[ID_DataQualities]],table_DataQualities[],9,FALSE)</f>
        <v>8.6199999999999992</v>
      </c>
    </row>
    <row r="21" spans="1:13" x14ac:dyDescent="0.45">
      <c r="A21" s="10">
        <v>5</v>
      </c>
      <c r="B21" s="10">
        <v>275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3.5778599999999994</v>
      </c>
      <c r="G21" s="12">
        <f ca="1">(RANDBETWEEN(50,100)/100)*(dict_DQ_Meth_max[[#This Row],[Vergleich_ub]]-dict_DQ_Meth_max[[#This Row],[Vergleich_lb]])+dict_DQ_Meth_max[[#This Row],[Vergleich_lb]]</f>
        <v>8.1072399999999991</v>
      </c>
      <c r="H21" s="11" t="str">
        <f ca="1">VLOOKUP(VLOOKUP(dict_DQ_Meth_max[[#This Row],[ID_DataQualities]],table_DataQualities[],3),table_Units[],2)</f>
        <v>+/- mm</v>
      </c>
      <c r="I21" s="10"/>
      <c r="J21" s="10"/>
      <c r="K21" s="10"/>
      <c r="L21" s="10">
        <f ca="1">VLOOKUP(dict_DQ_Meth_max[[#This Row],[ID_DataQualities]],table_DataQualities[],8,FALSE)</f>
        <v>7.3999999999999996E-2</v>
      </c>
      <c r="M21" s="10">
        <f ca="1">VLOOKUP(dict_DQ_Meth_max[[#This Row],[ID_DataQualities]],table_DataQualities[],9,FALSE)</f>
        <v>8.6199999999999992</v>
      </c>
    </row>
    <row r="22" spans="1:13" x14ac:dyDescent="0.45">
      <c r="A22" s="10">
        <v>5</v>
      </c>
      <c r="B22" s="10">
        <v>289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1.1849799999999999</v>
      </c>
      <c r="G22" s="12">
        <f ca="1">(RANDBETWEEN(50,100)/100)*(dict_DQ_Meth_max[[#This Row],[Vergleich_ub]]-dict_DQ_Meth_max[[#This Row],[Vergleich_lb]])+dict_DQ_Meth_max[[#This Row],[Vergleich_lb]]</f>
        <v>6.0561999999999987</v>
      </c>
      <c r="H22" s="11" t="str">
        <f ca="1">VLOOKUP(VLOOKUP(dict_DQ_Meth_max[[#This Row],[ID_DataQualities]],table_DataQualities[],3),table_Units[],2)</f>
        <v>+/- mm</v>
      </c>
      <c r="I22" s="10"/>
      <c r="J22" s="10"/>
      <c r="K22" s="10"/>
      <c r="L22" s="10">
        <f ca="1">VLOOKUP(dict_DQ_Meth_max[[#This Row],[ID_DataQualities]],table_DataQualities[],8,FALSE)</f>
        <v>7.3999999999999996E-2</v>
      </c>
      <c r="M22" s="10">
        <f ca="1">VLOOKUP(dict_DQ_Meth_max[[#This Row],[ID_DataQualities]],table_DataQualities[],9,FALSE)</f>
        <v>8.6199999999999992</v>
      </c>
    </row>
    <row r="23" spans="1:13" x14ac:dyDescent="0.45">
      <c r="A23" s="10">
        <v>5</v>
      </c>
      <c r="B23" s="10">
        <v>466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3.5778599999999994</v>
      </c>
      <c r="G23" s="12">
        <f ca="1">(RANDBETWEEN(50,100)/100)*(dict_DQ_Meth_max[[#This Row],[Vergleich_ub]]-dict_DQ_Meth_max[[#This Row],[Vergleich_lb]])+dict_DQ_Meth_max[[#This Row],[Vergleich_lb]]</f>
        <v>8.5345399999999998</v>
      </c>
      <c r="H23" s="11" t="str">
        <f ca="1">VLOOKUP(VLOOKUP(dict_DQ_Meth_max[[#This Row],[ID_DataQualities]],table_DataQualities[],3),table_Units[],2)</f>
        <v>+/- mm</v>
      </c>
      <c r="I23" s="10"/>
      <c r="J23" s="10"/>
      <c r="K23" s="10"/>
      <c r="L23" s="10">
        <f ca="1">VLOOKUP(dict_DQ_Meth_max[[#This Row],[ID_DataQualities]],table_DataQualities[],8,FALSE)</f>
        <v>7.3999999999999996E-2</v>
      </c>
      <c r="M23" s="10">
        <f ca="1">VLOOKUP(dict_DQ_Meth_max[[#This Row],[ID_DataQualities]],table_DataQualities[],9,FALSE)</f>
        <v>8.6199999999999992</v>
      </c>
    </row>
    <row r="24" spans="1:13" x14ac:dyDescent="0.45">
      <c r="A24" s="10">
        <v>6</v>
      </c>
      <c r="B24" s="10">
        <v>403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1838.3125499999999</v>
      </c>
      <c r="G24" s="12">
        <f ca="1">(RANDBETWEEN(50,100)/100)*(dict_DQ_Meth_max[[#This Row],[Vergleich_ub]]-dict_DQ_Meth_max[[#This Row],[Vergleich_lb]])+dict_DQ_Meth_max[[#This Row],[Vergleich_lb]]</f>
        <v>3715.1917499999995</v>
      </c>
      <c r="H24" s="11" t="str">
        <f ca="1">VLOOKUP(VLOOKUP(dict_DQ_Meth_max[[#This Row],[ID_DataQualities]],table_DataQualities[],3),table_Units[],2)</f>
        <v>Hz</v>
      </c>
      <c r="I24" s="10"/>
      <c r="J24" s="10"/>
      <c r="K24" s="10"/>
      <c r="L24" s="10">
        <f ca="1">VLOOKUP(dict_DQ_Meth_max[[#This Row],[ID_DataQualities]],table_DataQualities[],8,FALSE)</f>
        <v>0.53500000000000003</v>
      </c>
      <c r="M24" s="10">
        <f ca="1">VLOOKUP(dict_DQ_Meth_max[[#This Row],[ID_DataQualities]],table_DataQualities[],9,FALSE)</f>
        <v>3910.7</v>
      </c>
    </row>
    <row r="25" spans="1:13" x14ac:dyDescent="0.45">
      <c r="A25" s="10">
        <v>6</v>
      </c>
      <c r="B25" s="10">
        <v>683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78.738299999999995</v>
      </c>
      <c r="G25" s="12">
        <f ca="1">(RANDBETWEEN(50,100)/100)*(dict_DQ_Meth_max[[#This Row],[Vergleich_ub]]-dict_DQ_Meth_max[[#This Row],[Vergleich_lb]])+dict_DQ_Meth_max[[#This Row],[Vergleich_lb]]</f>
        <v>3793.3950499999996</v>
      </c>
      <c r="H25" s="11" t="str">
        <f ca="1">VLOOKUP(VLOOKUP(dict_DQ_Meth_max[[#This Row],[ID_DataQualities]],table_DataQualities[],3),table_Units[],2)</f>
        <v>Hz</v>
      </c>
      <c r="I25" s="10"/>
      <c r="J25" s="10"/>
      <c r="K25" s="10"/>
      <c r="L25" s="10">
        <f ca="1">VLOOKUP(dict_DQ_Meth_max[[#This Row],[ID_DataQualities]],table_DataQualities[],8,FALSE)</f>
        <v>0.53500000000000003</v>
      </c>
      <c r="M25" s="10">
        <f ca="1">VLOOKUP(dict_DQ_Meth_max[[#This Row],[ID_DataQualities]],table_DataQualities[],9,FALSE)</f>
        <v>3910.7</v>
      </c>
    </row>
    <row r="26" spans="1:13" x14ac:dyDescent="0.45">
      <c r="A26" s="10">
        <v>7</v>
      </c>
      <c r="B26" s="10">
        <v>683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2.1120000000000001</v>
      </c>
      <c r="G26" s="12">
        <f ca="1">(RANDBETWEEN(50,100)/100)*(dict_DQ_Meth_max[[#This Row],[Vergleich_ub]]-dict_DQ_Meth_max[[#This Row],[Vergleich_lb]])+dict_DQ_Meth_max[[#This Row],[Vergleich_lb]]</f>
        <v>2.4960000000000004</v>
      </c>
      <c r="H26" s="11" t="str">
        <f ca="1">VLOOKUP(VLOOKUP(dict_DQ_Meth_max[[#This Row],[ID_DataQualities]],table_DataQualities[],3),table_Units[],2)</f>
        <v>+/- °C</v>
      </c>
      <c r="I26" s="10"/>
      <c r="J26" s="10"/>
      <c r="K26" s="10"/>
      <c r="L26" s="10">
        <f ca="1">VLOOKUP(dict_DQ_Meth_max[[#This Row],[ID_DataQualities]],table_DataQualities[],8,FALSE)</f>
        <v>0.8</v>
      </c>
      <c r="M26" s="10">
        <f ca="1">VLOOKUP(dict_DQ_Meth_max[[#This Row],[ID_DataQualities]],table_DataQualities[],9,FALSE)</f>
        <v>4</v>
      </c>
    </row>
    <row r="27" spans="1:13" x14ac:dyDescent="0.45">
      <c r="A27" s="10">
        <v>7</v>
      </c>
      <c r="B27" s="10">
        <v>403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1.536</v>
      </c>
      <c r="G27" s="12">
        <f ca="1">(RANDBETWEEN(50,100)/100)*(dict_DQ_Meth_max[[#This Row],[Vergleich_ub]]-dict_DQ_Meth_max[[#This Row],[Vergleich_lb]])+dict_DQ_Meth_max[[#This Row],[Vergleich_lb]]</f>
        <v>3.7120000000000006</v>
      </c>
      <c r="H27" s="11" t="str">
        <f ca="1">VLOOKUP(VLOOKUP(dict_DQ_Meth_max[[#This Row],[ID_DataQualities]],table_DataQualities[],3),table_Units[],2)</f>
        <v>+/- °C</v>
      </c>
      <c r="I27" s="10"/>
      <c r="J27" s="10"/>
      <c r="K27" s="10"/>
      <c r="L27" s="10">
        <f ca="1">VLOOKUP(dict_DQ_Meth_max[[#This Row],[ID_DataQualities]],table_DataQualities[],8,FALSE)</f>
        <v>0.8</v>
      </c>
      <c r="M27" s="10">
        <f ca="1">VLOOKUP(dict_DQ_Meth_max[[#This Row],[ID_DataQualities]],table_DataQualities[],9,FALSE)</f>
        <v>4</v>
      </c>
    </row>
    <row r="28" spans="1:13" x14ac:dyDescent="0.45">
      <c r="A28" s="10">
        <v>8</v>
      </c>
      <c r="B28" s="10">
        <v>674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236.99104000000003</v>
      </c>
      <c r="G28" s="12">
        <f ca="1">(RANDBETWEEN(50,100)/100)*(dict_DQ_Meth_max[[#This Row],[Vergleich_ub]]-dict_DQ_Meth_max[[#This Row],[Vergleich_lb]])+dict_DQ_Meth_max[[#This Row],[Vergleich_lb]]</f>
        <v>5255.5406400000002</v>
      </c>
      <c r="H28" s="11" t="str">
        <f ca="1">VLOOKUP(VLOOKUP(dict_DQ_Meth_max[[#This Row],[ID_DataQualities]],table_DataQualities[],3),table_Units[],2)</f>
        <v>Hz</v>
      </c>
      <c r="I28" s="10"/>
      <c r="J28" s="10"/>
      <c r="K28" s="10"/>
      <c r="L28" s="10">
        <f ca="1">VLOOKUP(dict_DQ_Meth_max[[#This Row],[ID_DataQualities]],table_DataQualities[],8,FALSE)</f>
        <v>0.82399999999999995</v>
      </c>
      <c r="M28" s="10">
        <f ca="1">VLOOKUP(dict_DQ_Meth_max[[#This Row],[ID_DataQualities]],table_DataQualities[],9,FALSE)</f>
        <v>5905</v>
      </c>
    </row>
    <row r="29" spans="1:13" x14ac:dyDescent="0.45">
      <c r="A29" s="10">
        <v>8</v>
      </c>
      <c r="B29" s="10">
        <v>51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2657.7032000000004</v>
      </c>
      <c r="G29" s="12">
        <f ca="1">(RANDBETWEEN(50,100)/100)*(dict_DQ_Meth_max[[#This Row],[Vergleich_ub]]-dict_DQ_Meth_max[[#This Row],[Vergleich_lb]])+dict_DQ_Meth_max[[#This Row],[Vergleich_lb]]</f>
        <v>5905</v>
      </c>
      <c r="H29" s="11" t="str">
        <f ca="1">VLOOKUP(VLOOKUP(dict_DQ_Meth_max[[#This Row],[ID_DataQualities]],table_DataQualities[],3),table_Units[],2)</f>
        <v>Hz</v>
      </c>
      <c r="I29" s="10"/>
      <c r="J29" s="10"/>
      <c r="K29" s="10"/>
      <c r="L29" s="10">
        <f ca="1">VLOOKUP(dict_DQ_Meth_max[[#This Row],[ID_DataQualities]],table_DataQualities[],8,FALSE)</f>
        <v>0.82399999999999995</v>
      </c>
      <c r="M29" s="10">
        <f ca="1">VLOOKUP(dict_DQ_Meth_max[[#This Row],[ID_DataQualities]],table_DataQualities[],9,FALSE)</f>
        <v>5905</v>
      </c>
    </row>
    <row r="30" spans="1:13" x14ac:dyDescent="0.45">
      <c r="A30" s="10">
        <v>8</v>
      </c>
      <c r="B30" s="10">
        <v>400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2008.2438400000003</v>
      </c>
      <c r="G30" s="12">
        <f ca="1">(RANDBETWEEN(50,100)/100)*(dict_DQ_Meth_max[[#This Row],[Vergleich_ub]]-dict_DQ_Meth_max[[#This Row],[Vergleich_lb]])+dict_DQ_Meth_max[[#This Row],[Vergleich_lb]]</f>
        <v>3779.4966400000003</v>
      </c>
      <c r="H30" s="11" t="str">
        <f ca="1">VLOOKUP(VLOOKUP(dict_DQ_Meth_max[[#This Row],[ID_DataQualities]],table_DataQualities[],3),table_Units[],2)</f>
        <v>Hz</v>
      </c>
      <c r="I30" s="10"/>
      <c r="J30" s="10"/>
      <c r="K30" s="10"/>
      <c r="L30" s="10">
        <f ca="1">VLOOKUP(dict_DQ_Meth_max[[#This Row],[ID_DataQualities]],table_DataQualities[],8,FALSE)</f>
        <v>0.82399999999999995</v>
      </c>
      <c r="M30" s="10">
        <f ca="1">VLOOKUP(dict_DQ_Meth_max[[#This Row],[ID_DataQualities]],table_DataQualities[],9,FALSE)</f>
        <v>5905</v>
      </c>
    </row>
    <row r="31" spans="1:13" x14ac:dyDescent="0.45">
      <c r="A31" s="10">
        <v>8</v>
      </c>
      <c r="B31" s="10">
        <v>593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768.36688000000004</v>
      </c>
      <c r="G31" s="12">
        <f ca="1">(RANDBETWEEN(50,100)/100)*(dict_DQ_Meth_max[[#This Row],[Vergleich_ub]]-dict_DQ_Meth_max[[#This Row],[Vergleich_lb]])+dict_DQ_Meth_max[[#This Row],[Vergleich_lb]]</f>
        <v>4192.7889599999999</v>
      </c>
      <c r="H31" s="11" t="str">
        <f ca="1">VLOOKUP(VLOOKUP(dict_DQ_Meth_max[[#This Row],[ID_DataQualities]],table_DataQualities[],3),table_Units[],2)</f>
        <v>Hz</v>
      </c>
      <c r="I31" s="10"/>
      <c r="J31" s="10"/>
      <c r="K31" s="10"/>
      <c r="L31" s="10">
        <f ca="1">VLOOKUP(dict_DQ_Meth_max[[#This Row],[ID_DataQualities]],table_DataQualities[],8,FALSE)</f>
        <v>0.82399999999999995</v>
      </c>
      <c r="M31" s="10">
        <f ca="1">VLOOKUP(dict_DQ_Meth_max[[#This Row],[ID_DataQualities]],table_DataQualities[],9,FALSE)</f>
        <v>5905</v>
      </c>
    </row>
    <row r="32" spans="1:13" x14ac:dyDescent="0.45">
      <c r="A32" s="10">
        <v>8</v>
      </c>
      <c r="B32" s="10">
        <v>24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1535.9097600000002</v>
      </c>
      <c r="G32" s="12">
        <f ca="1">(RANDBETWEEN(50,100)/100)*(dict_DQ_Meth_max[[#This Row],[Vergleich_ub]]-dict_DQ_Meth_max[[#This Row],[Vergleich_lb]])+dict_DQ_Meth_max[[#This Row],[Vergleich_lb]]</f>
        <v>3425.2460799999999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0.82399999999999995</v>
      </c>
      <c r="M32" s="10">
        <f ca="1">VLOOKUP(dict_DQ_Meth_max[[#This Row],[ID_DataQualities]],table_DataQualities[],9,FALSE)</f>
        <v>5905</v>
      </c>
    </row>
    <row r="33" spans="1:13" x14ac:dyDescent="0.45">
      <c r="A33" s="10">
        <v>9</v>
      </c>
      <c r="B33" s="10">
        <v>51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4.05</v>
      </c>
      <c r="G33" s="12">
        <f ca="1">(RANDBETWEEN(50,100)/100)*(dict_DQ_Meth_max[[#This Row],[Vergleich_ub]]-dict_DQ_Meth_max[[#This Row],[Vergleich_lb]])+dict_DQ_Meth_max[[#This Row],[Vergleich_lb]]</f>
        <v>5.63</v>
      </c>
      <c r="H33" s="11" t="str">
        <f ca="1">VLOOKUP(VLOOKUP(dict_DQ_Meth_max[[#This Row],[ID_DataQualities]],table_DataQualities[],3),table_Units[],2)</f>
        <v>+/- °C</v>
      </c>
      <c r="I33" s="10"/>
      <c r="J33" s="10"/>
      <c r="K33" s="10"/>
      <c r="L33" s="10">
        <f ca="1">VLOOKUP(dict_DQ_Meth_max[[#This Row],[ID_DataQualities]],table_DataQualities[],8,FALSE)</f>
        <v>0.1</v>
      </c>
      <c r="M33" s="10">
        <f ca="1">VLOOKUP(dict_DQ_Meth_max[[#This Row],[ID_DataQualities]],table_DataQualities[],9,FALSE)</f>
        <v>8</v>
      </c>
    </row>
    <row r="34" spans="1:13" x14ac:dyDescent="0.45">
      <c r="A34" s="10">
        <v>9</v>
      </c>
      <c r="B34" s="10">
        <v>24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3.6550000000000002</v>
      </c>
      <c r="G34" s="12">
        <f ca="1">(RANDBETWEEN(50,100)/100)*(dict_DQ_Meth_max[[#This Row],[Vergleich_ub]]-dict_DQ_Meth_max[[#This Row],[Vergleich_lb]])+dict_DQ_Meth_max[[#This Row],[Vergleich_lb]]</f>
        <v>4.2869999999999999</v>
      </c>
      <c r="H34" s="11" t="str">
        <f ca="1">VLOOKUP(VLOOKUP(dict_DQ_Meth_max[[#This Row],[ID_DataQualities]],table_DataQualities[],3),table_Units[],2)</f>
        <v>+/- °C</v>
      </c>
      <c r="I34" s="10"/>
      <c r="J34" s="10"/>
      <c r="K34" s="10"/>
      <c r="L34" s="10">
        <f ca="1">VLOOKUP(dict_DQ_Meth_max[[#This Row],[ID_DataQualities]],table_DataQualities[],8,FALSE)</f>
        <v>0.1</v>
      </c>
      <c r="M34" s="10">
        <f ca="1">VLOOKUP(dict_DQ_Meth_max[[#This Row],[ID_DataQualities]],table_DataQualities[],9,FALSE)</f>
        <v>8</v>
      </c>
    </row>
    <row r="35" spans="1:13" x14ac:dyDescent="0.45">
      <c r="A35" s="10">
        <v>9</v>
      </c>
      <c r="B35" s="10">
        <v>400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1.996</v>
      </c>
      <c r="G35" s="12">
        <f ca="1">(RANDBETWEEN(50,100)/100)*(dict_DQ_Meth_max[[#This Row],[Vergleich_ub]]-dict_DQ_Meth_max[[#This Row],[Vergleich_lb]])+dict_DQ_Meth_max[[#This Row],[Vergleich_lb]]</f>
        <v>7.0519999999999996</v>
      </c>
      <c r="H35" s="11" t="str">
        <f ca="1">VLOOKUP(VLOOKUP(dict_DQ_Meth_max[[#This Row],[ID_DataQualities]],table_DataQualities[],3),table_Units[],2)</f>
        <v>+/- °C</v>
      </c>
      <c r="I35" s="10"/>
      <c r="J35" s="10"/>
      <c r="K35" s="10"/>
      <c r="L35" s="10">
        <f ca="1">VLOOKUP(dict_DQ_Meth_max[[#This Row],[ID_DataQualities]],table_DataQualities[],8,FALSE)</f>
        <v>0.1</v>
      </c>
      <c r="M35" s="10">
        <f ca="1">VLOOKUP(dict_DQ_Meth_max[[#This Row],[ID_DataQualities]],table_DataQualities[],9,FALSE)</f>
        <v>8</v>
      </c>
    </row>
    <row r="36" spans="1:13" x14ac:dyDescent="0.45">
      <c r="A36" s="10">
        <v>9</v>
      </c>
      <c r="B36" s="10">
        <v>674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1.2850000000000001</v>
      </c>
      <c r="G36" s="12">
        <f ca="1">(RANDBETWEEN(50,100)/100)*(dict_DQ_Meth_max[[#This Row],[Vergleich_ub]]-dict_DQ_Meth_max[[#This Row],[Vergleich_lb]])+dict_DQ_Meth_max[[#This Row],[Vergleich_lb]]</f>
        <v>7.5259999999999998</v>
      </c>
      <c r="H36" s="11" t="str">
        <f ca="1">VLOOKUP(VLOOKUP(dict_DQ_Meth_max[[#This Row],[ID_DataQualities]],table_DataQualities[],3),table_Units[],2)</f>
        <v>+/- °C</v>
      </c>
      <c r="I36" s="10"/>
      <c r="J36" s="10"/>
      <c r="K36" s="10"/>
      <c r="L36" s="10">
        <f ca="1">VLOOKUP(dict_DQ_Meth_max[[#This Row],[ID_DataQualities]],table_DataQualities[],8,FALSE)</f>
        <v>0.1</v>
      </c>
      <c r="M36" s="10">
        <f ca="1">VLOOKUP(dict_DQ_Meth_max[[#This Row],[ID_DataQualities]],table_DataQualities[],9,FALSE)</f>
        <v>8</v>
      </c>
    </row>
    <row r="37" spans="1:13" x14ac:dyDescent="0.45">
      <c r="A37" s="10">
        <v>9</v>
      </c>
      <c r="B37" s="10">
        <v>593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1.7590000000000001</v>
      </c>
      <c r="G37" s="12">
        <f ca="1">(RANDBETWEEN(50,100)/100)*(dict_DQ_Meth_max[[#This Row],[Vergleich_ub]]-dict_DQ_Meth_max[[#This Row],[Vergleich_lb]])+dict_DQ_Meth_max[[#This Row],[Vergleich_lb]]</f>
        <v>5.7089999999999996</v>
      </c>
      <c r="H37" s="11" t="str">
        <f ca="1">VLOOKUP(VLOOKUP(dict_DQ_Meth_max[[#This Row],[ID_DataQualities]],table_DataQualities[],3),table_Units[],2)</f>
        <v>+/- °C</v>
      </c>
      <c r="I37" s="10"/>
      <c r="J37" s="10"/>
      <c r="K37" s="10"/>
      <c r="L37" s="10">
        <f ca="1">VLOOKUP(dict_DQ_Meth_max[[#This Row],[ID_DataQualities]],table_DataQualities[],8,FALSE)</f>
        <v>0.1</v>
      </c>
      <c r="M37" s="10">
        <f ca="1">VLOOKUP(dict_DQ_Meth_max[[#This Row],[ID_DataQualities]],table_DataQualities[],9,FALSE)</f>
        <v>8</v>
      </c>
    </row>
    <row r="38" spans="1:13" x14ac:dyDescent="0.45">
      <c r="A38" s="10">
        <v>10</v>
      </c>
      <c r="B38" s="10">
        <v>223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1376.2793600000002</v>
      </c>
      <c r="G38" s="12">
        <f ca="1">(RANDBETWEEN(50,100)/100)*(dict_DQ_Meth_max[[#This Row],[Vergleich_ub]]-dict_DQ_Meth_max[[#This Row],[Vergleich_lb]])+dict_DQ_Meth_max[[#This Row],[Vergleich_lb]]</f>
        <v>6979.3930400000008</v>
      </c>
      <c r="H38" s="11" t="str">
        <f ca="1">VLOOKUP(VLOOKUP(dict_DQ_Meth_max[[#This Row],[ID_DataQualities]],table_DataQualities[],3),table_Units[],2)</f>
        <v>Hz</v>
      </c>
      <c r="I38" s="10"/>
      <c r="J38" s="10"/>
      <c r="K38" s="10"/>
      <c r="L38" s="10">
        <f ca="1">VLOOKUP(dict_DQ_Meth_max[[#This Row],[ID_DataQualities]],table_DataQualities[],8,FALSE)</f>
        <v>7.5999999999999998E-2</v>
      </c>
      <c r="M38" s="10">
        <f ca="1">VLOOKUP(dict_DQ_Meth_max[[#This Row],[ID_DataQualities]],table_DataQualities[],9,FALSE)</f>
        <v>9830.1</v>
      </c>
    </row>
    <row r="39" spans="1:13" x14ac:dyDescent="0.45">
      <c r="A39" s="10">
        <v>10</v>
      </c>
      <c r="B39" s="10">
        <v>364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2457.5820000000003</v>
      </c>
      <c r="G39" s="12">
        <f ca="1">(RANDBETWEEN(50,100)/100)*(dict_DQ_Meth_max[[#This Row],[Vergleich_ub]]-dict_DQ_Meth_max[[#This Row],[Vergleich_lb]])+dict_DQ_Meth_max[[#This Row],[Vergleich_lb]]</f>
        <v>5209.9887200000012</v>
      </c>
      <c r="H39" s="11" t="str">
        <f ca="1">VLOOKUP(VLOOKUP(dict_DQ_Meth_max[[#This Row],[ID_DataQualities]],table_DataQualities[],3),table_Units[],2)</f>
        <v>Hz</v>
      </c>
      <c r="I39" s="10"/>
      <c r="J39" s="10"/>
      <c r="K39" s="10"/>
      <c r="L39" s="10">
        <f ca="1">VLOOKUP(dict_DQ_Meth_max[[#This Row],[ID_DataQualities]],table_DataQualities[],8,FALSE)</f>
        <v>7.5999999999999998E-2</v>
      </c>
      <c r="M39" s="10">
        <f ca="1">VLOOKUP(dict_DQ_Meth_max[[#This Row],[ID_DataQualities]],table_DataQualities[],9,FALSE)</f>
        <v>9830.1</v>
      </c>
    </row>
    <row r="40" spans="1:13" x14ac:dyDescent="0.45">
      <c r="A40" s="10">
        <v>10</v>
      </c>
      <c r="B40" s="10">
        <v>693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3538.8846400000002</v>
      </c>
      <c r="G40" s="12">
        <f ca="1">(RANDBETWEEN(50,100)/100)*(dict_DQ_Meth_max[[#This Row],[Vergleich_ub]]-dict_DQ_Meth_max[[#This Row],[Vergleich_lb]])+dict_DQ_Meth_max[[#This Row],[Vergleich_lb]]</f>
        <v>6881.0928000000004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7.5999999999999998E-2</v>
      </c>
      <c r="M40" s="10">
        <f ca="1">VLOOKUP(dict_DQ_Meth_max[[#This Row],[ID_DataQualities]],table_DataQualities[],9,FALSE)</f>
        <v>9830.1</v>
      </c>
    </row>
    <row r="41" spans="1:13" x14ac:dyDescent="0.45">
      <c r="A41" s="10">
        <v>10</v>
      </c>
      <c r="B41" s="10">
        <v>578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4816.7877600000002</v>
      </c>
      <c r="G41" s="12">
        <f ca="1">(RANDBETWEEN(50,100)/100)*(dict_DQ_Meth_max[[#This Row],[Vergleich_ub]]-dict_DQ_Meth_max[[#This Row],[Vergleich_lb]])+dict_DQ_Meth_max[[#This Row],[Vergleich_lb]]</f>
        <v>5013.3882400000011</v>
      </c>
      <c r="H41" s="11" t="str">
        <f ca="1">VLOOKUP(VLOOKUP(dict_DQ_Meth_max[[#This Row],[ID_DataQualities]],table_DataQualities[],3),table_Units[],2)</f>
        <v>Hz</v>
      </c>
      <c r="I41" s="10"/>
      <c r="J41" s="10"/>
      <c r="K41" s="10"/>
      <c r="L41" s="10">
        <f ca="1">VLOOKUP(dict_DQ_Meth_max[[#This Row],[ID_DataQualities]],table_DataQualities[],8,FALSE)</f>
        <v>7.5999999999999998E-2</v>
      </c>
      <c r="M41" s="10">
        <f ca="1">VLOOKUP(dict_DQ_Meth_max[[#This Row],[ID_DataQualities]],table_DataQualities[],9,FALSE)</f>
        <v>9830.1</v>
      </c>
    </row>
    <row r="42" spans="1:13" x14ac:dyDescent="0.45">
      <c r="A42" s="10">
        <v>11</v>
      </c>
      <c r="B42" s="10">
        <v>364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2.2805999999999997</v>
      </c>
      <c r="G42" s="12">
        <f ca="1">(RANDBETWEEN(50,100)/100)*(dict_DQ_Meth_max[[#This Row],[Vergleich_ub]]-dict_DQ_Meth_max[[#This Row],[Vergleich_lb]])+dict_DQ_Meth_max[[#This Row],[Vergleich_lb]]</f>
        <v>6.7247999999999992</v>
      </c>
      <c r="H42" s="11" t="str">
        <f ca="1">VLOOKUP(VLOOKUP(dict_DQ_Meth_max[[#This Row],[ID_DataQualities]],table_DataQualities[],3),table_Units[],2)</f>
        <v>+/- mm/s</v>
      </c>
      <c r="I42" s="10"/>
      <c r="J42" s="10"/>
      <c r="K42" s="10"/>
      <c r="L42" s="10">
        <f ca="1">VLOOKUP(dict_DQ_Meth_max[[#This Row],[ID_DataQualities]],table_DataQualities[],8,FALSE)</f>
        <v>0.47</v>
      </c>
      <c r="M42" s="10">
        <f ca="1">VLOOKUP(dict_DQ_Meth_max[[#This Row],[ID_DataQualities]],table_DataQualities[],9,FALSE)</f>
        <v>8.6999999999999993</v>
      </c>
    </row>
    <row r="43" spans="1:13" x14ac:dyDescent="0.45">
      <c r="A43" s="10">
        <v>11</v>
      </c>
      <c r="B43" s="10">
        <v>578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2.9389999999999992</v>
      </c>
      <c r="G43" s="12">
        <f ca="1">(RANDBETWEEN(50,100)/100)*(dict_DQ_Meth_max[[#This Row],[Vergleich_ub]]-dict_DQ_Meth_max[[#This Row],[Vergleich_lb]])+dict_DQ_Meth_max[[#This Row],[Vergleich_lb]]</f>
        <v>4.5849999999999991</v>
      </c>
      <c r="H43" s="11" t="str">
        <f ca="1">VLOOKUP(VLOOKUP(dict_DQ_Meth_max[[#This Row],[ID_DataQualities]],table_DataQualities[],3),table_Units[],2)</f>
        <v>+/- mm/s</v>
      </c>
      <c r="I43" s="10"/>
      <c r="J43" s="10"/>
      <c r="K43" s="10"/>
      <c r="L43" s="10">
        <f ca="1">VLOOKUP(dict_DQ_Meth_max[[#This Row],[ID_DataQualities]],table_DataQualities[],8,FALSE)</f>
        <v>0.47</v>
      </c>
      <c r="M43" s="10">
        <f ca="1">VLOOKUP(dict_DQ_Meth_max[[#This Row],[ID_DataQualities]],table_DataQualities[],9,FALSE)</f>
        <v>8.6999999999999993</v>
      </c>
    </row>
    <row r="44" spans="1:13" x14ac:dyDescent="0.45">
      <c r="A44" s="10">
        <v>11</v>
      </c>
      <c r="B44" s="10">
        <v>693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3.4327999999999994</v>
      </c>
      <c r="G44" s="12">
        <f ca="1">(RANDBETWEEN(50,100)/100)*(dict_DQ_Meth_max[[#This Row],[Vergleich_ub]]-dict_DQ_Meth_max[[#This Row],[Vergleich_lb]])+dict_DQ_Meth_max[[#This Row],[Vergleich_lb]]</f>
        <v>5.4079999999999986</v>
      </c>
      <c r="H44" s="11" t="str">
        <f ca="1">VLOOKUP(VLOOKUP(dict_DQ_Meth_max[[#This Row],[ID_DataQualities]],table_DataQualities[],3),table_Units[],2)</f>
        <v>+/- mm/s</v>
      </c>
      <c r="I44" s="10"/>
      <c r="J44" s="10"/>
      <c r="K44" s="10"/>
      <c r="L44" s="10">
        <f ca="1">VLOOKUP(dict_DQ_Meth_max[[#This Row],[ID_DataQualities]],table_DataQualities[],8,FALSE)</f>
        <v>0.47</v>
      </c>
      <c r="M44" s="10">
        <f ca="1">VLOOKUP(dict_DQ_Meth_max[[#This Row],[ID_DataQualities]],table_DataQualities[],9,FALSE)</f>
        <v>8.6999999999999993</v>
      </c>
    </row>
    <row r="45" spans="1:13" x14ac:dyDescent="0.45">
      <c r="A45" s="10">
        <v>11</v>
      </c>
      <c r="B45" s="10">
        <v>223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4.502699999999999</v>
      </c>
      <c r="G45" s="12">
        <f ca="1">(RANDBETWEEN(50,100)/100)*(dict_DQ_Meth_max[[#This Row],[Vergleich_ub]]-dict_DQ_Meth_max[[#This Row],[Vergleich_lb]])+dict_DQ_Meth_max[[#This Row],[Vergleich_lb]]</f>
        <v>6.7247999999999992</v>
      </c>
      <c r="H45" s="11" t="str">
        <f ca="1">VLOOKUP(VLOOKUP(dict_DQ_Meth_max[[#This Row],[ID_DataQualities]],table_DataQualities[],3),table_Units[],2)</f>
        <v>+/- mm/s</v>
      </c>
      <c r="I45" s="10"/>
      <c r="J45" s="10"/>
      <c r="K45" s="10"/>
      <c r="L45" s="10">
        <f ca="1">VLOOKUP(dict_DQ_Meth_max[[#This Row],[ID_DataQualities]],table_DataQualities[],8,FALSE)</f>
        <v>0.47</v>
      </c>
      <c r="M45" s="10">
        <f ca="1">VLOOKUP(dict_DQ_Meth_max[[#This Row],[ID_DataQualities]],table_DataQualities[],9,FALSE)</f>
        <v>8.6999999999999993</v>
      </c>
    </row>
    <row r="46" spans="1:13" x14ac:dyDescent="0.45">
      <c r="A46" s="10">
        <v>12</v>
      </c>
      <c r="B46" s="10">
        <v>559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744.17719999999997</v>
      </c>
      <c r="G46" s="12">
        <f ca="1">(RANDBETWEEN(50,100)/100)*(dict_DQ_Meth_max[[#This Row],[Vergleich_ub]]-dict_DQ_Meth_max[[#This Row],[Vergleich_lb]])+dict_DQ_Meth_max[[#This Row],[Vergleich_lb]]</f>
        <v>2324.2150000000001</v>
      </c>
      <c r="H46" s="11" t="str">
        <f ca="1">VLOOKUP(VLOOKUP(dict_DQ_Meth_max[[#This Row],[ID_DataQualities]],table_DataQualities[],3),table_Units[],2)</f>
        <v>Hz</v>
      </c>
      <c r="I46" s="10"/>
      <c r="J46" s="10"/>
      <c r="K46" s="10"/>
      <c r="L46" s="10">
        <f ca="1">VLOOKUP(dict_DQ_Meth_max[[#This Row],[ID_DataQualities]],table_DataQualities[],8,FALSE)</f>
        <v>0.63</v>
      </c>
      <c r="M46" s="10">
        <f ca="1">VLOOKUP(dict_DQ_Meth_max[[#This Row],[ID_DataQualities]],table_DataQualities[],9,FALSE)</f>
        <v>4647.8</v>
      </c>
    </row>
    <row r="47" spans="1:13" x14ac:dyDescent="0.45">
      <c r="A47" s="10">
        <v>12</v>
      </c>
      <c r="B47" s="10">
        <v>378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604.76210000000003</v>
      </c>
      <c r="G47" s="12">
        <f ca="1">(RANDBETWEEN(50,100)/100)*(dict_DQ_Meth_max[[#This Row],[Vergleich_ub]]-dict_DQ_Meth_max[[#This Row],[Vergleich_lb]])+dict_DQ_Meth_max[[#This Row],[Vergleich_lb]]</f>
        <v>4368.9697999999999</v>
      </c>
      <c r="H47" s="11" t="str">
        <f ca="1">VLOOKUP(VLOOKUP(dict_DQ_Meth_max[[#This Row],[ID_DataQualities]],table_DataQualities[],3),table_Units[],2)</f>
        <v>Hz</v>
      </c>
      <c r="I47" s="10"/>
      <c r="J47" s="10"/>
      <c r="K47" s="10"/>
      <c r="L47" s="10">
        <f ca="1">VLOOKUP(dict_DQ_Meth_max[[#This Row],[ID_DataQualities]],table_DataQualities[],8,FALSE)</f>
        <v>0.63</v>
      </c>
      <c r="M47" s="10">
        <f ca="1">VLOOKUP(dict_DQ_Meth_max[[#This Row],[ID_DataQualities]],table_DataQualities[],9,FALSE)</f>
        <v>4647.8</v>
      </c>
    </row>
    <row r="48" spans="1:13" x14ac:dyDescent="0.45">
      <c r="A48" s="10">
        <v>12</v>
      </c>
      <c r="B48" s="10">
        <v>284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1115.9508000000001</v>
      </c>
      <c r="G48" s="12">
        <f ca="1">(RANDBETWEEN(50,100)/100)*(dict_DQ_Meth_max[[#This Row],[Vergleich_ub]]-dict_DQ_Meth_max[[#This Row],[Vergleich_lb]])+dict_DQ_Meth_max[[#This Row],[Vergleich_lb]]</f>
        <v>3486.0075000000002</v>
      </c>
      <c r="H48" s="11" t="str">
        <f ca="1">VLOOKUP(VLOOKUP(dict_DQ_Meth_max[[#This Row],[ID_DataQualities]],table_DataQualities[],3),table_Units[],2)</f>
        <v>Hz</v>
      </c>
      <c r="I48" s="10"/>
      <c r="J48" s="10"/>
      <c r="K48" s="10"/>
      <c r="L48" s="10">
        <f ca="1">VLOOKUP(dict_DQ_Meth_max[[#This Row],[ID_DataQualities]],table_DataQualities[],8,FALSE)</f>
        <v>0.63</v>
      </c>
      <c r="M48" s="10">
        <f ca="1">VLOOKUP(dict_DQ_Meth_max[[#This Row],[ID_DataQualities]],table_DataQualities[],9,FALSE)</f>
        <v>4647.8</v>
      </c>
    </row>
    <row r="49" spans="1:13" x14ac:dyDescent="0.45">
      <c r="A49" s="10">
        <v>12</v>
      </c>
      <c r="B49" s="10">
        <v>165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140.04509999999999</v>
      </c>
      <c r="G49" s="12">
        <f ca="1">(RANDBETWEEN(50,100)/100)*(dict_DQ_Meth_max[[#This Row],[Vergleich_ub]]-dict_DQ_Meth_max[[#This Row],[Vergleich_lb]])+dict_DQ_Meth_max[[#This Row],[Vergleich_lb]]</f>
        <v>3811.3094000000001</v>
      </c>
      <c r="H49" s="11" t="str">
        <f ca="1">VLOOKUP(VLOOKUP(dict_DQ_Meth_max[[#This Row],[ID_DataQualities]],table_DataQualities[],3),table_Units[],2)</f>
        <v>Hz</v>
      </c>
      <c r="I49" s="10"/>
      <c r="J49" s="10"/>
      <c r="K49" s="10"/>
      <c r="L49" s="10">
        <f ca="1">VLOOKUP(dict_DQ_Meth_max[[#This Row],[ID_DataQualities]],table_DataQualities[],8,FALSE)</f>
        <v>0.63</v>
      </c>
      <c r="M49" s="10">
        <f ca="1">VLOOKUP(dict_DQ_Meth_max[[#This Row],[ID_DataQualities]],table_DataQualities[],9,FALSE)</f>
        <v>4647.8</v>
      </c>
    </row>
    <row r="50" spans="1:13" x14ac:dyDescent="0.45">
      <c r="A50" s="10">
        <v>13</v>
      </c>
      <c r="B50" s="10">
        <v>559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0.7629999999999999</v>
      </c>
      <c r="G50" s="12">
        <f ca="1">(RANDBETWEEN(50,100)/100)*(dict_DQ_Meth_max[[#This Row],[Vergleich_ub]]-dict_DQ_Meth_max[[#This Row],[Vergleich_lb]])+dict_DQ_Meth_max[[#This Row],[Vergleich_lb]]</f>
        <v>0.96399999999999997</v>
      </c>
      <c r="H50" s="11" t="str">
        <f ca="1">VLOOKUP(VLOOKUP(dict_DQ_Meth_max[[#This Row],[ID_DataQualities]],table_DataQualities[],3),table_Units[],2)</f>
        <v>+/- °C</v>
      </c>
      <c r="I50" s="10"/>
      <c r="J50" s="10"/>
      <c r="K50" s="10"/>
      <c r="L50" s="10">
        <f ca="1">VLOOKUP(dict_DQ_Meth_max[[#This Row],[ID_DataQualities]],table_DataQualities[],8,FALSE)</f>
        <v>0.7</v>
      </c>
      <c r="M50" s="10">
        <f ca="1">VLOOKUP(dict_DQ_Meth_max[[#This Row],[ID_DataQualities]],table_DataQualities[],9,FALSE)</f>
        <v>1</v>
      </c>
    </row>
    <row r="51" spans="1:13" x14ac:dyDescent="0.45">
      <c r="A51" s="10">
        <v>13</v>
      </c>
      <c r="B51" s="10">
        <v>284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0.78400000000000003</v>
      </c>
      <c r="G51" s="12">
        <f ca="1">(RANDBETWEEN(50,100)/100)*(dict_DQ_Meth_max[[#This Row],[Vergleich_ub]]-dict_DQ_Meth_max[[#This Row],[Vergleich_lb]])+dict_DQ_Meth_max[[#This Row],[Vergleich_lb]]</f>
        <v>0.86499999999999999</v>
      </c>
      <c r="H51" s="11" t="str">
        <f ca="1">VLOOKUP(VLOOKUP(dict_DQ_Meth_max[[#This Row],[ID_DataQualities]],table_DataQualities[],3),table_Units[],2)</f>
        <v>+/- °C</v>
      </c>
      <c r="I51" s="10"/>
      <c r="J51" s="10"/>
      <c r="K51" s="10"/>
      <c r="L51" s="10">
        <f ca="1">VLOOKUP(dict_DQ_Meth_max[[#This Row],[ID_DataQualities]],table_DataQualities[],8,FALSE)</f>
        <v>0.7</v>
      </c>
      <c r="M51" s="10">
        <f ca="1">VLOOKUP(dict_DQ_Meth_max[[#This Row],[ID_DataQualities]],table_DataQualities[],9,FALSE)</f>
        <v>1</v>
      </c>
    </row>
    <row r="52" spans="1:13" x14ac:dyDescent="0.45">
      <c r="A52" s="10">
        <v>13</v>
      </c>
      <c r="B52" s="10">
        <v>165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0.79899999999999993</v>
      </c>
      <c r="G52" s="12">
        <f ca="1">(RANDBETWEEN(50,100)/100)*(dict_DQ_Meth_max[[#This Row],[Vergleich_ub]]-dict_DQ_Meth_max[[#This Row],[Vergleich_lb]])+dict_DQ_Meth_max[[#This Row],[Vergleich_lb]]</f>
        <v>0.90100000000000002</v>
      </c>
      <c r="H52" s="11" t="str">
        <f ca="1">VLOOKUP(VLOOKUP(dict_DQ_Meth_max[[#This Row],[ID_DataQualities]],table_DataQualities[],3),table_Units[],2)</f>
        <v>+/- °C</v>
      </c>
      <c r="I52" s="10"/>
      <c r="J52" s="10"/>
      <c r="K52" s="10"/>
      <c r="L52" s="10">
        <f ca="1">VLOOKUP(dict_DQ_Meth_max[[#This Row],[ID_DataQualities]],table_DataQualities[],8,FALSE)</f>
        <v>0.7</v>
      </c>
      <c r="M52" s="10">
        <f ca="1">VLOOKUP(dict_DQ_Meth_max[[#This Row],[ID_DataQualities]],table_DataQualities[],9,FALSE)</f>
        <v>1</v>
      </c>
    </row>
    <row r="53" spans="1:13" x14ac:dyDescent="0.45">
      <c r="A53" s="10">
        <v>13</v>
      </c>
      <c r="B53" s="10">
        <v>378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0.73599999999999999</v>
      </c>
      <c r="G53" s="12">
        <f ca="1">(RANDBETWEEN(50,100)/100)*(dict_DQ_Meth_max[[#This Row],[Vergleich_ub]]-dict_DQ_Meth_max[[#This Row],[Vergleich_lb]])+dict_DQ_Meth_max[[#This Row],[Vergleich_lb]]</f>
        <v>0.91300000000000003</v>
      </c>
      <c r="H53" s="11" t="str">
        <f ca="1">VLOOKUP(VLOOKUP(dict_DQ_Meth_max[[#This Row],[ID_DataQualities]],table_DataQualities[],3),table_Units[],2)</f>
        <v>+/- °C</v>
      </c>
      <c r="I53" s="10"/>
      <c r="J53" s="10"/>
      <c r="K53" s="10"/>
      <c r="L53" s="10">
        <f ca="1">VLOOKUP(dict_DQ_Meth_max[[#This Row],[ID_DataQualities]],table_DataQualities[],8,FALSE)</f>
        <v>0.7</v>
      </c>
      <c r="M53" s="10">
        <f ca="1">VLOOKUP(dict_DQ_Meth_max[[#This Row],[ID_DataQualities]],table_DataQualities[],9,FALSE)</f>
        <v>1</v>
      </c>
    </row>
    <row r="54" spans="1:13" x14ac:dyDescent="0.45">
      <c r="A54" s="10">
        <v>14</v>
      </c>
      <c r="B54" s="10">
        <v>176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891.41164000000015</v>
      </c>
      <c r="G54" s="12">
        <f ca="1">(RANDBETWEEN(50,100)/100)*(dict_DQ_Meth_max[[#This Row],[Vergleich_ub]]-dict_DQ_Meth_max[[#This Row],[Vergleich_lb]])+dict_DQ_Meth_max[[#This Row],[Vergleich_lb]]</f>
        <v>2475.6670000000004</v>
      </c>
      <c r="H54" s="11" t="str">
        <f ca="1">VLOOKUP(VLOOKUP(dict_DQ_Meth_max[[#This Row],[ID_DataQualities]],table_DataQualities[],3),table_Units[],2)</f>
        <v>Hz</v>
      </c>
      <c r="I54" s="10"/>
      <c r="J54" s="10"/>
      <c r="K54" s="10"/>
      <c r="L54" s="10">
        <f ca="1">VLOOKUP(dict_DQ_Meth_max[[#This Row],[ID_DataQualities]],table_DataQualities[],8,FALSE)</f>
        <v>0.26800000000000002</v>
      </c>
      <c r="M54" s="10">
        <f ca="1">VLOOKUP(dict_DQ_Meth_max[[#This Row],[ID_DataQualities]],table_DataQualities[],9,FALSE)</f>
        <v>3300.8</v>
      </c>
    </row>
    <row r="55" spans="1:13" x14ac:dyDescent="0.45">
      <c r="A55" s="10">
        <v>14</v>
      </c>
      <c r="B55" s="10">
        <v>250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165.29460000000003</v>
      </c>
      <c r="G55" s="12">
        <f ca="1">(RANDBETWEEN(50,100)/100)*(dict_DQ_Meth_max[[#This Row],[Vergleich_ub]]-dict_DQ_Meth_max[[#This Row],[Vergleich_lb]])+dict_DQ_Meth_max[[#This Row],[Vergleich_lb]]</f>
        <v>1749.5499600000003</v>
      </c>
      <c r="H55" s="11" t="str">
        <f ca="1">VLOOKUP(VLOOKUP(dict_DQ_Meth_max[[#This Row],[ID_DataQualities]],table_DataQualities[],3),table_Units[],2)</f>
        <v>Hz</v>
      </c>
      <c r="I55" s="10"/>
      <c r="J55" s="10"/>
      <c r="K55" s="10"/>
      <c r="L55" s="10">
        <f ca="1">VLOOKUP(dict_DQ_Meth_max[[#This Row],[ID_DataQualities]],table_DataQualities[],8,FALSE)</f>
        <v>0.26800000000000002</v>
      </c>
      <c r="M55" s="10">
        <f ca="1">VLOOKUP(dict_DQ_Meth_max[[#This Row],[ID_DataQualities]],table_DataQualities[],9,FALSE)</f>
        <v>3300.8</v>
      </c>
    </row>
    <row r="56" spans="1:13" x14ac:dyDescent="0.45">
      <c r="A56" s="10">
        <v>14</v>
      </c>
      <c r="B56" s="10">
        <v>430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1452.5020800000002</v>
      </c>
      <c r="G56" s="12">
        <f ca="1">(RANDBETWEEN(50,100)/100)*(dict_DQ_Meth_max[[#This Row],[Vergleich_ub]]-dict_DQ_Meth_max[[#This Row],[Vergleich_lb]])+dict_DQ_Meth_max[[#This Row],[Vergleich_lb]]</f>
        <v>1749.5499600000003</v>
      </c>
      <c r="H56" s="11" t="str">
        <f ca="1">VLOOKUP(VLOOKUP(dict_DQ_Meth_max[[#This Row],[ID_DataQualities]],table_DataQualities[],3),table_Units[],2)</f>
        <v>Hz</v>
      </c>
      <c r="I56" s="10"/>
      <c r="J56" s="10"/>
      <c r="K56" s="10"/>
      <c r="L56" s="10">
        <f ca="1">VLOOKUP(dict_DQ_Meth_max[[#This Row],[ID_DataQualities]],table_DataQualities[],8,FALSE)</f>
        <v>0.26800000000000002</v>
      </c>
      <c r="M56" s="10">
        <f ca="1">VLOOKUP(dict_DQ_Meth_max[[#This Row],[ID_DataQualities]],table_DataQualities[],9,FALSE)</f>
        <v>3300.8</v>
      </c>
    </row>
    <row r="57" spans="1:13" x14ac:dyDescent="0.45">
      <c r="A57" s="10">
        <v>14</v>
      </c>
      <c r="B57" s="10">
        <v>27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165.29460000000003</v>
      </c>
      <c r="G57" s="12">
        <f ca="1">(RANDBETWEEN(50,100)/100)*(dict_DQ_Meth_max[[#This Row],[Vergleich_ub]]-dict_DQ_Meth_max[[#This Row],[Vergleich_lb]])+dict_DQ_Meth_max[[#This Row],[Vergleich_lb]]</f>
        <v>1914.57656</v>
      </c>
      <c r="H57" s="11" t="str">
        <f ca="1">VLOOKUP(VLOOKUP(dict_DQ_Meth_max[[#This Row],[ID_DataQualities]],table_DataQualities[],3),table_Units[],2)</f>
        <v>Hz</v>
      </c>
      <c r="I57" s="10"/>
      <c r="J57" s="10"/>
      <c r="K57" s="10"/>
      <c r="L57" s="10">
        <f ca="1">VLOOKUP(dict_DQ_Meth_max[[#This Row],[ID_DataQualities]],table_DataQualities[],8,FALSE)</f>
        <v>0.26800000000000002</v>
      </c>
      <c r="M57" s="10">
        <f ca="1">VLOOKUP(dict_DQ_Meth_max[[#This Row],[ID_DataQualities]],table_DataQualities[],9,FALSE)</f>
        <v>3300.8</v>
      </c>
    </row>
    <row r="58" spans="1:13" x14ac:dyDescent="0.45">
      <c r="A58" s="10">
        <v>15</v>
      </c>
      <c r="B58" s="10">
        <v>430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255.16</v>
      </c>
      <c r="G58" s="12">
        <f ca="1">(RANDBETWEEN(50,100)/100)*(dict_DQ_Meth_max[[#This Row],[Vergleich_ub]]-dict_DQ_Meth_max[[#This Row],[Vergleich_lb]])+dict_DQ_Meth_max[[#This Row],[Vergleich_lb]]</f>
        <v>4210.4400000000005</v>
      </c>
      <c r="H58" s="11" t="str">
        <f ca="1">VLOOKUP(VLOOKUP(dict_DQ_Meth_max[[#This Row],[ID_DataQualities]],table_DataQualities[],3),table_Units[],2)</f>
        <v>bit</v>
      </c>
      <c r="I58" s="10"/>
      <c r="J58" s="10"/>
      <c r="K58" s="10"/>
      <c r="L58" s="10">
        <f ca="1">VLOOKUP(dict_DQ_Meth_max[[#This Row],[ID_DataQualities]],table_DataQualities[],8,FALSE)</f>
        <v>13</v>
      </c>
      <c r="M58" s="10">
        <f ca="1">VLOOKUP(dict_DQ_Meth_max[[#This Row],[ID_DataQualities]],table_DataQualities[],9,FALSE)</f>
        <v>8085</v>
      </c>
    </row>
    <row r="59" spans="1:13" x14ac:dyDescent="0.45">
      <c r="A59" s="10">
        <v>15</v>
      </c>
      <c r="B59" s="10">
        <v>176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1708.12</v>
      </c>
      <c r="G59" s="12">
        <f ca="1">(RANDBETWEEN(50,100)/100)*(dict_DQ_Meth_max[[#This Row],[Vergleich_ub]]-dict_DQ_Meth_max[[#This Row],[Vergleich_lb]])+dict_DQ_Meth_max[[#This Row],[Vergleich_lb]]</f>
        <v>4452.6000000000004</v>
      </c>
      <c r="H59" s="11" t="str">
        <f ca="1">VLOOKUP(VLOOKUP(dict_DQ_Meth_max[[#This Row],[ID_DataQualities]],table_DataQualities[],3),table_Units[],2)</f>
        <v>bit</v>
      </c>
      <c r="I59" s="10"/>
      <c r="J59" s="10"/>
      <c r="K59" s="10"/>
      <c r="L59" s="10">
        <f ca="1">VLOOKUP(dict_DQ_Meth_max[[#This Row],[ID_DataQualities]],table_DataQualities[],8,FALSE)</f>
        <v>13</v>
      </c>
      <c r="M59" s="10">
        <f ca="1">VLOOKUP(dict_DQ_Meth_max[[#This Row],[ID_DataQualities]],table_DataQualities[],9,FALSE)</f>
        <v>8085</v>
      </c>
    </row>
    <row r="60" spans="1:13" x14ac:dyDescent="0.45">
      <c r="A60" s="10">
        <v>15</v>
      </c>
      <c r="B60" s="10">
        <v>27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739.48</v>
      </c>
      <c r="G60" s="12">
        <f ca="1">(RANDBETWEEN(50,100)/100)*(dict_DQ_Meth_max[[#This Row],[Vergleich_ub]]-dict_DQ_Meth_max[[#This Row],[Vergleich_lb]])+dict_DQ_Meth_max[[#This Row],[Vergleich_lb]]</f>
        <v>4129.72</v>
      </c>
      <c r="H60" s="11" t="str">
        <f ca="1">VLOOKUP(VLOOKUP(dict_DQ_Meth_max[[#This Row],[ID_DataQualities]],table_DataQualities[],3),table_Units[],2)</f>
        <v>bit</v>
      </c>
      <c r="I60" s="10"/>
      <c r="J60" s="10"/>
      <c r="K60" s="10"/>
      <c r="L60" s="10">
        <f ca="1">VLOOKUP(dict_DQ_Meth_max[[#This Row],[ID_DataQualities]],table_DataQualities[],8,FALSE)</f>
        <v>13</v>
      </c>
      <c r="M60" s="10">
        <f ca="1">VLOOKUP(dict_DQ_Meth_max[[#This Row],[ID_DataQualities]],table_DataQualities[],9,FALSE)</f>
        <v>8085</v>
      </c>
    </row>
    <row r="61" spans="1:13" x14ac:dyDescent="0.45">
      <c r="A61" s="10">
        <v>15</v>
      </c>
      <c r="B61" s="10">
        <v>250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1869.5600000000002</v>
      </c>
      <c r="G61" s="12">
        <f ca="1">(RANDBETWEEN(50,100)/100)*(dict_DQ_Meth_max[[#This Row],[Vergleich_ub]]-dict_DQ_Meth_max[[#This Row],[Vergleich_lb]])+dict_DQ_Meth_max[[#This Row],[Vergleich_lb]]</f>
        <v>5259.8</v>
      </c>
      <c r="H61" s="11" t="str">
        <f ca="1">VLOOKUP(VLOOKUP(dict_DQ_Meth_max[[#This Row],[ID_DataQualities]],table_DataQualities[],3),table_Units[],2)</f>
        <v>bit</v>
      </c>
      <c r="I61" s="10"/>
      <c r="J61" s="10"/>
      <c r="K61" s="10"/>
      <c r="L61" s="10">
        <f ca="1">VLOOKUP(dict_DQ_Meth_max[[#This Row],[ID_DataQualities]],table_DataQualities[],8,FALSE)</f>
        <v>13</v>
      </c>
      <c r="M61" s="10">
        <f ca="1">VLOOKUP(dict_DQ_Meth_max[[#This Row],[ID_DataQualities]],table_DataQualities[],9,FALSE)</f>
        <v>8085</v>
      </c>
    </row>
    <row r="62" spans="1:13" x14ac:dyDescent="0.45">
      <c r="A62" s="10">
        <v>16</v>
      </c>
      <c r="B62" s="10">
        <v>585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1794.25271</v>
      </c>
      <c r="G62" s="12">
        <f ca="1">(RANDBETWEEN(50,100)/100)*(dict_DQ_Meth_max[[#This Row],[Vergleich_ub]]-dict_DQ_Meth_max[[#This Row],[Vergleich_lb]])+dict_DQ_Meth_max[[#This Row],[Vergleich_lb]]</f>
        <v>4730.11769</v>
      </c>
      <c r="H62" s="11" t="str">
        <f ca="1">VLOOKUP(VLOOKUP(dict_DQ_Meth_max[[#This Row],[ID_DataQualities]],table_DataQualities[],3),table_Units[],2)</f>
        <v>Hz</v>
      </c>
      <c r="I62" s="10"/>
      <c r="J62" s="10"/>
      <c r="K62" s="10"/>
      <c r="L62" s="10">
        <f ca="1">VLOOKUP(dict_DQ_Meth_max[[#This Row],[ID_DataQualities]],table_DataQualities[],8,FALSE)</f>
        <v>0.113</v>
      </c>
      <c r="M62" s="10">
        <f ca="1">VLOOKUP(dict_DQ_Meth_max[[#This Row],[ID_DataQualities]],table_DataQualities[],9,FALSE)</f>
        <v>5436.9</v>
      </c>
    </row>
    <row r="63" spans="1:13" x14ac:dyDescent="0.45">
      <c r="A63" s="10">
        <v>16</v>
      </c>
      <c r="B63" s="10">
        <v>50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2501.0350199999998</v>
      </c>
      <c r="G63" s="12">
        <f ca="1">(RANDBETWEEN(50,100)/100)*(dict_DQ_Meth_max[[#This Row],[Vergleich_ub]]-dict_DQ_Meth_max[[#This Row],[Vergleich_lb]])+dict_DQ_Meth_max[[#This Row],[Vergleich_lb]]</f>
        <v>2772.8743699999995</v>
      </c>
      <c r="H63" s="11" t="str">
        <f ca="1">VLOOKUP(VLOOKUP(dict_DQ_Meth_max[[#This Row],[ID_DataQualities]],table_DataQualities[],3),table_Units[],2)</f>
        <v>Hz</v>
      </c>
      <c r="I63" s="10"/>
      <c r="J63" s="10"/>
      <c r="K63" s="10"/>
      <c r="L63" s="10">
        <f ca="1">VLOOKUP(dict_DQ_Meth_max[[#This Row],[ID_DataQualities]],table_DataQualities[],8,FALSE)</f>
        <v>0.113</v>
      </c>
      <c r="M63" s="10">
        <f ca="1">VLOOKUP(dict_DQ_Meth_max[[#This Row],[ID_DataQualities]],table_DataQualities[],9,FALSE)</f>
        <v>5436.9</v>
      </c>
    </row>
    <row r="64" spans="1:13" x14ac:dyDescent="0.45">
      <c r="A64" s="10">
        <v>17</v>
      </c>
      <c r="B64" s="10">
        <v>585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0.13279000000000002</v>
      </c>
      <c r="G64" s="12">
        <f ca="1">(RANDBETWEEN(50,100)/100)*(dict_DQ_Meth_max[[#This Row],[Vergleich_ub]]-dict_DQ_Meth_max[[#This Row],[Vergleich_lb]])+dict_DQ_Meth_max[[#This Row],[Vergleich_lb]]</f>
        <v>0.27569199999999999</v>
      </c>
      <c r="H64" s="11" t="str">
        <f ca="1">VLOOKUP(VLOOKUP(dict_DQ_Meth_max[[#This Row],[ID_DataQualities]],table_DataQualities[],3),table_Units[],2)</f>
        <v>+/- cm³/s</v>
      </c>
      <c r="I64" s="10"/>
      <c r="J64" s="10"/>
      <c r="K64" s="10"/>
      <c r="L64" s="10">
        <f ca="1">VLOOKUP(dict_DQ_Meth_max[[#This Row],[ID_DataQualities]],table_DataQualities[],8,FALSE)</f>
        <v>6.7000000000000002E-3</v>
      </c>
      <c r="M64" s="10">
        <f ca="1">VLOOKUP(dict_DQ_Meth_max[[#This Row],[ID_DataQualities]],table_DataQualities[],9,FALSE)</f>
        <v>0.42699999999999999</v>
      </c>
    </row>
    <row r="65" spans="1:13" x14ac:dyDescent="0.45">
      <c r="A65" s="10">
        <v>17</v>
      </c>
      <c r="B65" s="10">
        <v>50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0.115978</v>
      </c>
      <c r="G65" s="12">
        <f ca="1">(RANDBETWEEN(50,100)/100)*(dict_DQ_Meth_max[[#This Row],[Vergleich_ub]]-dict_DQ_Meth_max[[#This Row],[Vergleich_lb]])+dict_DQ_Meth_max[[#This Row],[Vergleich_lb]]</f>
        <v>0.27148899999999998</v>
      </c>
      <c r="H65" s="11" t="str">
        <f ca="1">VLOOKUP(VLOOKUP(dict_DQ_Meth_max[[#This Row],[ID_DataQualities]],table_DataQualities[],3),table_Units[],2)</f>
        <v>+/- cm³/s</v>
      </c>
      <c r="I65" s="10"/>
      <c r="J65" s="10"/>
      <c r="K65" s="10"/>
      <c r="L65" s="10">
        <f ca="1">VLOOKUP(dict_DQ_Meth_max[[#This Row],[ID_DataQualities]],table_DataQualities[],8,FALSE)</f>
        <v>6.7000000000000002E-3</v>
      </c>
      <c r="M65" s="10">
        <f ca="1">VLOOKUP(dict_DQ_Meth_max[[#This Row],[ID_DataQualities]],table_DataQualities[],9,FALSE)</f>
        <v>0.42699999999999999</v>
      </c>
    </row>
    <row r="66" spans="1:13" x14ac:dyDescent="0.45">
      <c r="A66" s="10">
        <v>18</v>
      </c>
      <c r="B66" s="10">
        <v>22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114.30280000000002</v>
      </c>
      <c r="G66" s="12">
        <f ca="1">(RANDBETWEEN(50,100)/100)*(dict_DQ_Meth_max[[#This Row],[Vergleich_ub]]-dict_DQ_Meth_max[[#This Row],[Vergleich_lb]])+dict_DQ_Meth_max[[#This Row],[Vergleich_lb]]</f>
        <v>545.20339999999999</v>
      </c>
      <c r="H66" s="11" t="str">
        <f ca="1">VLOOKUP(VLOOKUP(dict_DQ_Meth_max[[#This Row],[ID_DataQualities]],table_DataQualities[],3),table_Units[],2)</f>
        <v>Hz</v>
      </c>
      <c r="I66" s="10"/>
      <c r="J66" s="10"/>
      <c r="K66" s="10"/>
      <c r="L66" s="10">
        <f ca="1">VLOOKUP(dict_DQ_Meth_max[[#This Row],[ID_DataQualities]],table_DataQualities[],8,FALSE)</f>
        <v>0.48</v>
      </c>
      <c r="M66" s="10">
        <f ca="1">VLOOKUP(dict_DQ_Meth_max[[#This Row],[ID_DataQualities]],table_DataQualities[],9,FALSE)</f>
        <v>813.5</v>
      </c>
    </row>
    <row r="67" spans="1:13" x14ac:dyDescent="0.45">
      <c r="A67" s="10">
        <v>18</v>
      </c>
      <c r="B67" s="10">
        <v>205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398.85980000000001</v>
      </c>
      <c r="G67" s="12">
        <f ca="1">(RANDBETWEEN(50,100)/100)*(dict_DQ_Meth_max[[#This Row],[Vergleich_ub]]-dict_DQ_Meth_max[[#This Row],[Vergleich_lb]])+dict_DQ_Meth_max[[#This Row],[Vergleich_lb]]</f>
        <v>675.28660000000002</v>
      </c>
      <c r="H67" s="11" t="str">
        <f ca="1">VLOOKUP(VLOOKUP(dict_DQ_Meth_max[[#This Row],[ID_DataQualities]],table_DataQualities[],3),table_Units[],2)</f>
        <v>Hz</v>
      </c>
      <c r="I67" s="10"/>
      <c r="J67" s="10"/>
      <c r="K67" s="10"/>
      <c r="L67" s="10">
        <f ca="1">VLOOKUP(dict_DQ_Meth_max[[#This Row],[ID_DataQualities]],table_DataQualities[],8,FALSE)</f>
        <v>0.48</v>
      </c>
      <c r="M67" s="10">
        <f ca="1">VLOOKUP(dict_DQ_Meth_max[[#This Row],[ID_DataQualities]],table_DataQualities[],9,FALSE)</f>
        <v>813.5</v>
      </c>
    </row>
    <row r="68" spans="1:13" x14ac:dyDescent="0.45">
      <c r="A68" s="10">
        <v>18</v>
      </c>
      <c r="B68" s="10">
        <v>371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0.48</v>
      </c>
      <c r="G68" s="12">
        <f ca="1">(RANDBETWEEN(50,100)/100)*(dict_DQ_Meth_max[[#This Row],[Vergleich_ub]]-dict_DQ_Meth_max[[#This Row],[Vergleich_lb]])+dict_DQ_Meth_max[[#This Row],[Vergleich_lb]]</f>
        <v>406.99</v>
      </c>
      <c r="H68" s="11" t="str">
        <f ca="1">VLOOKUP(VLOOKUP(dict_DQ_Meth_max[[#This Row],[ID_DataQualities]],table_DataQualities[],3),table_Units[],2)</f>
        <v>Hz</v>
      </c>
      <c r="I68" s="10"/>
      <c r="J68" s="10"/>
      <c r="K68" s="10"/>
      <c r="L68" s="10">
        <f ca="1">VLOOKUP(dict_DQ_Meth_max[[#This Row],[ID_DataQualities]],table_DataQualities[],8,FALSE)</f>
        <v>0.48</v>
      </c>
      <c r="M68" s="10">
        <f ca="1">VLOOKUP(dict_DQ_Meth_max[[#This Row],[ID_DataQualities]],table_DataQualities[],9,FALSE)</f>
        <v>813.5</v>
      </c>
    </row>
    <row r="69" spans="1:13" x14ac:dyDescent="0.45">
      <c r="A69" s="10">
        <v>18</v>
      </c>
      <c r="B69" s="10">
        <v>4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163.084</v>
      </c>
      <c r="G69" s="12">
        <f ca="1">(RANDBETWEEN(50,100)/100)*(dict_DQ_Meth_max[[#This Row],[Vergleich_ub]]-dict_DQ_Meth_max[[#This Row],[Vergleich_lb]])+dict_DQ_Meth_max[[#This Row],[Vergleich_lb]]</f>
        <v>439.51080000000002</v>
      </c>
      <c r="H69" s="11" t="str">
        <f ca="1">VLOOKUP(VLOOKUP(dict_DQ_Meth_max[[#This Row],[ID_DataQualities]],table_DataQualities[],3),table_Units[],2)</f>
        <v>Hz</v>
      </c>
      <c r="I69" s="10"/>
      <c r="J69" s="10"/>
      <c r="K69" s="10"/>
      <c r="L69" s="10">
        <f ca="1">VLOOKUP(dict_DQ_Meth_max[[#This Row],[ID_DataQualities]],table_DataQualities[],8,FALSE)</f>
        <v>0.48</v>
      </c>
      <c r="M69" s="10">
        <f ca="1">VLOOKUP(dict_DQ_Meth_max[[#This Row],[ID_DataQualities]],table_DataQualities[],9,FALSE)</f>
        <v>813.5</v>
      </c>
    </row>
    <row r="70" spans="1:13" x14ac:dyDescent="0.45">
      <c r="A70" s="10">
        <v>18</v>
      </c>
      <c r="B70" s="10">
        <v>20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24.8706</v>
      </c>
      <c r="G70" s="12">
        <f ca="1">(RANDBETWEEN(50,100)/100)*(dict_DQ_Meth_max[[#This Row],[Vergleich_ub]]-dict_DQ_Meth_max[[#This Row],[Vergleich_lb]])+dict_DQ_Meth_max[[#This Row],[Vergleich_lb]]</f>
        <v>512.68259999999998</v>
      </c>
      <c r="H70" s="11" t="str">
        <f ca="1">VLOOKUP(VLOOKUP(dict_DQ_Meth_max[[#This Row],[ID_DataQualities]],table_DataQualities[],3),table_Units[],2)</f>
        <v>Hz</v>
      </c>
      <c r="I70" s="10"/>
      <c r="J70" s="10"/>
      <c r="K70" s="10"/>
      <c r="L70" s="10">
        <f ca="1">VLOOKUP(dict_DQ_Meth_max[[#This Row],[ID_DataQualities]],table_DataQualities[],8,FALSE)</f>
        <v>0.48</v>
      </c>
      <c r="M70" s="10">
        <f ca="1">VLOOKUP(dict_DQ_Meth_max[[#This Row],[ID_DataQualities]],table_DataQualities[],9,FALSE)</f>
        <v>813.5</v>
      </c>
    </row>
    <row r="71" spans="1:13" x14ac:dyDescent="0.45">
      <c r="A71" s="10">
        <v>19</v>
      </c>
      <c r="B71" s="10">
        <v>22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122.75</v>
      </c>
      <c r="G71" s="12">
        <f ca="1">(RANDBETWEEN(50,100)/100)*(dict_DQ_Meth_max[[#This Row],[Vergleich_ub]]-dict_DQ_Meth_max[[#This Row],[Vergleich_lb]])+dict_DQ_Meth_max[[#This Row],[Vergleich_lb]]</f>
        <v>5739.25</v>
      </c>
      <c r="H71" s="11" t="str">
        <f ca="1">VLOOKUP(VLOOKUP(dict_DQ_Meth_max[[#This Row],[ID_DataQualities]],table_DataQualities[],3),table_Units[],2)</f>
        <v>bit</v>
      </c>
      <c r="I71" s="10"/>
      <c r="J71" s="10"/>
      <c r="K71" s="10"/>
      <c r="L71" s="10">
        <f ca="1">VLOOKUP(dict_DQ_Meth_max[[#This Row],[ID_DataQualities]],table_DataQualities[],8,FALSE)</f>
        <v>63</v>
      </c>
      <c r="M71" s="10">
        <f ca="1">VLOOKUP(dict_DQ_Meth_max[[#This Row],[ID_DataQualities]],table_DataQualities[],9,FALSE)</f>
        <v>6038</v>
      </c>
    </row>
    <row r="72" spans="1:13" x14ac:dyDescent="0.45">
      <c r="A72" s="10">
        <v>19</v>
      </c>
      <c r="B72" s="10">
        <v>205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780</v>
      </c>
      <c r="G72" s="12">
        <f ca="1">(RANDBETWEEN(50,100)/100)*(dict_DQ_Meth_max[[#This Row],[Vergleich_ub]]-dict_DQ_Meth_max[[#This Row],[Vergleich_lb]])+dict_DQ_Meth_max[[#This Row],[Vergleich_lb]]</f>
        <v>3468.7499999999995</v>
      </c>
      <c r="H72" s="11" t="str">
        <f ca="1">VLOOKUP(VLOOKUP(dict_DQ_Meth_max[[#This Row],[ID_DataQualities]],table_DataQualities[],3),table_Units[],2)</f>
        <v>bit</v>
      </c>
      <c r="I72" s="10"/>
      <c r="J72" s="10"/>
      <c r="K72" s="10"/>
      <c r="L72" s="10">
        <f ca="1">VLOOKUP(dict_DQ_Meth_max[[#This Row],[ID_DataQualities]],table_DataQualities[],8,FALSE)</f>
        <v>63</v>
      </c>
      <c r="M72" s="10">
        <f ca="1">VLOOKUP(dict_DQ_Meth_max[[#This Row],[ID_DataQualities]],table_DataQualities[],9,FALSE)</f>
        <v>6038</v>
      </c>
    </row>
    <row r="73" spans="1:13" x14ac:dyDescent="0.45">
      <c r="A73" s="10">
        <v>19</v>
      </c>
      <c r="B73" s="10">
        <v>371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1138.5</v>
      </c>
      <c r="G73" s="12">
        <f ca="1">(RANDBETWEEN(50,100)/100)*(dict_DQ_Meth_max[[#This Row],[Vergleich_ub]]-dict_DQ_Meth_max[[#This Row],[Vergleich_lb]])+dict_DQ_Meth_max[[#This Row],[Vergleich_lb]]</f>
        <v>5560</v>
      </c>
      <c r="H73" s="11" t="str">
        <f ca="1">VLOOKUP(VLOOKUP(dict_DQ_Meth_max[[#This Row],[ID_DataQualities]],table_DataQualities[],3),table_Units[],2)</f>
        <v>bit</v>
      </c>
      <c r="I73" s="10"/>
      <c r="J73" s="10"/>
      <c r="K73" s="10"/>
      <c r="L73" s="10">
        <f ca="1">VLOOKUP(dict_DQ_Meth_max[[#This Row],[ID_DataQualities]],table_DataQualities[],8,FALSE)</f>
        <v>63</v>
      </c>
      <c r="M73" s="10">
        <f ca="1">VLOOKUP(dict_DQ_Meth_max[[#This Row],[ID_DataQualities]],table_DataQualities[],9,FALSE)</f>
        <v>6038</v>
      </c>
    </row>
    <row r="74" spans="1:13" x14ac:dyDescent="0.45">
      <c r="A74" s="10">
        <v>19</v>
      </c>
      <c r="B74" s="10">
        <v>4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481.25000000000006</v>
      </c>
      <c r="G74" s="12">
        <f ca="1">(RANDBETWEEN(50,100)/100)*(dict_DQ_Meth_max[[#This Row],[Vergleich_ub]]-dict_DQ_Meth_max[[#This Row],[Vergleich_lb]])+dict_DQ_Meth_max[[#This Row],[Vergleich_lb]]</f>
        <v>5082</v>
      </c>
      <c r="H74" s="11" t="str">
        <f ca="1">VLOOKUP(VLOOKUP(dict_DQ_Meth_max[[#This Row],[ID_DataQualities]],table_DataQualities[],3),table_Units[],2)</f>
        <v>bit</v>
      </c>
      <c r="I74" s="10"/>
      <c r="J74" s="10"/>
      <c r="K74" s="10"/>
      <c r="L74" s="10">
        <f ca="1">VLOOKUP(dict_DQ_Meth_max[[#This Row],[ID_DataQualities]],table_DataQualities[],8,FALSE)</f>
        <v>63</v>
      </c>
      <c r="M74" s="10">
        <f ca="1">VLOOKUP(dict_DQ_Meth_max[[#This Row],[ID_DataQualities]],table_DataQualities[],9,FALSE)</f>
        <v>6038</v>
      </c>
    </row>
    <row r="75" spans="1:13" x14ac:dyDescent="0.45">
      <c r="A75" s="10">
        <v>19</v>
      </c>
      <c r="B75" s="10">
        <v>20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2214</v>
      </c>
      <c r="G75" s="12">
        <f ca="1">(RANDBETWEEN(50,100)/100)*(dict_DQ_Meth_max[[#This Row],[Vergleich_ub]]-dict_DQ_Meth_max[[#This Row],[Vergleich_lb]])+dict_DQ_Meth_max[[#This Row],[Vergleich_lb]]</f>
        <v>3110.25</v>
      </c>
      <c r="H75" s="11" t="str">
        <f ca="1">VLOOKUP(VLOOKUP(dict_DQ_Meth_max[[#This Row],[ID_DataQualities]],table_DataQualities[],3),table_Units[],2)</f>
        <v>bit</v>
      </c>
      <c r="I75" s="10"/>
      <c r="J75" s="10"/>
      <c r="K75" s="10"/>
      <c r="L75" s="10">
        <f ca="1">VLOOKUP(dict_DQ_Meth_max[[#This Row],[ID_DataQualities]],table_DataQualities[],8,FALSE)</f>
        <v>63</v>
      </c>
      <c r="M75" s="10">
        <f ca="1">VLOOKUP(dict_DQ_Meth_max[[#This Row],[ID_DataQualities]],table_DataQualities[],9,FALSE)</f>
        <v>6038</v>
      </c>
    </row>
    <row r="76" spans="1:13" x14ac:dyDescent="0.45">
      <c r="A76" s="10">
        <v>20</v>
      </c>
      <c r="B76" s="10">
        <v>130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988.70136000000002</v>
      </c>
      <c r="G76" s="12">
        <f ca="1">(RANDBETWEEN(50,100)/100)*(dict_DQ_Meth_max[[#This Row],[Vergleich_ub]]-dict_DQ_Meth_max[[#This Row],[Vergleich_lb]])+dict_DQ_Meth_max[[#This Row],[Vergleich_lb]]</f>
        <v>1168.38688</v>
      </c>
      <c r="H76" s="11" t="str">
        <f ca="1">VLOOKUP(VLOOKUP(dict_DQ_Meth_max[[#This Row],[ID_DataQualities]],table_DataQualities[],3),table_Units[],2)</f>
        <v>Hz</v>
      </c>
      <c r="I76" s="10"/>
      <c r="J76" s="10"/>
      <c r="K76" s="10"/>
      <c r="L76" s="10">
        <f ca="1">VLOOKUP(dict_DQ_Meth_max[[#This Row],[ID_DataQualities]],table_DataQualities[],8,FALSE)</f>
        <v>0.43099999999999999</v>
      </c>
      <c r="M76" s="10">
        <f ca="1">VLOOKUP(dict_DQ_Meth_max[[#This Row],[ID_DataQualities]],table_DataQualities[],9,FALSE)</f>
        <v>2246.5</v>
      </c>
    </row>
    <row r="77" spans="1:13" x14ac:dyDescent="0.45">
      <c r="A77" s="10">
        <v>20</v>
      </c>
      <c r="B77" s="10">
        <v>42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382.26272999999998</v>
      </c>
      <c r="G77" s="12">
        <f ca="1">(RANDBETWEEN(50,100)/100)*(dict_DQ_Meth_max[[#This Row],[Vergleich_ub]]-dict_DQ_Meth_max[[#This Row],[Vergleich_lb]])+dict_DQ_Meth_max[[#This Row],[Vergleich_lb]]</f>
        <v>1572.6793</v>
      </c>
      <c r="H77" s="11" t="str">
        <f ca="1">VLOOKUP(VLOOKUP(dict_DQ_Meth_max[[#This Row],[ID_DataQualities]],table_DataQualities[],3),table_Units[],2)</f>
        <v>Hz</v>
      </c>
      <c r="I77" s="10"/>
      <c r="J77" s="10"/>
      <c r="K77" s="10"/>
      <c r="L77" s="10">
        <f ca="1">VLOOKUP(dict_DQ_Meth_max[[#This Row],[ID_DataQualities]],table_DataQualities[],8,FALSE)</f>
        <v>0.43099999999999999</v>
      </c>
      <c r="M77" s="10">
        <f ca="1">VLOOKUP(dict_DQ_Meth_max[[#This Row],[ID_DataQualities]],table_DataQualities[],9,FALSE)</f>
        <v>2246.5</v>
      </c>
    </row>
    <row r="78" spans="1:13" x14ac:dyDescent="0.45">
      <c r="A78" s="10">
        <v>20</v>
      </c>
      <c r="B78" s="10">
        <v>128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539.48756000000003</v>
      </c>
      <c r="G78" s="12">
        <f ca="1">(RANDBETWEEN(50,100)/100)*(dict_DQ_Meth_max[[#This Row],[Vergleich_ub]]-dict_DQ_Meth_max[[#This Row],[Vergleich_lb]])+dict_DQ_Meth_max[[#This Row],[Vergleich_lb]]</f>
        <v>1774.8255100000001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0.43099999999999999</v>
      </c>
      <c r="M78" s="10">
        <f ca="1">VLOOKUP(dict_DQ_Meth_max[[#This Row],[ID_DataQualities]],table_DataQualities[],9,FALSE)</f>
        <v>2246.5</v>
      </c>
    </row>
    <row r="79" spans="1:13" x14ac:dyDescent="0.45">
      <c r="A79" s="10">
        <v>20</v>
      </c>
      <c r="B79" s="10">
        <v>146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202.57721000000001</v>
      </c>
      <c r="G79" s="12">
        <f ca="1">(RANDBETWEEN(50,100)/100)*(dict_DQ_Meth_max[[#This Row],[Vergleich_ub]]-dict_DQ_Meth_max[[#This Row],[Vergleich_lb]])+dict_DQ_Meth_max[[#This Row],[Vergleich_lb]]</f>
        <v>1392.99378</v>
      </c>
      <c r="H79" s="11" t="str">
        <f ca="1">VLOOKUP(VLOOKUP(dict_DQ_Meth_max[[#This Row],[ID_DataQualities]],table_DataQualities[],3),table_Units[],2)</f>
        <v>Hz</v>
      </c>
      <c r="I79" s="10"/>
      <c r="J79" s="10"/>
      <c r="K79" s="10"/>
      <c r="L79" s="10">
        <f ca="1">VLOOKUP(dict_DQ_Meth_max[[#This Row],[ID_DataQualities]],table_DataQualities[],8,FALSE)</f>
        <v>0.43099999999999999</v>
      </c>
      <c r="M79" s="10">
        <f ca="1">VLOOKUP(dict_DQ_Meth_max[[#This Row],[ID_DataQualities]],table_DataQualities[],9,FALSE)</f>
        <v>2246.5</v>
      </c>
    </row>
    <row r="80" spans="1:13" x14ac:dyDescent="0.45">
      <c r="A80" s="10">
        <v>20</v>
      </c>
      <c r="B80" s="10">
        <v>12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0.43099999999999999</v>
      </c>
      <c r="G80" s="12">
        <f ca="1">(RANDBETWEEN(50,100)/100)*(dict_DQ_Meth_max[[#This Row],[Vergleich_ub]]-dict_DQ_Meth_max[[#This Row],[Vergleich_lb]])+dict_DQ_Meth_max[[#This Row],[Vergleich_lb]]</f>
        <v>1752.36482</v>
      </c>
      <c r="H80" s="11" t="str">
        <f ca="1">VLOOKUP(VLOOKUP(dict_DQ_Meth_max[[#This Row],[ID_DataQualities]],table_DataQualities[],3),table_Units[],2)</f>
        <v>Hz</v>
      </c>
      <c r="I80" s="10"/>
      <c r="J80" s="10"/>
      <c r="K80" s="10"/>
      <c r="L80" s="10">
        <f ca="1">VLOOKUP(dict_DQ_Meth_max[[#This Row],[ID_DataQualities]],table_DataQualities[],8,FALSE)</f>
        <v>0.43099999999999999</v>
      </c>
      <c r="M80" s="10">
        <f ca="1">VLOOKUP(dict_DQ_Meth_max[[#This Row],[ID_DataQualities]],table_DataQualities[],9,FALSE)</f>
        <v>2246.5</v>
      </c>
    </row>
    <row r="81" spans="1:13" x14ac:dyDescent="0.45">
      <c r="A81" s="10">
        <v>21</v>
      </c>
      <c r="B81" s="10">
        <v>128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1.9584999999999999</v>
      </c>
      <c r="G81" s="12">
        <f ca="1">(RANDBETWEEN(50,100)/100)*(dict_DQ_Meth_max[[#This Row],[Vergleich_ub]]-dict_DQ_Meth_max[[#This Row],[Vergleich_lb]])+dict_DQ_Meth_max[[#This Row],[Vergleich_lb]]</f>
        <v>5.8594999999999997</v>
      </c>
      <c r="H81" s="11" t="str">
        <f ca="1">VLOOKUP(VLOOKUP(dict_DQ_Meth_max[[#This Row],[ID_DataQualities]],table_DataQualities[],3),table_Units[],2)</f>
        <v>+/- W</v>
      </c>
      <c r="I81" s="10"/>
      <c r="J81" s="10"/>
      <c r="K81" s="10"/>
      <c r="L81" s="10">
        <f ca="1">VLOOKUP(dict_DQ_Meth_max[[#This Row],[ID_DataQualities]],table_DataQualities[],8,FALSE)</f>
        <v>8.0000000000000002E-3</v>
      </c>
      <c r="M81" s="10">
        <f ca="1">VLOOKUP(dict_DQ_Meth_max[[#This Row],[ID_DataQualities]],table_DataQualities[],9,FALSE)</f>
        <v>7.81</v>
      </c>
    </row>
    <row r="82" spans="1:13" x14ac:dyDescent="0.45">
      <c r="A82" s="10">
        <v>21</v>
      </c>
      <c r="B82" s="10">
        <v>42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1.80246</v>
      </c>
      <c r="G82" s="12">
        <f ca="1">(RANDBETWEEN(50,100)/100)*(dict_DQ_Meth_max[[#This Row],[Vergleich_ub]]-dict_DQ_Meth_max[[#This Row],[Vergleich_lb]])+dict_DQ_Meth_max[[#This Row],[Vergleich_lb]]</f>
        <v>4.8452399999999995</v>
      </c>
      <c r="H82" s="11" t="str">
        <f ca="1">VLOOKUP(VLOOKUP(dict_DQ_Meth_max[[#This Row],[ID_DataQualities]],table_DataQualities[],3),table_Units[],2)</f>
        <v>+/- W</v>
      </c>
      <c r="I82" s="10"/>
      <c r="J82" s="10"/>
      <c r="K82" s="10"/>
      <c r="L82" s="10">
        <f ca="1">VLOOKUP(dict_DQ_Meth_max[[#This Row],[ID_DataQualities]],table_DataQualities[],8,FALSE)</f>
        <v>8.0000000000000002E-3</v>
      </c>
      <c r="M82" s="10">
        <f ca="1">VLOOKUP(dict_DQ_Meth_max[[#This Row],[ID_DataQualities]],table_DataQualities[],9,FALSE)</f>
        <v>7.81</v>
      </c>
    </row>
    <row r="83" spans="1:13" x14ac:dyDescent="0.45">
      <c r="A83" s="10">
        <v>21</v>
      </c>
      <c r="B83" s="10">
        <v>130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1.72444</v>
      </c>
      <c r="G83" s="12">
        <f ca="1">(RANDBETWEEN(50,100)/100)*(dict_DQ_Meth_max[[#This Row],[Vergleich_ub]]-dict_DQ_Meth_max[[#This Row],[Vergleich_lb]])+dict_DQ_Meth_max[[#This Row],[Vergleich_lb]]</f>
        <v>4.1430600000000002</v>
      </c>
      <c r="H83" s="11" t="str">
        <f ca="1">VLOOKUP(VLOOKUP(dict_DQ_Meth_max[[#This Row],[ID_DataQualities]],table_DataQualities[],3),table_Units[],2)</f>
        <v>+/- W</v>
      </c>
      <c r="I83" s="10"/>
      <c r="J83" s="10"/>
      <c r="K83" s="10"/>
      <c r="L83" s="10">
        <f ca="1">VLOOKUP(dict_DQ_Meth_max[[#This Row],[ID_DataQualities]],table_DataQualities[],8,FALSE)</f>
        <v>8.0000000000000002E-3</v>
      </c>
      <c r="M83" s="10">
        <f ca="1">VLOOKUP(dict_DQ_Meth_max[[#This Row],[ID_DataQualities]],table_DataQualities[],9,FALSE)</f>
        <v>7.81</v>
      </c>
    </row>
    <row r="84" spans="1:13" x14ac:dyDescent="0.45">
      <c r="A84" s="10">
        <v>21</v>
      </c>
      <c r="B84" s="10">
        <v>146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1.8804799999999999</v>
      </c>
      <c r="G84" s="12">
        <f ca="1">(RANDBETWEEN(50,100)/100)*(dict_DQ_Meth_max[[#This Row],[Vergleich_ub]]-dict_DQ_Meth_max[[#This Row],[Vergleich_lb]])+dict_DQ_Meth_max[[#This Row],[Vergleich_lb]]</f>
        <v>7.7319799999999992</v>
      </c>
      <c r="H84" s="11" t="str">
        <f ca="1">VLOOKUP(VLOOKUP(dict_DQ_Meth_max[[#This Row],[ID_DataQualities]],table_DataQualities[],3),table_Units[],2)</f>
        <v>+/- W</v>
      </c>
      <c r="I84" s="10"/>
      <c r="J84" s="10"/>
      <c r="K84" s="10"/>
      <c r="L84" s="10">
        <f ca="1">VLOOKUP(dict_DQ_Meth_max[[#This Row],[ID_DataQualities]],table_DataQualities[],8,FALSE)</f>
        <v>8.0000000000000002E-3</v>
      </c>
      <c r="M84" s="10">
        <f ca="1">VLOOKUP(dict_DQ_Meth_max[[#This Row],[ID_DataQualities]],table_DataQualities[],9,FALSE)</f>
        <v>7.81</v>
      </c>
    </row>
    <row r="85" spans="1:13" x14ac:dyDescent="0.45">
      <c r="A85" s="10">
        <v>21</v>
      </c>
      <c r="B85" s="10">
        <v>12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0.32007999999999998</v>
      </c>
      <c r="G85" s="12">
        <f ca="1">(RANDBETWEEN(50,100)/100)*(dict_DQ_Meth_max[[#This Row],[Vergleich_ub]]-dict_DQ_Meth_max[[#This Row],[Vergleich_lb]])+dict_DQ_Meth_max[[#This Row],[Vergleich_lb]]</f>
        <v>4.8452399999999995</v>
      </c>
      <c r="H85" s="11" t="str">
        <f ca="1">VLOOKUP(VLOOKUP(dict_DQ_Meth_max[[#This Row],[ID_DataQualities]],table_DataQualities[],3),table_Units[],2)</f>
        <v>+/- W</v>
      </c>
      <c r="I85" s="10"/>
      <c r="J85" s="10"/>
      <c r="K85" s="10"/>
      <c r="L85" s="10">
        <f ca="1">VLOOKUP(dict_DQ_Meth_max[[#This Row],[ID_DataQualities]],table_DataQualities[],8,FALSE)</f>
        <v>8.0000000000000002E-3</v>
      </c>
      <c r="M85" s="10">
        <f ca="1">VLOOKUP(dict_DQ_Meth_max[[#This Row],[ID_DataQualities]],table_DataQualities[],9,FALSE)</f>
        <v>7.81</v>
      </c>
    </row>
    <row r="86" spans="1:13" x14ac:dyDescent="0.45">
      <c r="A86" s="10">
        <v>22</v>
      </c>
      <c r="B86" s="10">
        <v>91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499.34649999999999</v>
      </c>
      <c r="G86" s="12">
        <f ca="1">(RANDBETWEEN(50,100)/100)*(dict_DQ_Meth_max[[#This Row],[Vergleich_ub]]-dict_DQ_Meth_max[[#This Row],[Vergleich_lb]])+dict_DQ_Meth_max[[#This Row],[Vergleich_lb]]</f>
        <v>609.13826999999992</v>
      </c>
      <c r="H86" s="11" t="str">
        <f ca="1">VLOOKUP(VLOOKUP(dict_DQ_Meth_max[[#This Row],[ID_DataQualities]],table_DataQualities[],3),table_Units[],2)</f>
        <v>Hz</v>
      </c>
      <c r="I86" s="10"/>
      <c r="J86" s="10"/>
      <c r="K86" s="10"/>
      <c r="L86" s="10">
        <f ca="1">VLOOKUP(dict_DQ_Meth_max[[#This Row],[ID_DataQualities]],table_DataQualities[],8,FALSE)</f>
        <v>0.29299999999999998</v>
      </c>
      <c r="M86" s="10">
        <f ca="1">VLOOKUP(dict_DQ_Meth_max[[#This Row],[ID_DataQualities]],table_DataQualities[],9,FALSE)</f>
        <v>998.4</v>
      </c>
    </row>
    <row r="87" spans="1:13" x14ac:dyDescent="0.45">
      <c r="A87" s="10">
        <v>22</v>
      </c>
      <c r="B87" s="10">
        <v>18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349.63045</v>
      </c>
      <c r="G87" s="12">
        <f ca="1">(RANDBETWEEN(50,100)/100)*(dict_DQ_Meth_max[[#This Row],[Vergleich_ub]]-dict_DQ_Meth_max[[#This Row],[Vergleich_lb]])+dict_DQ_Meth_max[[#This Row],[Vergleich_lb]]</f>
        <v>928.53251</v>
      </c>
      <c r="H87" s="11" t="str">
        <f ca="1">VLOOKUP(VLOOKUP(dict_DQ_Meth_max[[#This Row],[ID_DataQualities]],table_DataQualities[],3),table_Units[],2)</f>
        <v>Hz</v>
      </c>
      <c r="I87" s="10"/>
      <c r="J87" s="10"/>
      <c r="K87" s="10"/>
      <c r="L87" s="10">
        <f ca="1">VLOOKUP(dict_DQ_Meth_max[[#This Row],[ID_DataQualities]],table_DataQualities[],8,FALSE)</f>
        <v>0.29299999999999998</v>
      </c>
      <c r="M87" s="10">
        <f ca="1">VLOOKUP(dict_DQ_Meth_max[[#This Row],[ID_DataQualities]],table_DataQualities[],9,FALSE)</f>
        <v>998.4</v>
      </c>
    </row>
    <row r="88" spans="1:13" x14ac:dyDescent="0.45">
      <c r="A88" s="10">
        <v>23</v>
      </c>
      <c r="B88" s="10">
        <v>91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0.11282600000000001</v>
      </c>
      <c r="G88" s="12">
        <f ca="1">(RANDBETWEEN(50,100)/100)*(dict_DQ_Meth_max[[#This Row],[Vergleich_ub]]-dict_DQ_Meth_max[[#This Row],[Vergleich_lb]])+dict_DQ_Meth_max[[#This Row],[Vergleich_lb]]</f>
        <v>0.22668300000000002</v>
      </c>
      <c r="H88" s="11" t="str">
        <f ca="1">VLOOKUP(VLOOKUP(dict_DQ_Meth_max[[#This Row],[ID_DataQualities]],table_DataQualities[],3),table_Units[],2)</f>
        <v>+/- cm³/s</v>
      </c>
      <c r="I88" s="10"/>
      <c r="J88" s="10"/>
      <c r="K88" s="10"/>
      <c r="L88" s="10">
        <f ca="1">VLOOKUP(dict_DQ_Meth_max[[#This Row],[ID_DataQualities]],table_DataQualities[],8,FALSE)</f>
        <v>7.3000000000000001E-3</v>
      </c>
      <c r="M88" s="10">
        <f ca="1">VLOOKUP(dict_DQ_Meth_max[[#This Row],[ID_DataQualities]],table_DataQualities[],9,FALSE)</f>
        <v>0.28499999999999998</v>
      </c>
    </row>
    <row r="89" spans="1:13" x14ac:dyDescent="0.45">
      <c r="A89" s="10">
        <v>23</v>
      </c>
      <c r="B89" s="10">
        <v>18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0.10449499999999999</v>
      </c>
      <c r="G89" s="12">
        <f ca="1">(RANDBETWEEN(50,100)/100)*(dict_DQ_Meth_max[[#This Row],[Vergleich_ub]]-dict_DQ_Meth_max[[#This Row],[Vergleich_lb]])+dict_DQ_Meth_max[[#This Row],[Vergleich_lb]]</f>
        <v>0.15448100000000001</v>
      </c>
      <c r="H89" s="11" t="str">
        <f ca="1">VLOOKUP(VLOOKUP(dict_DQ_Meth_max[[#This Row],[ID_DataQualities]],table_DataQualities[],3),table_Units[],2)</f>
        <v>+/- cm³/s</v>
      </c>
      <c r="I89" s="10"/>
      <c r="J89" s="10"/>
      <c r="K89" s="10"/>
      <c r="L89" s="10">
        <f ca="1">VLOOKUP(dict_DQ_Meth_max[[#This Row],[ID_DataQualities]],table_DataQualities[],8,FALSE)</f>
        <v>7.3000000000000001E-3</v>
      </c>
      <c r="M89" s="10">
        <f ca="1">VLOOKUP(dict_DQ_Meth_max[[#This Row],[ID_DataQualities]],table_DataQualities[],9,FALSE)</f>
        <v>0.28499999999999998</v>
      </c>
    </row>
    <row r="90" spans="1:13" x14ac:dyDescent="0.45">
      <c r="A90" s="10">
        <v>24</v>
      </c>
      <c r="B90" s="10">
        <v>426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2779.0438999999997</v>
      </c>
      <c r="G90" s="12">
        <f ca="1">(RANDBETWEEN(50,100)/100)*(dict_DQ_Meth_max[[#This Row],[Vergleich_ub]]-dict_DQ_Meth_max[[#This Row],[Vergleich_lb]])+dict_DQ_Meth_max[[#This Row],[Vergleich_lb]]</f>
        <v>5125.2026599999999</v>
      </c>
      <c r="H90" s="11" t="str">
        <f ca="1">VLOOKUP(VLOOKUP(dict_DQ_Meth_max[[#This Row],[ID_DataQualities]],table_DataQualities[],3),table_Units[],2)</f>
        <v>Hz</v>
      </c>
      <c r="I90" s="10"/>
      <c r="J90" s="10"/>
      <c r="K90" s="10"/>
      <c r="L90" s="10">
        <f ca="1">VLOOKUP(dict_DQ_Meth_max[[#This Row],[ID_DataQualities]],table_DataQualities[],8,FALSE)</f>
        <v>0.69799999999999995</v>
      </c>
      <c r="M90" s="10">
        <f ca="1">VLOOKUP(dict_DQ_Meth_max[[#This Row],[ID_DataQualities]],table_DataQualities[],9,FALSE)</f>
        <v>6174.8</v>
      </c>
    </row>
    <row r="91" spans="1:13" x14ac:dyDescent="0.45">
      <c r="A91" s="10">
        <v>24</v>
      </c>
      <c r="B91" s="10">
        <v>661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2285.1157399999997</v>
      </c>
      <c r="G91" s="12">
        <f ca="1">(RANDBETWEEN(50,100)/100)*(dict_DQ_Meth_max[[#This Row],[Vergleich_ub]]-dict_DQ_Meth_max[[#This Row],[Vergleich_lb]])+dict_DQ_Meth_max[[#This Row],[Vergleich_lb]]</f>
        <v>3890.3822599999999</v>
      </c>
      <c r="H91" s="11" t="str">
        <f ca="1">VLOOKUP(VLOOKUP(dict_DQ_Meth_max[[#This Row],[ID_DataQualities]],table_DataQualities[],3),table_Units[],2)</f>
        <v>Hz</v>
      </c>
      <c r="I91" s="10"/>
      <c r="J91" s="10"/>
      <c r="K91" s="10"/>
      <c r="L91" s="10">
        <f ca="1">VLOOKUP(dict_DQ_Meth_max[[#This Row],[ID_DataQualities]],table_DataQualities[],8,FALSE)</f>
        <v>0.69799999999999995</v>
      </c>
      <c r="M91" s="10">
        <f ca="1">VLOOKUP(dict_DQ_Meth_max[[#This Row],[ID_DataQualities]],table_DataQualities[],9,FALSE)</f>
        <v>6174.8</v>
      </c>
    </row>
    <row r="92" spans="1:13" x14ac:dyDescent="0.45">
      <c r="A92" s="10">
        <v>24</v>
      </c>
      <c r="B92" s="10">
        <v>290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1112.0363600000001</v>
      </c>
      <c r="G92" s="12">
        <f ca="1">(RANDBETWEEN(50,100)/100)*(dict_DQ_Meth_max[[#This Row],[Vergleich_ub]]-dict_DQ_Meth_max[[#This Row],[Vergleich_lb]])+dict_DQ_Meth_max[[#This Row],[Vergleich_lb]]</f>
        <v>4260.8283799999999</v>
      </c>
      <c r="H92" s="11" t="str">
        <f ca="1">VLOOKUP(VLOOKUP(dict_DQ_Meth_max[[#This Row],[ID_DataQualities]],table_DataQualities[],3),table_Units[],2)</f>
        <v>Hz</v>
      </c>
      <c r="I92" s="10"/>
      <c r="J92" s="10"/>
      <c r="K92" s="10"/>
      <c r="L92" s="10">
        <f ca="1">VLOOKUP(dict_DQ_Meth_max[[#This Row],[ID_DataQualities]],table_DataQualities[],8,FALSE)</f>
        <v>0.69799999999999995</v>
      </c>
      <c r="M92" s="10">
        <f ca="1">VLOOKUP(dict_DQ_Meth_max[[#This Row],[ID_DataQualities]],table_DataQualities[],9,FALSE)</f>
        <v>6174.8</v>
      </c>
    </row>
    <row r="93" spans="1:13" x14ac:dyDescent="0.45">
      <c r="A93" s="10">
        <v>24</v>
      </c>
      <c r="B93" s="10">
        <v>330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1791.18758</v>
      </c>
      <c r="G93" s="12">
        <f ca="1">(RANDBETWEEN(50,100)/100)*(dict_DQ_Meth_max[[#This Row],[Vergleich_ub]]-dict_DQ_Meth_max[[#This Row],[Vergleich_lb]])+dict_DQ_Meth_max[[#This Row],[Vergleich_lb]]</f>
        <v>3458.1951200000003</v>
      </c>
      <c r="H93" s="11" t="str">
        <f ca="1">VLOOKUP(VLOOKUP(dict_DQ_Meth_max[[#This Row],[ID_DataQualities]],table_DataQualities[],3),table_Units[],2)</f>
        <v>Hz</v>
      </c>
      <c r="I93" s="10"/>
      <c r="J93" s="10"/>
      <c r="K93" s="10"/>
      <c r="L93" s="10">
        <f ca="1">VLOOKUP(dict_DQ_Meth_max[[#This Row],[ID_DataQualities]],table_DataQualities[],8,FALSE)</f>
        <v>0.69799999999999995</v>
      </c>
      <c r="M93" s="10">
        <f ca="1">VLOOKUP(dict_DQ_Meth_max[[#This Row],[ID_DataQualities]],table_DataQualities[],9,FALSE)</f>
        <v>6174.8</v>
      </c>
    </row>
    <row r="94" spans="1:13" x14ac:dyDescent="0.45">
      <c r="A94" s="10">
        <v>24</v>
      </c>
      <c r="B94" s="10">
        <v>7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1976.4106400000001</v>
      </c>
      <c r="G94" s="12">
        <f ca="1">(RANDBETWEEN(50,100)/100)*(dict_DQ_Meth_max[[#This Row],[Vergleich_ub]]-dict_DQ_Meth_max[[#This Row],[Vergleich_lb]])+dict_DQ_Meth_max[[#This Row],[Vergleich_lb]]</f>
        <v>5310.4257200000002</v>
      </c>
      <c r="H94" s="11" t="str">
        <f ca="1">VLOOKUP(VLOOKUP(dict_DQ_Meth_max[[#This Row],[ID_DataQualities]],table_DataQualities[],3),table_Units[],2)</f>
        <v>Hz</v>
      </c>
      <c r="I94" s="10"/>
      <c r="J94" s="10"/>
      <c r="K94" s="10"/>
      <c r="L94" s="10">
        <f ca="1">VLOOKUP(dict_DQ_Meth_max[[#This Row],[ID_DataQualities]],table_DataQualities[],8,FALSE)</f>
        <v>0.69799999999999995</v>
      </c>
      <c r="M94" s="10">
        <f ca="1">VLOOKUP(dict_DQ_Meth_max[[#This Row],[ID_DataQualities]],table_DataQualities[],9,FALSE)</f>
        <v>6174.8</v>
      </c>
    </row>
    <row r="95" spans="1:13" x14ac:dyDescent="0.45">
      <c r="A95" s="10">
        <v>25</v>
      </c>
      <c r="B95" s="10">
        <v>7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2.7824999999999998</v>
      </c>
      <c r="G95" s="12">
        <f ca="1">(RANDBETWEEN(50,100)/100)*(dict_DQ_Meth_max[[#This Row],[Vergleich_ub]]-dict_DQ_Meth_max[[#This Row],[Vergleich_lb]])+dict_DQ_Meth_max[[#This Row],[Vergleich_lb]]</f>
        <v>3.3675000000000002</v>
      </c>
      <c r="H95" s="11" t="str">
        <f ca="1">VLOOKUP(VLOOKUP(dict_DQ_Meth_max[[#This Row],[ID_DataQualities]],table_DataQualities[],3),table_Units[],2)</f>
        <v>+/- mm/s</v>
      </c>
      <c r="I95" s="10"/>
      <c r="J95" s="10"/>
      <c r="K95" s="10"/>
      <c r="L95" s="10">
        <f ca="1">VLOOKUP(dict_DQ_Meth_max[[#This Row],[ID_DataQualities]],table_DataQualities[],8,FALSE)</f>
        <v>0.15</v>
      </c>
      <c r="M95" s="10">
        <f ca="1">VLOOKUP(dict_DQ_Meth_max[[#This Row],[ID_DataQualities]],table_DataQualities[],9,FALSE)</f>
        <v>6</v>
      </c>
    </row>
    <row r="96" spans="1:13" x14ac:dyDescent="0.45">
      <c r="A96" s="10">
        <v>25</v>
      </c>
      <c r="B96" s="10">
        <v>426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2.1974999999999998</v>
      </c>
      <c r="G96" s="12">
        <f ca="1">(RANDBETWEEN(50,100)/100)*(dict_DQ_Meth_max[[#This Row],[Vergleich_ub]]-dict_DQ_Meth_max[[#This Row],[Vergleich_lb]])+dict_DQ_Meth_max[[#This Row],[Vergleich_lb]]</f>
        <v>3.1334999999999997</v>
      </c>
      <c r="H96" s="11" t="str">
        <f ca="1">VLOOKUP(VLOOKUP(dict_DQ_Meth_max[[#This Row],[ID_DataQualities]],table_DataQualities[],3),table_Units[],2)</f>
        <v>+/- mm/s</v>
      </c>
      <c r="I96" s="10"/>
      <c r="J96" s="10"/>
      <c r="K96" s="10"/>
      <c r="L96" s="10">
        <f ca="1">VLOOKUP(dict_DQ_Meth_max[[#This Row],[ID_DataQualities]],table_DataQualities[],8,FALSE)</f>
        <v>0.15</v>
      </c>
      <c r="M96" s="10">
        <f ca="1">VLOOKUP(dict_DQ_Meth_max[[#This Row],[ID_DataQualities]],table_DataQualities[],9,FALSE)</f>
        <v>6</v>
      </c>
    </row>
    <row r="97" spans="1:13" x14ac:dyDescent="0.45">
      <c r="A97" s="10">
        <v>25</v>
      </c>
      <c r="B97" s="10">
        <v>290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1.6124999999999998</v>
      </c>
      <c r="G97" s="12">
        <f ca="1">(RANDBETWEEN(50,100)/100)*(dict_DQ_Meth_max[[#This Row],[Vergleich_ub]]-dict_DQ_Meth_max[[#This Row],[Vergleich_lb]])+dict_DQ_Meth_max[[#This Row],[Vergleich_lb]]</f>
        <v>5.766</v>
      </c>
      <c r="H97" s="11" t="str">
        <f ca="1">VLOOKUP(VLOOKUP(dict_DQ_Meth_max[[#This Row],[ID_DataQualities]],table_DataQualities[],3),table_Units[],2)</f>
        <v>+/- mm/s</v>
      </c>
      <c r="I97" s="10"/>
      <c r="J97" s="10"/>
      <c r="K97" s="10"/>
      <c r="L97" s="10">
        <f ca="1">VLOOKUP(dict_DQ_Meth_max[[#This Row],[ID_DataQualities]],table_DataQualities[],8,FALSE)</f>
        <v>0.15</v>
      </c>
      <c r="M97" s="10">
        <f ca="1">VLOOKUP(dict_DQ_Meth_max[[#This Row],[ID_DataQualities]],table_DataQualities[],9,FALSE)</f>
        <v>6</v>
      </c>
    </row>
    <row r="98" spans="1:13" x14ac:dyDescent="0.45">
      <c r="A98" s="10">
        <v>25</v>
      </c>
      <c r="B98" s="10">
        <v>661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2.4899999999999998</v>
      </c>
      <c r="G98" s="12">
        <f ca="1">(RANDBETWEEN(50,100)/100)*(dict_DQ_Meth_max[[#This Row],[Vergleich_ub]]-dict_DQ_Meth_max[[#This Row],[Vergleich_lb]])+dict_DQ_Meth_max[[#This Row],[Vergleich_lb]]</f>
        <v>4.9470000000000001</v>
      </c>
      <c r="H98" s="11" t="str">
        <f ca="1">VLOOKUP(VLOOKUP(dict_DQ_Meth_max[[#This Row],[ID_DataQualities]],table_DataQualities[],3),table_Units[],2)</f>
        <v>+/- mm/s</v>
      </c>
      <c r="I98" s="10"/>
      <c r="J98" s="10"/>
      <c r="K98" s="10"/>
      <c r="L98" s="10">
        <f ca="1">VLOOKUP(dict_DQ_Meth_max[[#This Row],[ID_DataQualities]],table_DataQualities[],8,FALSE)</f>
        <v>0.15</v>
      </c>
      <c r="M98" s="10">
        <f ca="1">VLOOKUP(dict_DQ_Meth_max[[#This Row],[ID_DataQualities]],table_DataQualities[],9,FALSE)</f>
        <v>6</v>
      </c>
    </row>
    <row r="99" spans="1:13" x14ac:dyDescent="0.45">
      <c r="A99" s="10">
        <v>25</v>
      </c>
      <c r="B99" s="10">
        <v>330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1.3199999999999998</v>
      </c>
      <c r="G99" s="12">
        <f ca="1">(RANDBETWEEN(50,100)/100)*(dict_DQ_Meth_max[[#This Row],[Vergleich_ub]]-dict_DQ_Meth_max[[#This Row],[Vergleich_lb]])+dict_DQ_Meth_max[[#This Row],[Vergleich_lb]]</f>
        <v>5.766</v>
      </c>
      <c r="H99" s="11" t="str">
        <f ca="1">VLOOKUP(VLOOKUP(dict_DQ_Meth_max[[#This Row],[ID_DataQualities]],table_DataQualities[],3),table_Units[],2)</f>
        <v>+/- mm/s</v>
      </c>
      <c r="I99" s="10"/>
      <c r="J99" s="10"/>
      <c r="K99" s="10"/>
      <c r="L99" s="10">
        <f ca="1">VLOOKUP(dict_DQ_Meth_max[[#This Row],[ID_DataQualities]],table_DataQualities[],8,FALSE)</f>
        <v>0.15</v>
      </c>
      <c r="M99" s="10">
        <f ca="1">VLOOKUP(dict_DQ_Meth_max[[#This Row],[ID_DataQualities]],table_DataQualities[],9,FALSE)</f>
        <v>6</v>
      </c>
    </row>
    <row r="100" spans="1:13" x14ac:dyDescent="0.45">
      <c r="A100" s="10">
        <v>26</v>
      </c>
      <c r="B100" s="10">
        <v>211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2892.7330400000001</v>
      </c>
      <c r="G100" s="12">
        <f ca="1">(RANDBETWEEN(50,100)/100)*(dict_DQ_Meth_max[[#This Row],[Vergleich_ub]]-dict_DQ_Meth_max[[#This Row],[Vergleich_lb]])+dict_DQ_Meth_max[[#This Row],[Vergleich_lb]]</f>
        <v>5548.5862399999996</v>
      </c>
      <c r="H100" s="11" t="str">
        <f ca="1">VLOOKUP(VLOOKUP(dict_DQ_Meth_max[[#This Row],[ID_DataQualities]],table_DataQualities[],3),table_Units[],2)</f>
        <v>Hz</v>
      </c>
      <c r="I100" s="10"/>
      <c r="J100" s="10"/>
      <c r="K100" s="10"/>
      <c r="L100" s="10">
        <f ca="1">VLOOKUP(dict_DQ_Meth_max[[#This Row],[ID_DataQualities]],table_DataQualities[],8,FALSE)</f>
        <v>0.80400000000000005</v>
      </c>
      <c r="M100" s="10">
        <f ca="1">VLOOKUP(dict_DQ_Meth_max[[#This Row],[ID_DataQualities]],table_DataQualities[],9,FALSE)</f>
        <v>5902.7</v>
      </c>
    </row>
    <row r="101" spans="1:13" x14ac:dyDescent="0.45">
      <c r="A101" s="10">
        <v>26</v>
      </c>
      <c r="B101" s="10">
        <v>241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1476.278</v>
      </c>
      <c r="G101" s="12">
        <f ca="1">(RANDBETWEEN(50,100)/100)*(dict_DQ_Meth_max[[#This Row],[Vergleich_ub]]-dict_DQ_Meth_max[[#This Row],[Vergleich_lb]])+dict_DQ_Meth_max[[#This Row],[Vergleich_lb]]</f>
        <v>4014.09328</v>
      </c>
      <c r="H101" s="11" t="str">
        <f ca="1">VLOOKUP(VLOOKUP(dict_DQ_Meth_max[[#This Row],[ID_DataQualities]],table_DataQualities[],3),table_Units[],2)</f>
        <v>Hz</v>
      </c>
      <c r="I101" s="10"/>
      <c r="J101" s="10"/>
      <c r="K101" s="10"/>
      <c r="L101" s="10">
        <f ca="1">VLOOKUP(dict_DQ_Meth_max[[#This Row],[ID_DataQualities]],table_DataQualities[],8,FALSE)</f>
        <v>0.80400000000000005</v>
      </c>
      <c r="M101" s="10">
        <f ca="1">VLOOKUP(dict_DQ_Meth_max[[#This Row],[ID_DataQualities]],table_DataQualities[],9,FALSE)</f>
        <v>5902.7</v>
      </c>
    </row>
    <row r="102" spans="1:13" x14ac:dyDescent="0.45">
      <c r="A102" s="10">
        <v>26</v>
      </c>
      <c r="B102" s="10">
        <v>313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2361.5624000000003</v>
      </c>
      <c r="G102" s="12">
        <f ca="1">(RANDBETWEEN(50,100)/100)*(dict_DQ_Meth_max[[#This Row],[Vergleich_ub]]-dict_DQ_Meth_max[[#This Row],[Vergleich_lb]])+dict_DQ_Meth_max[[#This Row],[Vergleich_lb]]</f>
        <v>4073.1122399999995</v>
      </c>
      <c r="H102" s="11" t="str">
        <f ca="1">VLOOKUP(VLOOKUP(dict_DQ_Meth_max[[#This Row],[ID_DataQualities]],table_DataQualities[],3),table_Units[],2)</f>
        <v>Hz</v>
      </c>
      <c r="I102" s="10"/>
      <c r="J102" s="10"/>
      <c r="K102" s="10"/>
      <c r="L102" s="10">
        <f ca="1">VLOOKUP(dict_DQ_Meth_max[[#This Row],[ID_DataQualities]],table_DataQualities[],8,FALSE)</f>
        <v>0.80400000000000005</v>
      </c>
      <c r="M102" s="10">
        <f ca="1">VLOOKUP(dict_DQ_Meth_max[[#This Row],[ID_DataQualities]],table_DataQualities[],9,FALSE)</f>
        <v>5902.7</v>
      </c>
    </row>
    <row r="103" spans="1:13" x14ac:dyDescent="0.45">
      <c r="A103" s="10">
        <v>27</v>
      </c>
      <c r="B103" s="10">
        <v>241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0.50048000000000004</v>
      </c>
      <c r="G103" s="12">
        <f ca="1">(RANDBETWEEN(50,100)/100)*(dict_DQ_Meth_max[[#This Row],[Vergleich_ub]]-dict_DQ_Meth_max[[#This Row],[Vergleich_lb]])+dict_DQ_Meth_max[[#This Row],[Vergleich_lb]]</f>
        <v>2.2093599999999998</v>
      </c>
      <c r="H103" s="11" t="str">
        <f ca="1">VLOOKUP(VLOOKUP(dict_DQ_Meth_max[[#This Row],[ID_DataQualities]],table_DataQualities[],3),table_Units[],2)</f>
        <v>+/- W</v>
      </c>
      <c r="I103" s="10"/>
      <c r="J103" s="10"/>
      <c r="K103" s="10"/>
      <c r="L103" s="10">
        <f ca="1">VLOOKUP(dict_DQ_Meth_max[[#This Row],[ID_DataQualities]],table_DataQualities[],8,FALSE)</f>
        <v>4.2000000000000003E-2</v>
      </c>
      <c r="M103" s="10">
        <f ca="1">VLOOKUP(dict_DQ_Meth_max[[#This Row],[ID_DataQualities]],table_DataQualities[],9,FALSE)</f>
        <v>4.21</v>
      </c>
    </row>
    <row r="104" spans="1:13" x14ac:dyDescent="0.45">
      <c r="A104" s="10">
        <v>27</v>
      </c>
      <c r="B104" s="10">
        <v>211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0.16704000000000002</v>
      </c>
      <c r="G104" s="12">
        <f ca="1">(RANDBETWEEN(50,100)/100)*(dict_DQ_Meth_max[[#This Row],[Vergleich_ub]]-dict_DQ_Meth_max[[#This Row],[Vergleich_lb]])+dict_DQ_Meth_max[[#This Row],[Vergleich_lb]]</f>
        <v>2.7511999999999999</v>
      </c>
      <c r="H104" s="11" t="str">
        <f ca="1">VLOOKUP(VLOOKUP(dict_DQ_Meth_max[[#This Row],[ID_DataQualities]],table_DataQualities[],3),table_Units[],2)</f>
        <v>+/- W</v>
      </c>
      <c r="I104" s="10"/>
      <c r="J104" s="10"/>
      <c r="K104" s="10"/>
      <c r="L104" s="10">
        <f ca="1">VLOOKUP(dict_DQ_Meth_max[[#This Row],[ID_DataQualities]],table_DataQualities[],8,FALSE)</f>
        <v>4.2000000000000003E-2</v>
      </c>
      <c r="M104" s="10">
        <f ca="1">VLOOKUP(dict_DQ_Meth_max[[#This Row],[ID_DataQualities]],table_DataQualities[],9,FALSE)</f>
        <v>4.21</v>
      </c>
    </row>
    <row r="105" spans="1:13" x14ac:dyDescent="0.45">
      <c r="A105" s="10">
        <v>27</v>
      </c>
      <c r="B105" s="10">
        <v>313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0.87560000000000016</v>
      </c>
      <c r="G105" s="12">
        <f ca="1">(RANDBETWEEN(50,100)/100)*(dict_DQ_Meth_max[[#This Row],[Vergleich_ub]]-dict_DQ_Meth_max[[#This Row],[Vergleich_lb]])+dict_DQ_Meth_max[[#This Row],[Vergleich_lb]]</f>
        <v>3.5848</v>
      </c>
      <c r="H105" s="11" t="str">
        <f ca="1">VLOOKUP(VLOOKUP(dict_DQ_Meth_max[[#This Row],[ID_DataQualities]],table_DataQualities[],3),table_Units[],2)</f>
        <v>+/- W</v>
      </c>
      <c r="I105" s="10"/>
      <c r="J105" s="10"/>
      <c r="K105" s="10"/>
      <c r="L105" s="10">
        <f ca="1">VLOOKUP(dict_DQ_Meth_max[[#This Row],[ID_DataQualities]],table_DataQualities[],8,FALSE)</f>
        <v>4.2000000000000003E-2</v>
      </c>
      <c r="M105" s="10">
        <f ca="1">VLOOKUP(dict_DQ_Meth_max[[#This Row],[ID_DataQualities]],table_DataQualities[],9,FALSE)</f>
        <v>4.21</v>
      </c>
    </row>
    <row r="106" spans="1:13" x14ac:dyDescent="0.45">
      <c r="A106" s="10">
        <v>28</v>
      </c>
      <c r="B106" s="10">
        <v>36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4175.0569599999999</v>
      </c>
      <c r="G106" s="12">
        <f ca="1">(RANDBETWEEN(50,100)/100)*(dict_DQ_Meth_max[[#This Row],[Vergleich_ub]]-dict_DQ_Meth_max[[#This Row],[Vergleich_lb]])+dict_DQ_Meth_max[[#This Row],[Vergleich_lb]]</f>
        <v>6306.7292800000005</v>
      </c>
      <c r="H106" s="11" t="str">
        <f ca="1">VLOOKUP(VLOOKUP(dict_DQ_Meth_max[[#This Row],[ID_DataQualities]],table_DataQualities[],3),table_Units[],2)</f>
        <v>Hz</v>
      </c>
      <c r="I106" s="10"/>
      <c r="J106" s="10"/>
      <c r="K106" s="10"/>
      <c r="L106" s="10">
        <f ca="1">VLOOKUP(dict_DQ_Meth_max[[#This Row],[ID_DataQualities]],table_DataQualities[],8,FALSE)</f>
        <v>0.53200000000000003</v>
      </c>
      <c r="M106" s="10">
        <f ca="1">VLOOKUP(dict_DQ_Meth_max[[#This Row],[ID_DataQualities]],table_DataQualities[],9,FALSE)</f>
        <v>8882.5</v>
      </c>
    </row>
    <row r="107" spans="1:13" x14ac:dyDescent="0.45">
      <c r="A107" s="10">
        <v>28</v>
      </c>
      <c r="B107" s="10">
        <v>53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1599.2862399999999</v>
      </c>
      <c r="G107" s="12">
        <f ca="1">(RANDBETWEEN(50,100)/100)*(dict_DQ_Meth_max[[#This Row],[Vergleich_ub]]-dict_DQ_Meth_max[[#This Row],[Vergleich_lb]])+dict_DQ_Meth_max[[#This Row],[Vergleich_lb]]</f>
        <v>5063.2537600000005</v>
      </c>
      <c r="H107" s="11" t="str">
        <f ca="1">VLOOKUP(VLOOKUP(dict_DQ_Meth_max[[#This Row],[ID_DataQualities]],table_DataQualities[],3),table_Units[],2)</f>
        <v>Hz</v>
      </c>
      <c r="I107" s="10"/>
      <c r="J107" s="10"/>
      <c r="K107" s="10"/>
      <c r="L107" s="10">
        <f ca="1">VLOOKUP(dict_DQ_Meth_max[[#This Row],[ID_DataQualities]],table_DataQualities[],8,FALSE)</f>
        <v>0.53200000000000003</v>
      </c>
      <c r="M107" s="10">
        <f ca="1">VLOOKUP(dict_DQ_Meth_max[[#This Row],[ID_DataQualities]],table_DataQualities[],9,FALSE)</f>
        <v>8882.5</v>
      </c>
    </row>
    <row r="108" spans="1:13" x14ac:dyDescent="0.45">
      <c r="A108" s="10">
        <v>28</v>
      </c>
      <c r="B108" s="10">
        <v>565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1066.36816</v>
      </c>
      <c r="G108" s="12">
        <f ca="1">(RANDBETWEEN(50,100)/100)*(dict_DQ_Meth_max[[#This Row],[Vergleich_ub]]-dict_DQ_Meth_max[[#This Row],[Vergleich_lb]])+dict_DQ_Meth_max[[#This Row],[Vergleich_lb]]</f>
        <v>8349.5819199999987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0.53200000000000003</v>
      </c>
      <c r="M108" s="10">
        <f ca="1">VLOOKUP(dict_DQ_Meth_max[[#This Row],[ID_DataQualities]],table_DataQualities[],9,FALSE)</f>
        <v>8882.5</v>
      </c>
    </row>
    <row r="109" spans="1:13" x14ac:dyDescent="0.45">
      <c r="A109" s="10">
        <v>28</v>
      </c>
      <c r="B109" s="10">
        <v>60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3198.0404800000001</v>
      </c>
      <c r="G109" s="12">
        <f ca="1">(RANDBETWEEN(50,100)/100)*(dict_DQ_Meth_max[[#This Row],[Vergleich_ub]]-dict_DQ_Meth_max[[#This Row],[Vergleich_lb]])+dict_DQ_Meth_max[[#This Row],[Vergleich_lb]]</f>
        <v>4796.7947200000008</v>
      </c>
      <c r="H109" s="11" t="str">
        <f ca="1">VLOOKUP(VLOOKUP(dict_DQ_Meth_max[[#This Row],[ID_DataQualities]],table_DataQualities[],3),table_Units[],2)</f>
        <v>Hz</v>
      </c>
      <c r="I109" s="10"/>
      <c r="J109" s="10"/>
      <c r="K109" s="10"/>
      <c r="L109" s="10">
        <f ca="1">VLOOKUP(dict_DQ_Meth_max[[#This Row],[ID_DataQualities]],table_DataQualities[],8,FALSE)</f>
        <v>0.53200000000000003</v>
      </c>
      <c r="M109" s="10">
        <f ca="1">VLOOKUP(dict_DQ_Meth_max[[#This Row],[ID_DataQualities]],table_DataQualities[],9,FALSE)</f>
        <v>8882.5</v>
      </c>
    </row>
    <row r="110" spans="1:13" x14ac:dyDescent="0.45">
      <c r="A110" s="10">
        <v>29</v>
      </c>
      <c r="B110" s="10">
        <v>36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1.0640000000000001</v>
      </c>
      <c r="G110" s="12">
        <f ca="1">(RANDBETWEEN(50,100)/100)*(dict_DQ_Meth_max[[#This Row],[Vergleich_ub]]-dict_DQ_Meth_max[[#This Row],[Vergleich_lb]])+dict_DQ_Meth_max[[#This Row],[Vergleich_lb]]</f>
        <v>3.032</v>
      </c>
      <c r="H110" s="11" t="str">
        <f ca="1">VLOOKUP(VLOOKUP(dict_DQ_Meth_max[[#This Row],[ID_DataQualities]],table_DataQualities[],3),table_Units[],2)</f>
        <v>+/- °C</v>
      </c>
      <c r="I110" s="10"/>
      <c r="J110" s="10"/>
      <c r="K110" s="10"/>
      <c r="L110" s="10">
        <f ca="1">VLOOKUP(dict_DQ_Meth_max[[#This Row],[ID_DataQualities]],table_DataQualities[],8,FALSE)</f>
        <v>0.2</v>
      </c>
      <c r="M110" s="10">
        <f ca="1">VLOOKUP(dict_DQ_Meth_max[[#This Row],[ID_DataQualities]],table_DataQualities[],9,FALSE)</f>
        <v>5</v>
      </c>
    </row>
    <row r="111" spans="1:13" x14ac:dyDescent="0.45">
      <c r="A111" s="10">
        <v>29</v>
      </c>
      <c r="B111" s="10">
        <v>53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2.1679999999999997</v>
      </c>
      <c r="G111" s="12">
        <f ca="1">(RANDBETWEEN(50,100)/100)*(dict_DQ_Meth_max[[#This Row],[Vergleich_ub]]-dict_DQ_Meth_max[[#This Row],[Vergleich_lb]])+dict_DQ_Meth_max[[#This Row],[Vergleich_lb]]</f>
        <v>4.5680000000000005</v>
      </c>
      <c r="H111" s="11" t="str">
        <f ca="1">VLOOKUP(VLOOKUP(dict_DQ_Meth_max[[#This Row],[ID_DataQualities]],table_DataQualities[],3),table_Units[],2)</f>
        <v>+/- °C</v>
      </c>
      <c r="I111" s="10"/>
      <c r="J111" s="10"/>
      <c r="K111" s="10"/>
      <c r="L111" s="10">
        <f ca="1">VLOOKUP(dict_DQ_Meth_max[[#This Row],[ID_DataQualities]],table_DataQualities[],8,FALSE)</f>
        <v>0.2</v>
      </c>
      <c r="M111" s="10">
        <f ca="1">VLOOKUP(dict_DQ_Meth_max[[#This Row],[ID_DataQualities]],table_DataQualities[],9,FALSE)</f>
        <v>5</v>
      </c>
    </row>
    <row r="112" spans="1:13" x14ac:dyDescent="0.45">
      <c r="A112" s="10">
        <v>29</v>
      </c>
      <c r="B112" s="10">
        <v>565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2.1679999999999997</v>
      </c>
      <c r="G112" s="12">
        <f ca="1">(RANDBETWEEN(50,100)/100)*(dict_DQ_Meth_max[[#This Row],[Vergleich_ub]]-dict_DQ_Meth_max[[#This Row],[Vergleich_lb]])+dict_DQ_Meth_max[[#This Row],[Vergleich_lb]]</f>
        <v>4.6160000000000005</v>
      </c>
      <c r="H112" s="11" t="str">
        <f ca="1">VLOOKUP(VLOOKUP(dict_DQ_Meth_max[[#This Row],[ID_DataQualities]],table_DataQualities[],3),table_Units[],2)</f>
        <v>+/- °C</v>
      </c>
      <c r="I112" s="10"/>
      <c r="J112" s="10"/>
      <c r="K112" s="10"/>
      <c r="L112" s="10">
        <f ca="1">VLOOKUP(dict_DQ_Meth_max[[#This Row],[ID_DataQualities]],table_DataQualities[],8,FALSE)</f>
        <v>0.2</v>
      </c>
      <c r="M112" s="10">
        <f ca="1">VLOOKUP(dict_DQ_Meth_max[[#This Row],[ID_DataQualities]],table_DataQualities[],9,FALSE)</f>
        <v>5</v>
      </c>
    </row>
    <row r="113" spans="1:13" x14ac:dyDescent="0.45">
      <c r="A113" s="10">
        <v>29</v>
      </c>
      <c r="B113" s="10">
        <v>60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2.504</v>
      </c>
      <c r="G113" s="12">
        <f ca="1">(RANDBETWEEN(50,100)/100)*(dict_DQ_Meth_max[[#This Row],[Vergleich_ub]]-dict_DQ_Meth_max[[#This Row],[Vergleich_lb]])+dict_DQ_Meth_max[[#This Row],[Vergleich_lb]]</f>
        <v>3.512</v>
      </c>
      <c r="H113" s="11" t="str">
        <f ca="1">VLOOKUP(VLOOKUP(dict_DQ_Meth_max[[#This Row],[ID_DataQualities]],table_DataQualities[],3),table_Units[],2)</f>
        <v>+/- °C</v>
      </c>
      <c r="I113" s="10"/>
      <c r="J113" s="10"/>
      <c r="K113" s="10"/>
      <c r="L113" s="10">
        <f ca="1">VLOOKUP(dict_DQ_Meth_max[[#This Row],[ID_DataQualities]],table_DataQualities[],8,FALSE)</f>
        <v>0.2</v>
      </c>
      <c r="M113" s="10">
        <f ca="1">VLOOKUP(dict_DQ_Meth_max[[#This Row],[ID_DataQualities]],table_DataQualities[],9,FALSE)</f>
        <v>5</v>
      </c>
    </row>
    <row r="114" spans="1:13" x14ac:dyDescent="0.45">
      <c r="A114" s="10">
        <v>30</v>
      </c>
      <c r="B114" s="10">
        <v>458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1143.0663699999998</v>
      </c>
      <c r="G114" s="12">
        <f ca="1">(RANDBETWEEN(50,100)/100)*(dict_DQ_Meth_max[[#This Row],[Vergleich_ub]]-dict_DQ_Meth_max[[#This Row],[Vergleich_lb]])+dict_DQ_Meth_max[[#This Row],[Vergleich_lb]]</f>
        <v>5591.59339</v>
      </c>
      <c r="H114" s="11" t="str">
        <f ca="1">VLOOKUP(VLOOKUP(dict_DQ_Meth_max[[#This Row],[ID_DataQualities]],table_DataQualities[],3),table_Units[],2)</f>
        <v>Hz</v>
      </c>
      <c r="I114" s="10"/>
      <c r="J114" s="10"/>
      <c r="K114" s="10"/>
      <c r="L114" s="10">
        <f ca="1">VLOOKUP(dict_DQ_Meth_max[[#This Row],[ID_DataQualities]],table_DataQualities[],8,FALSE)</f>
        <v>0.877</v>
      </c>
      <c r="M114" s="10">
        <f ca="1">VLOOKUP(dict_DQ_Meth_max[[#This Row],[ID_DataQualities]],table_DataQualities[],9,FALSE)</f>
        <v>6012.4</v>
      </c>
    </row>
    <row r="115" spans="1:13" x14ac:dyDescent="0.45">
      <c r="A115" s="10">
        <v>30</v>
      </c>
      <c r="B115" s="10">
        <v>44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541.91406999999981</v>
      </c>
      <c r="G115" s="12">
        <f ca="1">(RANDBETWEEN(50,100)/100)*(dict_DQ_Meth_max[[#This Row],[Vergleich_ub]]-dict_DQ_Meth_max[[#This Row],[Vergleich_lb]])+dict_DQ_Meth_max[[#This Row],[Vergleich_lb]]</f>
        <v>3728.0212599999995</v>
      </c>
      <c r="H115" s="11" t="str">
        <f ca="1">VLOOKUP(VLOOKUP(dict_DQ_Meth_max[[#This Row],[ID_DataQualities]],table_DataQualities[],3),table_Units[],2)</f>
        <v>Hz</v>
      </c>
      <c r="I115" s="10"/>
      <c r="J115" s="10"/>
      <c r="K115" s="10"/>
      <c r="L115" s="10">
        <f ca="1">VLOOKUP(dict_DQ_Meth_max[[#This Row],[ID_DataQualities]],table_DataQualities[],8,FALSE)</f>
        <v>0.877</v>
      </c>
      <c r="M115" s="10">
        <f ca="1">VLOOKUP(dict_DQ_Meth_max[[#This Row],[ID_DataQualities]],table_DataQualities[],9,FALSE)</f>
        <v>6012.4</v>
      </c>
    </row>
    <row r="116" spans="1:13" x14ac:dyDescent="0.45">
      <c r="A116" s="10">
        <v>31</v>
      </c>
      <c r="B116" s="10">
        <v>44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150.88</v>
      </c>
      <c r="G116" s="12">
        <f ca="1">(RANDBETWEEN(50,100)/100)*(dict_DQ_Meth_max[[#This Row],[Vergleich_ub]]-dict_DQ_Meth_max[[#This Row],[Vergleich_lb]])+dict_DQ_Meth_max[[#This Row],[Vergleich_lb]]</f>
        <v>4445.72</v>
      </c>
      <c r="H116" s="11" t="str">
        <f ca="1">VLOOKUP(VLOOKUP(dict_DQ_Meth_max[[#This Row],[ID_DataQualities]],table_DataQualities[],3),table_Units[],2)</f>
        <v>bit</v>
      </c>
      <c r="I116" s="10"/>
      <c r="J116" s="10"/>
      <c r="K116" s="10"/>
      <c r="L116" s="10">
        <f ca="1">VLOOKUP(dict_DQ_Meth_max[[#This Row],[ID_DataQualities]],table_DataQualities[],8,FALSE)</f>
        <v>51</v>
      </c>
      <c r="M116" s="10">
        <f ca="1">VLOOKUP(dict_DQ_Meth_max[[#This Row],[ID_DataQualities]],table_DataQualities[],9,FALSE)</f>
        <v>5045</v>
      </c>
    </row>
    <row r="117" spans="1:13" x14ac:dyDescent="0.45">
      <c r="A117" s="10">
        <v>31</v>
      </c>
      <c r="B117" s="10">
        <v>458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1349.44</v>
      </c>
      <c r="G117" s="12">
        <f ca="1">(RANDBETWEEN(50,100)/100)*(dict_DQ_Meth_max[[#This Row],[Vergleich_ub]]-dict_DQ_Meth_max[[#This Row],[Vergleich_lb]])+dict_DQ_Meth_max[[#This Row],[Vergleich_lb]]</f>
        <v>4695.42</v>
      </c>
      <c r="H117" s="11" t="str">
        <f ca="1">VLOOKUP(VLOOKUP(dict_DQ_Meth_max[[#This Row],[ID_DataQualities]],table_DataQualities[],3),table_Units[],2)</f>
        <v>bit</v>
      </c>
      <c r="I117" s="10"/>
      <c r="J117" s="10"/>
      <c r="K117" s="10"/>
      <c r="L117" s="10">
        <f ca="1">VLOOKUP(dict_DQ_Meth_max[[#This Row],[ID_DataQualities]],table_DataQualities[],8,FALSE)</f>
        <v>51</v>
      </c>
      <c r="M117" s="10">
        <f ca="1">VLOOKUP(dict_DQ_Meth_max[[#This Row],[ID_DataQualities]],table_DataQualities[],9,FALSE)</f>
        <v>5045</v>
      </c>
    </row>
    <row r="118" spans="1:13" x14ac:dyDescent="0.45">
      <c r="A118" s="10">
        <v>32</v>
      </c>
      <c r="B118" s="10">
        <v>129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2525.5795199999998</v>
      </c>
      <c r="G118" s="12">
        <f ca="1">(RANDBETWEEN(50,100)/100)*(dict_DQ_Meth_max[[#This Row],[Vergleich_ub]]-dict_DQ_Meth_max[[#This Row],[Vergleich_lb]])+dict_DQ_Meth_max[[#This Row],[Vergleich_lb]]</f>
        <v>5260.9544999999998</v>
      </c>
      <c r="H118" s="11" t="str">
        <f ca="1">VLOOKUP(VLOOKUP(dict_DQ_Meth_max[[#This Row],[ID_DataQualities]],table_DataQualities[],3),table_Units[],2)</f>
        <v>Hz</v>
      </c>
      <c r="I118" s="10"/>
      <c r="J118" s="10"/>
      <c r="K118" s="10"/>
      <c r="L118" s="10">
        <f ca="1">VLOOKUP(dict_DQ_Meth_max[[#This Row],[ID_DataQualities]],table_DataQualities[],8,FALSE)</f>
        <v>0.61799999999999999</v>
      </c>
      <c r="M118" s="10">
        <f ca="1">VLOOKUP(dict_DQ_Meth_max[[#This Row],[ID_DataQualities]],table_DataQualities[],9,FALSE)</f>
        <v>7014.4</v>
      </c>
    </row>
    <row r="119" spans="1:13" x14ac:dyDescent="0.45">
      <c r="A119" s="10">
        <v>32</v>
      </c>
      <c r="B119" s="10">
        <v>561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1473.5122199999996</v>
      </c>
      <c r="G119" s="12">
        <f ca="1">(RANDBETWEEN(50,100)/100)*(dict_DQ_Meth_max[[#This Row],[Vergleich_ub]]-dict_DQ_Meth_max[[#This Row],[Vergleich_lb]])+dict_DQ_Meth_max[[#This Row],[Vergleich_lb]]</f>
        <v>4840.1275799999994</v>
      </c>
      <c r="H119" s="11" t="str">
        <f ca="1">VLOOKUP(VLOOKUP(dict_DQ_Meth_max[[#This Row],[ID_DataQualities]],table_DataQualities[],3),table_Units[],2)</f>
        <v>Hz</v>
      </c>
      <c r="I119" s="10"/>
      <c r="J119" s="10"/>
      <c r="K119" s="10"/>
      <c r="L119" s="10">
        <f ca="1">VLOOKUP(dict_DQ_Meth_max[[#This Row],[ID_DataQualities]],table_DataQualities[],8,FALSE)</f>
        <v>0.61799999999999999</v>
      </c>
      <c r="M119" s="10">
        <f ca="1">VLOOKUP(dict_DQ_Meth_max[[#This Row],[ID_DataQualities]],table_DataQualities[],9,FALSE)</f>
        <v>7014.4</v>
      </c>
    </row>
    <row r="120" spans="1:13" x14ac:dyDescent="0.45">
      <c r="A120" s="10">
        <v>32</v>
      </c>
      <c r="B120" s="10">
        <v>437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3507.5089999999996</v>
      </c>
      <c r="G120" s="12">
        <f ca="1">(RANDBETWEEN(50,100)/100)*(dict_DQ_Meth_max[[#This Row],[Vergleich_ub]]-dict_DQ_Meth_max[[#This Row],[Vergleich_lb]])+dict_DQ_Meth_max[[#This Row],[Vergleich_lb]]</f>
        <v>6874.1243599999998</v>
      </c>
      <c r="H120" s="11" t="str">
        <f ca="1">VLOOKUP(VLOOKUP(dict_DQ_Meth_max[[#This Row],[ID_DataQualities]],table_DataQualities[],3),table_Units[],2)</f>
        <v>Hz</v>
      </c>
      <c r="I120" s="10"/>
      <c r="J120" s="10"/>
      <c r="K120" s="10"/>
      <c r="L120" s="10">
        <f ca="1">VLOOKUP(dict_DQ_Meth_max[[#This Row],[ID_DataQualities]],table_DataQualities[],8,FALSE)</f>
        <v>0.61799999999999999</v>
      </c>
      <c r="M120" s="10">
        <f ca="1">VLOOKUP(dict_DQ_Meth_max[[#This Row],[ID_DataQualities]],table_DataQualities[],9,FALSE)</f>
        <v>7014.4</v>
      </c>
    </row>
    <row r="121" spans="1:13" x14ac:dyDescent="0.45">
      <c r="A121" s="10">
        <v>32</v>
      </c>
      <c r="B121" s="10">
        <v>43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3086.6820799999996</v>
      </c>
      <c r="G121" s="12">
        <f ca="1">(RANDBETWEEN(50,100)/100)*(dict_DQ_Meth_max[[#This Row],[Vergleich_ub]]-dict_DQ_Meth_max[[#This Row],[Vergleich_lb]])+dict_DQ_Meth_max[[#This Row],[Vergleich_lb]]</f>
        <v>4910.2653999999993</v>
      </c>
      <c r="H121" s="11" t="str">
        <f ca="1">VLOOKUP(VLOOKUP(dict_DQ_Meth_max[[#This Row],[ID_DataQualities]],table_DataQualities[],3),table_Units[],2)</f>
        <v>Hz</v>
      </c>
      <c r="I121" s="10"/>
      <c r="J121" s="10"/>
      <c r="K121" s="10"/>
      <c r="L121" s="10">
        <f ca="1">VLOOKUP(dict_DQ_Meth_max[[#This Row],[ID_DataQualities]],table_DataQualities[],8,FALSE)</f>
        <v>0.61799999999999999</v>
      </c>
      <c r="M121" s="10">
        <f ca="1">VLOOKUP(dict_DQ_Meth_max[[#This Row],[ID_DataQualities]],table_DataQualities[],9,FALSE)</f>
        <v>7014.4</v>
      </c>
    </row>
    <row r="122" spans="1:13" x14ac:dyDescent="0.45">
      <c r="A122" s="10">
        <v>32</v>
      </c>
      <c r="B122" s="10">
        <v>377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982.54748000000006</v>
      </c>
      <c r="G122" s="12">
        <f ca="1">(RANDBETWEEN(50,100)/100)*(dict_DQ_Meth_max[[#This Row],[Vergleich_ub]]-dict_DQ_Meth_max[[#This Row],[Vergleich_lb]])+dict_DQ_Meth_max[[#This Row],[Vergleich_lb]]</f>
        <v>4208.8872000000001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0.61799999999999999</v>
      </c>
      <c r="M122" s="10">
        <f ca="1">VLOOKUP(dict_DQ_Meth_max[[#This Row],[ID_DataQualities]],table_DataQualities[],9,FALSE)</f>
        <v>7014.4</v>
      </c>
    </row>
    <row r="123" spans="1:13" x14ac:dyDescent="0.45">
      <c r="A123" s="10">
        <v>33</v>
      </c>
      <c r="B123" s="10">
        <v>129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0.20800000000000002</v>
      </c>
      <c r="G123" s="12">
        <f ca="1">(RANDBETWEEN(50,100)/100)*(dict_DQ_Meth_max[[#This Row],[Vergleich_ub]]-dict_DQ_Meth_max[[#This Row],[Vergleich_lb]])+dict_DQ_Meth_max[[#This Row],[Vergleich_lb]]</f>
        <v>0.58600000000000008</v>
      </c>
      <c r="H123" s="11" t="str">
        <f ca="1">VLOOKUP(VLOOKUP(dict_DQ_Meth_max[[#This Row],[ID_DataQualities]],table_DataQualities[],3),table_Units[],2)</f>
        <v>+/- °C</v>
      </c>
      <c r="I123" s="10"/>
      <c r="J123" s="10"/>
      <c r="K123" s="10"/>
      <c r="L123" s="10">
        <f ca="1">VLOOKUP(dict_DQ_Meth_max[[#This Row],[ID_DataQualities]],table_DataQualities[],8,FALSE)</f>
        <v>0.1</v>
      </c>
      <c r="M123" s="10">
        <f ca="1">VLOOKUP(dict_DQ_Meth_max[[#This Row],[ID_DataQualities]],table_DataQualities[],9,FALSE)</f>
        <v>1</v>
      </c>
    </row>
    <row r="124" spans="1:13" x14ac:dyDescent="0.45">
      <c r="A124" s="10">
        <v>33</v>
      </c>
      <c r="B124" s="10">
        <v>437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0.496</v>
      </c>
      <c r="G124" s="12">
        <f ca="1">(RANDBETWEEN(50,100)/100)*(dict_DQ_Meth_max[[#This Row],[Vergleich_ub]]-dict_DQ_Meth_max[[#This Row],[Vergleich_lb]])+dict_DQ_Meth_max[[#This Row],[Vergleich_lb]]</f>
        <v>0.83799999999999997</v>
      </c>
      <c r="H124" s="11" t="str">
        <f ca="1">VLOOKUP(VLOOKUP(dict_DQ_Meth_max[[#This Row],[ID_DataQualities]],table_DataQualities[],3),table_Units[],2)</f>
        <v>+/- °C</v>
      </c>
      <c r="I124" s="10"/>
      <c r="J124" s="10"/>
      <c r="K124" s="10"/>
      <c r="L124" s="10">
        <f ca="1">VLOOKUP(dict_DQ_Meth_max[[#This Row],[ID_DataQualities]],table_DataQualities[],8,FALSE)</f>
        <v>0.1</v>
      </c>
      <c r="M124" s="10">
        <f ca="1">VLOOKUP(dict_DQ_Meth_max[[#This Row],[ID_DataQualities]],table_DataQualities[],9,FALSE)</f>
        <v>1</v>
      </c>
    </row>
    <row r="125" spans="1:13" x14ac:dyDescent="0.45">
      <c r="A125" s="10">
        <v>33</v>
      </c>
      <c r="B125" s="10">
        <v>43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0.253</v>
      </c>
      <c r="G125" s="12">
        <f ca="1">(RANDBETWEEN(50,100)/100)*(dict_DQ_Meth_max[[#This Row],[Vergleich_ub]]-dict_DQ_Meth_max[[#This Row],[Vergleich_lb]])+dict_DQ_Meth_max[[#This Row],[Vergleich_lb]]</f>
        <v>0.65800000000000003</v>
      </c>
      <c r="H125" s="11" t="str">
        <f ca="1">VLOOKUP(VLOOKUP(dict_DQ_Meth_max[[#This Row],[ID_DataQualities]],table_DataQualities[],3),table_Units[],2)</f>
        <v>+/- °C</v>
      </c>
      <c r="I125" s="10"/>
      <c r="J125" s="10"/>
      <c r="K125" s="10"/>
      <c r="L125" s="10">
        <f ca="1">VLOOKUP(dict_DQ_Meth_max[[#This Row],[ID_DataQualities]],table_DataQualities[],8,FALSE)</f>
        <v>0.1</v>
      </c>
      <c r="M125" s="10">
        <f ca="1">VLOOKUP(dict_DQ_Meth_max[[#This Row],[ID_DataQualities]],table_DataQualities[],9,FALSE)</f>
        <v>1</v>
      </c>
    </row>
    <row r="126" spans="1:13" x14ac:dyDescent="0.45">
      <c r="A126" s="10">
        <v>33</v>
      </c>
      <c r="B126" s="10">
        <v>561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0.28000000000000003</v>
      </c>
      <c r="G126" s="12">
        <f ca="1">(RANDBETWEEN(50,100)/100)*(dict_DQ_Meth_max[[#This Row],[Vergleich_ub]]-dict_DQ_Meth_max[[#This Row],[Vergleich_lb]])+dict_DQ_Meth_max[[#This Row],[Vergleich_lb]]</f>
        <v>0.90100000000000002</v>
      </c>
      <c r="H126" s="11" t="str">
        <f ca="1">VLOOKUP(VLOOKUP(dict_DQ_Meth_max[[#This Row],[ID_DataQualities]],table_DataQualities[],3),table_Units[],2)</f>
        <v>+/- °C</v>
      </c>
      <c r="I126" s="10"/>
      <c r="J126" s="10"/>
      <c r="K126" s="10"/>
      <c r="L126" s="10">
        <f ca="1">VLOOKUP(dict_DQ_Meth_max[[#This Row],[ID_DataQualities]],table_DataQualities[],8,FALSE)</f>
        <v>0.1</v>
      </c>
      <c r="M126" s="10">
        <f ca="1">VLOOKUP(dict_DQ_Meth_max[[#This Row],[ID_DataQualities]],table_DataQualities[],9,FALSE)</f>
        <v>1</v>
      </c>
    </row>
    <row r="127" spans="1:13" x14ac:dyDescent="0.45">
      <c r="A127" s="10">
        <v>33</v>
      </c>
      <c r="B127" s="10">
        <v>377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0.20800000000000002</v>
      </c>
      <c r="G127" s="12">
        <f ca="1">(RANDBETWEEN(50,100)/100)*(dict_DQ_Meth_max[[#This Row],[Vergleich_ub]]-dict_DQ_Meth_max[[#This Row],[Vergleich_lb]])+dict_DQ_Meth_max[[#This Row],[Vergleich_lb]]</f>
        <v>0.77500000000000002</v>
      </c>
      <c r="H127" s="11" t="str">
        <f ca="1">VLOOKUP(VLOOKUP(dict_DQ_Meth_max[[#This Row],[ID_DataQualities]],table_DataQualities[],3),table_Units[],2)</f>
        <v>+/- °C</v>
      </c>
      <c r="I127" s="10"/>
      <c r="J127" s="10"/>
      <c r="K127" s="10"/>
      <c r="L127" s="10">
        <f ca="1">VLOOKUP(dict_DQ_Meth_max[[#This Row],[ID_DataQualities]],table_DataQualities[],8,FALSE)</f>
        <v>0.1</v>
      </c>
      <c r="M127" s="10">
        <f ca="1">VLOOKUP(dict_DQ_Meth_max[[#This Row],[ID_DataQualities]],table_DataQualities[],9,FALSE)</f>
        <v>1</v>
      </c>
    </row>
    <row r="128" spans="1:13" x14ac:dyDescent="0.45">
      <c r="A128" s="10">
        <v>34</v>
      </c>
      <c r="B128" s="10">
        <v>219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283.62943999999999</v>
      </c>
      <c r="G128" s="12">
        <f ca="1">(RANDBETWEEN(50,100)/100)*(dict_DQ_Meth_max[[#This Row],[Vergleich_ub]]-dict_DQ_Meth_max[[#This Row],[Vergleich_lb]])+dict_DQ_Meth_max[[#This Row],[Vergleich_lb]]</f>
        <v>6788.9595600000002</v>
      </c>
      <c r="H128" s="11" t="str">
        <f ca="1">VLOOKUP(VLOOKUP(dict_DQ_Meth_max[[#This Row],[ID_DataQualities]],table_DataQualities[],3),table_Units[],2)</f>
        <v>Hz</v>
      </c>
      <c r="I128" s="10"/>
      <c r="J128" s="10"/>
      <c r="K128" s="10"/>
      <c r="L128" s="10">
        <f ca="1">VLOOKUP(dict_DQ_Meth_max[[#This Row],[ID_DataQualities]],table_DataQualities[],8,FALSE)</f>
        <v>0.78900000000000003</v>
      </c>
      <c r="M128" s="10">
        <f ca="1">VLOOKUP(dict_DQ_Meth_max[[#This Row],[ID_DataQualities]],table_DataQualities[],9,FALSE)</f>
        <v>7071.8</v>
      </c>
    </row>
    <row r="129" spans="1:13" x14ac:dyDescent="0.45">
      <c r="A129" s="10">
        <v>34</v>
      </c>
      <c r="B129" s="10">
        <v>247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425.04966000000002</v>
      </c>
      <c r="G129" s="12">
        <f ca="1">(RANDBETWEEN(50,100)/100)*(dict_DQ_Meth_max[[#This Row],[Vergleich_ub]]-dict_DQ_Meth_max[[#This Row],[Vergleich_lb]])+dict_DQ_Meth_max[[#This Row],[Vergleich_lb]]</f>
        <v>5869.7281299999995</v>
      </c>
      <c r="H129" s="11" t="str">
        <f ca="1">VLOOKUP(VLOOKUP(dict_DQ_Meth_max[[#This Row],[ID_DataQualities]],table_DataQualities[],3),table_Units[],2)</f>
        <v>Hz</v>
      </c>
      <c r="I129" s="10"/>
      <c r="J129" s="10"/>
      <c r="K129" s="10"/>
      <c r="L129" s="10">
        <f ca="1">VLOOKUP(dict_DQ_Meth_max[[#This Row],[ID_DataQualities]],table_DataQualities[],8,FALSE)</f>
        <v>0.78900000000000003</v>
      </c>
      <c r="M129" s="10">
        <f ca="1">VLOOKUP(dict_DQ_Meth_max[[#This Row],[ID_DataQualities]],table_DataQualities[],9,FALSE)</f>
        <v>7071.8</v>
      </c>
    </row>
    <row r="130" spans="1:13" x14ac:dyDescent="0.45">
      <c r="A130" s="10">
        <v>34</v>
      </c>
      <c r="B130" s="10">
        <v>97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2122.0923000000003</v>
      </c>
      <c r="G130" s="12">
        <f ca="1">(RANDBETWEEN(50,100)/100)*(dict_DQ_Meth_max[[#This Row],[Vergleich_ub]]-dict_DQ_Meth_max[[#This Row],[Vergleich_lb]])+dict_DQ_Meth_max[[#This Row],[Vergleich_lb]]</f>
        <v>4596.9461499999998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0.78900000000000003</v>
      </c>
      <c r="M130" s="10">
        <f ca="1">VLOOKUP(dict_DQ_Meth_max[[#This Row],[ID_DataQualities]],table_DataQualities[],9,FALSE)</f>
        <v>7071.8</v>
      </c>
    </row>
    <row r="131" spans="1:13" x14ac:dyDescent="0.45">
      <c r="A131" s="10">
        <v>34</v>
      </c>
      <c r="B131" s="10">
        <v>131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778.60021000000006</v>
      </c>
      <c r="G131" s="12">
        <f ca="1">(RANDBETWEEN(50,100)/100)*(dict_DQ_Meth_max[[#This Row],[Vergleich_ub]]-dict_DQ_Meth_max[[#This Row],[Vergleich_lb]])+dict_DQ_Meth_max[[#This Row],[Vergleich_lb]]</f>
        <v>6859.6696700000002</v>
      </c>
      <c r="H131" s="11" t="str">
        <f ca="1">VLOOKUP(VLOOKUP(dict_DQ_Meth_max[[#This Row],[ID_DataQualities]],table_DataQualities[],3),table_Units[],2)</f>
        <v>Hz</v>
      </c>
      <c r="I131" s="10"/>
      <c r="J131" s="10"/>
      <c r="K131" s="10"/>
      <c r="L131" s="10">
        <f ca="1">VLOOKUP(dict_DQ_Meth_max[[#This Row],[ID_DataQualities]],table_DataQualities[],8,FALSE)</f>
        <v>0.78900000000000003</v>
      </c>
      <c r="M131" s="10">
        <f ca="1">VLOOKUP(dict_DQ_Meth_max[[#This Row],[ID_DataQualities]],table_DataQualities[],9,FALSE)</f>
        <v>7071.8</v>
      </c>
    </row>
    <row r="132" spans="1:13" x14ac:dyDescent="0.45">
      <c r="A132" s="10">
        <v>35</v>
      </c>
      <c r="B132" s="10">
        <v>219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1.9989999999999999</v>
      </c>
      <c r="G132" s="12">
        <f ca="1">(RANDBETWEEN(50,100)/100)*(dict_DQ_Meth_max[[#This Row],[Vergleich_ub]]-dict_DQ_Meth_max[[#This Row],[Vergleich_lb]])+dict_DQ_Meth_max[[#This Row],[Vergleich_lb]]</f>
        <v>3.3668</v>
      </c>
      <c r="H132" s="11" t="str">
        <f ca="1">VLOOKUP(VLOOKUP(dict_DQ_Meth_max[[#This Row],[ID_DataQualities]],table_DataQualities[],3),table_Units[],2)</f>
        <v>+/- mm</v>
      </c>
      <c r="I132" s="10"/>
      <c r="J132" s="10"/>
      <c r="K132" s="10"/>
      <c r="L132" s="10">
        <f ca="1">VLOOKUP(dict_DQ_Meth_max[[#This Row],[ID_DataQualities]],table_DataQualities[],8,FALSE)</f>
        <v>4.4999999999999998E-2</v>
      </c>
      <c r="M132" s="10">
        <f ca="1">VLOOKUP(dict_DQ_Meth_max[[#This Row],[ID_DataQualities]],table_DataQualities[],9,FALSE)</f>
        <v>4.93</v>
      </c>
    </row>
    <row r="133" spans="1:13" x14ac:dyDescent="0.45">
      <c r="A133" s="10">
        <v>35</v>
      </c>
      <c r="B133" s="10">
        <v>247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0.7289000000000001</v>
      </c>
      <c r="G133" s="12">
        <f ca="1">(RANDBETWEEN(50,100)/100)*(dict_DQ_Meth_max[[#This Row],[Vergleich_ub]]-dict_DQ_Meth_max[[#This Row],[Vergleich_lb]])+dict_DQ_Meth_max[[#This Row],[Vergleich_lb]]</f>
        <v>4.2460999999999993</v>
      </c>
      <c r="H133" s="11" t="str">
        <f ca="1">VLOOKUP(VLOOKUP(dict_DQ_Meth_max[[#This Row],[ID_DataQualities]],table_DataQualities[],3),table_Units[],2)</f>
        <v>+/- mm</v>
      </c>
      <c r="I133" s="10"/>
      <c r="J133" s="10"/>
      <c r="K133" s="10"/>
      <c r="L133" s="10">
        <f ca="1">VLOOKUP(dict_DQ_Meth_max[[#This Row],[ID_DataQualities]],table_DataQualities[],8,FALSE)</f>
        <v>4.4999999999999998E-2</v>
      </c>
      <c r="M133" s="10">
        <f ca="1">VLOOKUP(dict_DQ_Meth_max[[#This Row],[ID_DataQualities]],table_DataQualities[],9,FALSE)</f>
        <v>4.93</v>
      </c>
    </row>
    <row r="134" spans="1:13" x14ac:dyDescent="0.45">
      <c r="A134" s="10">
        <v>35</v>
      </c>
      <c r="B134" s="10">
        <v>97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1.36395</v>
      </c>
      <c r="G134" s="12">
        <f ca="1">(RANDBETWEEN(50,100)/100)*(dict_DQ_Meth_max[[#This Row],[Vergleich_ub]]-dict_DQ_Meth_max[[#This Row],[Vergleich_lb]])+dict_DQ_Meth_max[[#This Row],[Vergleich_lb]]</f>
        <v>3.7575999999999996</v>
      </c>
      <c r="H134" s="11" t="str">
        <f ca="1">VLOOKUP(VLOOKUP(dict_DQ_Meth_max[[#This Row],[ID_DataQualities]],table_DataQualities[],3),table_Units[],2)</f>
        <v>+/- mm</v>
      </c>
      <c r="I134" s="10"/>
      <c r="J134" s="10"/>
      <c r="K134" s="10"/>
      <c r="L134" s="10">
        <f ca="1">VLOOKUP(dict_DQ_Meth_max[[#This Row],[ID_DataQualities]],table_DataQualities[],8,FALSE)</f>
        <v>4.4999999999999998E-2</v>
      </c>
      <c r="M134" s="10">
        <f ca="1">VLOOKUP(dict_DQ_Meth_max[[#This Row],[ID_DataQualities]],table_DataQualities[],9,FALSE)</f>
        <v>4.93</v>
      </c>
    </row>
    <row r="135" spans="1:13" x14ac:dyDescent="0.45">
      <c r="A135" s="10">
        <v>35</v>
      </c>
      <c r="B135" s="10">
        <v>131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2.3897999999999997</v>
      </c>
      <c r="G135" s="12">
        <f ca="1">(RANDBETWEEN(50,100)/100)*(dict_DQ_Meth_max[[#This Row],[Vergleich_ub]]-dict_DQ_Meth_max[[#This Row],[Vergleich_lb]])+dict_DQ_Meth_max[[#This Row],[Vergleich_lb]]</f>
        <v>3.7087499999999998</v>
      </c>
      <c r="H135" s="11" t="str">
        <f ca="1">VLOOKUP(VLOOKUP(dict_DQ_Meth_max[[#This Row],[ID_DataQualities]],table_DataQualities[],3),table_Units[],2)</f>
        <v>+/- mm</v>
      </c>
      <c r="I135" s="10"/>
      <c r="J135" s="10"/>
      <c r="K135" s="10"/>
      <c r="L135" s="10">
        <f ca="1">VLOOKUP(dict_DQ_Meth_max[[#This Row],[ID_DataQualities]],table_DataQualities[],8,FALSE)</f>
        <v>4.4999999999999998E-2</v>
      </c>
      <c r="M135" s="10">
        <f ca="1">VLOOKUP(dict_DQ_Meth_max[[#This Row],[ID_DataQualities]],table_DataQualities[],9,FALSE)</f>
        <v>4.93</v>
      </c>
    </row>
    <row r="136" spans="1:13" x14ac:dyDescent="0.45">
      <c r="A136" s="10">
        <v>36</v>
      </c>
      <c r="B136" s="10">
        <v>214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722.23825999999997</v>
      </c>
      <c r="G136" s="12">
        <f ca="1">(RANDBETWEEN(50,100)/100)*(dict_DQ_Meth_max[[#This Row],[Vergleich_ub]]-dict_DQ_Meth_max[[#This Row],[Vergleich_lb]])+dict_DQ_Meth_max[[#This Row],[Vergleich_lb]]</f>
        <v>1355.4020800000001</v>
      </c>
      <c r="H136" s="11" t="str">
        <f ca="1">VLOOKUP(VLOOKUP(dict_DQ_Meth_max[[#This Row],[ID_DataQualities]],table_DataQualities[],3),table_Units[],2)</f>
        <v>Hz</v>
      </c>
      <c r="I136" s="10"/>
      <c r="J136" s="10"/>
      <c r="K136" s="10"/>
      <c r="L136" s="10">
        <f ca="1">VLOOKUP(dict_DQ_Meth_max[[#This Row],[ID_DataQualities]],table_DataQualities[],8,FALSE)</f>
        <v>0.72599999999999998</v>
      </c>
      <c r="M136" s="10">
        <f ca="1">VLOOKUP(dict_DQ_Meth_max[[#This Row],[ID_DataQualities]],table_DataQualities[],9,FALSE)</f>
        <v>1473.2</v>
      </c>
    </row>
    <row r="137" spans="1:13" x14ac:dyDescent="0.45">
      <c r="A137" s="10">
        <v>36</v>
      </c>
      <c r="B137" s="10">
        <v>386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530.81664000000001</v>
      </c>
      <c r="G137" s="12">
        <f ca="1">(RANDBETWEEN(50,100)/100)*(dict_DQ_Meth_max[[#This Row],[Vergleich_ub]]-dict_DQ_Meth_max[[#This Row],[Vergleich_lb]])+dict_DQ_Meth_max[[#This Row],[Vergleich_lb]]</f>
        <v>1090.3567600000001</v>
      </c>
      <c r="H137" s="11" t="str">
        <f ca="1">VLOOKUP(VLOOKUP(dict_DQ_Meth_max[[#This Row],[ID_DataQualities]],table_DataQualities[],3),table_Units[],2)</f>
        <v>Hz</v>
      </c>
      <c r="I137" s="10"/>
      <c r="J137" s="10"/>
      <c r="K137" s="10"/>
      <c r="L137" s="10">
        <f ca="1">VLOOKUP(dict_DQ_Meth_max[[#This Row],[ID_DataQualities]],table_DataQualities[],8,FALSE)</f>
        <v>0.72599999999999998</v>
      </c>
      <c r="M137" s="10">
        <f ca="1">VLOOKUP(dict_DQ_Meth_max[[#This Row],[ID_DataQualities]],table_DataQualities[],9,FALSE)</f>
        <v>1473.2</v>
      </c>
    </row>
    <row r="138" spans="1:13" x14ac:dyDescent="0.45">
      <c r="A138" s="10">
        <v>36</v>
      </c>
      <c r="B138" s="10">
        <v>637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707.51351999999997</v>
      </c>
      <c r="G138" s="12">
        <f ca="1">(RANDBETWEEN(50,100)/100)*(dict_DQ_Meth_max[[#This Row],[Vergleich_ub]]-dict_DQ_Meth_max[[#This Row],[Vergleich_lb]])+dict_DQ_Meth_max[[#This Row],[Vergleich_lb]]</f>
        <v>736.96299999999997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0.72599999999999998</v>
      </c>
      <c r="M138" s="10">
        <f ca="1">VLOOKUP(dict_DQ_Meth_max[[#This Row],[ID_DataQualities]],table_DataQualities[],9,FALSE)</f>
        <v>1473.2</v>
      </c>
    </row>
    <row r="139" spans="1:13" x14ac:dyDescent="0.45">
      <c r="A139" s="10">
        <v>36</v>
      </c>
      <c r="B139" s="10">
        <v>358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619.16507999999999</v>
      </c>
      <c r="G139" s="12">
        <f ca="1">(RANDBETWEEN(50,100)/100)*(dict_DQ_Meth_max[[#This Row],[Vergleich_ub]]-dict_DQ_Meth_max[[#This Row],[Vergleich_lb]])+dict_DQ_Meth_max[[#This Row],[Vergleich_lb]]</f>
        <v>1267.0536400000001</v>
      </c>
      <c r="H139" s="11" t="str">
        <f ca="1">VLOOKUP(VLOOKUP(dict_DQ_Meth_max[[#This Row],[ID_DataQualities]],table_DataQualities[],3),table_Units[],2)</f>
        <v>Hz</v>
      </c>
      <c r="I139" s="10"/>
      <c r="J139" s="10"/>
      <c r="K139" s="10"/>
      <c r="L139" s="10">
        <f ca="1">VLOOKUP(dict_DQ_Meth_max[[#This Row],[ID_DataQualities]],table_DataQualities[],8,FALSE)</f>
        <v>0.72599999999999998</v>
      </c>
      <c r="M139" s="10">
        <f ca="1">VLOOKUP(dict_DQ_Meth_max[[#This Row],[ID_DataQualities]],table_DataQualities[],9,FALSE)</f>
        <v>1473.2</v>
      </c>
    </row>
    <row r="140" spans="1:13" x14ac:dyDescent="0.45">
      <c r="A140" s="10">
        <v>37</v>
      </c>
      <c r="B140" s="10">
        <v>358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547.69999999999993</v>
      </c>
      <c r="G140" s="12">
        <f ca="1">(RANDBETWEEN(50,100)/100)*(dict_DQ_Meth_max[[#This Row],[Vergleich_ub]]-dict_DQ_Meth_max[[#This Row],[Vergleich_lb]])+dict_DQ_Meth_max[[#This Row],[Vergleich_lb]]</f>
        <v>1065.1799999999998</v>
      </c>
      <c r="H140" s="11" t="str">
        <f ca="1">VLOOKUP(VLOOKUP(dict_DQ_Meth_max[[#This Row],[ID_DataQualities]],table_DataQualities[],3),table_Units[],2)</f>
        <v>bit</v>
      </c>
      <c r="I140" s="10"/>
      <c r="J140" s="10"/>
      <c r="K140" s="10"/>
      <c r="L140" s="10">
        <f ca="1">VLOOKUP(dict_DQ_Meth_max[[#This Row],[ID_DataQualities]],table_DataQualities[],8,FALSE)</f>
        <v>15</v>
      </c>
      <c r="M140" s="10">
        <f ca="1">VLOOKUP(dict_DQ_Meth_max[[#This Row],[ID_DataQualities]],table_DataQualities[],9,FALSE)</f>
        <v>1537</v>
      </c>
    </row>
    <row r="141" spans="1:13" x14ac:dyDescent="0.45">
      <c r="A141" s="10">
        <v>37</v>
      </c>
      <c r="B141" s="10">
        <v>214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304.18</v>
      </c>
      <c r="G141" s="12">
        <f ca="1">(RANDBETWEEN(50,100)/100)*(dict_DQ_Meth_max[[#This Row],[Vergleich_ub]]-dict_DQ_Meth_max[[#This Row],[Vergleich_lb]])+dict_DQ_Meth_max[[#This Row],[Vergleich_lb]]</f>
        <v>1232.6000000000001</v>
      </c>
      <c r="H141" s="11" t="str">
        <f ca="1">VLOOKUP(VLOOKUP(dict_DQ_Meth_max[[#This Row],[ID_DataQualities]],table_DataQualities[],3),table_Units[],2)</f>
        <v>bit</v>
      </c>
      <c r="I141" s="10"/>
      <c r="J141" s="10"/>
      <c r="K141" s="10"/>
      <c r="L141" s="10">
        <f ca="1">VLOOKUP(dict_DQ_Meth_max[[#This Row],[ID_DataQualities]],table_DataQualities[],8,FALSE)</f>
        <v>15</v>
      </c>
      <c r="M141" s="10">
        <f ca="1">VLOOKUP(dict_DQ_Meth_max[[#This Row],[ID_DataQualities]],table_DataQualities[],9,FALSE)</f>
        <v>1537</v>
      </c>
    </row>
    <row r="142" spans="1:13" x14ac:dyDescent="0.45">
      <c r="A142" s="10">
        <v>37</v>
      </c>
      <c r="B142" s="10">
        <v>386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578.14</v>
      </c>
      <c r="G142" s="12">
        <f ca="1">(RANDBETWEEN(50,100)/100)*(dict_DQ_Meth_max[[#This Row],[Vergleich_ub]]-dict_DQ_Meth_max[[#This Row],[Vergleich_lb]])+dict_DQ_Meth_max[[#This Row],[Vergleich_lb]]</f>
        <v>1126.06</v>
      </c>
      <c r="H142" s="11" t="str">
        <f ca="1">VLOOKUP(VLOOKUP(dict_DQ_Meth_max[[#This Row],[ID_DataQualities]],table_DataQualities[],3),table_Units[],2)</f>
        <v>bit</v>
      </c>
      <c r="I142" s="10"/>
      <c r="J142" s="10"/>
      <c r="K142" s="10"/>
      <c r="L142" s="10">
        <f ca="1">VLOOKUP(dict_DQ_Meth_max[[#This Row],[ID_DataQualities]],table_DataQualities[],8,FALSE)</f>
        <v>15</v>
      </c>
      <c r="M142" s="10">
        <f ca="1">VLOOKUP(dict_DQ_Meth_max[[#This Row],[ID_DataQualities]],table_DataQualities[],9,FALSE)</f>
        <v>1537</v>
      </c>
    </row>
    <row r="143" spans="1:13" x14ac:dyDescent="0.45">
      <c r="A143" s="10">
        <v>37</v>
      </c>
      <c r="B143" s="10">
        <v>637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380.28</v>
      </c>
      <c r="G143" s="12">
        <f ca="1">(RANDBETWEEN(50,100)/100)*(dict_DQ_Meth_max[[#This Row],[Vergleich_ub]]-dict_DQ_Meth_max[[#This Row],[Vergleich_lb]])+dict_DQ_Meth_max[[#This Row],[Vergleich_lb]]</f>
        <v>1506.56</v>
      </c>
      <c r="H143" s="11" t="str">
        <f ca="1">VLOOKUP(VLOOKUP(dict_DQ_Meth_max[[#This Row],[ID_DataQualities]],table_DataQualities[],3),table_Units[],2)</f>
        <v>bit</v>
      </c>
      <c r="I143" s="10"/>
      <c r="J143" s="10"/>
      <c r="K143" s="10"/>
      <c r="L143" s="10">
        <f ca="1">VLOOKUP(dict_DQ_Meth_max[[#This Row],[ID_DataQualities]],table_DataQualities[],8,FALSE)</f>
        <v>15</v>
      </c>
      <c r="M143" s="10">
        <f ca="1">VLOOKUP(dict_DQ_Meth_max[[#This Row],[ID_DataQualities]],table_DataQualities[],9,FALSE)</f>
        <v>1537</v>
      </c>
    </row>
    <row r="144" spans="1:13" x14ac:dyDescent="0.45">
      <c r="A144" s="10">
        <v>38</v>
      </c>
      <c r="B144" s="10">
        <v>634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53.817250000000001</v>
      </c>
      <c r="G144" s="12">
        <f ca="1">(RANDBETWEEN(50,100)/100)*(dict_DQ_Meth_max[[#This Row],[Vergleich_ub]]-dict_DQ_Meth_max[[#This Row],[Vergleich_lb]])+dict_DQ_Meth_max[[#This Row],[Vergleich_lb]]</f>
        <v>263.98410000000001</v>
      </c>
      <c r="H144" s="11" t="str">
        <f ca="1">VLOOKUP(VLOOKUP(dict_DQ_Meth_max[[#This Row],[ID_DataQualities]],table_DataQualities[],3),table_Units[],2)</f>
        <v>Hz</v>
      </c>
      <c r="I144" s="10"/>
      <c r="J144" s="10"/>
      <c r="K144" s="10"/>
      <c r="L144" s="10">
        <f ca="1">VLOOKUP(dict_DQ_Meth_max[[#This Row],[ID_DataQualities]],table_DataQualities[],8,FALSE)</f>
        <v>0.38500000000000001</v>
      </c>
      <c r="M144" s="10">
        <f ca="1">VLOOKUP(dict_DQ_Meth_max[[#This Row],[ID_DataQualities]],table_DataQualities[],9,FALSE)</f>
        <v>356.6</v>
      </c>
    </row>
    <row r="145" spans="1:13" x14ac:dyDescent="0.45">
      <c r="A145" s="10">
        <v>38</v>
      </c>
      <c r="B145" s="10">
        <v>315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36.006500000000003</v>
      </c>
      <c r="G145" s="12">
        <f ca="1">(RANDBETWEEN(50,100)/100)*(dict_DQ_Meth_max[[#This Row],[Vergleich_ub]]-dict_DQ_Meth_max[[#This Row],[Vergleich_lb]])+dict_DQ_Meth_max[[#This Row],[Vergleich_lb]]</f>
        <v>189.17895000000001</v>
      </c>
      <c r="H145" s="11" t="str">
        <f ca="1">VLOOKUP(VLOOKUP(dict_DQ_Meth_max[[#This Row],[ID_DataQualities]],table_DataQualities[],3),table_Units[],2)</f>
        <v>Hz</v>
      </c>
      <c r="I145" s="10"/>
      <c r="J145" s="10"/>
      <c r="K145" s="10"/>
      <c r="L145" s="10">
        <f ca="1">VLOOKUP(dict_DQ_Meth_max[[#This Row],[ID_DataQualities]],table_DataQualities[],8,FALSE)</f>
        <v>0.38500000000000001</v>
      </c>
      <c r="M145" s="10">
        <f ca="1">VLOOKUP(dict_DQ_Meth_max[[#This Row],[ID_DataQualities]],table_DataQualities[],9,FALSE)</f>
        <v>356.6</v>
      </c>
    </row>
    <row r="146" spans="1:13" x14ac:dyDescent="0.45">
      <c r="A146" s="10">
        <v>38</v>
      </c>
      <c r="B146" s="10">
        <v>17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153.55744999999999</v>
      </c>
      <c r="G146" s="12">
        <f ca="1">(RANDBETWEEN(50,100)/100)*(dict_DQ_Meth_max[[#This Row],[Vergleich_ub]]-dict_DQ_Meth_max[[#This Row],[Vergleich_lb]])+dict_DQ_Meth_max[[#This Row],[Vergleich_lb]]</f>
        <v>182.05465000000001</v>
      </c>
      <c r="H146" s="11" t="str">
        <f ca="1">VLOOKUP(VLOOKUP(dict_DQ_Meth_max[[#This Row],[ID_DataQualities]],table_DataQualities[],3),table_Units[],2)</f>
        <v>Hz</v>
      </c>
      <c r="I146" s="10"/>
      <c r="J146" s="10"/>
      <c r="K146" s="10"/>
      <c r="L146" s="10">
        <f ca="1">VLOOKUP(dict_DQ_Meth_max[[#This Row],[ID_DataQualities]],table_DataQualities[],8,FALSE)</f>
        <v>0.38500000000000001</v>
      </c>
      <c r="M146" s="10">
        <f ca="1">VLOOKUP(dict_DQ_Meth_max[[#This Row],[ID_DataQualities]],table_DataQualities[],9,FALSE)</f>
        <v>356.6</v>
      </c>
    </row>
    <row r="147" spans="1:13" x14ac:dyDescent="0.45">
      <c r="A147" s="10">
        <v>39</v>
      </c>
      <c r="B147" s="10">
        <v>17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0.386708</v>
      </c>
      <c r="G147" s="12">
        <f ca="1">(RANDBETWEEN(50,100)/100)*(dict_DQ_Meth_max[[#This Row],[Vergleich_ub]]-dict_DQ_Meth_max[[#This Row],[Vergleich_lb]])+dict_DQ_Meth_max[[#This Row],[Vergleich_lb]]</f>
        <v>0.62263200000000007</v>
      </c>
      <c r="H147" s="11" t="str">
        <f ca="1">VLOOKUP(VLOOKUP(dict_DQ_Meth_max[[#This Row],[ID_DataQualities]],table_DataQualities[],3),table_Units[],2)</f>
        <v>+/- cm³/s</v>
      </c>
      <c r="I147" s="10"/>
      <c r="J147" s="10"/>
      <c r="K147" s="10"/>
      <c r="L147" s="10">
        <f ca="1">VLOOKUP(dict_DQ_Meth_max[[#This Row],[ID_DataQualities]],table_DataQualities[],8,FALSE)</f>
        <v>5.5999999999999999E-3</v>
      </c>
      <c r="M147" s="10">
        <f ca="1">VLOOKUP(dict_DQ_Meth_max[[#This Row],[ID_DataQualities]],table_DataQualities[],9,FALSE)</f>
        <v>0.91300000000000003</v>
      </c>
    </row>
    <row r="148" spans="1:13" x14ac:dyDescent="0.45">
      <c r="A148" s="10">
        <v>39</v>
      </c>
      <c r="B148" s="10">
        <v>634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0.23244999999999999</v>
      </c>
      <c r="G148" s="12">
        <f ca="1">(RANDBETWEEN(50,100)/100)*(dict_DQ_Meth_max[[#This Row],[Vergleich_ub]]-dict_DQ_Meth_max[[#This Row],[Vergleich_lb]])+dict_DQ_Meth_max[[#This Row],[Vergleich_lb]]</f>
        <v>0.62263200000000007</v>
      </c>
      <c r="H148" s="11" t="str">
        <f ca="1">VLOOKUP(VLOOKUP(dict_DQ_Meth_max[[#This Row],[ID_DataQualities]],table_DataQualities[],3),table_Units[],2)</f>
        <v>+/- cm³/s</v>
      </c>
      <c r="I148" s="10"/>
      <c r="J148" s="10"/>
      <c r="K148" s="10"/>
      <c r="L148" s="10">
        <f ca="1">VLOOKUP(dict_DQ_Meth_max[[#This Row],[ID_DataQualities]],table_DataQualities[],8,FALSE)</f>
        <v>5.5999999999999999E-3</v>
      </c>
      <c r="M148" s="10">
        <f ca="1">VLOOKUP(dict_DQ_Meth_max[[#This Row],[ID_DataQualities]],table_DataQualities[],9,FALSE)</f>
        <v>0.91300000000000003</v>
      </c>
    </row>
    <row r="149" spans="1:13" x14ac:dyDescent="0.45">
      <c r="A149" s="10">
        <v>39</v>
      </c>
      <c r="B149" s="10">
        <v>315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0.36856</v>
      </c>
      <c r="G149" s="12">
        <f ca="1">(RANDBETWEEN(50,100)/100)*(dict_DQ_Meth_max[[#This Row],[Vergleich_ub]]-dict_DQ_Meth_max[[#This Row],[Vergleich_lb]])+dict_DQ_Meth_max[[#This Row],[Vergleich_lb]]</f>
        <v>0.79503800000000002</v>
      </c>
      <c r="H149" s="11" t="str">
        <f ca="1">VLOOKUP(VLOOKUP(dict_DQ_Meth_max[[#This Row],[ID_DataQualities]],table_DataQualities[],3),table_Units[],2)</f>
        <v>+/- cm³/s</v>
      </c>
      <c r="I149" s="10"/>
      <c r="J149" s="10"/>
      <c r="K149" s="10"/>
      <c r="L149" s="10">
        <f ca="1">VLOOKUP(dict_DQ_Meth_max[[#This Row],[ID_DataQualities]],table_DataQualities[],8,FALSE)</f>
        <v>5.5999999999999999E-3</v>
      </c>
      <c r="M149" s="10">
        <f ca="1">VLOOKUP(dict_DQ_Meth_max[[#This Row],[ID_DataQualities]],table_DataQualities[],9,FALSE)</f>
        <v>0.91300000000000003</v>
      </c>
    </row>
    <row r="150" spans="1:13" x14ac:dyDescent="0.45">
      <c r="A150" s="10">
        <v>40</v>
      </c>
      <c r="B150" s="10">
        <v>58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407.64333999999997</v>
      </c>
      <c r="G150" s="12">
        <f ca="1">(RANDBETWEEN(50,100)/100)*(dict_DQ_Meth_max[[#This Row],[Vergleich_ub]]-dict_DQ_Meth_max[[#This Row],[Vergleich_lb]])+dict_DQ_Meth_max[[#This Row],[Vergleich_lb]]</f>
        <v>3932.2236199999993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0.96099999999999997</v>
      </c>
      <c r="M150" s="10">
        <f ca="1">VLOOKUP(dict_DQ_Meth_max[[#This Row],[ID_DataQualities]],table_DataQualities[],9,FALSE)</f>
        <v>6779</v>
      </c>
    </row>
    <row r="151" spans="1:13" x14ac:dyDescent="0.45">
      <c r="A151" s="10">
        <v>40</v>
      </c>
      <c r="B151" s="10">
        <v>409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2169.9334799999997</v>
      </c>
      <c r="G151" s="12">
        <f ca="1">(RANDBETWEEN(50,100)/100)*(dict_DQ_Meth_max[[#This Row],[Vergleich_ub]]-dict_DQ_Meth_max[[#This Row],[Vergleich_lb]])+dict_DQ_Meth_max[[#This Row],[Vergleich_lb]]</f>
        <v>5762.2941499999997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0.96099999999999997</v>
      </c>
      <c r="M151" s="10">
        <f ca="1">VLOOKUP(dict_DQ_Meth_max[[#This Row],[ID_DataQualities]],table_DataQualities[],9,FALSE)</f>
        <v>6779</v>
      </c>
    </row>
    <row r="152" spans="1:13" x14ac:dyDescent="0.45">
      <c r="A152" s="10">
        <v>40</v>
      </c>
      <c r="B152" s="10">
        <v>536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2305.4942599999999</v>
      </c>
      <c r="G152" s="12">
        <f ca="1">(RANDBETWEEN(50,100)/100)*(dict_DQ_Meth_max[[#This Row],[Vergleich_ub]]-dict_DQ_Meth_max[[#This Row],[Vergleich_lb]])+dict_DQ_Meth_max[[#This Row],[Vergleich_lb]]</f>
        <v>3525.5412799999999</v>
      </c>
      <c r="H152" s="11" t="str">
        <f ca="1">VLOOKUP(VLOOKUP(dict_DQ_Meth_max[[#This Row],[ID_DataQualities]],table_DataQualities[],3),table_Units[],2)</f>
        <v>Hz</v>
      </c>
      <c r="I152" s="10"/>
      <c r="J152" s="10"/>
      <c r="K152" s="10"/>
      <c r="L152" s="10">
        <f ca="1">VLOOKUP(dict_DQ_Meth_max[[#This Row],[ID_DataQualities]],table_DataQualities[],8,FALSE)</f>
        <v>0.96099999999999997</v>
      </c>
      <c r="M152" s="10">
        <f ca="1">VLOOKUP(dict_DQ_Meth_max[[#This Row],[ID_DataQualities]],table_DataQualities[],9,FALSE)</f>
        <v>6779</v>
      </c>
    </row>
    <row r="153" spans="1:13" x14ac:dyDescent="0.45">
      <c r="A153" s="10">
        <v>40</v>
      </c>
      <c r="B153" s="10">
        <v>453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3118.8589399999996</v>
      </c>
      <c r="G153" s="12">
        <f ca="1">(RANDBETWEEN(50,100)/100)*(dict_DQ_Meth_max[[#This Row],[Vergleich_ub]]-dict_DQ_Meth_max[[#This Row],[Vergleich_lb]])+dict_DQ_Meth_max[[#This Row],[Vergleich_lb]]</f>
        <v>5762.2941499999997</v>
      </c>
      <c r="H153" s="11" t="str">
        <f ca="1">VLOOKUP(VLOOKUP(dict_DQ_Meth_max[[#This Row],[ID_DataQualities]],table_DataQualities[],3),table_Units[],2)</f>
        <v>Hz</v>
      </c>
      <c r="I153" s="10"/>
      <c r="J153" s="10"/>
      <c r="K153" s="10"/>
      <c r="L153" s="10">
        <f ca="1">VLOOKUP(dict_DQ_Meth_max[[#This Row],[ID_DataQualities]],table_DataQualities[],8,FALSE)</f>
        <v>0.96099999999999997</v>
      </c>
      <c r="M153" s="10">
        <f ca="1">VLOOKUP(dict_DQ_Meth_max[[#This Row],[ID_DataQualities]],table_DataQualities[],9,FALSE)</f>
        <v>6779</v>
      </c>
    </row>
    <row r="154" spans="1:13" x14ac:dyDescent="0.45">
      <c r="A154" s="10">
        <v>41</v>
      </c>
      <c r="B154" s="10">
        <v>536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0.7744700000000001</v>
      </c>
      <c r="G154" s="12">
        <f ca="1">(RANDBETWEEN(50,100)/100)*(dict_DQ_Meth_max[[#This Row],[Vergleich_ub]]-dict_DQ_Meth_max[[#This Row],[Vergleich_lb]])+dict_DQ_Meth_max[[#This Row],[Vergleich_lb]]</f>
        <v>3.5767800000000003</v>
      </c>
      <c r="H154" s="11" t="str">
        <f ca="1">VLOOKUP(VLOOKUP(dict_DQ_Meth_max[[#This Row],[ID_DataQualities]],table_DataQualities[],3),table_Units[],2)</f>
        <v>+/- mm</v>
      </c>
      <c r="I154" s="10"/>
      <c r="J154" s="10"/>
      <c r="K154" s="10"/>
      <c r="L154" s="10">
        <f ca="1">VLOOKUP(dict_DQ_Meth_max[[#This Row],[ID_DataQualities]],table_DataQualities[],8,FALSE)</f>
        <v>3.1E-2</v>
      </c>
      <c r="M154" s="10">
        <f ca="1">VLOOKUP(dict_DQ_Meth_max[[#This Row],[ID_DataQualities]],table_DataQualities[],9,FALSE)</f>
        <v>5.75</v>
      </c>
    </row>
    <row r="155" spans="1:13" x14ac:dyDescent="0.45">
      <c r="A155" s="10">
        <v>41</v>
      </c>
      <c r="B155" s="10">
        <v>58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2.8905000000000003</v>
      </c>
      <c r="G155" s="12">
        <f ca="1">(RANDBETWEEN(50,100)/100)*(dict_DQ_Meth_max[[#This Row],[Vergleich_ub]]-dict_DQ_Meth_max[[#This Row],[Vergleich_lb]])+dict_DQ_Meth_max[[#This Row],[Vergleich_lb]]</f>
        <v>5.75</v>
      </c>
      <c r="H155" s="11" t="str">
        <f ca="1">VLOOKUP(VLOOKUP(dict_DQ_Meth_max[[#This Row],[ID_DataQualities]],table_DataQualities[],3),table_Units[],2)</f>
        <v>+/- mm</v>
      </c>
      <c r="I155" s="10"/>
      <c r="J155" s="10"/>
      <c r="K155" s="10"/>
      <c r="L155" s="10">
        <f ca="1">VLOOKUP(dict_DQ_Meth_max[[#This Row],[ID_DataQualities]],table_DataQualities[],8,FALSE)</f>
        <v>3.1E-2</v>
      </c>
      <c r="M155" s="10">
        <f ca="1">VLOOKUP(dict_DQ_Meth_max[[#This Row],[ID_DataQualities]],table_DataQualities[],9,FALSE)</f>
        <v>5.75</v>
      </c>
    </row>
    <row r="156" spans="1:13" x14ac:dyDescent="0.45">
      <c r="A156" s="10">
        <v>41</v>
      </c>
      <c r="B156" s="10">
        <v>409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1.2319899999999999</v>
      </c>
      <c r="G156" s="12">
        <f ca="1">(RANDBETWEEN(50,100)/100)*(dict_DQ_Meth_max[[#This Row],[Vergleich_ub]]-dict_DQ_Meth_max[[#This Row],[Vergleich_lb]])+dict_DQ_Meth_max[[#This Row],[Vergleich_lb]]</f>
        <v>3.0620700000000003</v>
      </c>
      <c r="H156" s="11" t="str">
        <f ca="1">VLOOKUP(VLOOKUP(dict_DQ_Meth_max[[#This Row],[ID_DataQualities]],table_DataQualities[],3),table_Units[],2)</f>
        <v>+/- mm</v>
      </c>
      <c r="I156" s="10"/>
      <c r="J156" s="10"/>
      <c r="K156" s="10"/>
      <c r="L156" s="10">
        <f ca="1">VLOOKUP(dict_DQ_Meth_max[[#This Row],[ID_DataQualities]],table_DataQualities[],8,FALSE)</f>
        <v>3.1E-2</v>
      </c>
      <c r="M156" s="10">
        <f ca="1">VLOOKUP(dict_DQ_Meth_max[[#This Row],[ID_DataQualities]],table_DataQualities[],9,FALSE)</f>
        <v>5.75</v>
      </c>
    </row>
    <row r="157" spans="1:13" x14ac:dyDescent="0.45">
      <c r="A157" s="10">
        <v>41</v>
      </c>
      <c r="B157" s="10">
        <v>453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1.8610800000000001</v>
      </c>
      <c r="G157" s="12">
        <f ca="1">(RANDBETWEEN(50,100)/100)*(dict_DQ_Meth_max[[#This Row],[Vergleich_ub]]-dict_DQ_Meth_max[[#This Row],[Vergleich_lb]])+dict_DQ_Meth_max[[#This Row],[Vergleich_lb]]</f>
        <v>5.3496700000000006</v>
      </c>
      <c r="H157" s="11" t="str">
        <f ca="1">VLOOKUP(VLOOKUP(dict_DQ_Meth_max[[#This Row],[ID_DataQualities]],table_DataQualities[],3),table_Units[],2)</f>
        <v>+/- mm</v>
      </c>
      <c r="I157" s="10"/>
      <c r="J157" s="10"/>
      <c r="K157" s="10"/>
      <c r="L157" s="10">
        <f ca="1">VLOOKUP(dict_DQ_Meth_max[[#This Row],[ID_DataQualities]],table_DataQualities[],8,FALSE)</f>
        <v>3.1E-2</v>
      </c>
      <c r="M157" s="10">
        <f ca="1">VLOOKUP(dict_DQ_Meth_max[[#This Row],[ID_DataQualities]],table_DataQualities[],9,FALSE)</f>
        <v>5.75</v>
      </c>
    </row>
    <row r="158" spans="1:13" x14ac:dyDescent="0.45">
      <c r="A158" s="10">
        <v>42</v>
      </c>
      <c r="B158" s="10">
        <v>27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3289.0612600000004</v>
      </c>
      <c r="G158" s="12">
        <f ca="1">(RANDBETWEEN(50,100)/100)*(dict_DQ_Meth_max[[#This Row],[Vergleich_ub]]-dict_DQ_Meth_max[[#This Row],[Vergleich_lb]])+dict_DQ_Meth_max[[#This Row],[Vergleich_lb]]</f>
        <v>7615.6247599999997</v>
      </c>
      <c r="H158" s="11" t="str">
        <f ca="1">VLOOKUP(VLOOKUP(dict_DQ_Meth_max[[#This Row],[ID_DataQualities]],table_DataQualities[],3),table_Units[],2)</f>
        <v>Hz</v>
      </c>
      <c r="I158" s="10"/>
      <c r="J158" s="10"/>
      <c r="K158" s="10"/>
      <c r="L158" s="10">
        <f ca="1">VLOOKUP(dict_DQ_Meth_max[[#This Row],[ID_DataQualities]],table_DataQualities[],8,FALSE)</f>
        <v>0.873</v>
      </c>
      <c r="M158" s="10">
        <f ca="1">VLOOKUP(dict_DQ_Meth_max[[#This Row],[ID_DataQualities]],table_DataQualities[],9,FALSE)</f>
        <v>8654</v>
      </c>
    </row>
    <row r="159" spans="1:13" x14ac:dyDescent="0.45">
      <c r="A159" s="10">
        <v>42</v>
      </c>
      <c r="B159" s="10">
        <v>360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0.873</v>
      </c>
      <c r="G159" s="12">
        <f ca="1">(RANDBETWEEN(50,100)/100)*(dict_DQ_Meth_max[[#This Row],[Vergleich_ub]]-dict_DQ_Meth_max[[#This Row],[Vergleich_lb]])+dict_DQ_Meth_max[[#This Row],[Vergleich_lb]]</f>
        <v>5106.2179299999998</v>
      </c>
      <c r="H159" s="11" t="str">
        <f ca="1">VLOOKUP(VLOOKUP(dict_DQ_Meth_max[[#This Row],[ID_DataQualities]],table_DataQualities[],3),table_Units[],2)</f>
        <v>Hz</v>
      </c>
      <c r="I159" s="10"/>
      <c r="J159" s="10"/>
      <c r="K159" s="10"/>
      <c r="L159" s="10">
        <f ca="1">VLOOKUP(dict_DQ_Meth_max[[#This Row],[ID_DataQualities]],table_DataQualities[],8,FALSE)</f>
        <v>0.873</v>
      </c>
      <c r="M159" s="10">
        <f ca="1">VLOOKUP(dict_DQ_Meth_max[[#This Row],[ID_DataQualities]],table_DataQualities[],9,FALSE)</f>
        <v>8654</v>
      </c>
    </row>
    <row r="160" spans="1:13" x14ac:dyDescent="0.45">
      <c r="A160" s="10">
        <v>42</v>
      </c>
      <c r="B160" s="10">
        <v>523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1125.7795100000001</v>
      </c>
      <c r="G160" s="12">
        <f ca="1">(RANDBETWEEN(50,100)/100)*(dict_DQ_Meth_max[[#This Row],[Vergleich_ub]]-dict_DQ_Meth_max[[#This Row],[Vergleich_lb]])+dict_DQ_Meth_max[[#This Row],[Vergleich_lb]]</f>
        <v>6404.1869799999995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0.873</v>
      </c>
      <c r="M160" s="10">
        <f ca="1">VLOOKUP(dict_DQ_Meth_max[[#This Row],[ID_DataQualities]],table_DataQualities[],9,FALSE)</f>
        <v>8654</v>
      </c>
    </row>
    <row r="161" spans="1:13" x14ac:dyDescent="0.45">
      <c r="A161" s="10">
        <v>42</v>
      </c>
      <c r="B161" s="10">
        <v>605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1991.0922100000003</v>
      </c>
      <c r="G161" s="12">
        <f ca="1">(RANDBETWEEN(50,100)/100)*(dict_DQ_Meth_max[[#This Row],[Vergleich_ub]]-dict_DQ_Meth_max[[#This Row],[Vergleich_lb]])+dict_DQ_Meth_max[[#This Row],[Vergleich_lb]]</f>
        <v>8567.4687300000005</v>
      </c>
      <c r="H161" s="11" t="str">
        <f ca="1">VLOOKUP(VLOOKUP(dict_DQ_Meth_max[[#This Row],[ID_DataQualities]],table_DataQualities[],3),table_Units[],2)</f>
        <v>Hz</v>
      </c>
      <c r="I161" s="10"/>
      <c r="J161" s="10"/>
      <c r="K161" s="10"/>
      <c r="L161" s="10">
        <f ca="1">VLOOKUP(dict_DQ_Meth_max[[#This Row],[ID_DataQualities]],table_DataQualities[],8,FALSE)</f>
        <v>0.873</v>
      </c>
      <c r="M161" s="10">
        <f ca="1">VLOOKUP(dict_DQ_Meth_max[[#This Row],[ID_DataQualities]],table_DataQualities[],9,FALSE)</f>
        <v>8654</v>
      </c>
    </row>
    <row r="162" spans="1:13" x14ac:dyDescent="0.45">
      <c r="A162" s="10">
        <v>42</v>
      </c>
      <c r="B162" s="10">
        <v>9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346.99808000000002</v>
      </c>
      <c r="G162" s="12">
        <f ca="1">(RANDBETWEEN(50,100)/100)*(dict_DQ_Meth_max[[#This Row],[Vergleich_ub]]-dict_DQ_Meth_max[[#This Row],[Vergleich_lb]])+dict_DQ_Meth_max[[#This Row],[Vergleich_lb]]</f>
        <v>8221.3436499999989</v>
      </c>
      <c r="H162" s="11" t="str">
        <f ca="1">VLOOKUP(VLOOKUP(dict_DQ_Meth_max[[#This Row],[ID_DataQualities]],table_DataQualities[],3),table_Units[],2)</f>
        <v>Hz</v>
      </c>
      <c r="I162" s="10"/>
      <c r="J162" s="10"/>
      <c r="K162" s="10"/>
      <c r="L162" s="10">
        <f ca="1">VLOOKUP(dict_DQ_Meth_max[[#This Row],[ID_DataQualities]],table_DataQualities[],8,FALSE)</f>
        <v>0.873</v>
      </c>
      <c r="M162" s="10">
        <f ca="1">VLOOKUP(dict_DQ_Meth_max[[#This Row],[ID_DataQualities]],table_DataQualities[],9,FALSE)</f>
        <v>8654</v>
      </c>
    </row>
    <row r="163" spans="1:13" x14ac:dyDescent="0.45">
      <c r="A163" s="10">
        <v>43</v>
      </c>
      <c r="B163" s="10">
        <v>9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0.96599999999999997</v>
      </c>
      <c r="G163" s="12">
        <f ca="1">(RANDBETWEEN(50,100)/100)*(dict_DQ_Meth_max[[#This Row],[Vergleich_ub]]-dict_DQ_Meth_max[[#This Row],[Vergleich_lb]])+dict_DQ_Meth_max[[#This Row],[Vergleich_lb]]</f>
        <v>2.3720000000000003</v>
      </c>
      <c r="H163" s="11" t="str">
        <f ca="1">VLOOKUP(VLOOKUP(dict_DQ_Meth_max[[#This Row],[ID_DataQualities]],table_DataQualities[],3),table_Units[],2)</f>
        <v>+/- °C</v>
      </c>
      <c r="I163" s="10"/>
      <c r="J163" s="10"/>
      <c r="K163" s="10"/>
      <c r="L163" s="10">
        <f ca="1">VLOOKUP(dict_DQ_Meth_max[[#This Row],[ID_DataQualities]],table_DataQualities[],8,FALSE)</f>
        <v>0.3</v>
      </c>
      <c r="M163" s="10">
        <f ca="1">VLOOKUP(dict_DQ_Meth_max[[#This Row],[ID_DataQualities]],table_DataQualities[],9,FALSE)</f>
        <v>4</v>
      </c>
    </row>
    <row r="164" spans="1:13" x14ac:dyDescent="0.45">
      <c r="A164" s="10">
        <v>43</v>
      </c>
      <c r="B164" s="10">
        <v>27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1.2990000000000002</v>
      </c>
      <c r="G164" s="12">
        <f ca="1">(RANDBETWEEN(50,100)/100)*(dict_DQ_Meth_max[[#This Row],[Vergleich_ub]]-dict_DQ_Meth_max[[#This Row],[Vergleich_lb]])+dict_DQ_Meth_max[[#This Row],[Vergleich_lb]]</f>
        <v>2.1870000000000003</v>
      </c>
      <c r="H164" s="11" t="str">
        <f ca="1">VLOOKUP(VLOOKUP(dict_DQ_Meth_max[[#This Row],[ID_DataQualities]],table_DataQualities[],3),table_Units[],2)</f>
        <v>+/- °C</v>
      </c>
      <c r="I164" s="10"/>
      <c r="J164" s="10"/>
      <c r="K164" s="10"/>
      <c r="L164" s="10">
        <f ca="1">VLOOKUP(dict_DQ_Meth_max[[#This Row],[ID_DataQualities]],table_DataQualities[],8,FALSE)</f>
        <v>0.3</v>
      </c>
      <c r="M164" s="10">
        <f ca="1">VLOOKUP(dict_DQ_Meth_max[[#This Row],[ID_DataQualities]],table_DataQualities[],9,FALSE)</f>
        <v>4</v>
      </c>
    </row>
    <row r="165" spans="1:13" x14ac:dyDescent="0.45">
      <c r="A165" s="10">
        <v>43</v>
      </c>
      <c r="B165" s="10">
        <v>360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1.891</v>
      </c>
      <c r="G165" s="12">
        <f ca="1">(RANDBETWEEN(50,100)/100)*(dict_DQ_Meth_max[[#This Row],[Vergleich_ub]]-dict_DQ_Meth_max[[#This Row],[Vergleich_lb]])+dict_DQ_Meth_max[[#This Row],[Vergleich_lb]]</f>
        <v>3.593</v>
      </c>
      <c r="H165" s="11" t="str">
        <f ca="1">VLOOKUP(VLOOKUP(dict_DQ_Meth_max[[#This Row],[ID_DataQualities]],table_DataQualities[],3),table_Units[],2)</f>
        <v>+/- °C</v>
      </c>
      <c r="I165" s="10"/>
      <c r="J165" s="10"/>
      <c r="K165" s="10"/>
      <c r="L165" s="10">
        <f ca="1">VLOOKUP(dict_DQ_Meth_max[[#This Row],[ID_DataQualities]],table_DataQualities[],8,FALSE)</f>
        <v>0.3</v>
      </c>
      <c r="M165" s="10">
        <f ca="1">VLOOKUP(dict_DQ_Meth_max[[#This Row],[ID_DataQualities]],table_DataQualities[],9,FALSE)</f>
        <v>4</v>
      </c>
    </row>
    <row r="166" spans="1:13" x14ac:dyDescent="0.45">
      <c r="A166" s="10">
        <v>43</v>
      </c>
      <c r="B166" s="10">
        <v>605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1.891</v>
      </c>
      <c r="G166" s="12">
        <f ca="1">(RANDBETWEEN(50,100)/100)*(dict_DQ_Meth_max[[#This Row],[Vergleich_ub]]-dict_DQ_Meth_max[[#This Row],[Vergleich_lb]])+dict_DQ_Meth_max[[#This Row],[Vergleich_lb]]</f>
        <v>2.5569999999999999</v>
      </c>
      <c r="H166" s="11" t="str">
        <f ca="1">VLOOKUP(VLOOKUP(dict_DQ_Meth_max[[#This Row],[ID_DataQualities]],table_DataQualities[],3),table_Units[],2)</f>
        <v>+/- °C</v>
      </c>
      <c r="I166" s="10"/>
      <c r="J166" s="10"/>
      <c r="K166" s="10"/>
      <c r="L166" s="10">
        <f ca="1">VLOOKUP(dict_DQ_Meth_max[[#This Row],[ID_DataQualities]],table_DataQualities[],8,FALSE)</f>
        <v>0.3</v>
      </c>
      <c r="M166" s="10">
        <f ca="1">VLOOKUP(dict_DQ_Meth_max[[#This Row],[ID_DataQualities]],table_DataQualities[],9,FALSE)</f>
        <v>4</v>
      </c>
    </row>
    <row r="167" spans="1:13" x14ac:dyDescent="0.45">
      <c r="A167" s="10">
        <v>43</v>
      </c>
      <c r="B167" s="10">
        <v>523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0.70700000000000007</v>
      </c>
      <c r="G167" s="12">
        <f ca="1">(RANDBETWEEN(50,100)/100)*(dict_DQ_Meth_max[[#This Row],[Vergleich_ub]]-dict_DQ_Meth_max[[#This Row],[Vergleich_lb]])+dict_DQ_Meth_max[[#This Row],[Vergleich_lb]]</f>
        <v>3.4819999999999998</v>
      </c>
      <c r="H167" s="11" t="str">
        <f ca="1">VLOOKUP(VLOOKUP(dict_DQ_Meth_max[[#This Row],[ID_DataQualities]],table_DataQualities[],3),table_Units[],2)</f>
        <v>+/- °C</v>
      </c>
      <c r="I167" s="10"/>
      <c r="J167" s="10"/>
      <c r="K167" s="10"/>
      <c r="L167" s="10">
        <f ca="1">VLOOKUP(dict_DQ_Meth_max[[#This Row],[ID_DataQualities]],table_DataQualities[],8,FALSE)</f>
        <v>0.3</v>
      </c>
      <c r="M167" s="10">
        <f ca="1">VLOOKUP(dict_DQ_Meth_max[[#This Row],[ID_DataQualities]],table_DataQualities[],9,FALSE)</f>
        <v>4</v>
      </c>
    </row>
    <row r="168" spans="1:13" x14ac:dyDescent="0.45">
      <c r="A168" s="10">
        <v>44</v>
      </c>
      <c r="B168" s="10">
        <v>422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2670.6410199999996</v>
      </c>
      <c r="G168" s="12">
        <f ca="1">(RANDBETWEEN(50,100)/100)*(dict_DQ_Meth_max[[#This Row],[Vergleich_ub]]-dict_DQ_Meth_max[[#This Row],[Vergleich_lb]])+dict_DQ_Meth_max[[#This Row],[Vergleich_lb]]</f>
        <v>4005.5020299999996</v>
      </c>
      <c r="H168" s="11" t="str">
        <f ca="1">VLOOKUP(VLOOKUP(dict_DQ_Meth_max[[#This Row],[ID_DataQualities]],table_DataQualities[],3),table_Units[],2)</f>
        <v>Hz</v>
      </c>
      <c r="I168" s="10"/>
      <c r="J168" s="10"/>
      <c r="K168" s="10"/>
      <c r="L168" s="10">
        <f ca="1">VLOOKUP(dict_DQ_Meth_max[[#This Row],[ID_DataQualities]],table_DataQualities[],8,FALSE)</f>
        <v>0.91900000000000004</v>
      </c>
      <c r="M168" s="10">
        <f ca="1">VLOOKUP(dict_DQ_Meth_max[[#This Row],[ID_DataQualities]],table_DataQualities[],9,FALSE)</f>
        <v>6357.4</v>
      </c>
    </row>
    <row r="169" spans="1:13" x14ac:dyDescent="0.45">
      <c r="A169" s="10">
        <v>44</v>
      </c>
      <c r="B169" s="10">
        <v>524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445.87267000000003</v>
      </c>
      <c r="G169" s="12">
        <f ca="1">(RANDBETWEEN(50,100)/100)*(dict_DQ_Meth_max[[#This Row],[Vergleich_ub]]-dict_DQ_Meth_max[[#This Row],[Vergleich_lb]])+dict_DQ_Meth_max[[#This Row],[Vergleich_lb]]</f>
        <v>4768.2797499999997</v>
      </c>
      <c r="H169" s="11" t="str">
        <f ca="1">VLOOKUP(VLOOKUP(dict_DQ_Meth_max[[#This Row],[ID_DataQualities]],table_DataQualities[],3),table_Units[],2)</f>
        <v>Hz</v>
      </c>
      <c r="I169" s="10"/>
      <c r="J169" s="10"/>
      <c r="K169" s="10"/>
      <c r="L169" s="10">
        <f ca="1">VLOOKUP(dict_DQ_Meth_max[[#This Row],[ID_DataQualities]],table_DataQualities[],8,FALSE)</f>
        <v>0.91900000000000004</v>
      </c>
      <c r="M169" s="10">
        <f ca="1">VLOOKUP(dict_DQ_Meth_max[[#This Row],[ID_DataQualities]],table_DataQualities[],9,FALSE)</f>
        <v>6357.4</v>
      </c>
    </row>
    <row r="170" spans="1:13" x14ac:dyDescent="0.45">
      <c r="A170" s="10">
        <v>45</v>
      </c>
      <c r="B170" s="10">
        <v>422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0.25947999999999999</v>
      </c>
      <c r="G170" s="12">
        <f ca="1">(RANDBETWEEN(50,100)/100)*(dict_DQ_Meth_max[[#This Row],[Vergleich_ub]]-dict_DQ_Meth_max[[#This Row],[Vergleich_lb]])+dict_DQ_Meth_max[[#This Row],[Vergleich_lb]]</f>
        <v>8.4823800000000009</v>
      </c>
      <c r="H170" s="11" t="str">
        <f ca="1">VLOOKUP(VLOOKUP(dict_DQ_Meth_max[[#This Row],[ID_DataQualities]],table_DataQualities[],3),table_Units[],2)</f>
        <v>+/- W</v>
      </c>
      <c r="I170" s="10"/>
      <c r="J170" s="10"/>
      <c r="K170" s="10"/>
      <c r="L170" s="10">
        <f ca="1">VLOOKUP(dict_DQ_Meth_max[[#This Row],[ID_DataQualities]],table_DataQualities[],8,FALSE)</f>
        <v>6.6000000000000003E-2</v>
      </c>
      <c r="M170" s="10">
        <f ca="1">VLOOKUP(dict_DQ_Meth_max[[#This Row],[ID_DataQualities]],table_DataQualities[],9,FALSE)</f>
        <v>9.74</v>
      </c>
    </row>
    <row r="171" spans="1:13" x14ac:dyDescent="0.45">
      <c r="A171" s="10">
        <v>45</v>
      </c>
      <c r="B171" s="10">
        <v>524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1.22688</v>
      </c>
      <c r="G171" s="12">
        <f ca="1">(RANDBETWEEN(50,100)/100)*(dict_DQ_Meth_max[[#This Row],[Vergleich_ub]]-dict_DQ_Meth_max[[#This Row],[Vergleich_lb]])+dict_DQ_Meth_max[[#This Row],[Vergleich_lb]]</f>
        <v>5.0964799999999997</v>
      </c>
      <c r="H171" s="11" t="str">
        <f ca="1">VLOOKUP(VLOOKUP(dict_DQ_Meth_max[[#This Row],[ID_DataQualities]],table_DataQualities[],3),table_Units[],2)</f>
        <v>+/- W</v>
      </c>
      <c r="I171" s="10"/>
      <c r="J171" s="10"/>
      <c r="K171" s="10"/>
      <c r="L171" s="10">
        <f ca="1">VLOOKUP(dict_DQ_Meth_max[[#This Row],[ID_DataQualities]],table_DataQualities[],8,FALSE)</f>
        <v>6.6000000000000003E-2</v>
      </c>
      <c r="M171" s="10">
        <f ca="1">VLOOKUP(dict_DQ_Meth_max[[#This Row],[ID_DataQualities]],table_DataQualities[],9,FALSE)</f>
        <v>9.74</v>
      </c>
    </row>
    <row r="172" spans="1:13" x14ac:dyDescent="0.45">
      <c r="A172" s="10">
        <v>46</v>
      </c>
      <c r="B172" s="10">
        <v>697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1466.5614</v>
      </c>
      <c r="G172" s="12">
        <f ca="1">(RANDBETWEEN(50,100)/100)*(dict_DQ_Meth_max[[#This Row],[Vergleich_ub]]-dict_DQ_Meth_max[[#This Row],[Vergleich_lb]])+dict_DQ_Meth_max[[#This Row],[Vergleich_lb]]</f>
        <v>5313.8307000000004</v>
      </c>
      <c r="H172" s="11" t="str">
        <f ca="1">VLOOKUP(VLOOKUP(dict_DQ_Meth_max[[#This Row],[ID_DataQualities]],table_DataQualities[],3),table_Units[],2)</f>
        <v>Hz</v>
      </c>
      <c r="I172" s="10"/>
      <c r="J172" s="10"/>
      <c r="K172" s="10"/>
      <c r="L172" s="10">
        <f ca="1">VLOOKUP(dict_DQ_Meth_max[[#This Row],[ID_DataQualities]],table_DataQualities[],8,FALSE)</f>
        <v>0.93500000000000005</v>
      </c>
      <c r="M172" s="10">
        <f ca="1">VLOOKUP(dict_DQ_Meth_max[[#This Row],[ID_DataQualities]],table_DataQualities[],9,FALSE)</f>
        <v>9161.1</v>
      </c>
    </row>
    <row r="173" spans="1:13" x14ac:dyDescent="0.45">
      <c r="A173" s="10">
        <v>46</v>
      </c>
      <c r="B173" s="10">
        <v>490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3023.7894500000002</v>
      </c>
      <c r="G173" s="12">
        <f ca="1">(RANDBETWEEN(50,100)/100)*(dict_DQ_Meth_max[[#This Row],[Vergleich_ub]]-dict_DQ_Meth_max[[#This Row],[Vergleich_lb]])+dict_DQ_Meth_max[[#This Row],[Vergleich_lb]]</f>
        <v>5039.0257500000016</v>
      </c>
      <c r="H173" s="11" t="str">
        <f ca="1">VLOOKUP(VLOOKUP(dict_DQ_Meth_max[[#This Row],[ID_DataQualities]],table_DataQualities[],3),table_Units[],2)</f>
        <v>Hz</v>
      </c>
      <c r="I173" s="10"/>
      <c r="J173" s="10"/>
      <c r="K173" s="10"/>
      <c r="L173" s="10">
        <f ca="1">VLOOKUP(dict_DQ_Meth_max[[#This Row],[ID_DataQualities]],table_DataQualities[],8,FALSE)</f>
        <v>0.93500000000000005</v>
      </c>
      <c r="M173" s="10">
        <f ca="1">VLOOKUP(dict_DQ_Meth_max[[#This Row],[ID_DataQualities]],table_DataQualities[],9,FALSE)</f>
        <v>9161.1</v>
      </c>
    </row>
    <row r="174" spans="1:13" x14ac:dyDescent="0.45">
      <c r="A174" s="10">
        <v>46</v>
      </c>
      <c r="B174" s="10">
        <v>37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92.536650000000009</v>
      </c>
      <c r="G174" s="12">
        <f ca="1">(RANDBETWEEN(50,100)/100)*(dict_DQ_Meth_max[[#This Row],[Vergleich_ub]]-dict_DQ_Meth_max[[#This Row],[Vergleich_lb]])+dict_DQ_Meth_max[[#This Row],[Vergleich_lb]]</f>
        <v>8977.8966999999993</v>
      </c>
      <c r="H174" s="11" t="str">
        <f ca="1">VLOOKUP(VLOOKUP(dict_DQ_Meth_max[[#This Row],[ID_DataQualities]],table_DataQualities[],3),table_Units[],2)</f>
        <v>Hz</v>
      </c>
      <c r="I174" s="10"/>
      <c r="J174" s="10"/>
      <c r="K174" s="10"/>
      <c r="L174" s="10">
        <f ca="1">VLOOKUP(dict_DQ_Meth_max[[#This Row],[ID_DataQualities]],table_DataQualities[],8,FALSE)</f>
        <v>0.93500000000000005</v>
      </c>
      <c r="M174" s="10">
        <f ca="1">VLOOKUP(dict_DQ_Meth_max[[#This Row],[ID_DataQualities]],table_DataQualities[],9,FALSE)</f>
        <v>9161.1</v>
      </c>
    </row>
    <row r="175" spans="1:13" x14ac:dyDescent="0.45">
      <c r="A175" s="10">
        <v>46</v>
      </c>
      <c r="B175" s="10">
        <v>169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1283.3581000000001</v>
      </c>
      <c r="G175" s="12">
        <f ca="1">(RANDBETWEEN(50,100)/100)*(dict_DQ_Meth_max[[#This Row],[Vergleich_ub]]-dict_DQ_Meth_max[[#This Row],[Vergleich_lb]])+dict_DQ_Meth_max[[#This Row],[Vergleich_lb]]</f>
        <v>5313.8307000000004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0.93500000000000005</v>
      </c>
      <c r="M175" s="10">
        <f ca="1">VLOOKUP(dict_DQ_Meth_max[[#This Row],[ID_DataQualities]],table_DataQualities[],9,FALSE)</f>
        <v>9161.1</v>
      </c>
    </row>
    <row r="176" spans="1:13" x14ac:dyDescent="0.45">
      <c r="A176" s="10">
        <v>47</v>
      </c>
      <c r="B176" s="10">
        <v>490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0.14452000000000001</v>
      </c>
      <c r="G176" s="12">
        <f ca="1">(RANDBETWEEN(50,100)/100)*(dict_DQ_Meth_max[[#This Row],[Vergleich_ub]]-dict_DQ_Meth_max[[#This Row],[Vergleich_lb]])+dict_DQ_Meth_max[[#This Row],[Vergleich_lb]]</f>
        <v>5.4958400000000003</v>
      </c>
      <c r="H176" s="11" t="str">
        <f ca="1">VLOOKUP(VLOOKUP(dict_DQ_Meth_max[[#This Row],[ID_DataQualities]],table_DataQualities[],3),table_Units[],2)</f>
        <v>+/- mm</v>
      </c>
      <c r="I176" s="10"/>
      <c r="J176" s="10"/>
      <c r="K176" s="10"/>
      <c r="L176" s="10">
        <f ca="1">VLOOKUP(dict_DQ_Meth_max[[#This Row],[ID_DataQualities]],table_DataQualities[],8,FALSE)</f>
        <v>1.4E-2</v>
      </c>
      <c r="M176" s="10">
        <f ca="1">VLOOKUP(dict_DQ_Meth_max[[#This Row],[ID_DataQualities]],table_DataQualities[],9,FALSE)</f>
        <v>6.54</v>
      </c>
    </row>
    <row r="177" spans="1:13" x14ac:dyDescent="0.45">
      <c r="A177" s="10">
        <v>47</v>
      </c>
      <c r="B177" s="10">
        <v>169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2.2328399999999999</v>
      </c>
      <c r="G177" s="12">
        <f ca="1">(RANDBETWEEN(50,100)/100)*(dict_DQ_Meth_max[[#This Row],[Vergleich_ub]]-dict_DQ_Meth_max[[#This Row],[Vergleich_lb]])+dict_DQ_Meth_max[[#This Row],[Vergleich_lb]]</f>
        <v>6.34422</v>
      </c>
      <c r="H177" s="11" t="str">
        <f ca="1">VLOOKUP(VLOOKUP(dict_DQ_Meth_max[[#This Row],[ID_DataQualities]],table_DataQualities[],3),table_Units[],2)</f>
        <v>+/- mm</v>
      </c>
      <c r="I177" s="10"/>
      <c r="J177" s="10"/>
      <c r="K177" s="10"/>
      <c r="L177" s="10">
        <f ca="1">VLOOKUP(dict_DQ_Meth_max[[#This Row],[ID_DataQualities]],table_DataQualities[],8,FALSE)</f>
        <v>1.4E-2</v>
      </c>
      <c r="M177" s="10">
        <f ca="1">VLOOKUP(dict_DQ_Meth_max[[#This Row],[ID_DataQualities]],table_DataQualities[],9,FALSE)</f>
        <v>6.54</v>
      </c>
    </row>
    <row r="178" spans="1:13" x14ac:dyDescent="0.45">
      <c r="A178" s="10">
        <v>47</v>
      </c>
      <c r="B178" s="10">
        <v>37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0.47082000000000002</v>
      </c>
      <c r="G178" s="12">
        <f ca="1">(RANDBETWEEN(50,100)/100)*(dict_DQ_Meth_max[[#This Row],[Vergleich_ub]]-dict_DQ_Meth_max[[#This Row],[Vergleich_lb]])+dict_DQ_Meth_max[[#This Row],[Vergleich_lb]]</f>
        <v>4.6474599999999997</v>
      </c>
      <c r="H178" s="11" t="str">
        <f ca="1">VLOOKUP(VLOOKUP(dict_DQ_Meth_max[[#This Row],[ID_DataQualities]],table_DataQualities[],3),table_Units[],2)</f>
        <v>+/- mm</v>
      </c>
      <c r="I178" s="10"/>
      <c r="J178" s="10"/>
      <c r="K178" s="10"/>
      <c r="L178" s="10">
        <f ca="1">VLOOKUP(dict_DQ_Meth_max[[#This Row],[ID_DataQualities]],table_DataQualities[],8,FALSE)</f>
        <v>1.4E-2</v>
      </c>
      <c r="M178" s="10">
        <f ca="1">VLOOKUP(dict_DQ_Meth_max[[#This Row],[ID_DataQualities]],table_DataQualities[],9,FALSE)</f>
        <v>6.54</v>
      </c>
    </row>
    <row r="179" spans="1:13" x14ac:dyDescent="0.45">
      <c r="A179" s="10">
        <v>47</v>
      </c>
      <c r="B179" s="10">
        <v>697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1.7107600000000001</v>
      </c>
      <c r="G179" s="12">
        <f ca="1">(RANDBETWEEN(50,100)/100)*(dict_DQ_Meth_max[[#This Row],[Vergleich_ub]]-dict_DQ_Meth_max[[#This Row],[Vergleich_lb]])+dict_DQ_Meth_max[[#This Row],[Vergleich_lb]]</f>
        <v>4.51694</v>
      </c>
      <c r="H179" s="11" t="str">
        <f ca="1">VLOOKUP(VLOOKUP(dict_DQ_Meth_max[[#This Row],[ID_DataQualities]],table_DataQualities[],3),table_Units[],2)</f>
        <v>+/- mm</v>
      </c>
      <c r="I179" s="10"/>
      <c r="J179" s="10"/>
      <c r="K179" s="10"/>
      <c r="L179" s="10">
        <f ca="1">VLOOKUP(dict_DQ_Meth_max[[#This Row],[ID_DataQualities]],table_DataQualities[],8,FALSE)</f>
        <v>1.4E-2</v>
      </c>
      <c r="M179" s="10">
        <f ca="1">VLOOKUP(dict_DQ_Meth_max[[#This Row],[ID_DataQualities]],table_DataQualities[],9,FALSE)</f>
        <v>6.54</v>
      </c>
    </row>
    <row r="180" spans="1:13" x14ac:dyDescent="0.45">
      <c r="A180" s="10">
        <v>48</v>
      </c>
      <c r="B180" s="10">
        <v>42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540.21414000000004</v>
      </c>
      <c r="G180" s="12">
        <f ca="1">(RANDBETWEEN(50,100)/100)*(dict_DQ_Meth_max[[#This Row],[Vergleich_ub]]-dict_DQ_Meth_max[[#This Row],[Vergleich_lb]])+dict_DQ_Meth_max[[#This Row],[Vergleich_lb]]</f>
        <v>1766.8076399999998</v>
      </c>
      <c r="H180" s="11" t="str">
        <f ca="1">VLOOKUP(VLOOKUP(dict_DQ_Meth_max[[#This Row],[ID_DataQualities]],table_DataQualities[],3),table_Units[],2)</f>
        <v>Hz</v>
      </c>
      <c r="I180" s="10"/>
      <c r="J180" s="10"/>
      <c r="K180" s="10"/>
      <c r="L180" s="10">
        <f ca="1">VLOOKUP(dict_DQ_Meth_max[[#This Row],[ID_DataQualities]],table_DataQualities[],8,FALSE)</f>
        <v>0.51300000000000001</v>
      </c>
      <c r="M180" s="10">
        <f ca="1">VLOOKUP(dict_DQ_Meth_max[[#This Row],[ID_DataQualities]],table_DataQualities[],9,FALSE)</f>
        <v>2453.6999999999998</v>
      </c>
    </row>
    <row r="181" spans="1:13" x14ac:dyDescent="0.45">
      <c r="A181" s="10">
        <v>48</v>
      </c>
      <c r="B181" s="10">
        <v>191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662.87349000000006</v>
      </c>
      <c r="G181" s="12">
        <f ca="1">(RANDBETWEEN(50,100)/100)*(dict_DQ_Meth_max[[#This Row],[Vergleich_ub]]-dict_DQ_Meth_max[[#This Row],[Vergleich_lb]])+dict_DQ_Meth_max[[#This Row],[Vergleich_lb]]</f>
        <v>1791.3395099999998</v>
      </c>
      <c r="H181" s="11" t="str">
        <f ca="1">VLOOKUP(VLOOKUP(dict_DQ_Meth_max[[#This Row],[ID_DataQualities]],table_DataQualities[],3),table_Units[],2)</f>
        <v>Hz</v>
      </c>
      <c r="I181" s="10"/>
      <c r="J181" s="10"/>
      <c r="K181" s="10"/>
      <c r="L181" s="10">
        <f ca="1">VLOOKUP(dict_DQ_Meth_max[[#This Row],[ID_DataQualities]],table_DataQualities[],8,FALSE)</f>
        <v>0.51300000000000001</v>
      </c>
      <c r="M181" s="10">
        <f ca="1">VLOOKUP(dict_DQ_Meth_max[[#This Row],[ID_DataQualities]],table_DataQualities[],9,FALSE)</f>
        <v>2453.6999999999998</v>
      </c>
    </row>
    <row r="182" spans="1:13" x14ac:dyDescent="0.45">
      <c r="A182" s="10">
        <v>48</v>
      </c>
      <c r="B182" s="10">
        <v>499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393.02291999999994</v>
      </c>
      <c r="G182" s="12">
        <f ca="1">(RANDBETWEEN(50,100)/100)*(dict_DQ_Meth_max[[#This Row],[Vergleich_ub]]-dict_DQ_Meth_max[[#This Row],[Vergleich_lb]])+dict_DQ_Meth_max[[#This Row],[Vergleich_lb]]</f>
        <v>2208.3813</v>
      </c>
      <c r="H182" s="11" t="str">
        <f ca="1">VLOOKUP(VLOOKUP(dict_DQ_Meth_max[[#This Row],[ID_DataQualities]],table_DataQualities[],3),table_Units[],2)</f>
        <v>Hz</v>
      </c>
      <c r="I182" s="10"/>
      <c r="J182" s="10"/>
      <c r="K182" s="10"/>
      <c r="L182" s="10">
        <f ca="1">VLOOKUP(dict_DQ_Meth_max[[#This Row],[ID_DataQualities]],table_DataQualities[],8,FALSE)</f>
        <v>0.51300000000000001</v>
      </c>
      <c r="M182" s="10">
        <f ca="1">VLOOKUP(dict_DQ_Meth_max[[#This Row],[ID_DataQualities]],table_DataQualities[],9,FALSE)</f>
        <v>2453.6999999999998</v>
      </c>
    </row>
    <row r="183" spans="1:13" x14ac:dyDescent="0.45">
      <c r="A183" s="10">
        <v>48</v>
      </c>
      <c r="B183" s="10">
        <v>20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221.29982999999999</v>
      </c>
      <c r="G183" s="12">
        <f ca="1">(RANDBETWEEN(50,100)/100)*(dict_DQ_Meth_max[[#This Row],[Vergleich_ub]]-dict_DQ_Meth_max[[#This Row],[Vergleich_lb]])+dict_DQ_Meth_max[[#This Row],[Vergleich_lb]]</f>
        <v>1374.29772</v>
      </c>
      <c r="H183" s="11" t="str">
        <f ca="1">VLOOKUP(VLOOKUP(dict_DQ_Meth_max[[#This Row],[ID_DataQualities]],table_DataQualities[],3),table_Units[],2)</f>
        <v>Hz</v>
      </c>
      <c r="I183" s="10"/>
      <c r="J183" s="10"/>
      <c r="K183" s="10"/>
      <c r="L183" s="10">
        <f ca="1">VLOOKUP(dict_DQ_Meth_max[[#This Row],[ID_DataQualities]],table_DataQualities[],8,FALSE)</f>
        <v>0.51300000000000001</v>
      </c>
      <c r="M183" s="10">
        <f ca="1">VLOOKUP(dict_DQ_Meth_max[[#This Row],[ID_DataQualities]],table_DataQualities[],9,FALSE)</f>
        <v>2453.6999999999998</v>
      </c>
    </row>
    <row r="184" spans="1:13" x14ac:dyDescent="0.45">
      <c r="A184" s="10">
        <v>49</v>
      </c>
      <c r="B184" s="10">
        <v>499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3.6146500000000001</v>
      </c>
      <c r="G184" s="12">
        <f ca="1">(RANDBETWEEN(50,100)/100)*(dict_DQ_Meth_max[[#This Row],[Vergleich_ub]]-dict_DQ_Meth_max[[#This Row],[Vergleich_lb]])+dict_DQ_Meth_max[[#This Row],[Vergleich_lb]]</f>
        <v>5.6784000000000017</v>
      </c>
      <c r="H184" s="11" t="str">
        <f ca="1">VLOOKUP(VLOOKUP(dict_DQ_Meth_max[[#This Row],[ID_DataQualities]],table_DataQualities[],3),table_Units[],2)</f>
        <v>+/- mm</v>
      </c>
      <c r="I184" s="10"/>
      <c r="J184" s="10"/>
      <c r="K184" s="10"/>
      <c r="L184" s="10">
        <f ca="1">VLOOKUP(dict_DQ_Meth_max[[#This Row],[ID_DataQualities]],table_DataQualities[],8,FALSE)</f>
        <v>6.5000000000000002E-2</v>
      </c>
      <c r="M184" s="10">
        <f ca="1">VLOOKUP(dict_DQ_Meth_max[[#This Row],[ID_DataQualities]],table_DataQualities[],9,FALSE)</f>
        <v>8.32</v>
      </c>
    </row>
    <row r="185" spans="1:13" x14ac:dyDescent="0.45">
      <c r="A185" s="10">
        <v>49</v>
      </c>
      <c r="B185" s="10">
        <v>42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3.6146500000000001</v>
      </c>
      <c r="G185" s="12">
        <f ca="1">(RANDBETWEEN(50,100)/100)*(dict_DQ_Meth_max[[#This Row],[Vergleich_ub]]-dict_DQ_Meth_max[[#This Row],[Vergleich_lb]])+dict_DQ_Meth_max[[#This Row],[Vergleich_lb]]</f>
        <v>7.7421500000000014</v>
      </c>
      <c r="H185" s="11" t="str">
        <f ca="1">VLOOKUP(VLOOKUP(dict_DQ_Meth_max[[#This Row],[ID_DataQualities]],table_DataQualities[],3),table_Units[],2)</f>
        <v>+/- mm</v>
      </c>
      <c r="I185" s="10"/>
      <c r="J185" s="10"/>
      <c r="K185" s="10"/>
      <c r="L185" s="10">
        <f ca="1">VLOOKUP(dict_DQ_Meth_max[[#This Row],[ID_DataQualities]],table_DataQualities[],8,FALSE)</f>
        <v>6.5000000000000002E-2</v>
      </c>
      <c r="M185" s="10">
        <f ca="1">VLOOKUP(dict_DQ_Meth_max[[#This Row],[ID_DataQualities]],table_DataQualities[],9,FALSE)</f>
        <v>8.32</v>
      </c>
    </row>
    <row r="186" spans="1:13" x14ac:dyDescent="0.45">
      <c r="A186" s="10">
        <v>49</v>
      </c>
      <c r="B186" s="10">
        <v>20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3.3670000000000004</v>
      </c>
      <c r="G186" s="12">
        <f ca="1">(RANDBETWEEN(50,100)/100)*(dict_DQ_Meth_max[[#This Row],[Vergleich_ub]]-dict_DQ_Meth_max[[#This Row],[Vergleich_lb]])+dict_DQ_Meth_max[[#This Row],[Vergleich_lb]]</f>
        <v>7.4945000000000013</v>
      </c>
      <c r="H186" s="11" t="str">
        <f ca="1">VLOOKUP(VLOOKUP(dict_DQ_Meth_max[[#This Row],[ID_DataQualities]],table_DataQualities[],3),table_Units[],2)</f>
        <v>+/- mm</v>
      </c>
      <c r="I186" s="10"/>
      <c r="J186" s="10"/>
      <c r="K186" s="10"/>
      <c r="L186" s="10">
        <f ca="1">VLOOKUP(dict_DQ_Meth_max[[#This Row],[ID_DataQualities]],table_DataQualities[],8,FALSE)</f>
        <v>6.5000000000000002E-2</v>
      </c>
      <c r="M186" s="10">
        <f ca="1">VLOOKUP(dict_DQ_Meth_max[[#This Row],[ID_DataQualities]],table_DataQualities[],9,FALSE)</f>
        <v>8.32</v>
      </c>
    </row>
    <row r="187" spans="1:13" x14ac:dyDescent="0.45">
      <c r="A187" s="10">
        <v>49</v>
      </c>
      <c r="B187" s="10">
        <v>191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1.3858000000000001</v>
      </c>
      <c r="G187" s="12">
        <f ca="1">(RANDBETWEEN(50,100)/100)*(dict_DQ_Meth_max[[#This Row],[Vergleich_ub]]-dict_DQ_Meth_max[[#This Row],[Vergleich_lb]])+dict_DQ_Meth_max[[#This Row],[Vergleich_lb]]</f>
        <v>5.100550000000001</v>
      </c>
      <c r="H187" s="11" t="str">
        <f ca="1">VLOOKUP(VLOOKUP(dict_DQ_Meth_max[[#This Row],[ID_DataQualities]],table_DataQualities[],3),table_Units[],2)</f>
        <v>+/- mm</v>
      </c>
      <c r="I187" s="10"/>
      <c r="J187" s="10"/>
      <c r="K187" s="10"/>
      <c r="L187" s="10">
        <f ca="1">VLOOKUP(dict_DQ_Meth_max[[#This Row],[ID_DataQualities]],table_DataQualities[],8,FALSE)</f>
        <v>6.5000000000000002E-2</v>
      </c>
      <c r="M187" s="10">
        <f ca="1">VLOOKUP(dict_DQ_Meth_max[[#This Row],[ID_DataQualities]],table_DataQualities[],9,FALSE)</f>
        <v>8.32</v>
      </c>
    </row>
    <row r="188" spans="1:13" x14ac:dyDescent="0.45">
      <c r="A188" s="10">
        <v>50</v>
      </c>
      <c r="B188" s="10">
        <v>443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2077.9147499999999</v>
      </c>
      <c r="G188" s="12">
        <f ca="1">(RANDBETWEEN(50,100)/100)*(dict_DQ_Meth_max[[#This Row],[Vergleich_ub]]-dict_DQ_Meth_max[[#This Row],[Vergleich_lb]])+dict_DQ_Meth_max[[#This Row],[Vergleich_lb]]</f>
        <v>4570.628850000001</v>
      </c>
      <c r="H188" s="11" t="str">
        <f ca="1">VLOOKUP(VLOOKUP(dict_DQ_Meth_max[[#This Row],[ID_DataQualities]],table_DataQualities[],3),table_Units[],2)</f>
        <v>Hz</v>
      </c>
      <c r="I188" s="10"/>
      <c r="J188" s="10"/>
      <c r="K188" s="10"/>
      <c r="L188" s="10">
        <f ca="1">VLOOKUP(dict_DQ_Meth_max[[#This Row],[ID_DataQualities]],table_DataQualities[],8,FALSE)</f>
        <v>0.65300000000000002</v>
      </c>
      <c r="M188" s="10">
        <f ca="1">VLOOKUP(dict_DQ_Meth_max[[#This Row],[ID_DataQualities]],table_DataQualities[],9,FALSE)</f>
        <v>8309.7000000000007</v>
      </c>
    </row>
    <row r="189" spans="1:13" x14ac:dyDescent="0.45">
      <c r="A189" s="10">
        <v>50</v>
      </c>
      <c r="B189" s="10">
        <v>291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1994.82428</v>
      </c>
      <c r="G189" s="12">
        <f ca="1">(RANDBETWEEN(50,100)/100)*(dict_DQ_Meth_max[[#This Row],[Vergleich_ub]]-dict_DQ_Meth_max[[#This Row],[Vergleich_lb]])+dict_DQ_Meth_max[[#This Row],[Vergleich_lb]]</f>
        <v>6980.2524800000001</v>
      </c>
      <c r="H189" s="11" t="str">
        <f ca="1">VLOOKUP(VLOOKUP(dict_DQ_Meth_max[[#This Row],[ID_DataQualities]],table_DataQualities[],3),table_Units[],2)</f>
        <v>Hz</v>
      </c>
      <c r="I189" s="10"/>
      <c r="J189" s="10"/>
      <c r="K189" s="10"/>
      <c r="L189" s="10">
        <f ca="1">VLOOKUP(dict_DQ_Meth_max[[#This Row],[ID_DataQualities]],table_DataQualities[],8,FALSE)</f>
        <v>0.65300000000000002</v>
      </c>
      <c r="M189" s="10">
        <f ca="1">VLOOKUP(dict_DQ_Meth_max[[#This Row],[ID_DataQualities]],table_DataQualities[],9,FALSE)</f>
        <v>8309.7000000000007</v>
      </c>
    </row>
    <row r="190" spans="1:13" x14ac:dyDescent="0.45">
      <c r="A190" s="10">
        <v>50</v>
      </c>
      <c r="B190" s="10">
        <v>244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1330.1005200000002</v>
      </c>
      <c r="G190" s="12">
        <f ca="1">(RANDBETWEEN(50,100)/100)*(dict_DQ_Meth_max[[#This Row],[Vergleich_ub]]-dict_DQ_Meth_max[[#This Row],[Vergleich_lb]])+dict_DQ_Meth_max[[#This Row],[Vergleich_lb]]</f>
        <v>7561.8857700000008</v>
      </c>
      <c r="H190" s="11" t="str">
        <f ca="1">VLOOKUP(VLOOKUP(dict_DQ_Meth_max[[#This Row],[ID_DataQualities]],table_DataQualities[],3),table_Units[],2)</f>
        <v>Hz</v>
      </c>
      <c r="I190" s="10"/>
      <c r="J190" s="10"/>
      <c r="K190" s="10"/>
      <c r="L190" s="10">
        <f ca="1">VLOOKUP(dict_DQ_Meth_max[[#This Row],[ID_DataQualities]],table_DataQualities[],8,FALSE)</f>
        <v>0.65300000000000002</v>
      </c>
      <c r="M190" s="10">
        <f ca="1">VLOOKUP(dict_DQ_Meth_max[[#This Row],[ID_DataQualities]],table_DataQualities[],9,FALSE)</f>
        <v>8309.7000000000007</v>
      </c>
    </row>
    <row r="191" spans="1:13" x14ac:dyDescent="0.45">
      <c r="A191" s="10">
        <v>51</v>
      </c>
      <c r="B191" s="10">
        <v>443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0.17371999999999999</v>
      </c>
      <c r="G191" s="12">
        <f ca="1">(RANDBETWEEN(50,100)/100)*(dict_DQ_Meth_max[[#This Row],[Vergleich_ub]]-dict_DQ_Meth_max[[#This Row],[Vergleich_lb]])+dict_DQ_Meth_max[[#This Row],[Vergleich_lb]]</f>
        <v>6.53</v>
      </c>
      <c r="H191" s="11" t="str">
        <f ca="1">VLOOKUP(VLOOKUP(dict_DQ_Meth_max[[#This Row],[ID_DataQualities]],table_DataQualities[],3),table_Units[],2)</f>
        <v>+/- W</v>
      </c>
      <c r="I191" s="10"/>
      <c r="J191" s="10"/>
      <c r="K191" s="10"/>
      <c r="L191" s="10">
        <f ca="1">VLOOKUP(dict_DQ_Meth_max[[#This Row],[ID_DataQualities]],table_DataQualities[],8,FALSE)</f>
        <v>4.3999999999999997E-2</v>
      </c>
      <c r="M191" s="10">
        <f ca="1">VLOOKUP(dict_DQ_Meth_max[[#This Row],[ID_DataQualities]],table_DataQualities[],9,FALSE)</f>
        <v>6.53</v>
      </c>
    </row>
    <row r="192" spans="1:13" x14ac:dyDescent="0.45">
      <c r="A192" s="10">
        <v>51</v>
      </c>
      <c r="B192" s="10">
        <v>291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2.9627000000000003</v>
      </c>
      <c r="G192" s="12">
        <f ca="1">(RANDBETWEEN(50,100)/100)*(dict_DQ_Meth_max[[#This Row],[Vergleich_ub]]-dict_DQ_Meth_max[[#This Row],[Vergleich_lb]])+dict_DQ_Meth_max[[#This Row],[Vergleich_lb]]</f>
        <v>4.0653199999999998</v>
      </c>
      <c r="H192" s="11" t="str">
        <f ca="1">VLOOKUP(VLOOKUP(dict_DQ_Meth_max[[#This Row],[ID_DataQualities]],table_DataQualities[],3),table_Units[],2)</f>
        <v>+/- W</v>
      </c>
      <c r="I192" s="10"/>
      <c r="J192" s="10"/>
      <c r="K192" s="10"/>
      <c r="L192" s="10">
        <f ca="1">VLOOKUP(dict_DQ_Meth_max[[#This Row],[ID_DataQualities]],table_DataQualities[],8,FALSE)</f>
        <v>4.3999999999999997E-2</v>
      </c>
      <c r="M192" s="10">
        <f ca="1">VLOOKUP(dict_DQ_Meth_max[[#This Row],[ID_DataQualities]],table_DataQualities[],9,FALSE)</f>
        <v>6.53</v>
      </c>
    </row>
    <row r="193" spans="1:13" x14ac:dyDescent="0.45">
      <c r="A193" s="10">
        <v>51</v>
      </c>
      <c r="B193" s="10">
        <v>244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0.56288000000000005</v>
      </c>
      <c r="G193" s="12">
        <f ca="1">(RANDBETWEEN(50,100)/100)*(dict_DQ_Meth_max[[#This Row],[Vergleich_ub]]-dict_DQ_Meth_max[[#This Row],[Vergleich_lb]])+dict_DQ_Meth_max[[#This Row],[Vergleich_lb]]</f>
        <v>3.9356000000000004</v>
      </c>
      <c r="H193" s="11" t="str">
        <f ca="1">VLOOKUP(VLOOKUP(dict_DQ_Meth_max[[#This Row],[ID_DataQualities]],table_DataQualities[],3),table_Units[],2)</f>
        <v>+/- W</v>
      </c>
      <c r="I193" s="10"/>
      <c r="J193" s="10"/>
      <c r="K193" s="10"/>
      <c r="L193" s="10">
        <f ca="1">VLOOKUP(dict_DQ_Meth_max[[#This Row],[ID_DataQualities]],table_DataQualities[],8,FALSE)</f>
        <v>4.3999999999999997E-2</v>
      </c>
      <c r="M193" s="10">
        <f ca="1">VLOOKUP(dict_DQ_Meth_max[[#This Row],[ID_DataQualities]],table_DataQualities[],9,FALSE)</f>
        <v>6.53</v>
      </c>
    </row>
    <row r="194" spans="1:13" x14ac:dyDescent="0.45">
      <c r="A194" s="10">
        <v>52</v>
      </c>
      <c r="B194" s="10">
        <v>75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1299.1556400000002</v>
      </c>
      <c r="G194" s="12">
        <f ca="1">(RANDBETWEEN(50,100)/100)*(dict_DQ_Meth_max[[#This Row],[Vergleich_ub]]-dict_DQ_Meth_max[[#This Row],[Vergleich_lb]])+dict_DQ_Meth_max[[#This Row],[Vergleich_lb]]</f>
        <v>3939.26136</v>
      </c>
      <c r="H194" s="11" t="str">
        <f ca="1">VLOOKUP(VLOOKUP(dict_DQ_Meth_max[[#This Row],[ID_DataQualities]],table_DataQualities[],3),table_Units[],2)</f>
        <v>Hz</v>
      </c>
      <c r="I194" s="10"/>
      <c r="J194" s="10"/>
      <c r="K194" s="10"/>
      <c r="L194" s="10">
        <f ca="1">VLOOKUP(dict_DQ_Meth_max[[#This Row],[ID_DataQualities]],table_DataQualities[],8,FALSE)</f>
        <v>5.6000000000000001E-2</v>
      </c>
      <c r="M194" s="10">
        <f ca="1">VLOOKUP(dict_DQ_Meth_max[[#This Row],[ID_DataQualities]],table_DataQualities[],9,FALSE)</f>
        <v>4190.7</v>
      </c>
    </row>
    <row r="195" spans="1:13" x14ac:dyDescent="0.45">
      <c r="A195" s="10">
        <v>52</v>
      </c>
      <c r="B195" s="10">
        <v>26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1550.59428</v>
      </c>
      <c r="G195" s="12">
        <f ca="1">(RANDBETWEEN(50,100)/100)*(dict_DQ_Meth_max[[#This Row],[Vergleich_ub]]-dict_DQ_Meth_max[[#This Row],[Vergleich_lb]])+dict_DQ_Meth_max[[#This Row],[Vergleich_lb]]</f>
        <v>3059.2261200000003</v>
      </c>
      <c r="H195" s="11" t="str">
        <f ca="1">VLOOKUP(VLOOKUP(dict_DQ_Meth_max[[#This Row],[ID_DataQualities]],table_DataQualities[],3),table_Units[],2)</f>
        <v>Hz</v>
      </c>
      <c r="I195" s="10"/>
      <c r="J195" s="10"/>
      <c r="K195" s="10"/>
      <c r="L195" s="10">
        <f ca="1">VLOOKUP(dict_DQ_Meth_max[[#This Row],[ID_DataQualities]],table_DataQualities[],8,FALSE)</f>
        <v>5.6000000000000001E-2</v>
      </c>
      <c r="M195" s="10">
        <f ca="1">VLOOKUP(dict_DQ_Meth_max[[#This Row],[ID_DataQualities]],table_DataQualities[],9,FALSE)</f>
        <v>4190.7</v>
      </c>
    </row>
    <row r="196" spans="1:13" x14ac:dyDescent="0.45">
      <c r="A196" s="10">
        <v>52</v>
      </c>
      <c r="B196" s="10">
        <v>486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1592.5007200000002</v>
      </c>
      <c r="G196" s="12">
        <f ca="1">(RANDBETWEEN(50,100)/100)*(dict_DQ_Meth_max[[#This Row],[Vergleich_ub]]-dict_DQ_Meth_max[[#This Row],[Vergleich_lb]])+dict_DQ_Meth_max[[#This Row],[Vergleich_lb]]</f>
        <v>3310.6647600000006</v>
      </c>
      <c r="H196" s="11" t="str">
        <f ca="1">VLOOKUP(VLOOKUP(dict_DQ_Meth_max[[#This Row],[ID_DataQualities]],table_DataQualities[],3),table_Units[],2)</f>
        <v>Hz</v>
      </c>
      <c r="I196" s="10"/>
      <c r="J196" s="10"/>
      <c r="K196" s="10"/>
      <c r="L196" s="10">
        <f ca="1">VLOOKUP(dict_DQ_Meth_max[[#This Row],[ID_DataQualities]],table_DataQualities[],8,FALSE)</f>
        <v>5.6000000000000001E-2</v>
      </c>
      <c r="M196" s="10">
        <f ca="1">VLOOKUP(dict_DQ_Meth_max[[#This Row],[ID_DataQualities]],table_DataQualities[],9,FALSE)</f>
        <v>4190.7</v>
      </c>
    </row>
    <row r="197" spans="1:13" x14ac:dyDescent="0.45">
      <c r="A197" s="10">
        <v>52</v>
      </c>
      <c r="B197" s="10">
        <v>457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1718.2200399999999</v>
      </c>
      <c r="G197" s="12">
        <f ca="1">(RANDBETWEEN(50,100)/100)*(dict_DQ_Meth_max[[#This Row],[Vergleich_ub]]-dict_DQ_Meth_max[[#This Row],[Vergleich_lb]])+dict_DQ_Meth_max[[#This Row],[Vergleich_lb]]</f>
        <v>4064.9806800000001</v>
      </c>
      <c r="H197" s="11" t="str">
        <f ca="1">VLOOKUP(VLOOKUP(dict_DQ_Meth_max[[#This Row],[ID_DataQualities]],table_DataQualities[],3),table_Units[],2)</f>
        <v>Hz</v>
      </c>
      <c r="I197" s="10"/>
      <c r="J197" s="10"/>
      <c r="K197" s="10"/>
      <c r="L197" s="10">
        <f ca="1">VLOOKUP(dict_DQ_Meth_max[[#This Row],[ID_DataQualities]],table_DataQualities[],8,FALSE)</f>
        <v>5.6000000000000001E-2</v>
      </c>
      <c r="M197" s="10">
        <f ca="1">VLOOKUP(dict_DQ_Meth_max[[#This Row],[ID_DataQualities]],table_DataQualities[],9,FALSE)</f>
        <v>4190.7</v>
      </c>
    </row>
    <row r="198" spans="1:13" x14ac:dyDescent="0.45">
      <c r="A198" s="10">
        <v>53</v>
      </c>
      <c r="B198" s="10">
        <v>26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0.14320000000000002</v>
      </c>
      <c r="G198" s="12">
        <f ca="1">(RANDBETWEEN(50,100)/100)*(dict_DQ_Meth_max[[#This Row],[Vergleich_ub]]-dict_DQ_Meth_max[[#This Row],[Vergleich_lb]])+dict_DQ_Meth_max[[#This Row],[Vergleich_lb]]</f>
        <v>0.4032</v>
      </c>
      <c r="H198" s="11" t="str">
        <f ca="1">VLOOKUP(VLOOKUP(dict_DQ_Meth_max[[#This Row],[ID_DataQualities]],table_DataQualities[],3),table_Units[],2)</f>
        <v>+/- cm³/s</v>
      </c>
      <c r="I198" s="10"/>
      <c r="J198" s="10"/>
      <c r="K198" s="10"/>
      <c r="L198" s="10">
        <f ca="1">VLOOKUP(dict_DQ_Meth_max[[#This Row],[ID_DataQualities]],table_DataQualities[],8,FALSE)</f>
        <v>8.0000000000000002E-3</v>
      </c>
      <c r="M198" s="10">
        <f ca="1">VLOOKUP(dict_DQ_Meth_max[[#This Row],[ID_DataQualities]],table_DataQualities[],9,FALSE)</f>
        <v>0.52800000000000002</v>
      </c>
    </row>
    <row r="199" spans="1:13" x14ac:dyDescent="0.45">
      <c r="A199" s="10">
        <v>53</v>
      </c>
      <c r="B199" s="10">
        <v>457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0.1016</v>
      </c>
      <c r="G199" s="12">
        <f ca="1">(RANDBETWEEN(50,100)/100)*(dict_DQ_Meth_max[[#This Row],[Vergleich_ub]]-dict_DQ_Meth_max[[#This Row],[Vergleich_lb]])+dict_DQ_Meth_max[[#This Row],[Vergleich_lb]]</f>
        <v>0.26800000000000002</v>
      </c>
      <c r="H199" s="11" t="str">
        <f ca="1">VLOOKUP(VLOOKUP(dict_DQ_Meth_max[[#This Row],[ID_DataQualities]],table_DataQualities[],3),table_Units[],2)</f>
        <v>+/- cm³/s</v>
      </c>
      <c r="I199" s="10"/>
      <c r="J199" s="10"/>
      <c r="K199" s="10"/>
      <c r="L199" s="10">
        <f ca="1">VLOOKUP(dict_DQ_Meth_max[[#This Row],[ID_DataQualities]],table_DataQualities[],8,FALSE)</f>
        <v>8.0000000000000002E-3</v>
      </c>
      <c r="M199" s="10">
        <f ca="1">VLOOKUP(dict_DQ_Meth_max[[#This Row],[ID_DataQualities]],table_DataQualities[],9,FALSE)</f>
        <v>0.52800000000000002</v>
      </c>
    </row>
    <row r="200" spans="1:13" x14ac:dyDescent="0.45">
      <c r="A200" s="10">
        <v>53</v>
      </c>
      <c r="B200" s="10">
        <v>75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0.18480000000000002</v>
      </c>
      <c r="G200" s="12">
        <f ca="1">(RANDBETWEEN(50,100)/100)*(dict_DQ_Meth_max[[#This Row],[Vergleich_ub]]-dict_DQ_Meth_max[[#This Row],[Vergleich_lb]])+dict_DQ_Meth_max[[#This Row],[Vergleich_lb]]</f>
        <v>0.372</v>
      </c>
      <c r="H200" s="11" t="str">
        <f ca="1">VLOOKUP(VLOOKUP(dict_DQ_Meth_max[[#This Row],[ID_DataQualities]],table_DataQualities[],3),table_Units[],2)</f>
        <v>+/- cm³/s</v>
      </c>
      <c r="I200" s="10"/>
      <c r="J200" s="10"/>
      <c r="K200" s="10"/>
      <c r="L200" s="10">
        <f ca="1">VLOOKUP(dict_DQ_Meth_max[[#This Row],[ID_DataQualities]],table_DataQualities[],8,FALSE)</f>
        <v>8.0000000000000002E-3</v>
      </c>
      <c r="M200" s="10">
        <f ca="1">VLOOKUP(dict_DQ_Meth_max[[#This Row],[ID_DataQualities]],table_DataQualities[],9,FALSE)</f>
        <v>0.52800000000000002</v>
      </c>
    </row>
    <row r="201" spans="1:13" x14ac:dyDescent="0.45">
      <c r="A201" s="10">
        <v>53</v>
      </c>
      <c r="B201" s="10">
        <v>486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0.26800000000000002</v>
      </c>
      <c r="G201" s="12">
        <f ca="1">(RANDBETWEEN(50,100)/100)*(dict_DQ_Meth_max[[#This Row],[Vergleich_ub]]-dict_DQ_Meth_max[[#This Row],[Vergleich_lb]])+dict_DQ_Meth_max[[#This Row],[Vergleich_lb]]</f>
        <v>0.52800000000000002</v>
      </c>
      <c r="H201" s="11" t="str">
        <f ca="1">VLOOKUP(VLOOKUP(dict_DQ_Meth_max[[#This Row],[ID_DataQualities]],table_DataQualities[],3),table_Units[],2)</f>
        <v>+/- cm³/s</v>
      </c>
      <c r="I201" s="10"/>
      <c r="J201" s="10"/>
      <c r="K201" s="10"/>
      <c r="L201" s="10">
        <f ca="1">VLOOKUP(dict_DQ_Meth_max[[#This Row],[ID_DataQualities]],table_DataQualities[],8,FALSE)</f>
        <v>8.0000000000000002E-3</v>
      </c>
      <c r="M201" s="10">
        <f ca="1">VLOOKUP(dict_DQ_Meth_max[[#This Row],[ID_DataQualities]],table_DataQualities[],9,FALSE)</f>
        <v>0.52800000000000002</v>
      </c>
    </row>
    <row r="202" spans="1:13" x14ac:dyDescent="0.45">
      <c r="A202" s="10">
        <v>54</v>
      </c>
      <c r="B202" s="10">
        <v>506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8.894540000000001</v>
      </c>
      <c r="G202" s="12">
        <f ca="1">(RANDBETWEEN(50,100)/100)*(dict_DQ_Meth_max[[#This Row],[Vergleich_ub]]-dict_DQ_Meth_max[[#This Row],[Vergleich_lb]])+dict_DQ_Meth_max[[#This Row],[Vergleich_lb]]</f>
        <v>242.9692</v>
      </c>
      <c r="H202" s="11" t="str">
        <f ca="1">VLOOKUP(VLOOKUP(dict_DQ_Meth_max[[#This Row],[ID_DataQualities]],table_DataQualities[],3),table_Units[],2)</f>
        <v>Hz</v>
      </c>
      <c r="I202" s="10"/>
      <c r="J202" s="10"/>
      <c r="K202" s="10"/>
      <c r="L202" s="10">
        <f ca="1">VLOOKUP(dict_DQ_Meth_max[[#This Row],[ID_DataQualities]],table_DataQualities[],8,FALSE)</f>
        <v>0.82299999999999995</v>
      </c>
      <c r="M202" s="10">
        <f ca="1">VLOOKUP(dict_DQ_Meth_max[[#This Row],[ID_DataQualities]],table_DataQualities[],9,FALSE)</f>
        <v>404.4</v>
      </c>
    </row>
    <row r="203" spans="1:13" x14ac:dyDescent="0.45">
      <c r="A203" s="10">
        <v>54</v>
      </c>
      <c r="B203" s="10">
        <v>238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150.14649</v>
      </c>
      <c r="G203" s="12">
        <f ca="1">(RANDBETWEEN(50,100)/100)*(dict_DQ_Meth_max[[#This Row],[Vergleich_ub]]-dict_DQ_Meth_max[[#This Row],[Vergleich_lb]])+dict_DQ_Meth_max[[#This Row],[Vergleich_lb]]</f>
        <v>287.36266999999998</v>
      </c>
      <c r="H203" s="11" t="str">
        <f ca="1">VLOOKUP(VLOOKUP(dict_DQ_Meth_max[[#This Row],[ID_DataQualities]],table_DataQualities[],3),table_Units[],2)</f>
        <v>Hz</v>
      </c>
      <c r="I203" s="10"/>
      <c r="J203" s="10"/>
      <c r="K203" s="10"/>
      <c r="L203" s="10">
        <f ca="1">VLOOKUP(dict_DQ_Meth_max[[#This Row],[ID_DataQualities]],table_DataQualities[],8,FALSE)</f>
        <v>0.82299999999999995</v>
      </c>
      <c r="M203" s="10">
        <f ca="1">VLOOKUP(dict_DQ_Meth_max[[#This Row],[ID_DataQualities]],table_DataQualities[],9,FALSE)</f>
        <v>404.4</v>
      </c>
    </row>
    <row r="204" spans="1:13" x14ac:dyDescent="0.45">
      <c r="A204" s="10">
        <v>54</v>
      </c>
      <c r="B204" s="10">
        <v>583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93.645709999999994</v>
      </c>
      <c r="G204" s="12">
        <f ca="1">(RANDBETWEEN(50,100)/100)*(dict_DQ_Meth_max[[#This Row],[Vergleich_ub]]-dict_DQ_Meth_max[[#This Row],[Vergleich_lb]])+dict_DQ_Meth_max[[#This Row],[Vergleich_lb]]</f>
        <v>388.25691999999998</v>
      </c>
      <c r="H204" s="11" t="str">
        <f ca="1">VLOOKUP(VLOOKUP(dict_DQ_Meth_max[[#This Row],[ID_DataQualities]],table_DataQualities[],3),table_Units[],2)</f>
        <v>Hz</v>
      </c>
      <c r="I204" s="10"/>
      <c r="J204" s="10"/>
      <c r="K204" s="10"/>
      <c r="L204" s="10">
        <f ca="1">VLOOKUP(dict_DQ_Meth_max[[#This Row],[ID_DataQualities]],table_DataQualities[],8,FALSE)</f>
        <v>0.82299999999999995</v>
      </c>
      <c r="M204" s="10">
        <f ca="1">VLOOKUP(dict_DQ_Meth_max[[#This Row],[ID_DataQualities]],table_DataQualities[],9,FALSE)</f>
        <v>404.4</v>
      </c>
    </row>
    <row r="205" spans="1:13" x14ac:dyDescent="0.45">
      <c r="A205" s="10">
        <v>54</v>
      </c>
      <c r="B205" s="10">
        <v>74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109.78879000000001</v>
      </c>
      <c r="G205" s="12">
        <f ca="1">(RANDBETWEEN(50,100)/100)*(dict_DQ_Meth_max[[#This Row],[Vergleich_ub]]-dict_DQ_Meth_max[[#This Row],[Vergleich_lb]])+dict_DQ_Meth_max[[#This Row],[Vergleich_lb]]</f>
        <v>372.11383999999998</v>
      </c>
      <c r="H205" s="11" t="str">
        <f ca="1">VLOOKUP(VLOOKUP(dict_DQ_Meth_max[[#This Row],[ID_DataQualities]],table_DataQualities[],3),table_Units[],2)</f>
        <v>Hz</v>
      </c>
      <c r="I205" s="10"/>
      <c r="J205" s="10"/>
      <c r="K205" s="10"/>
      <c r="L205" s="10">
        <f ca="1">VLOOKUP(dict_DQ_Meth_max[[#This Row],[ID_DataQualities]],table_DataQualities[],8,FALSE)</f>
        <v>0.82299999999999995</v>
      </c>
      <c r="M205" s="10">
        <f ca="1">VLOOKUP(dict_DQ_Meth_max[[#This Row],[ID_DataQualities]],table_DataQualities[],9,FALSE)</f>
        <v>404.4</v>
      </c>
    </row>
    <row r="206" spans="1:13" x14ac:dyDescent="0.45">
      <c r="A206" s="10">
        <v>54</v>
      </c>
      <c r="B206" s="10">
        <v>487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101.71724999999999</v>
      </c>
      <c r="G206" s="12">
        <f ca="1">(RANDBETWEEN(50,100)/100)*(dict_DQ_Meth_max[[#This Row],[Vergleich_ub]]-dict_DQ_Meth_max[[#This Row],[Vergleich_lb]])+dict_DQ_Meth_max[[#This Row],[Vergleich_lb]]</f>
        <v>303.50574999999998</v>
      </c>
      <c r="H206" s="11" t="str">
        <f ca="1">VLOOKUP(VLOOKUP(dict_DQ_Meth_max[[#This Row],[ID_DataQualities]],table_DataQualities[],3),table_Units[],2)</f>
        <v>Hz</v>
      </c>
      <c r="I206" s="10"/>
      <c r="J206" s="10"/>
      <c r="K206" s="10"/>
      <c r="L206" s="10">
        <f ca="1">VLOOKUP(dict_DQ_Meth_max[[#This Row],[ID_DataQualities]],table_DataQualities[],8,FALSE)</f>
        <v>0.82299999999999995</v>
      </c>
      <c r="M206" s="10">
        <f ca="1">VLOOKUP(dict_DQ_Meth_max[[#This Row],[ID_DataQualities]],table_DataQualities[],9,FALSE)</f>
        <v>404.4</v>
      </c>
    </row>
    <row r="207" spans="1:13" x14ac:dyDescent="0.45">
      <c r="A207" s="10">
        <v>55</v>
      </c>
      <c r="B207" s="10">
        <v>506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2834.7</v>
      </c>
      <c r="G207" s="12">
        <f ca="1">(RANDBETWEEN(50,100)/100)*(dict_DQ_Meth_max[[#This Row],[Vergleich_ub]]-dict_DQ_Meth_max[[#This Row],[Vergleich_lb]])+dict_DQ_Meth_max[[#This Row],[Vergleich_lb]]</f>
        <v>6639.0899999999992</v>
      </c>
      <c r="H207" s="11" t="str">
        <f ca="1">VLOOKUP(VLOOKUP(dict_DQ_Meth_max[[#This Row],[ID_DataQualities]],table_DataQualities[],3),table_Units[],2)</f>
        <v>bit</v>
      </c>
      <c r="I207" s="10"/>
      <c r="J207" s="10"/>
      <c r="K207" s="10"/>
      <c r="L207" s="10">
        <f ca="1">VLOOKUP(dict_DQ_Meth_max[[#This Row],[ID_DataQualities]],table_DataQualities[],8,FALSE)</f>
        <v>51</v>
      </c>
      <c r="M207" s="10">
        <f ca="1">VLOOKUP(dict_DQ_Meth_max[[#This Row],[ID_DataQualities]],table_DataQualities[],9,FALSE)</f>
        <v>9330</v>
      </c>
    </row>
    <row r="208" spans="1:13" x14ac:dyDescent="0.45">
      <c r="A208" s="10">
        <v>55</v>
      </c>
      <c r="B208" s="10">
        <v>583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978.90000000000009</v>
      </c>
      <c r="G208" s="12">
        <f ca="1">(RANDBETWEEN(50,100)/100)*(dict_DQ_Meth_max[[#This Row],[Vergleich_ub]]-dict_DQ_Meth_max[[#This Row],[Vergleich_lb]])+dict_DQ_Meth_max[[#This Row],[Vergleich_lb]]</f>
        <v>7938.15</v>
      </c>
      <c r="H208" s="11" t="str">
        <f ca="1">VLOOKUP(VLOOKUP(dict_DQ_Meth_max[[#This Row],[ID_DataQualities]],table_DataQualities[],3),table_Units[],2)</f>
        <v>bit</v>
      </c>
      <c r="I208" s="10"/>
      <c r="J208" s="10"/>
      <c r="K208" s="10"/>
      <c r="L208" s="10">
        <f ca="1">VLOOKUP(dict_DQ_Meth_max[[#This Row],[ID_DataQualities]],table_DataQualities[],8,FALSE)</f>
        <v>51</v>
      </c>
      <c r="M208" s="10">
        <f ca="1">VLOOKUP(dict_DQ_Meth_max[[#This Row],[ID_DataQualities]],table_DataQualities[],9,FALSE)</f>
        <v>9330</v>
      </c>
    </row>
    <row r="209" spans="1:13" x14ac:dyDescent="0.45">
      <c r="A209" s="10">
        <v>55</v>
      </c>
      <c r="B209" s="10">
        <v>238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2463.54</v>
      </c>
      <c r="G209" s="12">
        <f ca="1">(RANDBETWEEN(50,100)/100)*(dict_DQ_Meth_max[[#This Row],[Vergleich_ub]]-dict_DQ_Meth_max[[#This Row],[Vergleich_lb]])+dict_DQ_Meth_max[[#This Row],[Vergleich_lb]]</f>
        <v>5525.61</v>
      </c>
      <c r="H209" s="11" t="str">
        <f ca="1">VLOOKUP(VLOOKUP(dict_DQ_Meth_max[[#This Row],[ID_DataQualities]],table_DataQualities[],3),table_Units[],2)</f>
        <v>bit</v>
      </c>
      <c r="I209" s="10"/>
      <c r="J209" s="10"/>
      <c r="K209" s="10"/>
      <c r="L209" s="10">
        <f ca="1">VLOOKUP(dict_DQ_Meth_max[[#This Row],[ID_DataQualities]],table_DataQualities[],8,FALSE)</f>
        <v>51</v>
      </c>
      <c r="M209" s="10">
        <f ca="1">VLOOKUP(dict_DQ_Meth_max[[#This Row],[ID_DataQualities]],table_DataQualities[],9,FALSE)</f>
        <v>9330</v>
      </c>
    </row>
    <row r="210" spans="1:13" x14ac:dyDescent="0.45">
      <c r="A210" s="10">
        <v>55</v>
      </c>
      <c r="B210" s="10">
        <v>74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4226.55</v>
      </c>
      <c r="G210" s="12">
        <f ca="1">(RANDBETWEEN(50,100)/100)*(dict_DQ_Meth_max[[#This Row],[Vergleich_ub]]-dict_DQ_Meth_max[[#This Row],[Vergleich_lb]])+dict_DQ_Meth_max[[#This Row],[Vergleich_lb]]</f>
        <v>8309.31</v>
      </c>
      <c r="H210" s="11" t="str">
        <f ca="1">VLOOKUP(VLOOKUP(dict_DQ_Meth_max[[#This Row],[ID_DataQualities]],table_DataQualities[],3),table_Units[],2)</f>
        <v>bit</v>
      </c>
      <c r="I210" s="10"/>
      <c r="J210" s="10"/>
      <c r="K210" s="10"/>
      <c r="L210" s="10">
        <f ca="1">VLOOKUP(dict_DQ_Meth_max[[#This Row],[ID_DataQualities]],table_DataQualities[],8,FALSE)</f>
        <v>51</v>
      </c>
      <c r="M210" s="10">
        <f ca="1">VLOOKUP(dict_DQ_Meth_max[[#This Row],[ID_DataQualities]],table_DataQualities[],9,FALSE)</f>
        <v>9330</v>
      </c>
    </row>
    <row r="211" spans="1:13" x14ac:dyDescent="0.45">
      <c r="A211" s="10">
        <v>55</v>
      </c>
      <c r="B211" s="10">
        <v>487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2185.17</v>
      </c>
      <c r="G211" s="12">
        <f ca="1">(RANDBETWEEN(50,100)/100)*(dict_DQ_Meth_max[[#This Row],[Vergleich_ub]]-dict_DQ_Meth_max[[#This Row],[Vergleich_lb]])+dict_DQ_Meth_max[[#This Row],[Vergleich_lb]]</f>
        <v>5154.4500000000007</v>
      </c>
      <c r="H211" s="11" t="str">
        <f ca="1">VLOOKUP(VLOOKUP(dict_DQ_Meth_max[[#This Row],[ID_DataQualities]],table_DataQualities[],3),table_Units[],2)</f>
        <v>bit</v>
      </c>
      <c r="I211" s="10"/>
      <c r="J211" s="10"/>
      <c r="K211" s="10"/>
      <c r="L211" s="10">
        <f ca="1">VLOOKUP(dict_DQ_Meth_max[[#This Row],[ID_DataQualities]],table_DataQualities[],8,FALSE)</f>
        <v>51</v>
      </c>
      <c r="M211" s="10">
        <f ca="1">VLOOKUP(dict_DQ_Meth_max[[#This Row],[ID_DataQualities]],table_DataQualities[],9,FALSE)</f>
        <v>9330</v>
      </c>
    </row>
    <row r="212" spans="1:13" x14ac:dyDescent="0.45">
      <c r="A212" s="10">
        <v>56</v>
      </c>
      <c r="B212" s="10">
        <v>530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3252.1655200000005</v>
      </c>
      <c r="G212" s="12">
        <f ca="1">(RANDBETWEEN(50,100)/100)*(dict_DQ_Meth_max[[#This Row],[Vergleich_ub]]-dict_DQ_Meth_max[[#This Row],[Vergleich_lb]])+dict_DQ_Meth_max[[#This Row],[Vergleich_lb]]</f>
        <v>4200.6478800000004</v>
      </c>
      <c r="H212" s="11" t="str">
        <f ca="1">VLOOKUP(VLOOKUP(dict_DQ_Meth_max[[#This Row],[ID_DataQualities]],table_DataQualities[],3),table_Units[],2)</f>
        <v>Hz</v>
      </c>
      <c r="I212" s="10"/>
      <c r="J212" s="10"/>
      <c r="K212" s="10"/>
      <c r="L212" s="10">
        <f ca="1">VLOOKUP(dict_DQ_Meth_max[[#This Row],[ID_DataQualities]],table_DataQualities[],8,FALSE)</f>
        <v>0.22600000000000001</v>
      </c>
      <c r="M212" s="10">
        <f ca="1">VLOOKUP(dict_DQ_Meth_max[[#This Row],[ID_DataQualities]],table_DataQualities[],9,FALSE)</f>
        <v>6775.1</v>
      </c>
    </row>
    <row r="213" spans="1:13" x14ac:dyDescent="0.45">
      <c r="A213" s="10">
        <v>56</v>
      </c>
      <c r="B213" s="10">
        <v>252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609.96466000000009</v>
      </c>
      <c r="G213" s="12">
        <f ca="1">(RANDBETWEEN(50,100)/100)*(dict_DQ_Meth_max[[#This Row],[Vergleich_ub]]-dict_DQ_Meth_max[[#This Row],[Vergleich_lb]])+dict_DQ_Meth_max[[#This Row],[Vergleich_lb]]</f>
        <v>5149.1302400000004</v>
      </c>
      <c r="H213" s="11" t="str">
        <f ca="1">VLOOKUP(VLOOKUP(dict_DQ_Meth_max[[#This Row],[ID_DataQualities]],table_DataQualities[],3),table_Units[],2)</f>
        <v>Hz</v>
      </c>
      <c r="I213" s="10"/>
      <c r="J213" s="10"/>
      <c r="K213" s="10"/>
      <c r="L213" s="10">
        <f ca="1">VLOOKUP(dict_DQ_Meth_max[[#This Row],[ID_DataQualities]],table_DataQualities[],8,FALSE)</f>
        <v>0.22600000000000001</v>
      </c>
      <c r="M213" s="10">
        <f ca="1">VLOOKUP(dict_DQ_Meth_max[[#This Row],[ID_DataQualities]],table_DataQualities[],9,FALSE)</f>
        <v>6775.1</v>
      </c>
    </row>
    <row r="214" spans="1:13" x14ac:dyDescent="0.45">
      <c r="A214" s="10">
        <v>57</v>
      </c>
      <c r="B214" s="10">
        <v>530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1.397</v>
      </c>
      <c r="G214" s="12">
        <f ca="1">(RANDBETWEEN(50,100)/100)*(dict_DQ_Meth_max[[#This Row],[Vergleich_ub]]-dict_DQ_Meth_max[[#This Row],[Vergleich_lb]])+dict_DQ_Meth_max[[#This Row],[Vergleich_lb]]</f>
        <v>6.4380000000000006</v>
      </c>
      <c r="H214" s="11" t="str">
        <f ca="1">VLOOKUP(VLOOKUP(dict_DQ_Meth_max[[#This Row],[ID_DataQualities]],table_DataQualities[],3),table_Units[],2)</f>
        <v>+/- °C</v>
      </c>
      <c r="I214" s="10"/>
      <c r="J214" s="10"/>
      <c r="K214" s="10"/>
      <c r="L214" s="10">
        <f ca="1">VLOOKUP(dict_DQ_Meth_max[[#This Row],[ID_DataQualities]],table_DataQualities[],8,FALSE)</f>
        <v>0.9</v>
      </c>
      <c r="M214" s="10">
        <f ca="1">VLOOKUP(dict_DQ_Meth_max[[#This Row],[ID_DataQualities]],table_DataQualities[],9,FALSE)</f>
        <v>8</v>
      </c>
    </row>
    <row r="215" spans="1:13" x14ac:dyDescent="0.45">
      <c r="A215" s="10">
        <v>57</v>
      </c>
      <c r="B215" s="10">
        <v>252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2.9589999999999996</v>
      </c>
      <c r="G215" s="12">
        <f ca="1">(RANDBETWEEN(50,100)/100)*(dict_DQ_Meth_max[[#This Row],[Vergleich_ub]]-dict_DQ_Meth_max[[#This Row],[Vergleich_lb]])+dict_DQ_Meth_max[[#This Row],[Vergleich_lb]]</f>
        <v>6.5090000000000003</v>
      </c>
      <c r="H215" s="11" t="str">
        <f ca="1">VLOOKUP(VLOOKUP(dict_DQ_Meth_max[[#This Row],[ID_DataQualities]],table_DataQualities[],3),table_Units[],2)</f>
        <v>+/- °C</v>
      </c>
      <c r="I215" s="10"/>
      <c r="J215" s="10"/>
      <c r="K215" s="10"/>
      <c r="L215" s="10">
        <f ca="1">VLOOKUP(dict_DQ_Meth_max[[#This Row],[ID_DataQualities]],table_DataQualities[],8,FALSE)</f>
        <v>0.9</v>
      </c>
      <c r="M215" s="10">
        <f ca="1">VLOOKUP(dict_DQ_Meth_max[[#This Row],[ID_DataQualities]],table_DataQualities[],9,FALSE)</f>
        <v>8</v>
      </c>
    </row>
    <row r="216" spans="1:13" x14ac:dyDescent="0.45">
      <c r="A216" s="10">
        <v>58</v>
      </c>
      <c r="B216" s="10">
        <v>407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1243.49585</v>
      </c>
      <c r="G216" s="12">
        <f ca="1">(RANDBETWEEN(50,100)/100)*(dict_DQ_Meth_max[[#This Row],[Vergleich_ub]]-dict_DQ_Meth_max[[#This Row],[Vergleich_lb]])+dict_DQ_Meth_max[[#This Row],[Vergleich_lb]]</f>
        <v>2699.5661600000003</v>
      </c>
      <c r="H216" s="11" t="str">
        <f ca="1">VLOOKUP(VLOOKUP(dict_DQ_Meth_max[[#This Row],[ID_DataQualities]],table_DataQualities[],3),table_Units[],2)</f>
        <v>Hz</v>
      </c>
      <c r="I216" s="10"/>
      <c r="J216" s="10"/>
      <c r="K216" s="10"/>
      <c r="L216" s="10">
        <f ca="1">VLOOKUP(dict_DQ_Meth_max[[#This Row],[ID_DataQualities]],table_DataQualities[],8,FALSE)</f>
        <v>0.50900000000000001</v>
      </c>
      <c r="M216" s="10">
        <f ca="1">VLOOKUP(dict_DQ_Meth_max[[#This Row],[ID_DataQualities]],table_DataQualities[],9,FALSE)</f>
        <v>3551.9</v>
      </c>
    </row>
    <row r="217" spans="1:13" x14ac:dyDescent="0.45">
      <c r="A217" s="10">
        <v>58</v>
      </c>
      <c r="B217" s="10">
        <v>468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817.32893000000001</v>
      </c>
      <c r="G217" s="12">
        <f ca="1">(RANDBETWEEN(50,100)/100)*(dict_DQ_Meth_max[[#This Row],[Vergleich_ub]]-dict_DQ_Meth_max[[#This Row],[Vergleich_lb]])+dict_DQ_Meth_max[[#This Row],[Vergleich_lb]]</f>
        <v>2379.9409700000001</v>
      </c>
      <c r="H217" s="11" t="str">
        <f ca="1">VLOOKUP(VLOOKUP(dict_DQ_Meth_max[[#This Row],[ID_DataQualities]],table_DataQualities[],3),table_Units[],2)</f>
        <v>Hz</v>
      </c>
      <c r="I217" s="10"/>
      <c r="J217" s="10"/>
      <c r="K217" s="10"/>
      <c r="L217" s="10">
        <f ca="1">VLOOKUP(dict_DQ_Meth_max[[#This Row],[ID_DataQualities]],table_DataQualities[],8,FALSE)</f>
        <v>0.50900000000000001</v>
      </c>
      <c r="M217" s="10">
        <f ca="1">VLOOKUP(dict_DQ_Meth_max[[#This Row],[ID_DataQualities]],table_DataQualities[],9,FALSE)</f>
        <v>3551.9</v>
      </c>
    </row>
    <row r="218" spans="1:13" x14ac:dyDescent="0.45">
      <c r="A218" s="10">
        <v>58</v>
      </c>
      <c r="B218" s="10">
        <v>49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710.7872000000001</v>
      </c>
      <c r="G218" s="12">
        <f ca="1">(RANDBETWEEN(50,100)/100)*(dict_DQ_Meth_max[[#This Row],[Vergleich_ub]]-dict_DQ_Meth_max[[#This Row],[Vergleich_lb]])+dict_DQ_Meth_max[[#This Row],[Vergleich_lb]]</f>
        <v>3445.3582700000002</v>
      </c>
      <c r="H218" s="11" t="str">
        <f ca="1">VLOOKUP(VLOOKUP(dict_DQ_Meth_max[[#This Row],[ID_DataQualities]],table_DataQualities[],3),table_Units[],2)</f>
        <v>Hz</v>
      </c>
      <c r="I218" s="10"/>
      <c r="J218" s="10"/>
      <c r="K218" s="10"/>
      <c r="L218" s="10">
        <f ca="1">VLOOKUP(dict_DQ_Meth_max[[#This Row],[ID_DataQualities]],table_DataQualities[],8,FALSE)</f>
        <v>0.50900000000000001</v>
      </c>
      <c r="M218" s="10">
        <f ca="1">VLOOKUP(dict_DQ_Meth_max[[#This Row],[ID_DataQualities]],table_DataQualities[],9,FALSE)</f>
        <v>3551.9</v>
      </c>
    </row>
    <row r="219" spans="1:13" x14ac:dyDescent="0.45">
      <c r="A219" s="10">
        <v>58</v>
      </c>
      <c r="B219" s="10">
        <v>354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1350.0375800000002</v>
      </c>
      <c r="G219" s="12">
        <f ca="1">(RANDBETWEEN(50,100)/100)*(dict_DQ_Meth_max[[#This Row],[Vergleich_ub]]-dict_DQ_Meth_max[[#This Row],[Vergleich_lb]])+dict_DQ_Meth_max[[#This Row],[Vergleich_lb]]</f>
        <v>2344.42706</v>
      </c>
      <c r="H219" s="11" t="str">
        <f ca="1">VLOOKUP(VLOOKUP(dict_DQ_Meth_max[[#This Row],[ID_DataQualities]],table_DataQualities[],3),table_Units[],2)</f>
        <v>Hz</v>
      </c>
      <c r="I219" s="10"/>
      <c r="J219" s="10"/>
      <c r="K219" s="10"/>
      <c r="L219" s="10">
        <f ca="1">VLOOKUP(dict_DQ_Meth_max[[#This Row],[ID_DataQualities]],table_DataQualities[],8,FALSE)</f>
        <v>0.50900000000000001</v>
      </c>
      <c r="M219" s="10">
        <f ca="1">VLOOKUP(dict_DQ_Meth_max[[#This Row],[ID_DataQualities]],table_DataQualities[],9,FALSE)</f>
        <v>3551.9</v>
      </c>
    </row>
    <row r="220" spans="1:13" x14ac:dyDescent="0.45">
      <c r="A220" s="10">
        <v>58</v>
      </c>
      <c r="B220" s="10">
        <v>326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1740.6905899999999</v>
      </c>
      <c r="G220" s="12">
        <f ca="1">(RANDBETWEEN(50,100)/100)*(dict_DQ_Meth_max[[#This Row],[Vergleich_ub]]-dict_DQ_Meth_max[[#This Row],[Vergleich_lb]])+dict_DQ_Meth_max[[#This Row],[Vergleich_lb]]</f>
        <v>2806.1078900000002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0.50900000000000001</v>
      </c>
      <c r="M220" s="10">
        <f ca="1">VLOOKUP(dict_DQ_Meth_max[[#This Row],[ID_DataQualities]],table_DataQualities[],9,FALSE)</f>
        <v>3551.9</v>
      </c>
    </row>
    <row r="221" spans="1:13" x14ac:dyDescent="0.45">
      <c r="A221" s="10">
        <v>58</v>
      </c>
      <c r="B221" s="10">
        <v>408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781.81502</v>
      </c>
      <c r="G221" s="12">
        <f ca="1">(RANDBETWEEN(50,100)/100)*(dict_DQ_Meth_max[[#This Row],[Vergleich_ub]]-dict_DQ_Meth_max[[#This Row],[Vergleich_lb]])+dict_DQ_Meth_max[[#This Row],[Vergleich_lb]]</f>
        <v>1953.7740500000002</v>
      </c>
      <c r="H221" s="11" t="str">
        <f ca="1">VLOOKUP(VLOOKUP(dict_DQ_Meth_max[[#This Row],[ID_DataQualities]],table_DataQualities[],3),table_Units[],2)</f>
        <v>Hz</v>
      </c>
      <c r="I221" s="10"/>
      <c r="J221" s="10"/>
      <c r="K221" s="10"/>
      <c r="L221" s="10">
        <f ca="1">VLOOKUP(dict_DQ_Meth_max[[#This Row],[ID_DataQualities]],table_DataQualities[],8,FALSE)</f>
        <v>0.50900000000000001</v>
      </c>
      <c r="M221" s="10">
        <f ca="1">VLOOKUP(dict_DQ_Meth_max[[#This Row],[ID_DataQualities]],table_DataQualities[],9,FALSE)</f>
        <v>3551.9</v>
      </c>
    </row>
    <row r="222" spans="1:13" x14ac:dyDescent="0.45">
      <c r="A222" s="10">
        <v>59</v>
      </c>
      <c r="B222" s="10">
        <v>407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3.2283999999999997</v>
      </c>
      <c r="G222" s="12">
        <f ca="1">(RANDBETWEEN(50,100)/100)*(dict_DQ_Meth_max[[#This Row],[Vergleich_ub]]-dict_DQ_Meth_max[[#This Row],[Vergleich_lb]])+dict_DQ_Meth_max[[#This Row],[Vergleich_lb]]</f>
        <v>5.8260000000000005</v>
      </c>
      <c r="H222" s="11" t="str">
        <f ca="1">VLOOKUP(VLOOKUP(dict_DQ_Meth_max[[#This Row],[ID_DataQualities]],table_DataQualities[],3),table_Units[],2)</f>
        <v>+/- mm/s</v>
      </c>
      <c r="I222" s="10"/>
      <c r="J222" s="10"/>
      <c r="K222" s="10"/>
      <c r="L222" s="10">
        <f ca="1">VLOOKUP(dict_DQ_Meth_max[[#This Row],[ID_DataQualities]],table_DataQualities[],8,FALSE)</f>
        <v>0.86</v>
      </c>
      <c r="M222" s="10">
        <f ca="1">VLOOKUP(dict_DQ_Meth_max[[#This Row],[ID_DataQualities]],table_DataQualities[],9,FALSE)</f>
        <v>8.5</v>
      </c>
    </row>
    <row r="223" spans="1:13" x14ac:dyDescent="0.45">
      <c r="A223" s="10">
        <v>59</v>
      </c>
      <c r="B223" s="10">
        <v>354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3.3811999999999998</v>
      </c>
      <c r="G223" s="12">
        <f ca="1">(RANDBETWEEN(50,100)/100)*(dict_DQ_Meth_max[[#This Row],[Vergleich_ub]]-dict_DQ_Meth_max[[#This Row],[Vergleich_lb]])+dict_DQ_Meth_max[[#This Row],[Vergleich_lb]]</f>
        <v>5.3675999999999995</v>
      </c>
      <c r="H223" s="11" t="str">
        <f ca="1">VLOOKUP(VLOOKUP(dict_DQ_Meth_max[[#This Row],[ID_DataQualities]],table_DataQualities[],3),table_Units[],2)</f>
        <v>+/- mm/s</v>
      </c>
      <c r="I223" s="10"/>
      <c r="J223" s="10"/>
      <c r="K223" s="10"/>
      <c r="L223" s="10">
        <f ca="1">VLOOKUP(dict_DQ_Meth_max[[#This Row],[ID_DataQualities]],table_DataQualities[],8,FALSE)</f>
        <v>0.86</v>
      </c>
      <c r="M223" s="10">
        <f ca="1">VLOOKUP(dict_DQ_Meth_max[[#This Row],[ID_DataQualities]],table_DataQualities[],9,FALSE)</f>
        <v>8.5</v>
      </c>
    </row>
    <row r="224" spans="1:13" x14ac:dyDescent="0.45">
      <c r="A224" s="10">
        <v>59</v>
      </c>
      <c r="B224" s="10">
        <v>49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1.5476000000000001</v>
      </c>
      <c r="G224" s="12">
        <f ca="1">(RANDBETWEEN(50,100)/100)*(dict_DQ_Meth_max[[#This Row],[Vergleich_ub]]-dict_DQ_Meth_max[[#This Row],[Vergleich_lb]])+dict_DQ_Meth_max[[#This Row],[Vergleich_lb]]</f>
        <v>6.7427999999999999</v>
      </c>
      <c r="H224" s="11" t="str">
        <f ca="1">VLOOKUP(VLOOKUP(dict_DQ_Meth_max[[#This Row],[ID_DataQualities]],table_DataQualities[],3),table_Units[],2)</f>
        <v>+/- mm/s</v>
      </c>
      <c r="I224" s="10"/>
      <c r="J224" s="10"/>
      <c r="K224" s="10"/>
      <c r="L224" s="10">
        <f ca="1">VLOOKUP(dict_DQ_Meth_max[[#This Row],[ID_DataQualities]],table_DataQualities[],8,FALSE)</f>
        <v>0.86</v>
      </c>
      <c r="M224" s="10">
        <f ca="1">VLOOKUP(dict_DQ_Meth_max[[#This Row],[ID_DataQualities]],table_DataQualities[],9,FALSE)</f>
        <v>8.5</v>
      </c>
    </row>
    <row r="225" spans="1:13" x14ac:dyDescent="0.45">
      <c r="A225" s="10">
        <v>59</v>
      </c>
      <c r="B225" s="10">
        <v>468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3.2283999999999997</v>
      </c>
      <c r="G225" s="12">
        <f ca="1">(RANDBETWEEN(50,100)/100)*(dict_DQ_Meth_max[[#This Row],[Vergleich_ub]]-dict_DQ_Meth_max[[#This Row],[Vergleich_lb]])+dict_DQ_Meth_max[[#This Row],[Vergleich_lb]]</f>
        <v>5.8260000000000005</v>
      </c>
      <c r="H225" s="11" t="str">
        <f ca="1">VLOOKUP(VLOOKUP(dict_DQ_Meth_max[[#This Row],[ID_DataQualities]],table_DataQualities[],3),table_Units[],2)</f>
        <v>+/- mm/s</v>
      </c>
      <c r="I225" s="10"/>
      <c r="J225" s="10"/>
      <c r="K225" s="10"/>
      <c r="L225" s="10">
        <f ca="1">VLOOKUP(dict_DQ_Meth_max[[#This Row],[ID_DataQualities]],table_DataQualities[],8,FALSE)</f>
        <v>0.86</v>
      </c>
      <c r="M225" s="10">
        <f ca="1">VLOOKUP(dict_DQ_Meth_max[[#This Row],[ID_DataQualities]],table_DataQualities[],9,FALSE)</f>
        <v>8.5</v>
      </c>
    </row>
    <row r="226" spans="1:13" x14ac:dyDescent="0.45">
      <c r="A226" s="10">
        <v>59</v>
      </c>
      <c r="B226" s="10">
        <v>326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1.0127999999999999</v>
      </c>
      <c r="G226" s="12">
        <f ca="1">(RANDBETWEEN(50,100)/100)*(dict_DQ_Meth_max[[#This Row],[Vergleich_ub]]-dict_DQ_Meth_max[[#This Row],[Vergleich_lb]])+dict_DQ_Meth_max[[#This Row],[Vergleich_lb]]</f>
        <v>6.5136000000000003</v>
      </c>
      <c r="H226" s="11" t="str">
        <f ca="1">VLOOKUP(VLOOKUP(dict_DQ_Meth_max[[#This Row],[ID_DataQualities]],table_DataQualities[],3),table_Units[],2)</f>
        <v>+/- mm/s</v>
      </c>
      <c r="I226" s="10"/>
      <c r="J226" s="10"/>
      <c r="K226" s="10"/>
      <c r="L226" s="10">
        <f ca="1">VLOOKUP(dict_DQ_Meth_max[[#This Row],[ID_DataQualities]],table_DataQualities[],8,FALSE)</f>
        <v>0.86</v>
      </c>
      <c r="M226" s="10">
        <f ca="1">VLOOKUP(dict_DQ_Meth_max[[#This Row],[ID_DataQualities]],table_DataQualities[],9,FALSE)</f>
        <v>8.5</v>
      </c>
    </row>
    <row r="227" spans="1:13" x14ac:dyDescent="0.45">
      <c r="A227" s="10">
        <v>59</v>
      </c>
      <c r="B227" s="10">
        <v>408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4.68</v>
      </c>
      <c r="G227" s="12">
        <f ca="1">(RANDBETWEEN(50,100)/100)*(dict_DQ_Meth_max[[#This Row],[Vergleich_ub]]-dict_DQ_Meth_max[[#This Row],[Vergleich_lb]])+dict_DQ_Meth_max[[#This Row],[Vergleich_lb]]</f>
        <v>8.1943999999999999</v>
      </c>
      <c r="H227" s="11" t="str">
        <f ca="1">VLOOKUP(VLOOKUP(dict_DQ_Meth_max[[#This Row],[ID_DataQualities]],table_DataQualities[],3),table_Units[],2)</f>
        <v>+/- mm/s</v>
      </c>
      <c r="I227" s="10"/>
      <c r="J227" s="10"/>
      <c r="K227" s="10"/>
      <c r="L227" s="10">
        <f ca="1">VLOOKUP(dict_DQ_Meth_max[[#This Row],[ID_DataQualities]],table_DataQualities[],8,FALSE)</f>
        <v>0.86</v>
      </c>
      <c r="M227" s="10">
        <f ca="1">VLOOKUP(dict_DQ_Meth_max[[#This Row],[ID_DataQualities]],table_DataQualities[],9,FALSE)</f>
        <v>8.5</v>
      </c>
    </row>
    <row r="228" spans="1:13" x14ac:dyDescent="0.45">
      <c r="A228" s="10">
        <v>60</v>
      </c>
      <c r="B228" s="10">
        <v>178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842.35942999999997</v>
      </c>
      <c r="G228" s="12">
        <f ca="1">(RANDBETWEEN(50,100)/100)*(dict_DQ_Meth_max[[#This Row],[Vergleich_ub]]-dict_DQ_Meth_max[[#This Row],[Vergleich_lb]])+dict_DQ_Meth_max[[#This Row],[Vergleich_lb]]</f>
        <v>2233.8210100000001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0.159</v>
      </c>
      <c r="M228" s="10">
        <f ca="1">VLOOKUP(dict_DQ_Meth_max[[#This Row],[ID_DataQualities]],table_DataQualities[],9,FALSE)</f>
        <v>3661.9</v>
      </c>
    </row>
    <row r="229" spans="1:13" x14ac:dyDescent="0.45">
      <c r="A229" s="10">
        <v>60</v>
      </c>
      <c r="B229" s="10">
        <v>46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110.01123</v>
      </c>
      <c r="G229" s="12">
        <f ca="1">(RANDBETWEEN(50,100)/100)*(dict_DQ_Meth_max[[#This Row],[Vergleich_ub]]-dict_DQ_Meth_max[[#This Row],[Vergleich_lb]])+dict_DQ_Meth_max[[#This Row],[Vergleich_lb]]</f>
        <v>3222.4910800000002</v>
      </c>
      <c r="H229" s="11" t="str">
        <f ca="1">VLOOKUP(VLOOKUP(dict_DQ_Meth_max[[#This Row],[ID_DataQualities]],table_DataQualities[],3),table_Units[],2)</f>
        <v>Hz</v>
      </c>
      <c r="I229" s="10"/>
      <c r="J229" s="10"/>
      <c r="K229" s="10"/>
      <c r="L229" s="10">
        <f ca="1">VLOOKUP(dict_DQ_Meth_max[[#This Row],[ID_DataQualities]],table_DataQualities[],8,FALSE)</f>
        <v>0.159</v>
      </c>
      <c r="M229" s="10">
        <f ca="1">VLOOKUP(dict_DQ_Meth_max[[#This Row],[ID_DataQualities]],table_DataQualities[],9,FALSE)</f>
        <v>3661.9</v>
      </c>
    </row>
    <row r="230" spans="1:13" x14ac:dyDescent="0.45">
      <c r="A230" s="10">
        <v>60</v>
      </c>
      <c r="B230" s="10">
        <v>283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1721.1772699999999</v>
      </c>
      <c r="G230" s="12">
        <f ca="1">(RANDBETWEEN(50,100)/100)*(dict_DQ_Meth_max[[#This Row],[Vergleich_ub]]-dict_DQ_Meth_max[[#This Row],[Vergleich_lb]])+dict_DQ_Meth_max[[#This Row],[Vergleich_lb]]</f>
        <v>2709.8473400000003</v>
      </c>
      <c r="H230" s="11" t="str">
        <f ca="1">VLOOKUP(VLOOKUP(dict_DQ_Meth_max[[#This Row],[ID_DataQualities]],table_DataQualities[],3),table_Units[],2)</f>
        <v>Hz</v>
      </c>
      <c r="I230" s="10"/>
      <c r="J230" s="10"/>
      <c r="K230" s="10"/>
      <c r="L230" s="10">
        <f ca="1">VLOOKUP(dict_DQ_Meth_max[[#This Row],[ID_DataQualities]],table_DataQualities[],8,FALSE)</f>
        <v>0.159</v>
      </c>
      <c r="M230" s="10">
        <f ca="1">VLOOKUP(dict_DQ_Meth_max[[#This Row],[ID_DataQualities]],table_DataQualities[],9,FALSE)</f>
        <v>3661.9</v>
      </c>
    </row>
    <row r="231" spans="1:13" x14ac:dyDescent="0.45">
      <c r="A231" s="10">
        <v>61</v>
      </c>
      <c r="B231" s="10">
        <v>178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4.2000000000000003E-2</v>
      </c>
      <c r="G231" s="12">
        <f ca="1">(RANDBETWEEN(50,100)/100)*(dict_DQ_Meth_max[[#This Row],[Vergleich_ub]]-dict_DQ_Meth_max[[#This Row],[Vergleich_lb]])+dict_DQ_Meth_max[[#This Row],[Vergleich_lb]]</f>
        <v>6.6905599999999996</v>
      </c>
      <c r="H231" s="11" t="str">
        <f ca="1">VLOOKUP(VLOOKUP(dict_DQ_Meth_max[[#This Row],[ID_DataQualities]],table_DataQualities[],3),table_Units[],2)</f>
        <v>+/- W</v>
      </c>
      <c r="I231" s="10"/>
      <c r="J231" s="10"/>
      <c r="K231" s="10"/>
      <c r="L231" s="10">
        <f ca="1">VLOOKUP(dict_DQ_Meth_max[[#This Row],[ID_DataQualities]],table_DataQualities[],8,FALSE)</f>
        <v>4.2000000000000003E-2</v>
      </c>
      <c r="M231" s="10">
        <f ca="1">VLOOKUP(dict_DQ_Meth_max[[#This Row],[ID_DataQualities]],table_DataQualities[],9,FALSE)</f>
        <v>8.15</v>
      </c>
    </row>
    <row r="232" spans="1:13" x14ac:dyDescent="0.45">
      <c r="A232" s="10">
        <v>61</v>
      </c>
      <c r="B232" s="10">
        <v>46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2.96088</v>
      </c>
      <c r="G232" s="12">
        <f ca="1">(RANDBETWEEN(50,100)/100)*(dict_DQ_Meth_max[[#This Row],[Vergleich_ub]]-dict_DQ_Meth_max[[#This Row],[Vergleich_lb]])+dict_DQ_Meth_max[[#This Row],[Vergleich_lb]]</f>
        <v>4.5014000000000003</v>
      </c>
      <c r="H232" s="11" t="str">
        <f ca="1">VLOOKUP(VLOOKUP(dict_DQ_Meth_max[[#This Row],[ID_DataQualities]],table_DataQualities[],3),table_Units[],2)</f>
        <v>+/- W</v>
      </c>
      <c r="I232" s="10"/>
      <c r="J232" s="10"/>
      <c r="K232" s="10"/>
      <c r="L232" s="10">
        <f ca="1">VLOOKUP(dict_DQ_Meth_max[[#This Row],[ID_DataQualities]],table_DataQualities[],8,FALSE)</f>
        <v>4.2000000000000003E-2</v>
      </c>
      <c r="M232" s="10">
        <f ca="1">VLOOKUP(dict_DQ_Meth_max[[#This Row],[ID_DataQualities]],table_DataQualities[],9,FALSE)</f>
        <v>8.15</v>
      </c>
    </row>
    <row r="233" spans="1:13" x14ac:dyDescent="0.45">
      <c r="A233" s="10">
        <v>61</v>
      </c>
      <c r="B233" s="10">
        <v>283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0.12308000000000002</v>
      </c>
      <c r="G233" s="12">
        <f ca="1">(RANDBETWEEN(50,100)/100)*(dict_DQ_Meth_max[[#This Row],[Vergleich_ub]]-dict_DQ_Meth_max[[#This Row],[Vergleich_lb]])+dict_DQ_Meth_max[[#This Row],[Vergleich_lb]]</f>
        <v>7.7446000000000002</v>
      </c>
      <c r="H233" s="11" t="str">
        <f ca="1">VLOOKUP(VLOOKUP(dict_DQ_Meth_max[[#This Row],[ID_DataQualities]],table_DataQualities[],3),table_Units[],2)</f>
        <v>+/- W</v>
      </c>
      <c r="I233" s="10"/>
      <c r="J233" s="10"/>
      <c r="K233" s="10"/>
      <c r="L233" s="10">
        <f ca="1">VLOOKUP(dict_DQ_Meth_max[[#This Row],[ID_DataQualities]],table_DataQualities[],8,FALSE)</f>
        <v>4.2000000000000003E-2</v>
      </c>
      <c r="M233" s="10">
        <f ca="1">VLOOKUP(dict_DQ_Meth_max[[#This Row],[ID_DataQualities]],table_DataQualities[],9,FALSE)</f>
        <v>8.15</v>
      </c>
    </row>
    <row r="234" spans="1:13" x14ac:dyDescent="0.45">
      <c r="A234" s="10">
        <v>62</v>
      </c>
      <c r="B234" s="10">
        <v>46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2516.0242100000005</v>
      </c>
      <c r="G234" s="12">
        <f ca="1">(RANDBETWEEN(50,100)/100)*(dict_DQ_Meth_max[[#This Row],[Vergleich_ub]]-dict_DQ_Meth_max[[#This Row],[Vergleich_lb]])+dict_DQ_Meth_max[[#This Row],[Vergleich_lb]]</f>
        <v>7361.5521700000008</v>
      </c>
      <c r="H234" s="11" t="str">
        <f ca="1">VLOOKUP(VLOOKUP(dict_DQ_Meth_max[[#This Row],[ID_DataQualities]],table_DataQualities[],3),table_Units[],2)</f>
        <v>Hz</v>
      </c>
      <c r="I234" s="10"/>
      <c r="J234" s="10"/>
      <c r="K234" s="10"/>
      <c r="L234" s="10">
        <f ca="1">VLOOKUP(dict_DQ_Meth_max[[#This Row],[ID_DataQualities]],table_DataQualities[],8,FALSE)</f>
        <v>7.6999999999999999E-2</v>
      </c>
      <c r="M234" s="10">
        <f ca="1">VLOOKUP(dict_DQ_Meth_max[[#This Row],[ID_DataQualities]],table_DataQualities[],9,FALSE)</f>
        <v>9318.4</v>
      </c>
    </row>
    <row r="235" spans="1:13" x14ac:dyDescent="0.45">
      <c r="A235" s="10">
        <v>62</v>
      </c>
      <c r="B235" s="10">
        <v>134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559.17637999999999</v>
      </c>
      <c r="G235" s="12">
        <f ca="1">(RANDBETWEEN(50,100)/100)*(dict_DQ_Meth_max[[#This Row],[Vergleich_ub]]-dict_DQ_Meth_max[[#This Row],[Vergleich_lb]])+dict_DQ_Meth_max[[#This Row],[Vergleich_lb]]</f>
        <v>7454.7354000000005</v>
      </c>
      <c r="H235" s="11" t="str">
        <f ca="1">VLOOKUP(VLOOKUP(dict_DQ_Meth_max[[#This Row],[ID_DataQualities]],table_DataQualities[],3),table_Units[],2)</f>
        <v>Hz</v>
      </c>
      <c r="I235" s="10"/>
      <c r="J235" s="10"/>
      <c r="K235" s="10"/>
      <c r="L235" s="10">
        <f ca="1">VLOOKUP(dict_DQ_Meth_max[[#This Row],[ID_DataQualities]],table_DataQualities[],8,FALSE)</f>
        <v>7.6999999999999999E-2</v>
      </c>
      <c r="M235" s="10">
        <f ca="1">VLOOKUP(dict_DQ_Meth_max[[#This Row],[ID_DataQualities]],table_DataQualities[],9,FALSE)</f>
        <v>9318.4</v>
      </c>
    </row>
    <row r="236" spans="1:13" x14ac:dyDescent="0.45">
      <c r="A236" s="10">
        <v>62</v>
      </c>
      <c r="B236" s="10">
        <v>55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2236.4745200000002</v>
      </c>
      <c r="G236" s="12">
        <f ca="1">(RANDBETWEEN(50,100)/100)*(dict_DQ_Meth_max[[#This Row],[Vergleich_ub]]-dict_DQ_Meth_max[[#This Row],[Vergleich_lb]])+dict_DQ_Meth_max[[#This Row],[Vergleich_lb]]</f>
        <v>7547.918630000001</v>
      </c>
      <c r="H236" s="11" t="str">
        <f ca="1">VLOOKUP(VLOOKUP(dict_DQ_Meth_max[[#This Row],[ID_DataQualities]],table_DataQualities[],3),table_Units[],2)</f>
        <v>Hz</v>
      </c>
      <c r="I236" s="10"/>
      <c r="J236" s="10"/>
      <c r="K236" s="10"/>
      <c r="L236" s="10">
        <f ca="1">VLOOKUP(dict_DQ_Meth_max[[#This Row],[ID_DataQualities]],table_DataQualities[],8,FALSE)</f>
        <v>7.6999999999999999E-2</v>
      </c>
      <c r="M236" s="10">
        <f ca="1">VLOOKUP(dict_DQ_Meth_max[[#This Row],[ID_DataQualities]],table_DataQualities[],9,FALSE)</f>
        <v>9318.4</v>
      </c>
    </row>
    <row r="237" spans="1:13" x14ac:dyDescent="0.45">
      <c r="A237" s="10">
        <v>63</v>
      </c>
      <c r="B237" s="10">
        <v>46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1.8390000000000002</v>
      </c>
      <c r="G237" s="12">
        <f ca="1">(RANDBETWEEN(50,100)/100)*(dict_DQ_Meth_max[[#This Row],[Vergleich_ub]]-dict_DQ_Meth_max[[#This Row],[Vergleich_lb]])+dict_DQ_Meth_max[[#This Row],[Vergleich_lb]]</f>
        <v>3.2069999999999999</v>
      </c>
      <c r="H237" s="11" t="str">
        <f ca="1">VLOOKUP(VLOOKUP(dict_DQ_Meth_max[[#This Row],[ID_DataQualities]],table_DataQualities[],3),table_Units[],2)</f>
        <v>+/- °C</v>
      </c>
      <c r="I237" s="10"/>
      <c r="J237" s="10"/>
      <c r="K237" s="10"/>
      <c r="L237" s="10">
        <f ca="1">VLOOKUP(dict_DQ_Meth_max[[#This Row],[ID_DataQualities]],table_DataQualities[],8,FALSE)</f>
        <v>0.3</v>
      </c>
      <c r="M237" s="10">
        <f ca="1">VLOOKUP(dict_DQ_Meth_max[[#This Row],[ID_DataQualities]],table_DataQualities[],9,FALSE)</f>
        <v>6</v>
      </c>
    </row>
    <row r="238" spans="1:13" x14ac:dyDescent="0.45">
      <c r="A238" s="10">
        <v>63</v>
      </c>
      <c r="B238" s="10">
        <v>55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2.5230000000000001</v>
      </c>
      <c r="G238" s="12">
        <f ca="1">(RANDBETWEEN(50,100)/100)*(dict_DQ_Meth_max[[#This Row],[Vergleich_ub]]-dict_DQ_Meth_max[[#This Row],[Vergleich_lb]])+dict_DQ_Meth_max[[#This Row],[Vergleich_lb]]</f>
        <v>5.4870000000000001</v>
      </c>
      <c r="H238" s="11" t="str">
        <f ca="1">VLOOKUP(VLOOKUP(dict_DQ_Meth_max[[#This Row],[ID_DataQualities]],table_DataQualities[],3),table_Units[],2)</f>
        <v>+/- °C</v>
      </c>
      <c r="I238" s="10"/>
      <c r="J238" s="10"/>
      <c r="K238" s="10"/>
      <c r="L238" s="10">
        <f ca="1">VLOOKUP(dict_DQ_Meth_max[[#This Row],[ID_DataQualities]],table_DataQualities[],8,FALSE)</f>
        <v>0.3</v>
      </c>
      <c r="M238" s="10">
        <f ca="1">VLOOKUP(dict_DQ_Meth_max[[#This Row],[ID_DataQualities]],table_DataQualities[],9,FALSE)</f>
        <v>6</v>
      </c>
    </row>
    <row r="239" spans="1:13" x14ac:dyDescent="0.45">
      <c r="A239" s="10">
        <v>63</v>
      </c>
      <c r="B239" s="10">
        <v>134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2.9789999999999996</v>
      </c>
      <c r="G239" s="12">
        <f ca="1">(RANDBETWEEN(50,100)/100)*(dict_DQ_Meth_max[[#This Row],[Vergleich_ub]]-dict_DQ_Meth_max[[#This Row],[Vergleich_lb]])+dict_DQ_Meth_max[[#This Row],[Vergleich_lb]]</f>
        <v>5.9429999999999996</v>
      </c>
      <c r="H239" s="11" t="str">
        <f ca="1">VLOOKUP(VLOOKUP(dict_DQ_Meth_max[[#This Row],[ID_DataQualities]],table_DataQualities[],3),table_Units[],2)</f>
        <v>+/- °C</v>
      </c>
      <c r="I239" s="10"/>
      <c r="J239" s="10"/>
      <c r="K239" s="10"/>
      <c r="L239" s="10">
        <f ca="1">VLOOKUP(dict_DQ_Meth_max[[#This Row],[ID_DataQualities]],table_DataQualities[],8,FALSE)</f>
        <v>0.3</v>
      </c>
      <c r="M239" s="10">
        <f ca="1">VLOOKUP(dict_DQ_Meth_max[[#This Row],[ID_DataQualities]],table_DataQualities[],9,FALSE)</f>
        <v>6</v>
      </c>
    </row>
    <row r="240" spans="1:13" x14ac:dyDescent="0.45">
      <c r="A240" s="10">
        <v>64</v>
      </c>
      <c r="B240" s="10">
        <v>64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803.13100000000009</v>
      </c>
      <c r="G240" s="12">
        <f ca="1">(RANDBETWEEN(50,100)/100)*(dict_DQ_Meth_max[[#This Row],[Vergleich_ub]]-dict_DQ_Meth_max[[#This Row],[Vergleich_lb]])+dict_DQ_Meth_max[[#This Row],[Vergleich_lb]]</f>
        <v>3692.7465999999999</v>
      </c>
      <c r="H240" s="11" t="str">
        <f ca="1">VLOOKUP(VLOOKUP(dict_DQ_Meth_max[[#This Row],[ID_DataQualities]],table_DataQualities[],3),table_Units[],2)</f>
        <v>Hz</v>
      </c>
      <c r="I240" s="10"/>
      <c r="J240" s="10"/>
      <c r="K240" s="10"/>
      <c r="L240" s="10">
        <f ca="1">VLOOKUP(dict_DQ_Meth_max[[#This Row],[ID_DataQualities]],table_DataQualities[],8,FALSE)</f>
        <v>0.46</v>
      </c>
      <c r="M240" s="10">
        <f ca="1">VLOOKUP(dict_DQ_Meth_max[[#This Row],[ID_DataQualities]],table_DataQualities[],9,FALSE)</f>
        <v>5351.6</v>
      </c>
    </row>
    <row r="241" spans="1:13" x14ac:dyDescent="0.45">
      <c r="A241" s="10">
        <v>64</v>
      </c>
      <c r="B241" s="10">
        <v>121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1338.2450000000001</v>
      </c>
      <c r="G241" s="12">
        <f ca="1">(RANDBETWEEN(50,100)/100)*(dict_DQ_Meth_max[[#This Row],[Vergleich_ub]]-dict_DQ_Meth_max[[#This Row],[Vergleich_lb]])+dict_DQ_Meth_max[[#This Row],[Vergleich_lb]]</f>
        <v>5030.5316000000003</v>
      </c>
      <c r="H241" s="11" t="str">
        <f ca="1">VLOOKUP(VLOOKUP(dict_DQ_Meth_max[[#This Row],[ID_DataQualities]],table_DataQualities[],3),table_Units[],2)</f>
        <v>Hz</v>
      </c>
      <c r="I241" s="10"/>
      <c r="J241" s="10"/>
      <c r="K241" s="10"/>
      <c r="L241" s="10">
        <f ca="1">VLOOKUP(dict_DQ_Meth_max[[#This Row],[ID_DataQualities]],table_DataQualities[],8,FALSE)</f>
        <v>0.46</v>
      </c>
      <c r="M241" s="10">
        <f ca="1">VLOOKUP(dict_DQ_Meth_max[[#This Row],[ID_DataQualities]],table_DataQualities[],9,FALSE)</f>
        <v>5351.6</v>
      </c>
    </row>
    <row r="242" spans="1:13" x14ac:dyDescent="0.45">
      <c r="A242" s="10">
        <v>64</v>
      </c>
      <c r="B242" s="10">
        <v>35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375.03980000000001</v>
      </c>
      <c r="G242" s="12">
        <f ca="1">(RANDBETWEEN(50,100)/100)*(dict_DQ_Meth_max[[#This Row],[Vergleich_ub]]-dict_DQ_Meth_max[[#This Row],[Vergleich_lb]])+dict_DQ_Meth_max[[#This Row],[Vergleich_lb]]</f>
        <v>2729.5414000000001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0.46</v>
      </c>
      <c r="M242" s="10">
        <f ca="1">VLOOKUP(dict_DQ_Meth_max[[#This Row],[ID_DataQualities]],table_DataQualities[],9,FALSE)</f>
        <v>5351.6</v>
      </c>
    </row>
    <row r="243" spans="1:13" x14ac:dyDescent="0.45">
      <c r="A243" s="10">
        <v>64</v>
      </c>
      <c r="B243" s="10">
        <v>171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2087.4046000000003</v>
      </c>
      <c r="G243" s="12">
        <f ca="1">(RANDBETWEEN(50,100)/100)*(dict_DQ_Meth_max[[#This Row],[Vergleich_ub]]-dict_DQ_Meth_max[[#This Row],[Vergleich_lb]])+dict_DQ_Meth_max[[#This Row],[Vergleich_lb]]</f>
        <v>4709.4632000000001</v>
      </c>
      <c r="H243" s="11" t="str">
        <f ca="1">VLOOKUP(VLOOKUP(dict_DQ_Meth_max[[#This Row],[ID_DataQualities]],table_DataQualities[],3),table_Units[],2)</f>
        <v>Hz</v>
      </c>
      <c r="I243" s="10"/>
      <c r="J243" s="10"/>
      <c r="K243" s="10"/>
      <c r="L243" s="10">
        <f ca="1">VLOOKUP(dict_DQ_Meth_max[[#This Row],[ID_DataQualities]],table_DataQualities[],8,FALSE)</f>
        <v>0.46</v>
      </c>
      <c r="M243" s="10">
        <f ca="1">VLOOKUP(dict_DQ_Meth_max[[#This Row],[ID_DataQualities]],table_DataQualities[],9,FALSE)</f>
        <v>5351.6</v>
      </c>
    </row>
    <row r="244" spans="1:13" x14ac:dyDescent="0.45">
      <c r="A244" s="10">
        <v>65</v>
      </c>
      <c r="B244" s="10">
        <v>121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0.10335600000000002</v>
      </c>
      <c r="G244" s="12">
        <f ca="1">(RANDBETWEEN(50,100)/100)*(dict_DQ_Meth_max[[#This Row],[Vergleich_ub]]-dict_DQ_Meth_max[[#This Row],[Vergleich_lb]])+dict_DQ_Meth_max[[#This Row],[Vergleich_lb]]</f>
        <v>0.15029999999999999</v>
      </c>
      <c r="H244" s="11" t="str">
        <f ca="1">VLOOKUP(VLOOKUP(dict_DQ_Meth_max[[#This Row],[ID_DataQualities]],table_DataQualities[],3),table_Units[],2)</f>
        <v>+/- cm³/s</v>
      </c>
      <c r="I244" s="10"/>
      <c r="J244" s="10"/>
      <c r="K244" s="10"/>
      <c r="L244" s="10">
        <f ca="1">VLOOKUP(dict_DQ_Meth_max[[#This Row],[ID_DataQualities]],table_DataQualities[],8,FALSE)</f>
        <v>3.5999999999999999E-3</v>
      </c>
      <c r="M244" s="10">
        <f ca="1">VLOOKUP(dict_DQ_Meth_max[[#This Row],[ID_DataQualities]],table_DataQualities[],9,FALSE)</f>
        <v>0.29699999999999999</v>
      </c>
    </row>
    <row r="245" spans="1:13" x14ac:dyDescent="0.45">
      <c r="A245" s="10">
        <v>65</v>
      </c>
      <c r="B245" s="10">
        <v>35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0.12389399999999999</v>
      </c>
      <c r="G245" s="12">
        <f ca="1">(RANDBETWEEN(50,100)/100)*(dict_DQ_Meth_max[[#This Row],[Vergleich_ub]]-dict_DQ_Meth_max[[#This Row],[Vergleich_lb]])+dict_DQ_Meth_max[[#This Row],[Vergleich_lb]]</f>
        <v>0.29406599999999999</v>
      </c>
      <c r="H245" s="11" t="str">
        <f ca="1">VLOOKUP(VLOOKUP(dict_DQ_Meth_max[[#This Row],[ID_DataQualities]],table_DataQualities[],3),table_Units[],2)</f>
        <v>+/- cm³/s</v>
      </c>
      <c r="I245" s="10"/>
      <c r="J245" s="10"/>
      <c r="K245" s="10"/>
      <c r="L245" s="10">
        <f ca="1">VLOOKUP(dict_DQ_Meth_max[[#This Row],[ID_DataQualities]],table_DataQualities[],8,FALSE)</f>
        <v>3.5999999999999999E-3</v>
      </c>
      <c r="M245" s="10">
        <f ca="1">VLOOKUP(dict_DQ_Meth_max[[#This Row],[ID_DataQualities]],table_DataQualities[],9,FALSE)</f>
        <v>0.29699999999999999</v>
      </c>
    </row>
    <row r="246" spans="1:13" x14ac:dyDescent="0.45">
      <c r="A246" s="10">
        <v>65</v>
      </c>
      <c r="B246" s="10">
        <v>171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8.8686000000000001E-2</v>
      </c>
      <c r="G246" s="12">
        <f ca="1">(RANDBETWEEN(50,100)/100)*(dict_DQ_Meth_max[[#This Row],[Vergleich_ub]]-dict_DQ_Meth_max[[#This Row],[Vergleich_lb]])+dict_DQ_Meth_max[[#This Row],[Vergleich_lb]]</f>
        <v>0.26766000000000001</v>
      </c>
      <c r="H246" s="11" t="str">
        <f ca="1">VLOOKUP(VLOOKUP(dict_DQ_Meth_max[[#This Row],[ID_DataQualities]],table_DataQualities[],3),table_Units[],2)</f>
        <v>+/- cm³/s</v>
      </c>
      <c r="I246" s="10"/>
      <c r="J246" s="10"/>
      <c r="K246" s="10"/>
      <c r="L246" s="10">
        <f ca="1">VLOOKUP(dict_DQ_Meth_max[[#This Row],[ID_DataQualities]],table_DataQualities[],8,FALSE)</f>
        <v>3.5999999999999999E-3</v>
      </c>
      <c r="M246" s="10">
        <f ca="1">VLOOKUP(dict_DQ_Meth_max[[#This Row],[ID_DataQualities]],table_DataQualities[],9,FALSE)</f>
        <v>0.29699999999999999</v>
      </c>
    </row>
    <row r="247" spans="1:13" x14ac:dyDescent="0.45">
      <c r="A247" s="10">
        <v>65</v>
      </c>
      <c r="B247" s="10">
        <v>64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3.8807999999999995E-2</v>
      </c>
      <c r="G247" s="12">
        <f ca="1">(RANDBETWEEN(50,100)/100)*(dict_DQ_Meth_max[[#This Row],[Vergleich_ub]]-dict_DQ_Meth_max[[#This Row],[Vergleich_lb]])+dict_DQ_Meth_max[[#This Row],[Vergleich_lb]]</f>
        <v>0.15323399999999998</v>
      </c>
      <c r="H247" s="11" t="str">
        <f ca="1">VLOOKUP(VLOOKUP(dict_DQ_Meth_max[[#This Row],[ID_DataQualities]],table_DataQualities[],3),table_Units[],2)</f>
        <v>+/- cm³/s</v>
      </c>
      <c r="I247" s="10"/>
      <c r="J247" s="10"/>
      <c r="K247" s="10"/>
      <c r="L247" s="10">
        <f ca="1">VLOOKUP(dict_DQ_Meth_max[[#This Row],[ID_DataQualities]],table_DataQualities[],8,FALSE)</f>
        <v>3.5999999999999999E-3</v>
      </c>
      <c r="M247" s="10">
        <f ca="1">VLOOKUP(dict_DQ_Meth_max[[#This Row],[ID_DataQualities]],table_DataQualities[],9,FALSE)</f>
        <v>0.29699999999999999</v>
      </c>
    </row>
    <row r="248" spans="1:13" x14ac:dyDescent="0.45">
      <c r="A248" s="10">
        <v>66</v>
      </c>
      <c r="B248" s="10">
        <v>257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3670.31</v>
      </c>
      <c r="G248" s="12">
        <f ca="1">(RANDBETWEEN(50,100)/100)*(dict_DQ_Meth_max[[#This Row],[Vergleich_ub]]-dict_DQ_Meth_max[[#This Row],[Vergleich_lb]])+dict_DQ_Meth_max[[#This Row],[Vergleich_lb]]</f>
        <v>6018.7195999999994</v>
      </c>
      <c r="H248" s="11" t="str">
        <f ca="1">VLOOKUP(VLOOKUP(dict_DQ_Meth_max[[#This Row],[ID_DataQualities]],table_DataQualities[],3),table_Units[],2)</f>
        <v>Hz</v>
      </c>
      <c r="I248" s="10"/>
      <c r="J248" s="10"/>
      <c r="K248" s="10"/>
      <c r="L248" s="10">
        <f ca="1">VLOOKUP(dict_DQ_Meth_max[[#This Row],[ID_DataQualities]],table_DataQualities[],8,FALSE)</f>
        <v>0.92</v>
      </c>
      <c r="M248" s="10">
        <f ca="1">VLOOKUP(dict_DQ_Meth_max[[#This Row],[ID_DataQualities]],table_DataQualities[],9,FALSE)</f>
        <v>7339.7</v>
      </c>
    </row>
    <row r="249" spans="1:13" x14ac:dyDescent="0.45">
      <c r="A249" s="10">
        <v>66</v>
      </c>
      <c r="B249" s="10">
        <v>31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1835.615</v>
      </c>
      <c r="G249" s="12">
        <f ca="1">(RANDBETWEEN(50,100)/100)*(dict_DQ_Meth_max[[#This Row],[Vergleich_ub]]-dict_DQ_Meth_max[[#This Row],[Vergleich_lb]])+dict_DQ_Meth_max[[#This Row],[Vergleich_lb]]</f>
        <v>4550.9636</v>
      </c>
      <c r="H249" s="11" t="str">
        <f ca="1">VLOOKUP(VLOOKUP(dict_DQ_Meth_max[[#This Row],[ID_DataQualities]],table_DataQualities[],3),table_Units[],2)</f>
        <v>Hz</v>
      </c>
      <c r="I249" s="10"/>
      <c r="J249" s="10"/>
      <c r="K249" s="10"/>
      <c r="L249" s="10">
        <f ca="1">VLOOKUP(dict_DQ_Meth_max[[#This Row],[ID_DataQualities]],table_DataQualities[],8,FALSE)</f>
        <v>0.92</v>
      </c>
      <c r="M249" s="10">
        <f ca="1">VLOOKUP(dict_DQ_Meth_max[[#This Row],[ID_DataQualities]],table_DataQualities[],9,FALSE)</f>
        <v>7339.7</v>
      </c>
    </row>
    <row r="250" spans="1:13" x14ac:dyDescent="0.45">
      <c r="A250" s="10">
        <v>66</v>
      </c>
      <c r="B250" s="10">
        <v>459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2202.5540000000001</v>
      </c>
      <c r="G250" s="12">
        <f ca="1">(RANDBETWEEN(50,100)/100)*(dict_DQ_Meth_max[[#This Row],[Vergleich_ub]]-dict_DQ_Meth_max[[#This Row],[Vergleich_lb]])+dict_DQ_Meth_max[[#This Row],[Vergleich_lb]]</f>
        <v>5211.4537999999993</v>
      </c>
      <c r="H250" s="11" t="str">
        <f ca="1">VLOOKUP(VLOOKUP(dict_DQ_Meth_max[[#This Row],[ID_DataQualities]],table_DataQualities[],3),table_Units[],2)</f>
        <v>Hz</v>
      </c>
      <c r="I250" s="10"/>
      <c r="J250" s="10"/>
      <c r="K250" s="10"/>
      <c r="L250" s="10">
        <f ca="1">VLOOKUP(dict_DQ_Meth_max[[#This Row],[ID_DataQualities]],table_DataQualities[],8,FALSE)</f>
        <v>0.92</v>
      </c>
      <c r="M250" s="10">
        <f ca="1">VLOOKUP(dict_DQ_Meth_max[[#This Row],[ID_DataQualities]],table_DataQualities[],9,FALSE)</f>
        <v>7339.7</v>
      </c>
    </row>
    <row r="251" spans="1:13" x14ac:dyDescent="0.45">
      <c r="A251" s="10">
        <v>67</v>
      </c>
      <c r="B251" s="10">
        <v>459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1517.0400000000002</v>
      </c>
      <c r="G251" s="12">
        <f ca="1">(RANDBETWEEN(50,100)/100)*(dict_DQ_Meth_max[[#This Row],[Vergleich_ub]]-dict_DQ_Meth_max[[#This Row],[Vergleich_lb]])+dict_DQ_Meth_max[[#This Row],[Vergleich_lb]]</f>
        <v>4872.5600000000004</v>
      </c>
      <c r="H251" s="11" t="str">
        <f ca="1">VLOOKUP(VLOOKUP(dict_DQ_Meth_max[[#This Row],[ID_DataQualities]],table_DataQualities[],3),table_Units[],2)</f>
        <v>bit</v>
      </c>
      <c r="I251" s="10"/>
      <c r="J251" s="10"/>
      <c r="K251" s="10"/>
      <c r="L251" s="10">
        <f ca="1">VLOOKUP(dict_DQ_Meth_max[[#This Row],[ID_DataQualities]],table_DataQualities[],8,FALSE)</f>
        <v>49</v>
      </c>
      <c r="M251" s="10">
        <f ca="1">VLOOKUP(dict_DQ_Meth_max[[#This Row],[ID_DataQualities]],table_DataQualities[],9,FALSE)</f>
        <v>5292</v>
      </c>
    </row>
    <row r="252" spans="1:13" x14ac:dyDescent="0.45">
      <c r="A252" s="10">
        <v>67</v>
      </c>
      <c r="B252" s="10">
        <v>257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311.15000000000003</v>
      </c>
      <c r="G252" s="12">
        <f ca="1">(RANDBETWEEN(50,100)/100)*(dict_DQ_Meth_max[[#This Row],[Vergleich_ub]]-dict_DQ_Meth_max[[#This Row],[Vergleich_lb]])+dict_DQ_Meth_max[[#This Row],[Vergleich_lb]]</f>
        <v>5029.8499999999995</v>
      </c>
      <c r="H252" s="11" t="str">
        <f ca="1">VLOOKUP(VLOOKUP(dict_DQ_Meth_max[[#This Row],[ID_DataQualities]],table_DataQualities[],3),table_Units[],2)</f>
        <v>bit</v>
      </c>
      <c r="I252" s="10"/>
      <c r="J252" s="10"/>
      <c r="K252" s="10"/>
      <c r="L252" s="10">
        <f ca="1">VLOOKUP(dict_DQ_Meth_max[[#This Row],[ID_DataQualities]],table_DataQualities[],8,FALSE)</f>
        <v>49</v>
      </c>
      <c r="M252" s="10">
        <f ca="1">VLOOKUP(dict_DQ_Meth_max[[#This Row],[ID_DataQualities]],table_DataQualities[],9,FALSE)</f>
        <v>5292</v>
      </c>
    </row>
    <row r="253" spans="1:13" x14ac:dyDescent="0.45">
      <c r="A253" s="10">
        <v>67</v>
      </c>
      <c r="B253" s="10">
        <v>31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2355.92</v>
      </c>
      <c r="G253" s="12">
        <f ca="1">(RANDBETWEEN(50,100)/100)*(dict_DQ_Meth_max[[#This Row],[Vergleich_ub]]-dict_DQ_Meth_max[[#This Row],[Vergleich_lb]])+dict_DQ_Meth_max[[#This Row],[Vergleich_lb]]</f>
        <v>5292</v>
      </c>
      <c r="H253" s="11" t="str">
        <f ca="1">VLOOKUP(VLOOKUP(dict_DQ_Meth_max[[#This Row],[ID_DataQualities]],table_DataQualities[],3),table_Units[],2)</f>
        <v>bit</v>
      </c>
      <c r="I253" s="10"/>
      <c r="J253" s="10"/>
      <c r="K253" s="10"/>
      <c r="L253" s="10">
        <f ca="1">VLOOKUP(dict_DQ_Meth_max[[#This Row],[ID_DataQualities]],table_DataQualities[],8,FALSE)</f>
        <v>49</v>
      </c>
      <c r="M253" s="10">
        <f ca="1">VLOOKUP(dict_DQ_Meth_max[[#This Row],[ID_DataQualities]],table_DataQualities[],9,FALSE)</f>
        <v>5292</v>
      </c>
    </row>
    <row r="254" spans="1:13" x14ac:dyDescent="0.45">
      <c r="A254" s="10">
        <v>68</v>
      </c>
      <c r="B254" s="10">
        <v>436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2060.4351200000001</v>
      </c>
      <c r="G254" s="12">
        <f ca="1">(RANDBETWEEN(50,100)/100)*(dict_DQ_Meth_max[[#This Row],[Vergleich_ub]]-dict_DQ_Meth_max[[#This Row],[Vergleich_lb]])+dict_DQ_Meth_max[[#This Row],[Vergleich_lb]]</f>
        <v>4319.4467999999997</v>
      </c>
      <c r="H254" s="11" t="str">
        <f ca="1">VLOOKUP(VLOOKUP(dict_DQ_Meth_max[[#This Row],[ID_DataQualities]],table_DataQualities[],3),table_Units[],2)</f>
        <v>Hz</v>
      </c>
      <c r="I254" s="10"/>
      <c r="J254" s="10"/>
      <c r="K254" s="10"/>
      <c r="L254" s="10">
        <f ca="1">VLOOKUP(dict_DQ_Meth_max[[#This Row],[ID_DataQualities]],table_DataQualities[],8,FALSE)</f>
        <v>0.748</v>
      </c>
      <c r="M254" s="10">
        <f ca="1">VLOOKUP(dict_DQ_Meth_max[[#This Row],[ID_DataQualities]],table_DataQualities[],9,FALSE)</f>
        <v>6644.9</v>
      </c>
    </row>
    <row r="255" spans="1:13" x14ac:dyDescent="0.45">
      <c r="A255" s="10">
        <v>68</v>
      </c>
      <c r="B255" s="10">
        <v>582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266.51407999999998</v>
      </c>
      <c r="G255" s="12">
        <f ca="1">(RANDBETWEEN(50,100)/100)*(dict_DQ_Meth_max[[#This Row],[Vergleich_ub]]-dict_DQ_Meth_max[[#This Row],[Vergleich_lb]])+dict_DQ_Meth_max[[#This Row],[Vergleich_lb]]</f>
        <v>4917.4204799999998</v>
      </c>
      <c r="H255" s="11" t="str">
        <f ca="1">VLOOKUP(VLOOKUP(dict_DQ_Meth_max[[#This Row],[ID_DataQualities]],table_DataQualities[],3),table_Units[],2)</f>
        <v>Hz</v>
      </c>
      <c r="I255" s="10"/>
      <c r="J255" s="10"/>
      <c r="K255" s="10"/>
      <c r="L255" s="10">
        <f ca="1">VLOOKUP(dict_DQ_Meth_max[[#This Row],[ID_DataQualities]],table_DataQualities[],8,FALSE)</f>
        <v>0.748</v>
      </c>
      <c r="M255" s="10">
        <f ca="1">VLOOKUP(dict_DQ_Meth_max[[#This Row],[ID_DataQualities]],table_DataQualities[],9,FALSE)</f>
        <v>6644.9</v>
      </c>
    </row>
    <row r="256" spans="1:13" x14ac:dyDescent="0.45">
      <c r="A256" s="10">
        <v>68</v>
      </c>
      <c r="B256" s="10">
        <v>286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3256.3824800000002</v>
      </c>
      <c r="G256" s="12">
        <f ca="1">(RANDBETWEEN(50,100)/100)*(dict_DQ_Meth_max[[#This Row],[Vergleich_ub]]-dict_DQ_Meth_max[[#This Row],[Vergleich_lb]])+dict_DQ_Meth_max[[#This Row],[Vergleich_lb]]</f>
        <v>3588.5900800000004</v>
      </c>
      <c r="H256" s="11" t="str">
        <f ca="1">VLOOKUP(VLOOKUP(dict_DQ_Meth_max[[#This Row],[ID_DataQualities]],table_DataQualities[],3),table_Units[],2)</f>
        <v>Hz</v>
      </c>
      <c r="I256" s="10"/>
      <c r="J256" s="10"/>
      <c r="K256" s="10"/>
      <c r="L256" s="10">
        <f ca="1">VLOOKUP(dict_DQ_Meth_max[[#This Row],[ID_DataQualities]],table_DataQualities[],8,FALSE)</f>
        <v>0.748</v>
      </c>
      <c r="M256" s="10">
        <f ca="1">VLOOKUP(dict_DQ_Meth_max[[#This Row],[ID_DataQualities]],table_DataQualities[],9,FALSE)</f>
        <v>6644.9</v>
      </c>
    </row>
    <row r="257" spans="1:13" x14ac:dyDescent="0.45">
      <c r="A257" s="10">
        <v>68</v>
      </c>
      <c r="B257" s="10">
        <v>95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930.92928000000018</v>
      </c>
      <c r="G257" s="12">
        <f ca="1">(RANDBETWEEN(50,100)/100)*(dict_DQ_Meth_max[[#This Row],[Vergleich_ub]]-dict_DQ_Meth_max[[#This Row],[Vergleich_lb]])+dict_DQ_Meth_max[[#This Row],[Vergleich_lb]]</f>
        <v>6379.1339199999993</v>
      </c>
      <c r="H257" s="11" t="str">
        <f ca="1">VLOOKUP(VLOOKUP(dict_DQ_Meth_max[[#This Row],[ID_DataQualities]],table_DataQualities[],3),table_Units[],2)</f>
        <v>Hz</v>
      </c>
      <c r="I257" s="10"/>
      <c r="J257" s="10"/>
      <c r="K257" s="10"/>
      <c r="L257" s="10">
        <f ca="1">VLOOKUP(dict_DQ_Meth_max[[#This Row],[ID_DataQualities]],table_DataQualities[],8,FALSE)</f>
        <v>0.748</v>
      </c>
      <c r="M257" s="10">
        <f ca="1">VLOOKUP(dict_DQ_Meth_max[[#This Row],[ID_DataQualities]],table_DataQualities[],9,FALSE)</f>
        <v>6644.9</v>
      </c>
    </row>
    <row r="258" spans="1:13" x14ac:dyDescent="0.45">
      <c r="A258" s="10">
        <v>69</v>
      </c>
      <c r="B258" s="10">
        <v>436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0.72439999999999993</v>
      </c>
      <c r="G258" s="12">
        <f ca="1">(RANDBETWEEN(50,100)/100)*(dict_DQ_Meth_max[[#This Row],[Vergleich_ub]]-dict_DQ_Meth_max[[#This Row],[Vergleich_lb]])+dict_DQ_Meth_max[[#This Row],[Vergleich_lb]]</f>
        <v>0.79330000000000001</v>
      </c>
      <c r="H258" s="11" t="str">
        <f ca="1">VLOOKUP(VLOOKUP(dict_DQ_Meth_max[[#This Row],[ID_DataQualities]],table_DataQualities[],3),table_Units[],2)</f>
        <v>+/- mm/s</v>
      </c>
      <c r="I258" s="10"/>
      <c r="J258" s="10"/>
      <c r="K258" s="10"/>
      <c r="L258" s="10">
        <f ca="1">VLOOKUP(dict_DQ_Meth_max[[#This Row],[ID_DataQualities]],table_DataQualities[],8,FALSE)</f>
        <v>0.47</v>
      </c>
      <c r="M258" s="10">
        <f ca="1">VLOOKUP(dict_DQ_Meth_max[[#This Row],[ID_DataQualities]],table_DataQualities[],9,FALSE)</f>
        <v>1</v>
      </c>
    </row>
    <row r="259" spans="1:13" x14ac:dyDescent="0.45">
      <c r="A259" s="10">
        <v>69</v>
      </c>
      <c r="B259" s="10">
        <v>286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0.56010000000000004</v>
      </c>
      <c r="G259" s="12">
        <f ca="1">(RANDBETWEEN(50,100)/100)*(dict_DQ_Meth_max[[#This Row],[Vergleich_ub]]-dict_DQ_Meth_max[[#This Row],[Vergleich_lb]])+dict_DQ_Meth_max[[#This Row],[Vergleich_lb]]</f>
        <v>0.85159999999999991</v>
      </c>
      <c r="H259" s="11" t="str">
        <f ca="1">VLOOKUP(VLOOKUP(dict_DQ_Meth_max[[#This Row],[ID_DataQualities]],table_DataQualities[],3),table_Units[],2)</f>
        <v>+/- mm/s</v>
      </c>
      <c r="I259" s="10"/>
      <c r="J259" s="10"/>
      <c r="K259" s="10"/>
      <c r="L259" s="10">
        <f ca="1">VLOOKUP(dict_DQ_Meth_max[[#This Row],[ID_DataQualities]],table_DataQualities[],8,FALSE)</f>
        <v>0.47</v>
      </c>
      <c r="M259" s="10">
        <f ca="1">VLOOKUP(dict_DQ_Meth_max[[#This Row],[ID_DataQualities]],table_DataQualities[],9,FALSE)</f>
        <v>1</v>
      </c>
    </row>
    <row r="260" spans="1:13" x14ac:dyDescent="0.45">
      <c r="A260" s="10">
        <v>69</v>
      </c>
      <c r="B260" s="10">
        <v>582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0.60780000000000001</v>
      </c>
      <c r="G260" s="12">
        <f ca="1">(RANDBETWEEN(50,100)/100)*(dict_DQ_Meth_max[[#This Row],[Vergleich_ub]]-dict_DQ_Meth_max[[#This Row],[Vergleich_lb]])+dict_DQ_Meth_max[[#This Row],[Vergleich_lb]]</f>
        <v>0.88339999999999996</v>
      </c>
      <c r="H260" s="11" t="str">
        <f ca="1">VLOOKUP(VLOOKUP(dict_DQ_Meth_max[[#This Row],[ID_DataQualities]],table_DataQualities[],3),table_Units[],2)</f>
        <v>+/- mm/s</v>
      </c>
      <c r="I260" s="10"/>
      <c r="J260" s="10"/>
      <c r="K260" s="10"/>
      <c r="L260" s="10">
        <f ca="1">VLOOKUP(dict_DQ_Meth_max[[#This Row],[ID_DataQualities]],table_DataQualities[],8,FALSE)</f>
        <v>0.47</v>
      </c>
      <c r="M260" s="10">
        <f ca="1">VLOOKUP(dict_DQ_Meth_max[[#This Row],[ID_DataQualities]],table_DataQualities[],9,FALSE)</f>
        <v>1</v>
      </c>
    </row>
    <row r="261" spans="1:13" x14ac:dyDescent="0.45">
      <c r="A261" s="10">
        <v>69</v>
      </c>
      <c r="B261" s="10">
        <v>95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0.59189999999999998</v>
      </c>
      <c r="G261" s="12">
        <f ca="1">(RANDBETWEEN(50,100)/100)*(dict_DQ_Meth_max[[#This Row],[Vergleich_ub]]-dict_DQ_Meth_max[[#This Row],[Vergleich_lb]])+dict_DQ_Meth_max[[#This Row],[Vergleich_lb]]</f>
        <v>0.84099999999999997</v>
      </c>
      <c r="H261" s="11" t="str">
        <f ca="1">VLOOKUP(VLOOKUP(dict_DQ_Meth_max[[#This Row],[ID_DataQualities]],table_DataQualities[],3),table_Units[],2)</f>
        <v>+/- mm/s</v>
      </c>
      <c r="I261" s="10"/>
      <c r="J261" s="10"/>
      <c r="K261" s="10"/>
      <c r="L261" s="10">
        <f ca="1">VLOOKUP(dict_DQ_Meth_max[[#This Row],[ID_DataQualities]],table_DataQualities[],8,FALSE)</f>
        <v>0.47</v>
      </c>
      <c r="M261" s="10">
        <f ca="1">VLOOKUP(dict_DQ_Meth_max[[#This Row],[ID_DataQualities]],table_DataQualities[],9,FALSE)</f>
        <v>1</v>
      </c>
    </row>
    <row r="262" spans="1:13" x14ac:dyDescent="0.45">
      <c r="A262" s="10">
        <v>70</v>
      </c>
      <c r="B262" s="10">
        <v>0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408.48585999999995</v>
      </c>
      <c r="G262" s="12">
        <f ca="1">(RANDBETWEEN(50,100)/100)*(dict_DQ_Meth_max[[#This Row],[Vergleich_ub]]-dict_DQ_Meth_max[[#This Row],[Vergleich_lb]])+dict_DQ_Meth_max[[#This Row],[Vergleich_lb]]</f>
        <v>3872.8041699999994</v>
      </c>
      <c r="H262" s="11" t="str">
        <f ca="1">VLOOKUP(VLOOKUP(dict_DQ_Meth_max[[#This Row],[ID_DataQualities]],table_DataQualities[],3),table_Units[],2)</f>
        <v>Hz</v>
      </c>
      <c r="I262" s="10"/>
      <c r="J262" s="10"/>
      <c r="K262" s="10"/>
      <c r="L262" s="10">
        <f ca="1">VLOOKUP(dict_DQ_Meth_max[[#This Row],[ID_DataQualities]],table_DataQualities[],8,FALSE)</f>
        <v>0.91900000000000004</v>
      </c>
      <c r="M262" s="10">
        <f ca="1">VLOOKUP(dict_DQ_Meth_max[[#This Row],[ID_DataQualities]],table_DataQualities[],9,FALSE)</f>
        <v>6793.7</v>
      </c>
    </row>
    <row r="263" spans="1:13" x14ac:dyDescent="0.45">
      <c r="A263" s="10">
        <v>70</v>
      </c>
      <c r="B263" s="10">
        <v>349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1223.61958</v>
      </c>
      <c r="G263" s="12">
        <f ca="1">(RANDBETWEEN(50,100)/100)*(dict_DQ_Meth_max[[#This Row],[Vergleich_ub]]-dict_DQ_Meth_max[[#This Row],[Vergleich_lb]])+dict_DQ_Meth_max[[#This Row],[Vergleich_lb]]</f>
        <v>6793.7</v>
      </c>
      <c r="H263" s="11" t="str">
        <f ca="1">VLOOKUP(VLOOKUP(dict_DQ_Meth_max[[#This Row],[ID_DataQualities]],table_DataQualities[],3),table_Units[],2)</f>
        <v>Hz</v>
      </c>
      <c r="I263" s="10"/>
      <c r="J263" s="10"/>
      <c r="K263" s="10"/>
      <c r="L263" s="10">
        <f ca="1">VLOOKUP(dict_DQ_Meth_max[[#This Row],[ID_DataQualities]],table_DataQualities[],8,FALSE)</f>
        <v>0.91900000000000004</v>
      </c>
      <c r="M263" s="10">
        <f ca="1">VLOOKUP(dict_DQ_Meth_max[[#This Row],[ID_DataQualities]],table_DataQualities[],9,FALSE)</f>
        <v>6793.7</v>
      </c>
    </row>
    <row r="264" spans="1:13" x14ac:dyDescent="0.45">
      <c r="A264" s="10">
        <v>70</v>
      </c>
      <c r="B264" s="10">
        <v>398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2853.8870199999997</v>
      </c>
      <c r="G264" s="12">
        <f ca="1">(RANDBETWEEN(50,100)/100)*(dict_DQ_Meth_max[[#This Row],[Vergleich_ub]]-dict_DQ_Meth_max[[#This Row],[Vergleich_lb]])+dict_DQ_Meth_max[[#This Row],[Vergleich_lb]]</f>
        <v>5163.4325600000002</v>
      </c>
      <c r="H264" s="11" t="str">
        <f ca="1">VLOOKUP(VLOOKUP(dict_DQ_Meth_max[[#This Row],[ID_DataQualities]],table_DataQualities[],3),table_Units[],2)</f>
        <v>Hz</v>
      </c>
      <c r="I264" s="10"/>
      <c r="J264" s="10"/>
      <c r="K264" s="10"/>
      <c r="L264" s="10">
        <f ca="1">VLOOKUP(dict_DQ_Meth_max[[#This Row],[ID_DataQualities]],table_DataQualities[],8,FALSE)</f>
        <v>0.91900000000000004</v>
      </c>
      <c r="M264" s="10">
        <f ca="1">VLOOKUP(dict_DQ_Meth_max[[#This Row],[ID_DataQualities]],table_DataQualities[],9,FALSE)</f>
        <v>6793.7</v>
      </c>
    </row>
    <row r="265" spans="1:13" x14ac:dyDescent="0.45">
      <c r="A265" s="10">
        <v>71</v>
      </c>
      <c r="B265" s="10">
        <v>349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2996.5</v>
      </c>
      <c r="G265" s="12">
        <f ca="1">(RANDBETWEEN(50,100)/100)*(dict_DQ_Meth_max[[#This Row],[Vergleich_ub]]-dict_DQ_Meth_max[[#This Row],[Vergleich_lb]])+dict_DQ_Meth_max[[#This Row],[Vergleich_lb]]</f>
        <v>5329.87</v>
      </c>
      <c r="H265" s="11" t="str">
        <f ca="1">VLOOKUP(VLOOKUP(dict_DQ_Meth_max[[#This Row],[ID_DataQualities]],table_DataQualities[],3),table_Units[],2)</f>
        <v>bit</v>
      </c>
      <c r="I265" s="10"/>
      <c r="J265" s="10"/>
      <c r="K265" s="10"/>
      <c r="L265" s="10">
        <f ca="1">VLOOKUP(dict_DQ_Meth_max[[#This Row],[ID_DataQualities]],table_DataQualities[],8,FALSE)</f>
        <v>5</v>
      </c>
      <c r="M265" s="10">
        <f ca="1">VLOOKUP(dict_DQ_Meth_max[[#This Row],[ID_DataQualities]],table_DataQualities[],9,FALSE)</f>
        <v>5988</v>
      </c>
    </row>
    <row r="266" spans="1:13" x14ac:dyDescent="0.45">
      <c r="A266" s="10">
        <v>71</v>
      </c>
      <c r="B266" s="10">
        <v>0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1081.94</v>
      </c>
      <c r="G266" s="12">
        <f ca="1">(RANDBETWEEN(50,100)/100)*(dict_DQ_Meth_max[[#This Row],[Vergleich_ub]]-dict_DQ_Meth_max[[#This Row],[Vergleich_lb]])+dict_DQ_Meth_max[[#This Row],[Vergleich_lb]]</f>
        <v>3953.78</v>
      </c>
      <c r="H266" s="11" t="str">
        <f ca="1">VLOOKUP(VLOOKUP(dict_DQ_Meth_max[[#This Row],[ID_DataQualities]],table_DataQualities[],3),table_Units[],2)</f>
        <v>bit</v>
      </c>
      <c r="I266" s="10"/>
      <c r="J266" s="10"/>
      <c r="K266" s="10"/>
      <c r="L266" s="10">
        <f ca="1">VLOOKUP(dict_DQ_Meth_max[[#This Row],[ID_DataQualities]],table_DataQualities[],8,FALSE)</f>
        <v>5</v>
      </c>
      <c r="M266" s="10">
        <f ca="1">VLOOKUP(dict_DQ_Meth_max[[#This Row],[ID_DataQualities]],table_DataQualities[],9,FALSE)</f>
        <v>5988</v>
      </c>
    </row>
    <row r="267" spans="1:13" x14ac:dyDescent="0.45">
      <c r="A267" s="10">
        <v>71</v>
      </c>
      <c r="B267" s="10">
        <v>398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603.30000000000007</v>
      </c>
      <c r="G267" s="12">
        <f ca="1">(RANDBETWEEN(50,100)/100)*(dict_DQ_Meth_max[[#This Row],[Vergleich_ub]]-dict_DQ_Meth_max[[#This Row],[Vergleich_lb]])+dict_DQ_Meth_max[[#This Row],[Vergleich_lb]]</f>
        <v>3355.4800000000005</v>
      </c>
      <c r="H267" s="11" t="str">
        <f ca="1">VLOOKUP(VLOOKUP(dict_DQ_Meth_max[[#This Row],[ID_DataQualities]],table_DataQualities[],3),table_Units[],2)</f>
        <v>bit</v>
      </c>
      <c r="I267" s="10"/>
      <c r="J267" s="10"/>
      <c r="K267" s="10"/>
      <c r="L267" s="10">
        <f ca="1">VLOOKUP(dict_DQ_Meth_max[[#This Row],[ID_DataQualities]],table_DataQualities[],8,FALSE)</f>
        <v>5</v>
      </c>
      <c r="M267" s="10">
        <f ca="1">VLOOKUP(dict_DQ_Meth_max[[#This Row],[ID_DataQualities]],table_DataQualities[],9,FALSE)</f>
        <v>5988</v>
      </c>
    </row>
    <row r="268" spans="1:13" x14ac:dyDescent="0.45">
      <c r="A268" s="10">
        <v>72</v>
      </c>
      <c r="B268" s="10">
        <v>310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1500.5616</v>
      </c>
      <c r="G268" s="12">
        <f ca="1">(RANDBETWEEN(50,100)/100)*(dict_DQ_Meth_max[[#This Row],[Vergleich_ub]]-dict_DQ_Meth_max[[#This Row],[Vergleich_lb]])+dict_DQ_Meth_max[[#This Row],[Vergleich_lb]]</f>
        <v>4649.8467599999994</v>
      </c>
      <c r="H268" s="11" t="str">
        <f ca="1">VLOOKUP(VLOOKUP(dict_DQ_Meth_max[[#This Row],[ID_DataQualities]],table_DataQualities[],3),table_Units[],2)</f>
        <v>Hz</v>
      </c>
      <c r="I268" s="10"/>
      <c r="J268" s="10"/>
      <c r="K268" s="10"/>
      <c r="L268" s="10">
        <f ca="1">VLOOKUP(dict_DQ_Meth_max[[#This Row],[ID_DataQualities]],table_DataQualities[],8,FALSE)</f>
        <v>0.90200000000000002</v>
      </c>
      <c r="M268" s="10">
        <f ca="1">VLOOKUP(dict_DQ_Meth_max[[#This Row],[ID_DataQualities]],table_DataQualities[],9,FALSE)</f>
        <v>7499.2</v>
      </c>
    </row>
    <row r="269" spans="1:13" x14ac:dyDescent="0.45">
      <c r="A269" s="10">
        <v>72</v>
      </c>
      <c r="B269" s="10">
        <v>610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1500.5616</v>
      </c>
      <c r="G269" s="12">
        <f ca="1">(RANDBETWEEN(50,100)/100)*(dict_DQ_Meth_max[[#This Row],[Vergleich_ub]]-dict_DQ_Meth_max[[#This Row],[Vergleich_lb]])+dict_DQ_Meth_max[[#This Row],[Vergleich_lb]]</f>
        <v>5024.7616600000001</v>
      </c>
      <c r="H269" s="11" t="str">
        <f ca="1">VLOOKUP(VLOOKUP(dict_DQ_Meth_max[[#This Row],[ID_DataQualities]],table_DataQualities[],3),table_Units[],2)</f>
        <v>Hz</v>
      </c>
      <c r="I269" s="10"/>
      <c r="J269" s="10"/>
      <c r="K269" s="10"/>
      <c r="L269" s="10">
        <f ca="1">VLOOKUP(dict_DQ_Meth_max[[#This Row],[ID_DataQualities]],table_DataQualities[],8,FALSE)</f>
        <v>0.90200000000000002</v>
      </c>
      <c r="M269" s="10">
        <f ca="1">VLOOKUP(dict_DQ_Meth_max[[#This Row],[ID_DataQualities]],table_DataQualities[],9,FALSE)</f>
        <v>7499.2</v>
      </c>
    </row>
    <row r="270" spans="1:13" x14ac:dyDescent="0.45">
      <c r="A270" s="10">
        <v>72</v>
      </c>
      <c r="B270" s="10">
        <v>44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2025.4424600000002</v>
      </c>
      <c r="G270" s="12">
        <f ca="1">(RANDBETWEEN(50,100)/100)*(dict_DQ_Meth_max[[#This Row],[Vergleich_ub]]-dict_DQ_Meth_max[[#This Row],[Vergleich_lb]])+dict_DQ_Meth_max[[#This Row],[Vergleich_lb]]</f>
        <v>4574.8637799999997</v>
      </c>
      <c r="H270" s="11" t="str">
        <f ca="1">VLOOKUP(VLOOKUP(dict_DQ_Meth_max[[#This Row],[ID_DataQualities]],table_DataQualities[],3),table_Units[],2)</f>
        <v>Hz</v>
      </c>
      <c r="I270" s="10"/>
      <c r="J270" s="10"/>
      <c r="K270" s="10"/>
      <c r="L270" s="10">
        <f ca="1">VLOOKUP(dict_DQ_Meth_max[[#This Row],[ID_DataQualities]],table_DataQualities[],8,FALSE)</f>
        <v>0.90200000000000002</v>
      </c>
      <c r="M270" s="10">
        <f ca="1">VLOOKUP(dict_DQ_Meth_max[[#This Row],[ID_DataQualities]],table_DataQualities[],9,FALSE)</f>
        <v>7499.2</v>
      </c>
    </row>
    <row r="271" spans="1:13" x14ac:dyDescent="0.45">
      <c r="A271" s="10">
        <v>72</v>
      </c>
      <c r="B271" s="10">
        <v>588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3600.0850399999999</v>
      </c>
      <c r="G271" s="12">
        <f ca="1">(RANDBETWEEN(50,100)/100)*(dict_DQ_Meth_max[[#This Row],[Vergleich_ub]]-dict_DQ_Meth_max[[#This Row],[Vergleich_lb]])+dict_DQ_Meth_max[[#This Row],[Vergleich_lb]]</f>
        <v>4574.8637799999997</v>
      </c>
      <c r="H271" s="11" t="str">
        <f ca="1">VLOOKUP(VLOOKUP(dict_DQ_Meth_max[[#This Row],[ID_DataQualities]],table_DataQualities[],3),table_Units[],2)</f>
        <v>Hz</v>
      </c>
      <c r="I271" s="10"/>
      <c r="J271" s="10"/>
      <c r="K271" s="10"/>
      <c r="L271" s="10">
        <f ca="1">VLOOKUP(dict_DQ_Meth_max[[#This Row],[ID_DataQualities]],table_DataQualities[],8,FALSE)</f>
        <v>0.90200000000000002</v>
      </c>
      <c r="M271" s="10">
        <f ca="1">VLOOKUP(dict_DQ_Meth_max[[#This Row],[ID_DataQualities]],table_DataQualities[],9,FALSE)</f>
        <v>7499.2</v>
      </c>
    </row>
    <row r="272" spans="1:13" x14ac:dyDescent="0.45">
      <c r="A272" s="10">
        <v>73</v>
      </c>
      <c r="B272" s="10">
        <v>610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3.8279999999999998</v>
      </c>
      <c r="G272" s="12">
        <f ca="1">(RANDBETWEEN(50,100)/100)*(dict_DQ_Meth_max[[#This Row],[Vergleich_ub]]-dict_DQ_Meth_max[[#This Row],[Vergleich_lb]])+dict_DQ_Meth_max[[#This Row],[Vergleich_lb]]</f>
        <v>5.5360000000000005</v>
      </c>
      <c r="H272" s="11" t="str">
        <f ca="1">VLOOKUP(VLOOKUP(dict_DQ_Meth_max[[#This Row],[ID_DataQualities]],table_DataQualities[],3),table_Units[],2)</f>
        <v>+/- °C</v>
      </c>
      <c r="I272" s="10"/>
      <c r="J272" s="10"/>
      <c r="K272" s="10"/>
      <c r="L272" s="10">
        <f ca="1">VLOOKUP(dict_DQ_Meth_max[[#This Row],[ID_DataQualities]],table_DataQualities[],8,FALSE)</f>
        <v>0.9</v>
      </c>
      <c r="M272" s="10">
        <f ca="1">VLOOKUP(dict_DQ_Meth_max[[#This Row],[ID_DataQualities]],table_DataQualities[],9,FALSE)</f>
        <v>7</v>
      </c>
    </row>
    <row r="273" spans="1:13" x14ac:dyDescent="0.45">
      <c r="A273" s="10">
        <v>73</v>
      </c>
      <c r="B273" s="10">
        <v>310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3.645</v>
      </c>
      <c r="G273" s="12">
        <f ca="1">(RANDBETWEEN(50,100)/100)*(dict_DQ_Meth_max[[#This Row],[Vergleich_ub]]-dict_DQ_Meth_max[[#This Row],[Vergleich_lb]])+dict_DQ_Meth_max[[#This Row],[Vergleich_lb]]</f>
        <v>3.9499999999999997</v>
      </c>
      <c r="H273" s="11" t="str">
        <f ca="1">VLOOKUP(VLOOKUP(dict_DQ_Meth_max[[#This Row],[ID_DataQualities]],table_DataQualities[],3),table_Units[],2)</f>
        <v>+/- °C</v>
      </c>
      <c r="I273" s="10"/>
      <c r="J273" s="10"/>
      <c r="K273" s="10"/>
      <c r="L273" s="10">
        <f ca="1">VLOOKUP(dict_DQ_Meth_max[[#This Row],[ID_DataQualities]],table_DataQualities[],8,FALSE)</f>
        <v>0.9</v>
      </c>
      <c r="M273" s="10">
        <f ca="1">VLOOKUP(dict_DQ_Meth_max[[#This Row],[ID_DataQualities]],table_DataQualities[],9,FALSE)</f>
        <v>7</v>
      </c>
    </row>
    <row r="274" spans="1:13" x14ac:dyDescent="0.45">
      <c r="A274" s="10">
        <v>73</v>
      </c>
      <c r="B274" s="10">
        <v>588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3.4619999999999997</v>
      </c>
      <c r="G274" s="12">
        <f ca="1">(RANDBETWEEN(50,100)/100)*(dict_DQ_Meth_max[[#This Row],[Vergleich_ub]]-dict_DQ_Meth_max[[#This Row],[Vergleich_lb]])+dict_DQ_Meth_max[[#This Row],[Vergleich_lb]]</f>
        <v>6.5730000000000004</v>
      </c>
      <c r="H274" s="11" t="str">
        <f ca="1">VLOOKUP(VLOOKUP(dict_DQ_Meth_max[[#This Row],[ID_DataQualities]],table_DataQualities[],3),table_Units[],2)</f>
        <v>+/- °C</v>
      </c>
      <c r="I274" s="10"/>
      <c r="J274" s="10"/>
      <c r="K274" s="10"/>
      <c r="L274" s="10">
        <f ca="1">VLOOKUP(dict_DQ_Meth_max[[#This Row],[ID_DataQualities]],table_DataQualities[],8,FALSE)</f>
        <v>0.9</v>
      </c>
      <c r="M274" s="10">
        <f ca="1">VLOOKUP(dict_DQ_Meth_max[[#This Row],[ID_DataQualities]],table_DataQualities[],9,FALSE)</f>
        <v>7</v>
      </c>
    </row>
    <row r="275" spans="1:13" x14ac:dyDescent="0.45">
      <c r="A275" s="10">
        <v>73</v>
      </c>
      <c r="B275" s="10">
        <v>44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3.2789999999999999</v>
      </c>
      <c r="G275" s="12">
        <f ca="1">(RANDBETWEEN(50,100)/100)*(dict_DQ_Meth_max[[#This Row],[Vergleich_ub]]-dict_DQ_Meth_max[[#This Row],[Vergleich_lb]])+dict_DQ_Meth_max[[#This Row],[Vergleich_lb]]</f>
        <v>6.2069999999999999</v>
      </c>
      <c r="H275" s="11" t="str">
        <f ca="1">VLOOKUP(VLOOKUP(dict_DQ_Meth_max[[#This Row],[ID_DataQualities]],table_DataQualities[],3),table_Units[],2)</f>
        <v>+/- °C</v>
      </c>
      <c r="I275" s="10"/>
      <c r="J275" s="10"/>
      <c r="K275" s="10"/>
      <c r="L275" s="10">
        <f ca="1">VLOOKUP(dict_DQ_Meth_max[[#This Row],[ID_DataQualities]],table_DataQualities[],8,FALSE)</f>
        <v>0.9</v>
      </c>
      <c r="M275" s="10">
        <f ca="1">VLOOKUP(dict_DQ_Meth_max[[#This Row],[ID_DataQualities]],table_DataQualities[],9,FALSE)</f>
        <v>7</v>
      </c>
    </row>
    <row r="276" spans="1:13" x14ac:dyDescent="0.45">
      <c r="A276" s="10">
        <v>74</v>
      </c>
      <c r="B276" s="10">
        <v>242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351.53654</v>
      </c>
      <c r="G276" s="12">
        <f ca="1">(RANDBETWEEN(50,100)/100)*(dict_DQ_Meth_max[[#This Row],[Vergleich_ub]]-dict_DQ_Meth_max[[#This Row],[Vergleich_lb]])+dict_DQ_Meth_max[[#This Row],[Vergleich_lb]]</f>
        <v>711.38291000000004</v>
      </c>
      <c r="H276" s="11" t="str">
        <f ca="1">VLOOKUP(VLOOKUP(dict_DQ_Meth_max[[#This Row],[ID_DataQualities]],table_DataQualities[],3),table_Units[],2)</f>
        <v>Hz</v>
      </c>
      <c r="I276" s="10"/>
      <c r="J276" s="10"/>
      <c r="K276" s="10"/>
      <c r="L276" s="10">
        <f ca="1">VLOOKUP(dict_DQ_Meth_max[[#This Row],[ID_DataQualities]],table_DataQualities[],8,FALSE)</f>
        <v>0.91700000000000004</v>
      </c>
      <c r="M276" s="10">
        <f ca="1">VLOOKUP(dict_DQ_Meth_max[[#This Row],[ID_DataQualities]],table_DataQualities[],9,FALSE)</f>
        <v>923.6</v>
      </c>
    </row>
    <row r="277" spans="1:13" x14ac:dyDescent="0.45">
      <c r="A277" s="10">
        <v>74</v>
      </c>
      <c r="B277" s="10">
        <v>230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416.12434999999999</v>
      </c>
      <c r="G277" s="12">
        <f ca="1">(RANDBETWEEN(50,100)/100)*(dict_DQ_Meth_max[[#This Row],[Vergleich_ub]]-dict_DQ_Meth_max[[#This Row],[Vergleich_lb]])+dict_DQ_Meth_max[[#This Row],[Vergleich_lb]]</f>
        <v>554.52679999999998</v>
      </c>
      <c r="H277" s="11" t="str">
        <f ca="1">VLOOKUP(VLOOKUP(dict_DQ_Meth_max[[#This Row],[ID_DataQualities]],table_DataQualities[],3),table_Units[],2)</f>
        <v>Hz</v>
      </c>
      <c r="I277" s="10"/>
      <c r="J277" s="10"/>
      <c r="K277" s="10"/>
      <c r="L277" s="10">
        <f ca="1">VLOOKUP(dict_DQ_Meth_max[[#This Row],[ID_DataQualities]],table_DataQualities[],8,FALSE)</f>
        <v>0.91700000000000004</v>
      </c>
      <c r="M277" s="10">
        <f ca="1">VLOOKUP(dict_DQ_Meth_max[[#This Row],[ID_DataQualities]],table_DataQualities[],9,FALSE)</f>
        <v>923.6</v>
      </c>
    </row>
    <row r="278" spans="1:13" x14ac:dyDescent="0.45">
      <c r="A278" s="10">
        <v>74</v>
      </c>
      <c r="B278" s="10">
        <v>115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240.81458000000001</v>
      </c>
      <c r="G278" s="12">
        <f ca="1">(RANDBETWEEN(50,100)/100)*(dict_DQ_Meth_max[[#This Row],[Vergleich_ub]]-dict_DQ_Meth_max[[#This Row],[Vergleich_lb]])+dict_DQ_Meth_max[[#This Row],[Vergleich_lb]]</f>
        <v>489.93898999999999</v>
      </c>
      <c r="H278" s="11" t="str">
        <f ca="1">VLOOKUP(VLOOKUP(dict_DQ_Meth_max[[#This Row],[ID_DataQualities]],table_DataQualities[],3),table_Units[],2)</f>
        <v>Hz</v>
      </c>
      <c r="I278" s="10"/>
      <c r="J278" s="10"/>
      <c r="K278" s="10"/>
      <c r="L278" s="10">
        <f ca="1">VLOOKUP(dict_DQ_Meth_max[[#This Row],[ID_DataQualities]],table_DataQualities[],8,FALSE)</f>
        <v>0.91700000000000004</v>
      </c>
      <c r="M278" s="10">
        <f ca="1">VLOOKUP(dict_DQ_Meth_max[[#This Row],[ID_DataQualities]],table_DataQualities[],9,FALSE)</f>
        <v>923.6</v>
      </c>
    </row>
    <row r="279" spans="1:13" x14ac:dyDescent="0.45">
      <c r="A279" s="10">
        <v>74</v>
      </c>
      <c r="B279" s="10">
        <v>323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111.63896</v>
      </c>
      <c r="G279" s="12">
        <f ca="1">(RANDBETWEEN(50,100)/100)*(dict_DQ_Meth_max[[#This Row],[Vergleich_ub]]-dict_DQ_Meth_max[[#This Row],[Vergleich_lb]])+dict_DQ_Meth_max[[#This Row],[Vergleich_lb]]</f>
        <v>849.78536000000008</v>
      </c>
      <c r="H279" s="11" t="str">
        <f ca="1">VLOOKUP(VLOOKUP(dict_DQ_Meth_max[[#This Row],[ID_DataQualities]],table_DataQualities[],3),table_Units[],2)</f>
        <v>Hz</v>
      </c>
      <c r="I279" s="10"/>
      <c r="J279" s="10"/>
      <c r="K279" s="10"/>
      <c r="L279" s="10">
        <f ca="1">VLOOKUP(dict_DQ_Meth_max[[#This Row],[ID_DataQualities]],table_DataQualities[],8,FALSE)</f>
        <v>0.91700000000000004</v>
      </c>
      <c r="M279" s="10">
        <f ca="1">VLOOKUP(dict_DQ_Meth_max[[#This Row],[ID_DataQualities]],table_DataQualities[],9,FALSE)</f>
        <v>923.6</v>
      </c>
    </row>
    <row r="280" spans="1:13" x14ac:dyDescent="0.45">
      <c r="A280" s="10">
        <v>75</v>
      </c>
      <c r="B280" s="10">
        <v>242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1.1560000000000001</v>
      </c>
      <c r="G280" s="12">
        <f ca="1">(RANDBETWEEN(50,100)/100)*(dict_DQ_Meth_max[[#This Row],[Vergleich_ub]]-dict_DQ_Meth_max[[#This Row],[Vergleich_lb]])+dict_DQ_Meth_max[[#This Row],[Vergleich_lb]]</f>
        <v>1.46</v>
      </c>
      <c r="H280" s="11" t="str">
        <f ca="1">VLOOKUP(VLOOKUP(dict_DQ_Meth_max[[#This Row],[ID_DataQualities]],table_DataQualities[],3),table_Units[],2)</f>
        <v>+/- mm/s</v>
      </c>
      <c r="I280" s="10"/>
      <c r="J280" s="10"/>
      <c r="K280" s="10"/>
      <c r="L280" s="10">
        <f ca="1">VLOOKUP(dict_DQ_Meth_max[[#This Row],[ID_DataQualities]],table_DataQualities[],8,FALSE)</f>
        <v>0.5</v>
      </c>
      <c r="M280" s="10">
        <f ca="1">VLOOKUP(dict_DQ_Meth_max[[#This Row],[ID_DataQualities]],table_DataQualities[],9,FALSE)</f>
        <v>2.1</v>
      </c>
    </row>
    <row r="281" spans="1:13" x14ac:dyDescent="0.45">
      <c r="A281" s="10">
        <v>75</v>
      </c>
      <c r="B281" s="10">
        <v>323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0.58000000000000007</v>
      </c>
      <c r="G281" s="12">
        <f ca="1">(RANDBETWEEN(50,100)/100)*(dict_DQ_Meth_max[[#This Row],[Vergleich_ub]]-dict_DQ_Meth_max[[#This Row],[Vergleich_lb]])+dict_DQ_Meth_max[[#This Row],[Vergleich_lb]]</f>
        <v>1.7000000000000002</v>
      </c>
      <c r="H281" s="11" t="str">
        <f ca="1">VLOOKUP(VLOOKUP(dict_DQ_Meth_max[[#This Row],[ID_DataQualities]],table_DataQualities[],3),table_Units[],2)</f>
        <v>+/- mm/s</v>
      </c>
      <c r="I281" s="10"/>
      <c r="J281" s="10"/>
      <c r="K281" s="10"/>
      <c r="L281" s="10">
        <f ca="1">VLOOKUP(dict_DQ_Meth_max[[#This Row],[ID_DataQualities]],table_DataQualities[],8,FALSE)</f>
        <v>0.5</v>
      </c>
      <c r="M281" s="10">
        <f ca="1">VLOOKUP(dict_DQ_Meth_max[[#This Row],[ID_DataQualities]],table_DataQualities[],9,FALSE)</f>
        <v>2.1</v>
      </c>
    </row>
    <row r="282" spans="1:13" x14ac:dyDescent="0.45">
      <c r="A282" s="10">
        <v>75</v>
      </c>
      <c r="B282" s="10">
        <v>115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1.1720000000000002</v>
      </c>
      <c r="G282" s="12">
        <f ca="1">(RANDBETWEEN(50,100)/100)*(dict_DQ_Meth_max[[#This Row],[Vergleich_ub]]-dict_DQ_Meth_max[[#This Row],[Vergleich_lb]])+dict_DQ_Meth_max[[#This Row],[Vergleich_lb]]</f>
        <v>1.6359999999999999</v>
      </c>
      <c r="H282" s="11" t="str">
        <f ca="1">VLOOKUP(VLOOKUP(dict_DQ_Meth_max[[#This Row],[ID_DataQualities]],table_DataQualities[],3),table_Units[],2)</f>
        <v>+/- mm/s</v>
      </c>
      <c r="I282" s="10"/>
      <c r="J282" s="10"/>
      <c r="K282" s="10"/>
      <c r="L282" s="10">
        <f ca="1">VLOOKUP(dict_DQ_Meth_max[[#This Row],[ID_DataQualities]],table_DataQualities[],8,FALSE)</f>
        <v>0.5</v>
      </c>
      <c r="M282" s="10">
        <f ca="1">VLOOKUP(dict_DQ_Meth_max[[#This Row],[ID_DataQualities]],table_DataQualities[],9,FALSE)</f>
        <v>2.1</v>
      </c>
    </row>
    <row r="283" spans="1:13" x14ac:dyDescent="0.45">
      <c r="A283" s="10">
        <v>75</v>
      </c>
      <c r="B283" s="10">
        <v>230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1.2040000000000002</v>
      </c>
      <c r="G283" s="12">
        <f ca="1">(RANDBETWEEN(50,100)/100)*(dict_DQ_Meth_max[[#This Row],[Vergleich_ub]]-dict_DQ_Meth_max[[#This Row],[Vergleich_lb]])+dict_DQ_Meth_max[[#This Row],[Vergleich_lb]]</f>
        <v>1.9400000000000002</v>
      </c>
      <c r="H283" s="11" t="str">
        <f ca="1">VLOOKUP(VLOOKUP(dict_DQ_Meth_max[[#This Row],[ID_DataQualities]],table_DataQualities[],3),table_Units[],2)</f>
        <v>+/- mm/s</v>
      </c>
      <c r="I283" s="10"/>
      <c r="J283" s="10"/>
      <c r="K283" s="10"/>
      <c r="L283" s="10">
        <f ca="1">VLOOKUP(dict_DQ_Meth_max[[#This Row],[ID_DataQualities]],table_DataQualities[],8,FALSE)</f>
        <v>0.5</v>
      </c>
      <c r="M283" s="10">
        <f ca="1">VLOOKUP(dict_DQ_Meth_max[[#This Row],[ID_DataQualities]],table_DataQualities[],9,FALSE)</f>
        <v>2.1</v>
      </c>
    </row>
    <row r="284" spans="1:13" x14ac:dyDescent="0.45">
      <c r="A284" s="10">
        <v>76</v>
      </c>
      <c r="B284" s="10">
        <v>331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3472.0225300000002</v>
      </c>
      <c r="G284" s="12">
        <f ca="1">(RANDBETWEEN(50,100)/100)*(dict_DQ_Meth_max[[#This Row],[Vergleich_ub]]-dict_DQ_Meth_max[[#This Row],[Vergleich_lb]])+dict_DQ_Meth_max[[#This Row],[Vergleich_lb]]</f>
        <v>4995.9444700000004</v>
      </c>
      <c r="H284" s="11" t="str">
        <f ca="1">VLOOKUP(VLOOKUP(dict_DQ_Meth_max[[#This Row],[ID_DataQualities]],table_DataQualities[],3),table_Units[],2)</f>
        <v>Hz</v>
      </c>
      <c r="I284" s="10"/>
      <c r="J284" s="10"/>
      <c r="K284" s="10"/>
      <c r="L284" s="10">
        <f ca="1">VLOOKUP(dict_DQ_Meth_max[[#This Row],[ID_DataQualities]],table_DataQualities[],8,FALSE)</f>
        <v>0.86699999999999999</v>
      </c>
      <c r="M284" s="10">
        <f ca="1">VLOOKUP(dict_DQ_Meth_max[[#This Row],[ID_DataQualities]],table_DataQualities[],9,FALSE)</f>
        <v>8467.1</v>
      </c>
    </row>
    <row r="285" spans="1:13" x14ac:dyDescent="0.45">
      <c r="A285" s="10">
        <v>76</v>
      </c>
      <c r="B285" s="10">
        <v>699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254.85398999999998</v>
      </c>
      <c r="G285" s="12">
        <f ca="1">(RANDBETWEEN(50,100)/100)*(dict_DQ_Meth_max[[#This Row],[Vergleich_ub]]-dict_DQ_Meth_max[[#This Row],[Vergleich_lb]])+dict_DQ_Meth_max[[#This Row],[Vergleich_lb]]</f>
        <v>4741.9574800000009</v>
      </c>
      <c r="H285" s="11" t="str">
        <f ca="1">VLOOKUP(VLOOKUP(dict_DQ_Meth_max[[#This Row],[ID_DataQualities]],table_DataQualities[],3),table_Units[],2)</f>
        <v>Hz</v>
      </c>
      <c r="I285" s="10"/>
      <c r="J285" s="10"/>
      <c r="K285" s="10"/>
      <c r="L285" s="10">
        <f ca="1">VLOOKUP(dict_DQ_Meth_max[[#This Row],[ID_DataQualities]],table_DataQualities[],8,FALSE)</f>
        <v>0.86699999999999999</v>
      </c>
      <c r="M285" s="10">
        <f ca="1">VLOOKUP(dict_DQ_Meth_max[[#This Row],[ID_DataQualities]],table_DataQualities[],9,FALSE)</f>
        <v>8467.1</v>
      </c>
    </row>
    <row r="286" spans="1:13" x14ac:dyDescent="0.45">
      <c r="A286" s="10">
        <v>76</v>
      </c>
      <c r="B286" s="10">
        <v>496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254.85398999999998</v>
      </c>
      <c r="G286" s="12">
        <f ca="1">(RANDBETWEEN(50,100)/100)*(dict_DQ_Meth_max[[#This Row],[Vergleich_ub]]-dict_DQ_Meth_max[[#This Row],[Vergleich_lb]])+dict_DQ_Meth_max[[#This Row],[Vergleich_lb]]</f>
        <v>8382.4376700000012</v>
      </c>
      <c r="H286" s="11" t="str">
        <f ca="1">VLOOKUP(VLOOKUP(dict_DQ_Meth_max[[#This Row],[ID_DataQualities]],table_DataQualities[],3),table_Units[],2)</f>
        <v>Hz</v>
      </c>
      <c r="I286" s="10"/>
      <c r="J286" s="10"/>
      <c r="K286" s="10"/>
      <c r="L286" s="10">
        <f ca="1">VLOOKUP(dict_DQ_Meth_max[[#This Row],[ID_DataQualities]],table_DataQualities[],8,FALSE)</f>
        <v>0.86699999999999999</v>
      </c>
      <c r="M286" s="10">
        <f ca="1">VLOOKUP(dict_DQ_Meth_max[[#This Row],[ID_DataQualities]],table_DataQualities[],9,FALSE)</f>
        <v>8467.1</v>
      </c>
    </row>
    <row r="287" spans="1:13" x14ac:dyDescent="0.45">
      <c r="A287" s="10">
        <v>76</v>
      </c>
      <c r="B287" s="10">
        <v>277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2540.7369000000003</v>
      </c>
      <c r="G287" s="12">
        <f ca="1">(RANDBETWEEN(50,100)/100)*(dict_DQ_Meth_max[[#This Row],[Vergleich_ub]]-dict_DQ_Meth_max[[#This Row],[Vergleich_lb]])+dict_DQ_Meth_max[[#This Row],[Vergleich_lb]]</f>
        <v>6689.1910700000008</v>
      </c>
      <c r="H287" s="11" t="str">
        <f ca="1">VLOOKUP(VLOOKUP(dict_DQ_Meth_max[[#This Row],[ID_DataQualities]],table_DataQualities[],3),table_Units[],2)</f>
        <v>Hz</v>
      </c>
      <c r="I287" s="10"/>
      <c r="J287" s="10"/>
      <c r="K287" s="10"/>
      <c r="L287" s="10">
        <f ca="1">VLOOKUP(dict_DQ_Meth_max[[#This Row],[ID_DataQualities]],table_DataQualities[],8,FALSE)</f>
        <v>0.86699999999999999</v>
      </c>
      <c r="M287" s="10">
        <f ca="1">VLOOKUP(dict_DQ_Meth_max[[#This Row],[ID_DataQualities]],table_DataQualities[],9,FALSE)</f>
        <v>8467.1</v>
      </c>
    </row>
    <row r="288" spans="1:13" x14ac:dyDescent="0.45">
      <c r="A288" s="10">
        <v>77</v>
      </c>
      <c r="B288" s="10">
        <v>699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2</v>
      </c>
      <c r="G288" s="12">
        <f ca="1">(RANDBETWEEN(50,100)/100)*(dict_DQ_Meth_max[[#This Row],[Vergleich_ub]]-dict_DQ_Meth_max[[#This Row],[Vergleich_lb]])+dict_DQ_Meth_max[[#This Row],[Vergleich_lb]]</f>
        <v>3.68</v>
      </c>
      <c r="H288" s="11" t="str">
        <f ca="1">VLOOKUP(VLOOKUP(dict_DQ_Meth_max[[#This Row],[ID_DataQualities]],table_DataQualities[],3),table_Units[],2)</f>
        <v>+/- °C</v>
      </c>
      <c r="I288" s="10"/>
      <c r="J288" s="10"/>
      <c r="K288" s="10"/>
      <c r="L288" s="10">
        <f ca="1">VLOOKUP(dict_DQ_Meth_max[[#This Row],[ID_DataQualities]],table_DataQualities[],8,FALSE)</f>
        <v>1</v>
      </c>
      <c r="M288" s="10">
        <f ca="1">VLOOKUP(dict_DQ_Meth_max[[#This Row],[ID_DataQualities]],table_DataQualities[],9,FALSE)</f>
        <v>5</v>
      </c>
    </row>
    <row r="289" spans="1:13" x14ac:dyDescent="0.45">
      <c r="A289" s="10">
        <v>77</v>
      </c>
      <c r="B289" s="10">
        <v>331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2</v>
      </c>
      <c r="G289" s="12">
        <f ca="1">(RANDBETWEEN(50,100)/100)*(dict_DQ_Meth_max[[#This Row],[Vergleich_ub]]-dict_DQ_Meth_max[[#This Row],[Vergleich_lb]])+dict_DQ_Meth_max[[#This Row],[Vergleich_lb]]</f>
        <v>3.4</v>
      </c>
      <c r="H289" s="11" t="str">
        <f ca="1">VLOOKUP(VLOOKUP(dict_DQ_Meth_max[[#This Row],[ID_DataQualities]],table_DataQualities[],3),table_Units[],2)</f>
        <v>+/- °C</v>
      </c>
      <c r="I289" s="10"/>
      <c r="J289" s="10"/>
      <c r="K289" s="10"/>
      <c r="L289" s="10">
        <f ca="1">VLOOKUP(dict_DQ_Meth_max[[#This Row],[ID_DataQualities]],table_DataQualities[],8,FALSE)</f>
        <v>1</v>
      </c>
      <c r="M289" s="10">
        <f ca="1">VLOOKUP(dict_DQ_Meth_max[[#This Row],[ID_DataQualities]],table_DataQualities[],9,FALSE)</f>
        <v>5</v>
      </c>
    </row>
    <row r="290" spans="1:13" x14ac:dyDescent="0.45">
      <c r="A290" s="10">
        <v>77</v>
      </c>
      <c r="B290" s="10">
        <v>277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2.2800000000000002</v>
      </c>
      <c r="G290" s="12">
        <f ca="1">(RANDBETWEEN(50,100)/100)*(dict_DQ_Meth_max[[#This Row],[Vergleich_ub]]-dict_DQ_Meth_max[[#This Row],[Vergleich_lb]])+dict_DQ_Meth_max[[#This Row],[Vergleich_lb]]</f>
        <v>3.6</v>
      </c>
      <c r="H290" s="11" t="str">
        <f ca="1">VLOOKUP(VLOOKUP(dict_DQ_Meth_max[[#This Row],[ID_DataQualities]],table_DataQualities[],3),table_Units[],2)</f>
        <v>+/- °C</v>
      </c>
      <c r="I290" s="10"/>
      <c r="J290" s="10"/>
      <c r="K290" s="10"/>
      <c r="L290" s="10">
        <f ca="1">VLOOKUP(dict_DQ_Meth_max[[#This Row],[ID_DataQualities]],table_DataQualities[],8,FALSE)</f>
        <v>1</v>
      </c>
      <c r="M290" s="10">
        <f ca="1">VLOOKUP(dict_DQ_Meth_max[[#This Row],[ID_DataQualities]],table_DataQualities[],9,FALSE)</f>
        <v>5</v>
      </c>
    </row>
    <row r="291" spans="1:13" x14ac:dyDescent="0.45">
      <c r="A291" s="10">
        <v>77</v>
      </c>
      <c r="B291" s="10">
        <v>496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1.56</v>
      </c>
      <c r="G291" s="12">
        <f ca="1">(RANDBETWEEN(50,100)/100)*(dict_DQ_Meth_max[[#This Row],[Vergleich_ub]]-dict_DQ_Meth_max[[#This Row],[Vergleich_lb]])+dict_DQ_Meth_max[[#This Row],[Vergleich_lb]]</f>
        <v>4.4399999999999995</v>
      </c>
      <c r="H291" s="11" t="str">
        <f ca="1">VLOOKUP(VLOOKUP(dict_DQ_Meth_max[[#This Row],[ID_DataQualities]],table_DataQualities[],3),table_Units[],2)</f>
        <v>+/- °C</v>
      </c>
      <c r="I291" s="10"/>
      <c r="J291" s="10"/>
      <c r="K291" s="10"/>
      <c r="L291" s="10">
        <f ca="1">VLOOKUP(dict_DQ_Meth_max[[#This Row],[ID_DataQualities]],table_DataQualities[],8,FALSE)</f>
        <v>1</v>
      </c>
      <c r="M291" s="10">
        <f ca="1">VLOOKUP(dict_DQ_Meth_max[[#This Row],[ID_DataQualities]],table_DataQualities[],9,FALSE)</f>
        <v>5</v>
      </c>
    </row>
    <row r="292" spans="1:13" x14ac:dyDescent="0.45">
      <c r="A292" s="10">
        <v>78</v>
      </c>
      <c r="B292" s="10">
        <v>429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3905.8086300000004</v>
      </c>
      <c r="G292" s="12">
        <f ca="1">(RANDBETWEEN(50,100)/100)*(dict_DQ_Meth_max[[#This Row],[Vergleich_ub]]-dict_DQ_Meth_max[[#This Row],[Vergleich_lb]])+dict_DQ_Meth_max[[#This Row],[Vergleich_lb]]</f>
        <v>4902.9161100000001</v>
      </c>
      <c r="H292" s="11" t="str">
        <f ca="1">VLOOKUP(VLOOKUP(dict_DQ_Meth_max[[#This Row],[ID_DataQualities]],table_DataQualities[],3),table_Units[],2)</f>
        <v>Hz</v>
      </c>
      <c r="I292" s="10"/>
      <c r="J292" s="10"/>
      <c r="K292" s="10"/>
      <c r="L292" s="10">
        <f ca="1">VLOOKUP(dict_DQ_Meth_max[[#This Row],[ID_DataQualities]],table_DataQualities[],8,FALSE)</f>
        <v>0.47099999999999997</v>
      </c>
      <c r="M292" s="10">
        <f ca="1">VLOOKUP(dict_DQ_Meth_max[[#This Row],[ID_DataQualities]],table_DataQualities[],9,FALSE)</f>
        <v>8309.7000000000007</v>
      </c>
    </row>
    <row r="293" spans="1:13" x14ac:dyDescent="0.45">
      <c r="A293" s="10">
        <v>78</v>
      </c>
      <c r="B293" s="10">
        <v>690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1911.5936700000004</v>
      </c>
      <c r="G293" s="12">
        <f ca="1">(RANDBETWEEN(50,100)/100)*(dict_DQ_Meth_max[[#This Row],[Vergleich_ub]]-dict_DQ_Meth_max[[#This Row],[Vergleich_lb]])+dict_DQ_Meth_max[[#This Row],[Vergleich_lb]]</f>
        <v>7977.3308400000005</v>
      </c>
      <c r="H293" s="11" t="str">
        <f ca="1">VLOOKUP(VLOOKUP(dict_DQ_Meth_max[[#This Row],[ID_DataQualities]],table_DataQualities[],3),table_Units[],2)</f>
        <v>Hz</v>
      </c>
      <c r="I293" s="10"/>
      <c r="J293" s="10"/>
      <c r="K293" s="10"/>
      <c r="L293" s="10">
        <f ca="1">VLOOKUP(dict_DQ_Meth_max[[#This Row],[ID_DataQualities]],table_DataQualities[],8,FALSE)</f>
        <v>0.47099999999999997</v>
      </c>
      <c r="M293" s="10">
        <f ca="1">VLOOKUP(dict_DQ_Meth_max[[#This Row],[ID_DataQualities]],table_DataQualities[],9,FALSE)</f>
        <v>8309.7000000000007</v>
      </c>
    </row>
    <row r="294" spans="1:13" x14ac:dyDescent="0.45">
      <c r="A294" s="10">
        <v>78</v>
      </c>
      <c r="B294" s="10">
        <v>424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2576.3319900000001</v>
      </c>
      <c r="G294" s="12">
        <f ca="1">(RANDBETWEEN(50,100)/100)*(dict_DQ_Meth_max[[#This Row],[Vergleich_ub]]-dict_DQ_Meth_max[[#This Row],[Vergleich_lb]])+dict_DQ_Meth_max[[#This Row],[Vergleich_lb]]</f>
        <v>5650.746720000001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0.47099999999999997</v>
      </c>
      <c r="M294" s="10">
        <f ca="1">VLOOKUP(dict_DQ_Meth_max[[#This Row],[ID_DataQualities]],table_DataQualities[],9,FALSE)</f>
        <v>8309.7000000000007</v>
      </c>
    </row>
    <row r="295" spans="1:13" x14ac:dyDescent="0.45">
      <c r="A295" s="10">
        <v>78</v>
      </c>
      <c r="B295" s="10">
        <v>521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2742.5165700000007</v>
      </c>
      <c r="G295" s="12">
        <f ca="1">(RANDBETWEEN(50,100)/100)*(dict_DQ_Meth_max[[#This Row],[Vergleich_ub]]-dict_DQ_Meth_max[[#This Row],[Vergleich_lb]])+dict_DQ_Meth_max[[#This Row],[Vergleich_lb]]</f>
        <v>4321.2700800000002</v>
      </c>
      <c r="H295" s="11" t="str">
        <f ca="1">VLOOKUP(VLOOKUP(dict_DQ_Meth_max[[#This Row],[ID_DataQualities]],table_DataQualities[],3),table_Units[],2)</f>
        <v>Hz</v>
      </c>
      <c r="I295" s="10"/>
      <c r="J295" s="10"/>
      <c r="K295" s="10"/>
      <c r="L295" s="10">
        <f ca="1">VLOOKUP(dict_DQ_Meth_max[[#This Row],[ID_DataQualities]],table_DataQualities[],8,FALSE)</f>
        <v>0.47099999999999997</v>
      </c>
      <c r="M295" s="10">
        <f ca="1">VLOOKUP(dict_DQ_Meth_max[[#This Row],[ID_DataQualities]],table_DataQualities[],9,FALSE)</f>
        <v>8309.7000000000007</v>
      </c>
    </row>
    <row r="296" spans="1:13" x14ac:dyDescent="0.45">
      <c r="A296" s="10">
        <v>79</v>
      </c>
      <c r="B296" s="10">
        <v>429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0.53523999999999994</v>
      </c>
      <c r="G296" s="12">
        <f ca="1">(RANDBETWEEN(50,100)/100)*(dict_DQ_Meth_max[[#This Row],[Vergleich_ub]]-dict_DQ_Meth_max[[#This Row],[Vergleich_lb]])+dict_DQ_Meth_max[[#This Row],[Vergleich_lb]]</f>
        <v>7.8738399999999995</v>
      </c>
      <c r="H296" s="11" t="str">
        <f ca="1">VLOOKUP(VLOOKUP(dict_DQ_Meth_max[[#This Row],[ID_DataQualities]],table_DataQualities[],3),table_Units[],2)</f>
        <v>+/- W</v>
      </c>
      <c r="I296" s="10"/>
      <c r="J296" s="10"/>
      <c r="K296" s="10"/>
      <c r="L296" s="10">
        <f ca="1">VLOOKUP(dict_DQ_Meth_max[[#This Row],[ID_DataQualities]],table_DataQualities[],8,FALSE)</f>
        <v>4.5999999999999999E-2</v>
      </c>
      <c r="M296" s="10">
        <f ca="1">VLOOKUP(dict_DQ_Meth_max[[#This Row],[ID_DataQualities]],table_DataQualities[],9,FALSE)</f>
        <v>8.1999999999999993</v>
      </c>
    </row>
    <row r="297" spans="1:13" x14ac:dyDescent="0.45">
      <c r="A297" s="10">
        <v>79</v>
      </c>
      <c r="B297" s="10">
        <v>690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0.77986</v>
      </c>
      <c r="G297" s="12">
        <f ca="1">(RANDBETWEEN(50,100)/100)*(dict_DQ_Meth_max[[#This Row],[Vergleich_ub]]-dict_DQ_Meth_max[[#This Row],[Vergleich_lb]])+dict_DQ_Meth_max[[#This Row],[Vergleich_lb]]</f>
        <v>6.9768999999999997</v>
      </c>
      <c r="H297" s="11" t="str">
        <f ca="1">VLOOKUP(VLOOKUP(dict_DQ_Meth_max[[#This Row],[ID_DataQualities]],table_DataQualities[],3),table_Units[],2)</f>
        <v>+/- W</v>
      </c>
      <c r="I297" s="10"/>
      <c r="J297" s="10"/>
      <c r="K297" s="10"/>
      <c r="L297" s="10">
        <f ca="1">VLOOKUP(dict_DQ_Meth_max[[#This Row],[ID_DataQualities]],table_DataQualities[],8,FALSE)</f>
        <v>4.5999999999999999E-2</v>
      </c>
      <c r="M297" s="10">
        <f ca="1">VLOOKUP(dict_DQ_Meth_max[[#This Row],[ID_DataQualities]],table_DataQualities[],9,FALSE)</f>
        <v>8.1999999999999993</v>
      </c>
    </row>
    <row r="298" spans="1:13" x14ac:dyDescent="0.45">
      <c r="A298" s="10">
        <v>79</v>
      </c>
      <c r="B298" s="10">
        <v>521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2.8183600000000002</v>
      </c>
      <c r="G298" s="12">
        <f ca="1">(RANDBETWEEN(50,100)/100)*(dict_DQ_Meth_max[[#This Row],[Vergleich_ub]]-dict_DQ_Meth_max[[#This Row],[Vergleich_lb]])+dict_DQ_Meth_max[[#This Row],[Vergleich_lb]]</f>
        <v>4.2860800000000001</v>
      </c>
      <c r="H298" s="11" t="str">
        <f ca="1">VLOOKUP(VLOOKUP(dict_DQ_Meth_max[[#This Row],[ID_DataQualities]],table_DataQualities[],3),table_Units[],2)</f>
        <v>+/- W</v>
      </c>
      <c r="I298" s="10"/>
      <c r="J298" s="10"/>
      <c r="K298" s="10"/>
      <c r="L298" s="10">
        <f ca="1">VLOOKUP(dict_DQ_Meth_max[[#This Row],[ID_DataQualities]],table_DataQualities[],8,FALSE)</f>
        <v>4.5999999999999999E-2</v>
      </c>
      <c r="M298" s="10">
        <f ca="1">VLOOKUP(dict_DQ_Meth_max[[#This Row],[ID_DataQualities]],table_DataQualities[],9,FALSE)</f>
        <v>8.1999999999999993</v>
      </c>
    </row>
    <row r="299" spans="1:13" x14ac:dyDescent="0.45">
      <c r="A299" s="10">
        <v>79</v>
      </c>
      <c r="B299" s="10">
        <v>424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3.4706799999999998</v>
      </c>
      <c r="G299" s="12">
        <f ca="1">(RANDBETWEEN(50,100)/100)*(dict_DQ_Meth_max[[#This Row],[Vergleich_ub]]-dict_DQ_Meth_max[[#This Row],[Vergleich_lb]])+dict_DQ_Meth_max[[#This Row],[Vergleich_lb]]</f>
        <v>5.18302</v>
      </c>
      <c r="H299" s="11" t="str">
        <f ca="1">VLOOKUP(VLOOKUP(dict_DQ_Meth_max[[#This Row],[ID_DataQualities]],table_DataQualities[],3),table_Units[],2)</f>
        <v>+/- W</v>
      </c>
      <c r="I299" s="10"/>
      <c r="J299" s="10"/>
      <c r="K299" s="10"/>
      <c r="L299" s="10">
        <f ca="1">VLOOKUP(dict_DQ_Meth_max[[#This Row],[ID_DataQualities]],table_DataQualities[],8,FALSE)</f>
        <v>4.5999999999999999E-2</v>
      </c>
      <c r="M299" s="10">
        <f ca="1">VLOOKUP(dict_DQ_Meth_max[[#This Row],[ID_DataQualities]],table_DataQualities[],9,FALSE)</f>
        <v>8.1999999999999993</v>
      </c>
    </row>
    <row r="300" spans="1:13" x14ac:dyDescent="0.45">
      <c r="A300" s="10">
        <v>80</v>
      </c>
      <c r="B300" s="10">
        <v>111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1462.9290500000002</v>
      </c>
      <c r="G300" s="12">
        <f ca="1">(RANDBETWEEN(50,100)/100)*(dict_DQ_Meth_max[[#This Row],[Vergleich_ub]]-dict_DQ_Meth_max[[#This Row],[Vergleich_lb]])+dict_DQ_Meth_max[[#This Row],[Vergleich_lb]]</f>
        <v>1852.94453</v>
      </c>
      <c r="H300" s="11" t="str">
        <f ca="1">VLOOKUP(VLOOKUP(dict_DQ_Meth_max[[#This Row],[ID_DataQualities]],table_DataQualities[],3),table_Units[],2)</f>
        <v>Hz</v>
      </c>
      <c r="I300" s="10"/>
      <c r="J300" s="10"/>
      <c r="K300" s="10"/>
      <c r="L300" s="10">
        <f ca="1">VLOOKUP(dict_DQ_Meth_max[[#This Row],[ID_DataQualities]],table_DataQualities[],8,FALSE)</f>
        <v>0.371</v>
      </c>
      <c r="M300" s="10">
        <f ca="1">VLOOKUP(dict_DQ_Meth_max[[#This Row],[ID_DataQualities]],table_DataQualities[],9,FALSE)</f>
        <v>3250.5</v>
      </c>
    </row>
    <row r="301" spans="1:13" x14ac:dyDescent="0.45">
      <c r="A301" s="10">
        <v>80</v>
      </c>
      <c r="B301" s="10">
        <v>573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162.87745000000001</v>
      </c>
      <c r="G301" s="12">
        <f ca="1">(RANDBETWEEN(50,100)/100)*(dict_DQ_Meth_max[[#This Row],[Vergleich_ub]]-dict_DQ_Meth_max[[#This Row],[Vergleich_lb]])+dict_DQ_Meth_max[[#This Row],[Vergleich_lb]]</f>
        <v>2892.9858100000001</v>
      </c>
      <c r="H301" s="11" t="str">
        <f ca="1">VLOOKUP(VLOOKUP(dict_DQ_Meth_max[[#This Row],[ID_DataQualities]],table_DataQualities[],3),table_Units[],2)</f>
        <v>Hz</v>
      </c>
      <c r="I301" s="10"/>
      <c r="J301" s="10"/>
      <c r="K301" s="10"/>
      <c r="L301" s="10">
        <f ca="1">VLOOKUP(dict_DQ_Meth_max[[#This Row],[ID_DataQualities]],table_DataQualities[],8,FALSE)</f>
        <v>0.371</v>
      </c>
      <c r="M301" s="10">
        <f ca="1">VLOOKUP(dict_DQ_Meth_max[[#This Row],[ID_DataQualities]],table_DataQualities[],9,FALSE)</f>
        <v>3250.5</v>
      </c>
    </row>
    <row r="302" spans="1:13" x14ac:dyDescent="0.45">
      <c r="A302" s="10">
        <v>80</v>
      </c>
      <c r="B302" s="10">
        <v>54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1365.42518</v>
      </c>
      <c r="G302" s="12">
        <f ca="1">(RANDBETWEEN(50,100)/100)*(dict_DQ_Meth_max[[#This Row],[Vergleich_ub]]-dict_DQ_Meth_max[[#This Row],[Vergleich_lb]])+dict_DQ_Meth_max[[#This Row],[Vergleich_lb]]</f>
        <v>2632.9754900000003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0.371</v>
      </c>
      <c r="M302" s="10">
        <f ca="1">VLOOKUP(dict_DQ_Meth_max[[#This Row],[ID_DataQualities]],table_DataQualities[],9,FALSE)</f>
        <v>3250.5</v>
      </c>
    </row>
    <row r="303" spans="1:13" x14ac:dyDescent="0.45">
      <c r="A303" s="10">
        <v>80</v>
      </c>
      <c r="B303" s="10">
        <v>525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65.37357999999999</v>
      </c>
      <c r="G303" s="12">
        <f ca="1">(RANDBETWEEN(50,100)/100)*(dict_DQ_Meth_max[[#This Row],[Vergleich_ub]]-dict_DQ_Meth_max[[#This Row],[Vergleich_lb]])+dict_DQ_Meth_max[[#This Row],[Vergleich_lb]]</f>
        <v>2730.4793599999998</v>
      </c>
      <c r="H303" s="11" t="str">
        <f ca="1">VLOOKUP(VLOOKUP(dict_DQ_Meth_max[[#This Row],[ID_DataQualities]],table_DataQualities[],3),table_Units[],2)</f>
        <v>Hz</v>
      </c>
      <c r="I303" s="10"/>
      <c r="J303" s="10"/>
      <c r="K303" s="10"/>
      <c r="L303" s="10">
        <f ca="1">VLOOKUP(dict_DQ_Meth_max[[#This Row],[ID_DataQualities]],table_DataQualities[],8,FALSE)</f>
        <v>0.371</v>
      </c>
      <c r="M303" s="10">
        <f ca="1">VLOOKUP(dict_DQ_Meth_max[[#This Row],[ID_DataQualities]],table_DataQualities[],9,FALSE)</f>
        <v>3250.5</v>
      </c>
    </row>
    <row r="304" spans="1:13" x14ac:dyDescent="0.45">
      <c r="A304" s="10">
        <v>81</v>
      </c>
      <c r="B304" s="10">
        <v>111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0.64800000000000002</v>
      </c>
      <c r="G304" s="12">
        <f ca="1">(RANDBETWEEN(50,100)/100)*(dict_DQ_Meth_max[[#This Row],[Vergleich_ub]]-dict_DQ_Meth_max[[#This Row],[Vergleich_lb]])+dict_DQ_Meth_max[[#This Row],[Vergleich_lb]]</f>
        <v>0.94</v>
      </c>
      <c r="H304" s="11" t="str">
        <f ca="1">VLOOKUP(VLOOKUP(dict_DQ_Meth_max[[#This Row],[ID_DataQualities]],table_DataQualities[],3),table_Units[],2)</f>
        <v>+/- °C</v>
      </c>
      <c r="I304" s="10"/>
      <c r="J304" s="10"/>
      <c r="K304" s="10"/>
      <c r="L304" s="10">
        <f ca="1">VLOOKUP(dict_DQ_Meth_max[[#This Row],[ID_DataQualities]],table_DataQualities[],8,FALSE)</f>
        <v>0.6</v>
      </c>
      <c r="M304" s="10">
        <f ca="1">VLOOKUP(dict_DQ_Meth_max[[#This Row],[ID_DataQualities]],table_DataQualities[],9,FALSE)</f>
        <v>1</v>
      </c>
    </row>
    <row r="305" spans="1:13" x14ac:dyDescent="0.45">
      <c r="A305" s="10">
        <v>81</v>
      </c>
      <c r="B305" s="10">
        <v>525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0.63600000000000001</v>
      </c>
      <c r="G305" s="12">
        <f ca="1">(RANDBETWEEN(50,100)/100)*(dict_DQ_Meth_max[[#This Row],[Vergleich_ub]]-dict_DQ_Meth_max[[#This Row],[Vergleich_lb]])+dict_DQ_Meth_max[[#This Row],[Vergleich_lb]]</f>
        <v>0.96799999999999997</v>
      </c>
      <c r="H305" s="11" t="str">
        <f ca="1">VLOOKUP(VLOOKUP(dict_DQ_Meth_max[[#This Row],[ID_DataQualities]],table_DataQualities[],3),table_Units[],2)</f>
        <v>+/- °C</v>
      </c>
      <c r="I305" s="10"/>
      <c r="J305" s="10"/>
      <c r="K305" s="10"/>
      <c r="L305" s="10">
        <f ca="1">VLOOKUP(dict_DQ_Meth_max[[#This Row],[ID_DataQualities]],table_DataQualities[],8,FALSE)</f>
        <v>0.6</v>
      </c>
      <c r="M305" s="10">
        <f ca="1">VLOOKUP(dict_DQ_Meth_max[[#This Row],[ID_DataQualities]],table_DataQualities[],9,FALSE)</f>
        <v>1</v>
      </c>
    </row>
    <row r="306" spans="1:13" x14ac:dyDescent="0.45">
      <c r="A306" s="10">
        <v>81</v>
      </c>
      <c r="B306" s="10">
        <v>54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0.77600000000000002</v>
      </c>
      <c r="G306" s="12">
        <f ca="1">(RANDBETWEEN(50,100)/100)*(dict_DQ_Meth_max[[#This Row],[Vergleich_ub]]-dict_DQ_Meth_max[[#This Row],[Vergleich_lb]])+dict_DQ_Meth_max[[#This Row],[Vergleich_lb]]</f>
        <v>0.84399999999999997</v>
      </c>
      <c r="H306" s="11" t="str">
        <f ca="1">VLOOKUP(VLOOKUP(dict_DQ_Meth_max[[#This Row],[ID_DataQualities]],table_DataQualities[],3),table_Units[],2)</f>
        <v>+/- °C</v>
      </c>
      <c r="I306" s="10"/>
      <c r="J306" s="10"/>
      <c r="K306" s="10"/>
      <c r="L306" s="10">
        <f ca="1">VLOOKUP(dict_DQ_Meth_max[[#This Row],[ID_DataQualities]],table_DataQualities[],8,FALSE)</f>
        <v>0.6</v>
      </c>
      <c r="M306" s="10">
        <f ca="1">VLOOKUP(dict_DQ_Meth_max[[#This Row],[ID_DataQualities]],table_DataQualities[],9,FALSE)</f>
        <v>1</v>
      </c>
    </row>
    <row r="307" spans="1:13" x14ac:dyDescent="0.45">
      <c r="A307" s="10">
        <v>81</v>
      </c>
      <c r="B307" s="10">
        <v>573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0.6</v>
      </c>
      <c r="G307" s="12">
        <f ca="1">(RANDBETWEEN(50,100)/100)*(dict_DQ_Meth_max[[#This Row],[Vergleich_ub]]-dict_DQ_Meth_max[[#This Row],[Vergleich_lb]])+dict_DQ_Meth_max[[#This Row],[Vergleich_lb]]</f>
        <v>0.87999999999999989</v>
      </c>
      <c r="H307" s="11" t="str">
        <f ca="1">VLOOKUP(VLOOKUP(dict_DQ_Meth_max[[#This Row],[ID_DataQualities]],table_DataQualities[],3),table_Units[],2)</f>
        <v>+/- °C</v>
      </c>
      <c r="I307" s="10"/>
      <c r="J307" s="10"/>
      <c r="K307" s="10"/>
      <c r="L307" s="10">
        <f ca="1">VLOOKUP(dict_DQ_Meth_max[[#This Row],[ID_DataQualities]],table_DataQualities[],8,FALSE)</f>
        <v>0.6</v>
      </c>
      <c r="M307" s="10">
        <f ca="1">VLOOKUP(dict_DQ_Meth_max[[#This Row],[ID_DataQualities]],table_DataQualities[],9,FALSE)</f>
        <v>1</v>
      </c>
    </row>
    <row r="308" spans="1:13" x14ac:dyDescent="0.45">
      <c r="A308" s="10">
        <v>82</v>
      </c>
      <c r="B308" s="10">
        <v>16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270.68732000000006</v>
      </c>
      <c r="G308" s="12">
        <f ca="1">(RANDBETWEEN(50,100)/100)*(dict_DQ_Meth_max[[#This Row],[Vergleich_ub]]-dict_DQ_Meth_max[[#This Row],[Vergleich_lb]])+dict_DQ_Meth_max[[#This Row],[Vergleich_lb]]</f>
        <v>1477.76244</v>
      </c>
      <c r="H308" s="11" t="str">
        <f ca="1">VLOOKUP(VLOOKUP(dict_DQ_Meth_max[[#This Row],[ID_DataQualities]],table_DataQualities[],3),table_Units[],2)</f>
        <v>Hz</v>
      </c>
      <c r="I308" s="10"/>
      <c r="J308" s="10"/>
      <c r="K308" s="10"/>
      <c r="L308" s="10">
        <f ca="1">VLOOKUP(dict_DQ_Meth_max[[#This Row],[ID_DataQualities]],table_DataQualities[],8,FALSE)</f>
        <v>0.13600000000000001</v>
      </c>
      <c r="M308" s="10">
        <f ca="1">VLOOKUP(dict_DQ_Meth_max[[#This Row],[ID_DataQualities]],table_DataQualities[],9,FALSE)</f>
        <v>2081.3000000000002</v>
      </c>
    </row>
    <row r="309" spans="1:13" x14ac:dyDescent="0.45">
      <c r="A309" s="10">
        <v>82</v>
      </c>
      <c r="B309" s="10">
        <v>498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249.87568000000002</v>
      </c>
      <c r="G309" s="12">
        <f ca="1">(RANDBETWEEN(50,100)/100)*(dict_DQ_Meth_max[[#This Row],[Vergleich_ub]]-dict_DQ_Meth_max[[#This Row],[Vergleich_lb]])+dict_DQ_Meth_max[[#This Row],[Vergleich_lb]]</f>
        <v>2039.6767200000002</v>
      </c>
      <c r="H309" s="11" t="str">
        <f ca="1">VLOOKUP(VLOOKUP(dict_DQ_Meth_max[[#This Row],[ID_DataQualities]],table_DataQualities[],3),table_Units[],2)</f>
        <v>Hz</v>
      </c>
      <c r="I309" s="10"/>
      <c r="J309" s="10"/>
      <c r="K309" s="10"/>
      <c r="L309" s="10">
        <f ca="1">VLOOKUP(dict_DQ_Meth_max[[#This Row],[ID_DataQualities]],table_DataQualities[],8,FALSE)</f>
        <v>0.13600000000000001</v>
      </c>
      <c r="M309" s="10">
        <f ca="1">VLOOKUP(dict_DQ_Meth_max[[#This Row],[ID_DataQualities]],table_DataQualities[],9,FALSE)</f>
        <v>2081.3000000000002</v>
      </c>
    </row>
    <row r="310" spans="1:13" x14ac:dyDescent="0.45">
      <c r="A310" s="10">
        <v>82</v>
      </c>
      <c r="B310" s="10">
        <v>237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728.54340000000002</v>
      </c>
      <c r="G310" s="12">
        <f ca="1">(RANDBETWEEN(50,100)/100)*(dict_DQ_Meth_max[[#This Row],[Vergleich_ub]]-dict_DQ_Meth_max[[#This Row],[Vergleich_lb]])+dict_DQ_Meth_max[[#This Row],[Vergleich_lb]]</f>
        <v>1165.5878400000001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0.13600000000000001</v>
      </c>
      <c r="M310" s="10">
        <f ca="1">VLOOKUP(dict_DQ_Meth_max[[#This Row],[ID_DataQualities]],table_DataQualities[],9,FALSE)</f>
        <v>2081.3000000000002</v>
      </c>
    </row>
    <row r="311" spans="1:13" x14ac:dyDescent="0.45">
      <c r="A311" s="10">
        <v>83</v>
      </c>
      <c r="B311" s="10">
        <v>16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0.26665</v>
      </c>
      <c r="G311" s="12">
        <f ca="1">(RANDBETWEEN(50,100)/100)*(dict_DQ_Meth_max[[#This Row],[Vergleich_ub]]-dict_DQ_Meth_max[[#This Row],[Vergleich_lb]])+dict_DQ_Meth_max[[#This Row],[Vergleich_lb]]</f>
        <v>3.3013300000000001</v>
      </c>
      <c r="H311" s="11" t="str">
        <f ca="1">VLOOKUP(VLOOKUP(dict_DQ_Meth_max[[#This Row],[ID_DataQualities]],table_DataQualities[],3),table_Units[],2)</f>
        <v>+/- W</v>
      </c>
      <c r="I311" s="10"/>
      <c r="J311" s="10"/>
      <c r="K311" s="10"/>
      <c r="L311" s="10">
        <f ca="1">VLOOKUP(dict_DQ_Meth_max[[#This Row],[ID_DataQualities]],table_DataQualities[],8,FALSE)</f>
        <v>6.7000000000000004E-2</v>
      </c>
      <c r="M311" s="10">
        <f ca="1">VLOOKUP(dict_DQ_Meth_max[[#This Row],[ID_DataQualities]],table_DataQualities[],9,FALSE)</f>
        <v>4.0599999999999996</v>
      </c>
    </row>
    <row r="312" spans="1:13" x14ac:dyDescent="0.45">
      <c r="A312" s="10">
        <v>83</v>
      </c>
      <c r="B312" s="10">
        <v>237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1.1850399999999999</v>
      </c>
      <c r="G312" s="12">
        <f ca="1">(RANDBETWEEN(50,100)/100)*(dict_DQ_Meth_max[[#This Row],[Vergleich_ub]]-dict_DQ_Meth_max[[#This Row],[Vergleich_lb]])+dict_DQ_Meth_max[[#This Row],[Vergleich_lb]]</f>
        <v>3.4610499999999997</v>
      </c>
      <c r="H312" s="11" t="str">
        <f ca="1">VLOOKUP(VLOOKUP(dict_DQ_Meth_max[[#This Row],[ID_DataQualities]],table_DataQualities[],3),table_Units[],2)</f>
        <v>+/- W</v>
      </c>
      <c r="I312" s="10"/>
      <c r="J312" s="10"/>
      <c r="K312" s="10"/>
      <c r="L312" s="10">
        <f ca="1">VLOOKUP(dict_DQ_Meth_max[[#This Row],[ID_DataQualities]],table_DataQualities[],8,FALSE)</f>
        <v>6.7000000000000004E-2</v>
      </c>
      <c r="M312" s="10">
        <f ca="1">VLOOKUP(dict_DQ_Meth_max[[#This Row],[ID_DataQualities]],table_DataQualities[],9,FALSE)</f>
        <v>4.0599999999999996</v>
      </c>
    </row>
    <row r="313" spans="1:13" x14ac:dyDescent="0.45">
      <c r="A313" s="10">
        <v>83</v>
      </c>
      <c r="B313" s="10">
        <v>498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0.26665</v>
      </c>
      <c r="G313" s="12">
        <f ca="1">(RANDBETWEEN(50,100)/100)*(dict_DQ_Meth_max[[#This Row],[Vergleich_ub]]-dict_DQ_Meth_max[[#This Row],[Vergleich_lb]])+dict_DQ_Meth_max[[#This Row],[Vergleich_lb]]</f>
        <v>3.4610499999999997</v>
      </c>
      <c r="H313" s="11" t="str">
        <f ca="1">VLOOKUP(VLOOKUP(dict_DQ_Meth_max[[#This Row],[ID_DataQualities]],table_DataQualities[],3),table_Units[],2)</f>
        <v>+/- W</v>
      </c>
      <c r="I313" s="10"/>
      <c r="J313" s="10"/>
      <c r="K313" s="10"/>
      <c r="L313" s="10">
        <f ca="1">VLOOKUP(dict_DQ_Meth_max[[#This Row],[ID_DataQualities]],table_DataQualities[],8,FALSE)</f>
        <v>6.7000000000000004E-2</v>
      </c>
      <c r="M313" s="10">
        <f ca="1">VLOOKUP(dict_DQ_Meth_max[[#This Row],[ID_DataQualities]],table_DataQualities[],9,FALSE)</f>
        <v>4.0599999999999996</v>
      </c>
    </row>
    <row r="314" spans="1:13" x14ac:dyDescent="0.45">
      <c r="A314" s="10">
        <v>84</v>
      </c>
      <c r="B314" s="10">
        <v>34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744.55796000000009</v>
      </c>
      <c r="G314" s="12">
        <f ca="1">(RANDBETWEEN(50,100)/100)*(dict_DQ_Meth_max[[#This Row],[Vergleich_ub]]-dict_DQ_Meth_max[[#This Row],[Vergleich_lb]])+dict_DQ_Meth_max[[#This Row],[Vergleich_lb]]</f>
        <v>3894.1173199999998</v>
      </c>
      <c r="H314" s="11" t="str">
        <f ca="1">VLOOKUP(VLOOKUP(dict_DQ_Meth_max[[#This Row],[ID_DataQualities]],table_DataQualities[],3),table_Units[],2)</f>
        <v>Hz</v>
      </c>
      <c r="I314" s="10"/>
      <c r="J314" s="10"/>
      <c r="K314" s="10"/>
      <c r="L314" s="10">
        <f ca="1">VLOOKUP(dict_DQ_Meth_max[[#This Row],[ID_DataQualities]],table_DataQualities[],8,FALSE)</f>
        <v>0.91200000000000003</v>
      </c>
      <c r="M314" s="10">
        <f ca="1">VLOOKUP(dict_DQ_Meth_max[[#This Row],[ID_DataQualities]],table_DataQualities[],9,FALSE)</f>
        <v>4375.3</v>
      </c>
    </row>
    <row r="315" spans="1:13" x14ac:dyDescent="0.45">
      <c r="A315" s="10">
        <v>84</v>
      </c>
      <c r="B315" s="10">
        <v>615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525.83856000000003</v>
      </c>
      <c r="G315" s="12">
        <f ca="1">(RANDBETWEEN(50,100)/100)*(dict_DQ_Meth_max[[#This Row],[Vergleich_ub]]-dict_DQ_Meth_max[[#This Row],[Vergleich_lb]])+dict_DQ_Meth_max[[#This Row],[Vergleich_lb]]</f>
        <v>4156.5806000000002</v>
      </c>
      <c r="H315" s="11" t="str">
        <f ca="1">VLOOKUP(VLOOKUP(dict_DQ_Meth_max[[#This Row],[ID_DataQualities]],table_DataQualities[],3),table_Units[],2)</f>
        <v>Hz</v>
      </c>
      <c r="I315" s="10"/>
      <c r="J315" s="10"/>
      <c r="K315" s="10"/>
      <c r="L315" s="10">
        <f ca="1">VLOOKUP(dict_DQ_Meth_max[[#This Row],[ID_DataQualities]],table_DataQualities[],8,FALSE)</f>
        <v>0.91200000000000003</v>
      </c>
      <c r="M315" s="10">
        <f ca="1">VLOOKUP(dict_DQ_Meth_max[[#This Row],[ID_DataQualities]],table_DataQualities[],9,FALSE)</f>
        <v>4375.3</v>
      </c>
    </row>
    <row r="316" spans="1:13" x14ac:dyDescent="0.45">
      <c r="A316" s="10">
        <v>84</v>
      </c>
      <c r="B316" s="10">
        <v>40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2188.1059999999998</v>
      </c>
      <c r="G316" s="12">
        <f ca="1">(RANDBETWEEN(50,100)/100)*(dict_DQ_Meth_max[[#This Row],[Vergleich_ub]]-dict_DQ_Meth_max[[#This Row],[Vergleich_lb]])+dict_DQ_Meth_max[[#This Row],[Vergleich_lb]]</f>
        <v>2538.0570399999997</v>
      </c>
      <c r="H316" s="11" t="str">
        <f ca="1">VLOOKUP(VLOOKUP(dict_DQ_Meth_max[[#This Row],[ID_DataQualities]],table_DataQualities[],3),table_Units[],2)</f>
        <v>Hz</v>
      </c>
      <c r="I316" s="10"/>
      <c r="J316" s="10"/>
      <c r="K316" s="10"/>
      <c r="L316" s="10">
        <f ca="1">VLOOKUP(dict_DQ_Meth_max[[#This Row],[ID_DataQualities]],table_DataQualities[],8,FALSE)</f>
        <v>0.91200000000000003</v>
      </c>
      <c r="M316" s="10">
        <f ca="1">VLOOKUP(dict_DQ_Meth_max[[#This Row],[ID_DataQualities]],table_DataQualities[],9,FALSE)</f>
        <v>4375.3</v>
      </c>
    </row>
    <row r="317" spans="1:13" x14ac:dyDescent="0.45">
      <c r="A317" s="10">
        <v>84</v>
      </c>
      <c r="B317" s="10">
        <v>278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482.09467999999998</v>
      </c>
      <c r="G317" s="12">
        <f ca="1">(RANDBETWEEN(50,100)/100)*(dict_DQ_Meth_max[[#This Row],[Vergleich_ub]]-dict_DQ_Meth_max[[#This Row],[Vergleich_lb]])+dict_DQ_Meth_max[[#This Row],[Vergleich_lb]]</f>
        <v>2669.2886799999997</v>
      </c>
      <c r="H317" s="11" t="str">
        <f ca="1">VLOOKUP(VLOOKUP(dict_DQ_Meth_max[[#This Row],[ID_DataQualities]],table_DataQualities[],3),table_Units[],2)</f>
        <v>Hz</v>
      </c>
      <c r="I317" s="10"/>
      <c r="J317" s="10"/>
      <c r="K317" s="10"/>
      <c r="L317" s="10">
        <f ca="1">VLOOKUP(dict_DQ_Meth_max[[#This Row],[ID_DataQualities]],table_DataQualities[],8,FALSE)</f>
        <v>0.91200000000000003</v>
      </c>
      <c r="M317" s="10">
        <f ca="1">VLOOKUP(dict_DQ_Meth_max[[#This Row],[ID_DataQualities]],table_DataQualities[],9,FALSE)</f>
        <v>4375.3</v>
      </c>
    </row>
    <row r="318" spans="1:13" x14ac:dyDescent="0.45">
      <c r="A318" s="10">
        <v>85</v>
      </c>
      <c r="B318" s="10">
        <v>40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2.8048E-2</v>
      </c>
      <c r="G318" s="12">
        <f ca="1">(RANDBETWEEN(50,100)/100)*(dict_DQ_Meth_max[[#This Row],[Vergleich_ub]]-dict_DQ_Meth_max[[#This Row],[Vergleich_lb]])+dict_DQ_Meth_max[[#This Row],[Vergleich_lb]]</f>
        <v>0.56262599999999996</v>
      </c>
      <c r="H318" s="11" t="str">
        <f ca="1">VLOOKUP(VLOOKUP(dict_DQ_Meth_max[[#This Row],[ID_DataQualities]],table_DataQualities[],3),table_Units[],2)</f>
        <v>+/- cm³/s</v>
      </c>
      <c r="I318" s="10"/>
      <c r="J318" s="10"/>
      <c r="K318" s="10"/>
      <c r="L318" s="10">
        <f ca="1">VLOOKUP(dict_DQ_Meth_max[[#This Row],[ID_DataQualities]],table_DataQualities[],8,FALSE)</f>
        <v>5.3E-3</v>
      </c>
      <c r="M318" s="10">
        <f ca="1">VLOOKUP(dict_DQ_Meth_max[[#This Row],[ID_DataQualities]],table_DataQualities[],9,FALSE)</f>
        <v>0.57399999999999995</v>
      </c>
    </row>
    <row r="319" spans="1:13" x14ac:dyDescent="0.45">
      <c r="A319" s="10">
        <v>85</v>
      </c>
      <c r="B319" s="10">
        <v>34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0.23846699999999998</v>
      </c>
      <c r="G319" s="12">
        <f ca="1">(RANDBETWEEN(50,100)/100)*(dict_DQ_Meth_max[[#This Row],[Vergleich_ub]]-dict_DQ_Meth_max[[#This Row],[Vergleich_lb]])+dict_DQ_Meth_max[[#This Row],[Vergleich_lb]]</f>
        <v>0.55125199999999996</v>
      </c>
      <c r="H319" s="11" t="str">
        <f ca="1">VLOOKUP(VLOOKUP(dict_DQ_Meth_max[[#This Row],[ID_DataQualities]],table_DataQualities[],3),table_Units[],2)</f>
        <v>+/- cm³/s</v>
      </c>
      <c r="I319" s="10"/>
      <c r="J319" s="10"/>
      <c r="K319" s="10"/>
      <c r="L319" s="10">
        <f ca="1">VLOOKUP(dict_DQ_Meth_max[[#This Row],[ID_DataQualities]],table_DataQualities[],8,FALSE)</f>
        <v>5.3E-3</v>
      </c>
      <c r="M319" s="10">
        <f ca="1">VLOOKUP(dict_DQ_Meth_max[[#This Row],[ID_DataQualities]],table_DataQualities[],9,FALSE)</f>
        <v>0.57399999999999995</v>
      </c>
    </row>
    <row r="320" spans="1:13" x14ac:dyDescent="0.45">
      <c r="A320" s="10">
        <v>85</v>
      </c>
      <c r="B320" s="10">
        <v>615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0.14747499999999999</v>
      </c>
      <c r="G320" s="12">
        <f ca="1">(RANDBETWEEN(50,100)/100)*(dict_DQ_Meth_max[[#This Row],[Vergleich_ub]]-dict_DQ_Meth_max[[#This Row],[Vergleich_lb]])+dict_DQ_Meth_max[[#This Row],[Vergleich_lb]]</f>
        <v>0.54556499999999997</v>
      </c>
      <c r="H320" s="11" t="str">
        <f ca="1">VLOOKUP(VLOOKUP(dict_DQ_Meth_max[[#This Row],[ID_DataQualities]],table_DataQualities[],3),table_Units[],2)</f>
        <v>+/- cm³/s</v>
      </c>
      <c r="I320" s="10"/>
      <c r="J320" s="10"/>
      <c r="K320" s="10"/>
      <c r="L320" s="10">
        <f ca="1">VLOOKUP(dict_DQ_Meth_max[[#This Row],[ID_DataQualities]],table_DataQualities[],8,FALSE)</f>
        <v>5.3E-3</v>
      </c>
      <c r="M320" s="10">
        <f ca="1">VLOOKUP(dict_DQ_Meth_max[[#This Row],[ID_DataQualities]],table_DataQualities[],9,FALSE)</f>
        <v>0.57399999999999995</v>
      </c>
    </row>
    <row r="321" spans="1:13" x14ac:dyDescent="0.45">
      <c r="A321" s="10">
        <v>85</v>
      </c>
      <c r="B321" s="10">
        <v>278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5.3E-3</v>
      </c>
      <c r="G321" s="12">
        <f ca="1">(RANDBETWEEN(50,100)/100)*(dict_DQ_Meth_max[[#This Row],[Vergleich_ub]]-dict_DQ_Meth_max[[#This Row],[Vergleich_lb]])+dict_DQ_Meth_max[[#This Row],[Vergleich_lb]]</f>
        <v>0.49438199999999999</v>
      </c>
      <c r="H321" s="11" t="str">
        <f ca="1">VLOOKUP(VLOOKUP(dict_DQ_Meth_max[[#This Row],[ID_DataQualities]],table_DataQualities[],3),table_Units[],2)</f>
        <v>+/- cm³/s</v>
      </c>
      <c r="I321" s="10"/>
      <c r="J321" s="10"/>
      <c r="K321" s="10"/>
      <c r="L321" s="10">
        <f ca="1">VLOOKUP(dict_DQ_Meth_max[[#This Row],[ID_DataQualities]],table_DataQualities[],8,FALSE)</f>
        <v>5.3E-3</v>
      </c>
      <c r="M321" s="10">
        <f ca="1">VLOOKUP(dict_DQ_Meth_max[[#This Row],[ID_DataQualities]],table_DataQualities[],9,FALSE)</f>
        <v>0.57399999999999995</v>
      </c>
    </row>
    <row r="322" spans="1:13" x14ac:dyDescent="0.45">
      <c r="A322" s="10">
        <v>86</v>
      </c>
      <c r="B322" s="10">
        <v>660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2430.3824400000003</v>
      </c>
      <c r="G322" s="12">
        <f ca="1">(RANDBETWEEN(50,100)/100)*(dict_DQ_Meth_max[[#This Row],[Vergleich_ub]]-dict_DQ_Meth_max[[#This Row],[Vergleich_lb]])+dict_DQ_Meth_max[[#This Row],[Vergleich_lb]]</f>
        <v>6330.5626199999997</v>
      </c>
      <c r="H322" s="11" t="str">
        <f ca="1">VLOOKUP(VLOOKUP(dict_DQ_Meth_max[[#This Row],[ID_DataQualities]],table_DataQualities[],3),table_Units[],2)</f>
        <v>Hz</v>
      </c>
      <c r="I322" s="10"/>
      <c r="J322" s="10"/>
      <c r="K322" s="10"/>
      <c r="L322" s="10">
        <f ca="1">VLOOKUP(dict_DQ_Meth_max[[#This Row],[ID_DataQualities]],table_DataQualities[],8,FALSE)</f>
        <v>0.76200000000000001</v>
      </c>
      <c r="M322" s="10">
        <f ca="1">VLOOKUP(dict_DQ_Meth_max[[#This Row],[ID_DataQualities]],table_DataQualities[],9,FALSE)</f>
        <v>6394.5</v>
      </c>
    </row>
    <row r="323" spans="1:13" x14ac:dyDescent="0.45">
      <c r="A323" s="10">
        <v>86</v>
      </c>
      <c r="B323" s="10">
        <v>246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2366.4450600000005</v>
      </c>
      <c r="G323" s="12">
        <f ca="1">(RANDBETWEEN(50,100)/100)*(dict_DQ_Meth_max[[#This Row],[Vergleich_ub]]-dict_DQ_Meth_max[[#This Row],[Vergleich_lb]])+dict_DQ_Meth_max[[#This Row],[Vergleich_lb]]</f>
        <v>3709.13004</v>
      </c>
      <c r="H323" s="11" t="str">
        <f ca="1">VLOOKUP(VLOOKUP(dict_DQ_Meth_max[[#This Row],[ID_DataQualities]],table_DataQualities[],3),table_Units[],2)</f>
        <v>Hz</v>
      </c>
      <c r="I323" s="10"/>
      <c r="J323" s="10"/>
      <c r="K323" s="10"/>
      <c r="L323" s="10">
        <f ca="1">VLOOKUP(dict_DQ_Meth_max[[#This Row],[ID_DataQualities]],table_DataQualities[],8,FALSE)</f>
        <v>0.76200000000000001</v>
      </c>
      <c r="M323" s="10">
        <f ca="1">VLOOKUP(dict_DQ_Meth_max[[#This Row],[ID_DataQualities]],table_DataQualities[],9,FALSE)</f>
        <v>6394.5</v>
      </c>
    </row>
    <row r="324" spans="1:13" x14ac:dyDescent="0.45">
      <c r="A324" s="10">
        <v>86</v>
      </c>
      <c r="B324" s="10">
        <v>156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3197.6310000000003</v>
      </c>
      <c r="G324" s="12">
        <f ca="1">(RANDBETWEEN(50,100)/100)*(dict_DQ_Meth_max[[#This Row],[Vergleich_ub]]-dict_DQ_Meth_max[[#This Row],[Vergleich_lb]])+dict_DQ_Meth_max[[#This Row],[Vergleich_lb]]</f>
        <v>3964.8795600000003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0.76200000000000001</v>
      </c>
      <c r="M324" s="10">
        <f ca="1">VLOOKUP(dict_DQ_Meth_max[[#This Row],[ID_DataQualities]],table_DataQualities[],9,FALSE)</f>
        <v>6394.5</v>
      </c>
    </row>
    <row r="325" spans="1:13" x14ac:dyDescent="0.45">
      <c r="A325" s="10">
        <v>86</v>
      </c>
      <c r="B325" s="10">
        <v>28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448.32366000000007</v>
      </c>
      <c r="G325" s="12">
        <f ca="1">(RANDBETWEEN(50,100)/100)*(dict_DQ_Meth_max[[#This Row],[Vergleich_ub]]-dict_DQ_Meth_max[[#This Row],[Vergleich_lb]])+dict_DQ_Meth_max[[#This Row],[Vergleich_lb]]</f>
        <v>5563.3140599999997</v>
      </c>
      <c r="H325" s="11" t="str">
        <f ca="1">VLOOKUP(VLOOKUP(dict_DQ_Meth_max[[#This Row],[ID_DataQualities]],table_DataQualities[],3),table_Units[],2)</f>
        <v>Hz</v>
      </c>
      <c r="I325" s="10"/>
      <c r="J325" s="10"/>
      <c r="K325" s="10"/>
      <c r="L325" s="10">
        <f ca="1">VLOOKUP(dict_DQ_Meth_max[[#This Row],[ID_DataQualities]],table_DataQualities[],8,FALSE)</f>
        <v>0.76200000000000001</v>
      </c>
      <c r="M325" s="10">
        <f ca="1">VLOOKUP(dict_DQ_Meth_max[[#This Row],[ID_DataQualities]],table_DataQualities[],9,FALSE)</f>
        <v>6394.5</v>
      </c>
    </row>
    <row r="326" spans="1:13" x14ac:dyDescent="0.45">
      <c r="A326" s="10">
        <v>87</v>
      </c>
      <c r="B326" s="10">
        <v>28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4.2279999999999998E-2</v>
      </c>
      <c r="G326" s="12">
        <f ca="1">(RANDBETWEEN(50,100)/100)*(dict_DQ_Meth_max[[#This Row],[Vergleich_ub]]-dict_DQ_Meth_max[[#This Row],[Vergleich_lb]])+dict_DQ_Meth_max[[#This Row],[Vergleich_lb]]</f>
        <v>0.19707999999999998</v>
      </c>
      <c r="H326" s="11" t="str">
        <f ca="1">VLOOKUP(VLOOKUP(dict_DQ_Meth_max[[#This Row],[ID_DataQualities]],table_DataQualities[],3),table_Units[],2)</f>
        <v>+/- cm³/s</v>
      </c>
      <c r="I326" s="10"/>
      <c r="J326" s="10"/>
      <c r="K326" s="10"/>
      <c r="L326" s="10">
        <f ca="1">VLOOKUP(dict_DQ_Meth_max[[#This Row],[ID_DataQualities]],table_DataQualities[],8,FALSE)</f>
        <v>1E-3</v>
      </c>
      <c r="M326" s="10">
        <f ca="1">VLOOKUP(dict_DQ_Meth_max[[#This Row],[ID_DataQualities]],table_DataQualities[],9,FALSE)</f>
        <v>0.34499999999999997</v>
      </c>
    </row>
    <row r="327" spans="1:13" x14ac:dyDescent="0.45">
      <c r="A327" s="10">
        <v>87</v>
      </c>
      <c r="B327" s="10">
        <v>660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0.12483999999999999</v>
      </c>
      <c r="G327" s="12">
        <f ca="1">(RANDBETWEEN(50,100)/100)*(dict_DQ_Meth_max[[#This Row],[Vergleich_ub]]-dict_DQ_Meth_max[[#This Row],[Vergleich_lb]])+dict_DQ_Meth_max[[#This Row],[Vergleich_lb]]</f>
        <v>0.26588000000000001</v>
      </c>
      <c r="H327" s="11" t="str">
        <f ca="1">VLOOKUP(VLOOKUP(dict_DQ_Meth_max[[#This Row],[ID_DataQualities]],table_DataQualities[],3),table_Units[],2)</f>
        <v>+/- cm³/s</v>
      </c>
      <c r="I327" s="10"/>
      <c r="J327" s="10"/>
      <c r="K327" s="10"/>
      <c r="L327" s="10">
        <f ca="1">VLOOKUP(dict_DQ_Meth_max[[#This Row],[ID_DataQualities]],table_DataQualities[],8,FALSE)</f>
        <v>1E-3</v>
      </c>
      <c r="M327" s="10">
        <f ca="1">VLOOKUP(dict_DQ_Meth_max[[#This Row],[ID_DataQualities]],table_DataQualities[],9,FALSE)</f>
        <v>0.34499999999999997</v>
      </c>
    </row>
    <row r="328" spans="1:13" x14ac:dyDescent="0.45">
      <c r="A328" s="10">
        <v>87</v>
      </c>
      <c r="B328" s="10">
        <v>246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4.2279999999999998E-2</v>
      </c>
      <c r="G328" s="12">
        <f ca="1">(RANDBETWEEN(50,100)/100)*(dict_DQ_Meth_max[[#This Row],[Vergleich_ub]]-dict_DQ_Meth_max[[#This Row],[Vergleich_lb]])+dict_DQ_Meth_max[[#This Row],[Vergleich_lb]]</f>
        <v>0.30027999999999999</v>
      </c>
      <c r="H328" s="11" t="str">
        <f ca="1">VLOOKUP(VLOOKUP(dict_DQ_Meth_max[[#This Row],[ID_DataQualities]],table_DataQualities[],3),table_Units[],2)</f>
        <v>+/- cm³/s</v>
      </c>
      <c r="I328" s="10"/>
      <c r="J328" s="10"/>
      <c r="K328" s="10"/>
      <c r="L328" s="10">
        <f ca="1">VLOOKUP(dict_DQ_Meth_max[[#This Row],[ID_DataQualities]],table_DataQualities[],8,FALSE)</f>
        <v>1E-3</v>
      </c>
      <c r="M328" s="10">
        <f ca="1">VLOOKUP(dict_DQ_Meth_max[[#This Row],[ID_DataQualities]],table_DataQualities[],9,FALSE)</f>
        <v>0.34499999999999997</v>
      </c>
    </row>
    <row r="329" spans="1:13" x14ac:dyDescent="0.45">
      <c r="A329" s="10">
        <v>87</v>
      </c>
      <c r="B329" s="10">
        <v>156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0.11796</v>
      </c>
      <c r="G329" s="12">
        <f ca="1">(RANDBETWEEN(50,100)/100)*(dict_DQ_Meth_max[[#This Row],[Vergleich_ub]]-dict_DQ_Meth_max[[#This Row],[Vergleich_lb]])+dict_DQ_Meth_max[[#This Row],[Vergleich_lb]]</f>
        <v>0.25211999999999996</v>
      </c>
      <c r="H329" s="11" t="str">
        <f ca="1">VLOOKUP(VLOOKUP(dict_DQ_Meth_max[[#This Row],[ID_DataQualities]],table_DataQualities[],3),table_Units[],2)</f>
        <v>+/- cm³/s</v>
      </c>
      <c r="I329" s="10"/>
      <c r="J329" s="10"/>
      <c r="K329" s="10"/>
      <c r="L329" s="10">
        <f ca="1">VLOOKUP(dict_DQ_Meth_max[[#This Row],[ID_DataQualities]],table_DataQualities[],8,FALSE)</f>
        <v>1E-3</v>
      </c>
      <c r="M329" s="10">
        <f ca="1">VLOOKUP(dict_DQ_Meth_max[[#This Row],[ID_DataQualities]],table_DataQualities[],9,FALSE)</f>
        <v>0.34499999999999997</v>
      </c>
    </row>
    <row r="330" spans="1:13" x14ac:dyDescent="0.45">
      <c r="A330" s="10">
        <v>88</v>
      </c>
      <c r="B330" s="10">
        <v>438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418.54910000000007</v>
      </c>
      <c r="G330" s="12">
        <f ca="1">(RANDBETWEEN(50,100)/100)*(dict_DQ_Meth_max[[#This Row],[Vergleich_ub]]-dict_DQ_Meth_max[[#This Row],[Vergleich_lb]])+dict_DQ_Meth_max[[#This Row],[Vergleich_lb]]</f>
        <v>2063.0879600000003</v>
      </c>
      <c r="H330" s="11" t="str">
        <f ca="1">VLOOKUP(VLOOKUP(dict_DQ_Meth_max[[#This Row],[ID_DataQualities]],table_DataQualities[],3),table_Units[],2)</f>
        <v>Hz</v>
      </c>
      <c r="I330" s="10"/>
      <c r="J330" s="10"/>
      <c r="K330" s="10"/>
      <c r="L330" s="10">
        <f ca="1">VLOOKUP(dict_DQ_Meth_max[[#This Row],[ID_DataQualities]],table_DataQualities[],8,FALSE)</f>
        <v>0.44600000000000001</v>
      </c>
      <c r="M330" s="10">
        <f ca="1">VLOOKUP(dict_DQ_Meth_max[[#This Row],[ID_DataQualities]],table_DataQualities[],9,FALSE)</f>
        <v>2787.8</v>
      </c>
    </row>
    <row r="331" spans="1:13" x14ac:dyDescent="0.45">
      <c r="A331" s="10">
        <v>88</v>
      </c>
      <c r="B331" s="10">
        <v>77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1115.3876</v>
      </c>
      <c r="G331" s="12">
        <f ca="1">(RANDBETWEEN(50,100)/100)*(dict_DQ_Meth_max[[#This Row],[Vergleich_ub]]-dict_DQ_Meth_max[[#This Row],[Vergleich_lb]])+dict_DQ_Meth_max[[#This Row],[Vergleich_lb]]</f>
        <v>1784.35256</v>
      </c>
      <c r="H331" s="11" t="str">
        <f ca="1">VLOOKUP(VLOOKUP(dict_DQ_Meth_max[[#This Row],[ID_DataQualities]],table_DataQualities[],3),table_Units[],2)</f>
        <v>Hz</v>
      </c>
      <c r="I331" s="10"/>
      <c r="J331" s="10"/>
      <c r="K331" s="10"/>
      <c r="L331" s="10">
        <f ca="1">VLOOKUP(dict_DQ_Meth_max[[#This Row],[ID_DataQualities]],table_DataQualities[],8,FALSE)</f>
        <v>0.44600000000000001</v>
      </c>
      <c r="M331" s="10">
        <f ca="1">VLOOKUP(dict_DQ_Meth_max[[#This Row],[ID_DataQualities]],table_DataQualities[],9,FALSE)</f>
        <v>2787.8</v>
      </c>
    </row>
    <row r="332" spans="1:13" x14ac:dyDescent="0.45">
      <c r="A332" s="10">
        <v>88</v>
      </c>
      <c r="B332" s="10">
        <v>132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1199.0082199999999</v>
      </c>
      <c r="G332" s="12">
        <f ca="1">(RANDBETWEEN(50,100)/100)*(dict_DQ_Meth_max[[#This Row],[Vergleich_ub]]-dict_DQ_Meth_max[[#This Row],[Vergleich_lb]])+dict_DQ_Meth_max[[#This Row],[Vergleich_lb]]</f>
        <v>1756.47902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0.44600000000000001</v>
      </c>
      <c r="M332" s="10">
        <f ca="1">VLOOKUP(dict_DQ_Meth_max[[#This Row],[ID_DataQualities]],table_DataQualities[],9,FALSE)</f>
        <v>2787.8</v>
      </c>
    </row>
    <row r="333" spans="1:13" x14ac:dyDescent="0.45">
      <c r="A333" s="10">
        <v>89</v>
      </c>
      <c r="B333" s="10">
        <v>132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2417.9</v>
      </c>
      <c r="G333" s="12">
        <f ca="1">(RANDBETWEEN(50,100)/100)*(dict_DQ_Meth_max[[#This Row],[Vergleich_ub]]-dict_DQ_Meth_max[[#This Row],[Vergleich_lb]])+dict_DQ_Meth_max[[#This Row],[Vergleich_lb]]</f>
        <v>5493.6500000000005</v>
      </c>
      <c r="H333" s="11" t="str">
        <f ca="1">VLOOKUP(VLOOKUP(dict_DQ_Meth_max[[#This Row],[ID_DataQualities]],table_DataQualities[],3),table_Units[],2)</f>
        <v>bit</v>
      </c>
      <c r="I333" s="10"/>
      <c r="J333" s="10"/>
      <c r="K333" s="10"/>
      <c r="L333" s="10">
        <f ca="1">VLOOKUP(dict_DQ_Meth_max[[#This Row],[ID_DataQualities]],table_DataQualities[],8,FALSE)</f>
        <v>94</v>
      </c>
      <c r="M333" s="10">
        <f ca="1">VLOOKUP(dict_DQ_Meth_max[[#This Row],[ID_DataQualities]],table_DataQualities[],9,FALSE)</f>
        <v>6929</v>
      </c>
    </row>
    <row r="334" spans="1:13" x14ac:dyDescent="0.45">
      <c r="A334" s="10">
        <v>89</v>
      </c>
      <c r="B334" s="10">
        <v>438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3101.4</v>
      </c>
      <c r="G334" s="12">
        <f ca="1">(RANDBETWEEN(50,100)/100)*(dict_DQ_Meth_max[[#This Row],[Vergleich_ub]]-dict_DQ_Meth_max[[#This Row],[Vergleich_lb]])+dict_DQ_Meth_max[[#This Row],[Vergleich_lb]]</f>
        <v>6792.3</v>
      </c>
      <c r="H334" s="11" t="str">
        <f ca="1">VLOOKUP(VLOOKUP(dict_DQ_Meth_max[[#This Row],[ID_DataQualities]],table_DataQualities[],3),table_Units[],2)</f>
        <v>bit</v>
      </c>
      <c r="I334" s="10"/>
      <c r="J334" s="10"/>
      <c r="K334" s="10"/>
      <c r="L334" s="10">
        <f ca="1">VLOOKUP(dict_DQ_Meth_max[[#This Row],[ID_DataQualities]],table_DataQualities[],8,FALSE)</f>
        <v>94</v>
      </c>
      <c r="M334" s="10">
        <f ca="1">VLOOKUP(dict_DQ_Meth_max[[#This Row],[ID_DataQualities]],table_DataQualities[],9,FALSE)</f>
        <v>6929</v>
      </c>
    </row>
    <row r="335" spans="1:13" x14ac:dyDescent="0.45">
      <c r="A335" s="10">
        <v>89</v>
      </c>
      <c r="B335" s="10">
        <v>77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3101.4</v>
      </c>
      <c r="G335" s="12">
        <f ca="1">(RANDBETWEEN(50,100)/100)*(dict_DQ_Meth_max[[#This Row],[Vergleich_ub]]-dict_DQ_Meth_max[[#This Row],[Vergleich_lb]])+dict_DQ_Meth_max[[#This Row],[Vergleich_lb]]</f>
        <v>5630.35</v>
      </c>
      <c r="H335" s="11" t="str">
        <f ca="1">VLOOKUP(VLOOKUP(dict_DQ_Meth_max[[#This Row],[ID_DataQualities]],table_DataQualities[],3),table_Units[],2)</f>
        <v>bit</v>
      </c>
      <c r="I335" s="10"/>
      <c r="J335" s="10"/>
      <c r="K335" s="10"/>
      <c r="L335" s="10">
        <f ca="1">VLOOKUP(dict_DQ_Meth_max[[#This Row],[ID_DataQualities]],table_DataQualities[],8,FALSE)</f>
        <v>94</v>
      </c>
      <c r="M335" s="10">
        <f ca="1">VLOOKUP(dict_DQ_Meth_max[[#This Row],[ID_DataQualities]],table_DataQualities[],9,FALSE)</f>
        <v>6929</v>
      </c>
    </row>
    <row r="336" spans="1:13" x14ac:dyDescent="0.45">
      <c r="A336" s="10">
        <v>90</v>
      </c>
      <c r="B336" s="10">
        <v>293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3436.1737600000001</v>
      </c>
      <c r="G336" s="12">
        <f ca="1">(RANDBETWEEN(50,100)/100)*(dict_DQ_Meth_max[[#This Row],[Vergleich_ub]]-dict_DQ_Meth_max[[#This Row],[Vergleich_lb]])+dict_DQ_Meth_max[[#This Row],[Vergleich_lb]]</f>
        <v>6871.6515200000003</v>
      </c>
      <c r="H336" s="11" t="str">
        <f ca="1">VLOOKUP(VLOOKUP(dict_DQ_Meth_max[[#This Row],[ID_DataQualities]],table_DataQualities[],3),table_Units[],2)</f>
        <v>Hz</v>
      </c>
      <c r="I336" s="10"/>
      <c r="J336" s="10"/>
      <c r="K336" s="10"/>
      <c r="L336" s="10">
        <f ca="1">VLOOKUP(dict_DQ_Meth_max[[#This Row],[ID_DataQualities]],table_DataQualities[],8,FALSE)</f>
        <v>0.69599999999999995</v>
      </c>
      <c r="M336" s="10">
        <f ca="1">VLOOKUP(dict_DQ_Meth_max[[#This Row],[ID_DataQualities]],table_DataQualities[],9,FALSE)</f>
        <v>7808.6</v>
      </c>
    </row>
    <row r="337" spans="1:13" x14ac:dyDescent="0.45">
      <c r="A337" s="10">
        <v>90</v>
      </c>
      <c r="B337" s="10">
        <v>207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78.775040000000004</v>
      </c>
      <c r="G337" s="12">
        <f ca="1">(RANDBETWEEN(50,100)/100)*(dict_DQ_Meth_max[[#This Row],[Vergleich_ub]]-dict_DQ_Meth_max[[#This Row],[Vergleich_lb]])+dict_DQ_Meth_max[[#This Row],[Vergleich_lb]]</f>
        <v>6793.5724800000007</v>
      </c>
      <c r="H337" s="11" t="str">
        <f ca="1">VLOOKUP(VLOOKUP(dict_DQ_Meth_max[[#This Row],[ID_DataQualities]],table_DataQualities[],3),table_Units[],2)</f>
        <v>Hz</v>
      </c>
      <c r="I337" s="10"/>
      <c r="J337" s="10"/>
      <c r="K337" s="10"/>
      <c r="L337" s="10">
        <f ca="1">VLOOKUP(dict_DQ_Meth_max[[#This Row],[ID_DataQualities]],table_DataQualities[],8,FALSE)</f>
        <v>0.69599999999999995</v>
      </c>
      <c r="M337" s="10">
        <f ca="1">VLOOKUP(dict_DQ_Meth_max[[#This Row],[ID_DataQualities]],table_DataQualities[],9,FALSE)</f>
        <v>7808.6</v>
      </c>
    </row>
    <row r="338" spans="1:13" x14ac:dyDescent="0.45">
      <c r="A338" s="10">
        <v>90</v>
      </c>
      <c r="B338" s="10">
        <v>195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156.85408000000001</v>
      </c>
      <c r="G338" s="12">
        <f ca="1">(RANDBETWEEN(50,100)/100)*(dict_DQ_Meth_max[[#This Row],[Vergleich_ub]]-dict_DQ_Meth_max[[#This Row],[Vergleich_lb]])+dict_DQ_Meth_max[[#This Row],[Vergleich_lb]]</f>
        <v>5075.8335999999999</v>
      </c>
      <c r="H338" s="11" t="str">
        <f ca="1">VLOOKUP(VLOOKUP(dict_DQ_Meth_max[[#This Row],[ID_DataQualities]],table_DataQualities[],3),table_Units[],2)</f>
        <v>Hz</v>
      </c>
      <c r="I338" s="10"/>
      <c r="J338" s="10"/>
      <c r="K338" s="10"/>
      <c r="L338" s="10">
        <f ca="1">VLOOKUP(dict_DQ_Meth_max[[#This Row],[ID_DataQualities]],table_DataQualities[],8,FALSE)</f>
        <v>0.69599999999999995</v>
      </c>
      <c r="M338" s="10">
        <f ca="1">VLOOKUP(dict_DQ_Meth_max[[#This Row],[ID_DataQualities]],table_DataQualities[],9,FALSE)</f>
        <v>7808.6</v>
      </c>
    </row>
    <row r="339" spans="1:13" x14ac:dyDescent="0.45">
      <c r="A339" s="10">
        <v>90</v>
      </c>
      <c r="B339" s="10">
        <v>456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3201.9366399999999</v>
      </c>
      <c r="G339" s="12">
        <f ca="1">(RANDBETWEEN(50,100)/100)*(dict_DQ_Meth_max[[#This Row],[Vergleich_ub]]-dict_DQ_Meth_max[[#This Row],[Vergleich_lb]])+dict_DQ_Meth_max[[#This Row],[Vergleich_lb]]</f>
        <v>6715.4934400000002</v>
      </c>
      <c r="H339" s="11" t="str">
        <f ca="1">VLOOKUP(VLOOKUP(dict_DQ_Meth_max[[#This Row],[ID_DataQualities]],table_DataQualities[],3),table_Units[],2)</f>
        <v>Hz</v>
      </c>
      <c r="I339" s="10"/>
      <c r="J339" s="10"/>
      <c r="K339" s="10"/>
      <c r="L339" s="10">
        <f ca="1">VLOOKUP(dict_DQ_Meth_max[[#This Row],[ID_DataQualities]],table_DataQualities[],8,FALSE)</f>
        <v>0.69599999999999995</v>
      </c>
      <c r="M339" s="10">
        <f ca="1">VLOOKUP(dict_DQ_Meth_max[[#This Row],[ID_DataQualities]],table_DataQualities[],9,FALSE)</f>
        <v>7808.6</v>
      </c>
    </row>
    <row r="340" spans="1:13" x14ac:dyDescent="0.45">
      <c r="A340" s="10">
        <v>90</v>
      </c>
      <c r="B340" s="10">
        <v>233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1406.1187199999999</v>
      </c>
      <c r="G340" s="12">
        <f ca="1">(RANDBETWEEN(50,100)/100)*(dict_DQ_Meth_max[[#This Row],[Vergleich_ub]]-dict_DQ_Meth_max[[#This Row],[Vergleich_lb]])+dict_DQ_Meth_max[[#This Row],[Vergleich_lb]]</f>
        <v>7496.2838400000001</v>
      </c>
      <c r="H340" s="11" t="str">
        <f ca="1">VLOOKUP(VLOOKUP(dict_DQ_Meth_max[[#This Row],[ID_DataQualities]],table_DataQualities[],3),table_Units[],2)</f>
        <v>Hz</v>
      </c>
      <c r="I340" s="10"/>
      <c r="J340" s="10"/>
      <c r="K340" s="10"/>
      <c r="L340" s="10">
        <f ca="1">VLOOKUP(dict_DQ_Meth_max[[#This Row],[ID_DataQualities]],table_DataQualities[],8,FALSE)</f>
        <v>0.69599999999999995</v>
      </c>
      <c r="M340" s="10">
        <f ca="1">VLOOKUP(dict_DQ_Meth_max[[#This Row],[ID_DataQualities]],table_DataQualities[],9,FALSE)</f>
        <v>7808.6</v>
      </c>
    </row>
    <row r="341" spans="1:13" x14ac:dyDescent="0.45">
      <c r="A341" s="10">
        <v>91</v>
      </c>
      <c r="B341" s="10">
        <v>207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0.20350000000000001</v>
      </c>
      <c r="G341" s="12">
        <f ca="1">(RANDBETWEEN(50,100)/100)*(dict_DQ_Meth_max[[#This Row],[Vergleich_ub]]-dict_DQ_Meth_max[[#This Row],[Vergleich_lb]])+dict_DQ_Meth_max[[#This Row],[Vergleich_lb]]</f>
        <v>0.69799999999999995</v>
      </c>
      <c r="H341" s="11" t="str">
        <f ca="1">VLOOKUP(VLOOKUP(dict_DQ_Meth_max[[#This Row],[ID_DataQualities]],table_DataQualities[],3),table_Units[],2)</f>
        <v>+/- mm</v>
      </c>
      <c r="I341" s="10"/>
      <c r="J341" s="10"/>
      <c r="K341" s="10"/>
      <c r="L341" s="10">
        <f ca="1">VLOOKUP(dict_DQ_Meth_max[[#This Row],[ID_DataQualities]],table_DataQualities[],8,FALSE)</f>
        <v>0.1</v>
      </c>
      <c r="M341" s="10">
        <f ca="1">VLOOKUP(dict_DQ_Meth_max[[#This Row],[ID_DataQualities]],table_DataQualities[],9,FALSE)</f>
        <v>1.25</v>
      </c>
    </row>
    <row r="342" spans="1:13" x14ac:dyDescent="0.45">
      <c r="A342" s="10">
        <v>91</v>
      </c>
      <c r="B342" s="10">
        <v>233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0.46799999999999997</v>
      </c>
      <c r="G342" s="12">
        <f ca="1">(RANDBETWEEN(50,100)/100)*(dict_DQ_Meth_max[[#This Row],[Vergleich_ub]]-dict_DQ_Meth_max[[#This Row],[Vergleich_lb]])+dict_DQ_Meth_max[[#This Row],[Vergleich_lb]]</f>
        <v>0.93949999999999989</v>
      </c>
      <c r="H342" s="11" t="str">
        <f ca="1">VLOOKUP(VLOOKUP(dict_DQ_Meth_max[[#This Row],[ID_DataQualities]],table_DataQualities[],3),table_Units[],2)</f>
        <v>+/- mm</v>
      </c>
      <c r="I342" s="10"/>
      <c r="J342" s="10"/>
      <c r="K342" s="10"/>
      <c r="L342" s="10">
        <f ca="1">VLOOKUP(dict_DQ_Meth_max[[#This Row],[ID_DataQualities]],table_DataQualities[],8,FALSE)</f>
        <v>0.1</v>
      </c>
      <c r="M342" s="10">
        <f ca="1">VLOOKUP(dict_DQ_Meth_max[[#This Row],[ID_DataQualities]],table_DataQualities[],9,FALSE)</f>
        <v>1.25</v>
      </c>
    </row>
    <row r="343" spans="1:13" x14ac:dyDescent="0.45">
      <c r="A343" s="10">
        <v>91</v>
      </c>
      <c r="B343" s="10">
        <v>195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0.38749999999999996</v>
      </c>
      <c r="G343" s="12">
        <f ca="1">(RANDBETWEEN(50,100)/100)*(dict_DQ_Meth_max[[#This Row],[Vergleich_ub]]-dict_DQ_Meth_max[[#This Row],[Vergleich_lb]])+dict_DQ_Meth_max[[#This Row],[Vergleich_lb]]</f>
        <v>1.204</v>
      </c>
      <c r="H343" s="11" t="str">
        <f ca="1">VLOOKUP(VLOOKUP(dict_DQ_Meth_max[[#This Row],[ID_DataQualities]],table_DataQualities[],3),table_Units[],2)</f>
        <v>+/- mm</v>
      </c>
      <c r="I343" s="10"/>
      <c r="J343" s="10"/>
      <c r="K343" s="10"/>
      <c r="L343" s="10">
        <f ca="1">VLOOKUP(dict_DQ_Meth_max[[#This Row],[ID_DataQualities]],table_DataQualities[],8,FALSE)</f>
        <v>0.1</v>
      </c>
      <c r="M343" s="10">
        <f ca="1">VLOOKUP(dict_DQ_Meth_max[[#This Row],[ID_DataQualities]],table_DataQualities[],9,FALSE)</f>
        <v>1.25</v>
      </c>
    </row>
    <row r="344" spans="1:13" x14ac:dyDescent="0.45">
      <c r="A344" s="10">
        <v>91</v>
      </c>
      <c r="B344" s="10">
        <v>456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0.50249999999999995</v>
      </c>
      <c r="G344" s="12">
        <f ca="1">(RANDBETWEEN(50,100)/100)*(dict_DQ_Meth_max[[#This Row],[Vergleich_ub]]-dict_DQ_Meth_max[[#This Row],[Vergleich_lb]])+dict_DQ_Meth_max[[#This Row],[Vergleich_lb]]</f>
        <v>0.93949999999999989</v>
      </c>
      <c r="H344" s="11" t="str">
        <f ca="1">VLOOKUP(VLOOKUP(dict_DQ_Meth_max[[#This Row],[ID_DataQualities]],table_DataQualities[],3),table_Units[],2)</f>
        <v>+/- mm</v>
      </c>
      <c r="I344" s="10"/>
      <c r="J344" s="10"/>
      <c r="K344" s="10"/>
      <c r="L344" s="10">
        <f ca="1">VLOOKUP(dict_DQ_Meth_max[[#This Row],[ID_DataQualities]],table_DataQualities[],8,FALSE)</f>
        <v>0.1</v>
      </c>
      <c r="M344" s="10">
        <f ca="1">VLOOKUP(dict_DQ_Meth_max[[#This Row],[ID_DataQualities]],table_DataQualities[],9,FALSE)</f>
        <v>1.25</v>
      </c>
    </row>
    <row r="345" spans="1:13" x14ac:dyDescent="0.45">
      <c r="A345" s="10">
        <v>91</v>
      </c>
      <c r="B345" s="10">
        <v>293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0.46799999999999997</v>
      </c>
      <c r="G345" s="12">
        <f ca="1">(RANDBETWEEN(50,100)/100)*(dict_DQ_Meth_max[[#This Row],[Vergleich_ub]]-dict_DQ_Meth_max[[#This Row],[Vergleich_lb]])+dict_DQ_Meth_max[[#This Row],[Vergleich_lb]]</f>
        <v>0.8244999999999999</v>
      </c>
      <c r="H345" s="11" t="str">
        <f ca="1">VLOOKUP(VLOOKUP(dict_DQ_Meth_max[[#This Row],[ID_DataQualities]],table_DataQualities[],3),table_Units[],2)</f>
        <v>+/- mm</v>
      </c>
      <c r="I345" s="10"/>
      <c r="J345" s="10"/>
      <c r="K345" s="10"/>
      <c r="L345" s="10">
        <f ca="1">VLOOKUP(dict_DQ_Meth_max[[#This Row],[ID_DataQualities]],table_DataQualities[],8,FALSE)</f>
        <v>0.1</v>
      </c>
      <c r="M345" s="10">
        <f ca="1">VLOOKUP(dict_DQ_Meth_max[[#This Row],[ID_DataQualities]],table_DataQualities[],9,FALSE)</f>
        <v>1.25</v>
      </c>
    </row>
    <row r="346" spans="1:13" x14ac:dyDescent="0.45">
      <c r="A346" s="10">
        <v>92</v>
      </c>
      <c r="B346" s="10">
        <v>372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3267.4222</v>
      </c>
      <c r="G346" s="12">
        <f ca="1">(RANDBETWEEN(50,100)/100)*(dict_DQ_Meth_max[[#This Row],[Vergleich_ub]]-dict_DQ_Meth_max[[#This Row],[Vergleich_lb]])+dict_DQ_Meth_max[[#This Row],[Vergleich_lb]]</f>
        <v>4190.5613000000003</v>
      </c>
      <c r="H346" s="11" t="str">
        <f ca="1">VLOOKUP(VLOOKUP(dict_DQ_Meth_max[[#This Row],[ID_DataQualities]],table_DataQualities[],3),table_Units[],2)</f>
        <v>Hz</v>
      </c>
      <c r="I346" s="10"/>
      <c r="J346" s="10"/>
      <c r="K346" s="10"/>
      <c r="L346" s="10">
        <f ca="1">VLOOKUP(dict_DQ_Meth_max[[#This Row],[ID_DataQualities]],table_DataQualities[],8,FALSE)</f>
        <v>0.93</v>
      </c>
      <c r="M346" s="10">
        <f ca="1">VLOOKUP(dict_DQ_Meth_max[[#This Row],[ID_DataQualities]],table_DataQualities[],9,FALSE)</f>
        <v>7102</v>
      </c>
    </row>
    <row r="347" spans="1:13" x14ac:dyDescent="0.45">
      <c r="A347" s="10">
        <v>92</v>
      </c>
      <c r="B347" s="10">
        <v>138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782.04769999999996</v>
      </c>
      <c r="G347" s="12">
        <f ca="1">(RANDBETWEEN(50,100)/100)*(dict_DQ_Meth_max[[#This Row],[Vergleich_ub]]-dict_DQ_Meth_max[[#This Row],[Vergleich_lb]])+dict_DQ_Meth_max[[#This Row],[Vergleich_lb]]</f>
        <v>6959.9785999999995</v>
      </c>
      <c r="H347" s="11" t="str">
        <f ca="1">VLOOKUP(VLOOKUP(dict_DQ_Meth_max[[#This Row],[ID_DataQualities]],table_DataQualities[],3),table_Units[],2)</f>
        <v>Hz</v>
      </c>
      <c r="I347" s="10"/>
      <c r="J347" s="10"/>
      <c r="K347" s="10"/>
      <c r="L347" s="10">
        <f ca="1">VLOOKUP(dict_DQ_Meth_max[[#This Row],[ID_DataQualities]],table_DataQualities[],8,FALSE)</f>
        <v>0.93</v>
      </c>
      <c r="M347" s="10">
        <f ca="1">VLOOKUP(dict_DQ_Meth_max[[#This Row],[ID_DataQualities]],table_DataQualities[],9,FALSE)</f>
        <v>7102</v>
      </c>
    </row>
    <row r="348" spans="1:13" x14ac:dyDescent="0.45">
      <c r="A348" s="10">
        <v>92</v>
      </c>
      <c r="B348" s="10">
        <v>304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3338.4328999999993</v>
      </c>
      <c r="G348" s="12">
        <f ca="1">(RANDBETWEEN(50,100)/100)*(dict_DQ_Meth_max[[#This Row],[Vergleich_ub]]-dict_DQ_Meth_max[[#This Row],[Vergleich_lb]])+dict_DQ_Meth_max[[#This Row],[Vergleich_lb]]</f>
        <v>5681.7860000000001</v>
      </c>
      <c r="H348" s="11" t="str">
        <f ca="1">VLOOKUP(VLOOKUP(dict_DQ_Meth_max[[#This Row],[ID_DataQualities]],table_DataQualities[],3),table_Units[],2)</f>
        <v>Hz</v>
      </c>
      <c r="I348" s="10"/>
      <c r="J348" s="10"/>
      <c r="K348" s="10"/>
      <c r="L348" s="10">
        <f ca="1">VLOOKUP(dict_DQ_Meth_max[[#This Row],[ID_DataQualities]],table_DataQualities[],8,FALSE)</f>
        <v>0.93</v>
      </c>
      <c r="M348" s="10">
        <f ca="1">VLOOKUP(dict_DQ_Meth_max[[#This Row],[ID_DataQualities]],table_DataQualities[],9,FALSE)</f>
        <v>7102</v>
      </c>
    </row>
    <row r="349" spans="1:13" x14ac:dyDescent="0.45">
      <c r="A349" s="10">
        <v>93</v>
      </c>
      <c r="B349" s="10">
        <v>372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8.0768000000000006E-2</v>
      </c>
      <c r="G349" s="12">
        <f ca="1">(RANDBETWEEN(50,100)/100)*(dict_DQ_Meth_max[[#This Row],[Vergleich_ub]]-dict_DQ_Meth_max[[#This Row],[Vergleich_lb]])+dict_DQ_Meth_max[[#This Row],[Vergleich_lb]]</f>
        <v>0.52372000000000007</v>
      </c>
      <c r="H349" s="11" t="str">
        <f ca="1">VLOOKUP(VLOOKUP(dict_DQ_Meth_max[[#This Row],[ID_DataQualities]],table_DataQualities[],3),table_Units[],2)</f>
        <v>+/- cm³/s</v>
      </c>
      <c r="I349" s="10"/>
      <c r="J349" s="10"/>
      <c r="K349" s="10"/>
      <c r="L349" s="10">
        <f ca="1">VLOOKUP(dict_DQ_Meth_max[[#This Row],[ID_DataQualities]],table_DataQualities[],8,FALSE)</f>
        <v>2.5999999999999999E-3</v>
      </c>
      <c r="M349" s="10">
        <f ca="1">VLOOKUP(dict_DQ_Meth_max[[#This Row],[ID_DataQualities]],table_DataQualities[],9,FALSE)</f>
        <v>0.65400000000000003</v>
      </c>
    </row>
    <row r="350" spans="1:13" x14ac:dyDescent="0.45">
      <c r="A350" s="10">
        <v>93</v>
      </c>
      <c r="B350" s="10">
        <v>304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8.7281999999999998E-2</v>
      </c>
      <c r="G350" s="12">
        <f ca="1">(RANDBETWEEN(50,100)/100)*(dict_DQ_Meth_max[[#This Row],[Vergleich_ub]]-dict_DQ_Meth_max[[#This Row],[Vergleich_lb]])+dict_DQ_Meth_max[[#This Row],[Vergleich_lb]]</f>
        <v>0.58886000000000005</v>
      </c>
      <c r="H350" s="11" t="str">
        <f ca="1">VLOOKUP(VLOOKUP(dict_DQ_Meth_max[[#This Row],[ID_DataQualities]],table_DataQualities[],3),table_Units[],2)</f>
        <v>+/- cm³/s</v>
      </c>
      <c r="I350" s="10"/>
      <c r="J350" s="10"/>
      <c r="K350" s="10"/>
      <c r="L350" s="10">
        <f ca="1">VLOOKUP(dict_DQ_Meth_max[[#This Row],[ID_DataQualities]],table_DataQualities[],8,FALSE)</f>
        <v>2.5999999999999999E-3</v>
      </c>
      <c r="M350" s="10">
        <f ca="1">VLOOKUP(dict_DQ_Meth_max[[#This Row],[ID_DataQualities]],table_DataQualities[],9,FALSE)</f>
        <v>0.65400000000000003</v>
      </c>
    </row>
    <row r="351" spans="1:13" x14ac:dyDescent="0.45">
      <c r="A351" s="10">
        <v>93</v>
      </c>
      <c r="B351" s="10">
        <v>138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0.11333800000000001</v>
      </c>
      <c r="G351" s="12">
        <f ca="1">(RANDBETWEEN(50,100)/100)*(dict_DQ_Meth_max[[#This Row],[Vergleich_ub]]-dict_DQ_Meth_max[[#This Row],[Vergleich_lb]])+dict_DQ_Meth_max[[#This Row],[Vergleich_lb]]</f>
        <v>0.497664</v>
      </c>
      <c r="H351" s="11" t="str">
        <f ca="1">VLOOKUP(VLOOKUP(dict_DQ_Meth_max[[#This Row],[ID_DataQualities]],table_DataQualities[],3),table_Units[],2)</f>
        <v>+/- cm³/s</v>
      </c>
      <c r="I351" s="10"/>
      <c r="J351" s="10"/>
      <c r="K351" s="10"/>
      <c r="L351" s="10">
        <f ca="1">VLOOKUP(dict_DQ_Meth_max[[#This Row],[ID_DataQualities]],table_DataQualities[],8,FALSE)</f>
        <v>2.5999999999999999E-3</v>
      </c>
      <c r="M351" s="10">
        <f ca="1">VLOOKUP(dict_DQ_Meth_max[[#This Row],[ID_DataQualities]],table_DataQualities[],9,FALSE)</f>
        <v>0.65400000000000003</v>
      </c>
    </row>
    <row r="352" spans="1:13" x14ac:dyDescent="0.45">
      <c r="A352" s="10">
        <v>94</v>
      </c>
      <c r="B352" s="10">
        <v>343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2099.2389499999999</v>
      </c>
      <c r="G352" s="12">
        <f ca="1">(RANDBETWEEN(50,100)/100)*(dict_DQ_Meth_max[[#This Row],[Vergleich_ub]]-dict_DQ_Meth_max[[#This Row],[Vergleich_lb]])+dict_DQ_Meth_max[[#This Row],[Vergleich_lb]]</f>
        <v>3225.5498500000003</v>
      </c>
      <c r="H352" s="11" t="str">
        <f ca="1">VLOOKUP(VLOOKUP(dict_DQ_Meth_max[[#This Row],[ID_DataQualities]],table_DataQualities[],3),table_Units[],2)</f>
        <v>Hz</v>
      </c>
      <c r="I352" s="10"/>
      <c r="J352" s="10"/>
      <c r="K352" s="10"/>
      <c r="L352" s="10">
        <f ca="1">VLOOKUP(dict_DQ_Meth_max[[#This Row],[ID_DataQualities]],table_DataQualities[],8,FALSE)</f>
        <v>0.20499999999999999</v>
      </c>
      <c r="M352" s="10">
        <f ca="1">VLOOKUP(dict_DQ_Meth_max[[#This Row],[ID_DataQualities]],table_DataQualities[],9,FALSE)</f>
        <v>5119.8</v>
      </c>
    </row>
    <row r="353" spans="1:13" x14ac:dyDescent="0.45">
      <c r="A353" s="10">
        <v>94</v>
      </c>
      <c r="B353" s="10">
        <v>320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2355.2187000000004</v>
      </c>
      <c r="G353" s="12">
        <f ca="1">(RANDBETWEEN(50,100)/100)*(dict_DQ_Meth_max[[#This Row],[Vergleich_ub]]-dict_DQ_Meth_max[[#This Row],[Vergleich_lb]])+dict_DQ_Meth_max[[#This Row],[Vergleich_lb]]</f>
        <v>3276.7458000000001</v>
      </c>
      <c r="H353" s="11" t="str">
        <f ca="1">VLOOKUP(VLOOKUP(dict_DQ_Meth_max[[#This Row],[ID_DataQualities]],table_DataQualities[],3),table_Units[],2)</f>
        <v>Hz</v>
      </c>
      <c r="I353" s="10"/>
      <c r="J353" s="10"/>
      <c r="K353" s="10"/>
      <c r="L353" s="10">
        <f ca="1">VLOOKUP(dict_DQ_Meth_max[[#This Row],[ID_DataQualities]],table_DataQualities[],8,FALSE)</f>
        <v>0.20499999999999999</v>
      </c>
      <c r="M353" s="10">
        <f ca="1">VLOOKUP(dict_DQ_Meth_max[[#This Row],[ID_DataQualities]],table_DataQualities[],9,FALSE)</f>
        <v>5119.8</v>
      </c>
    </row>
    <row r="354" spans="1:13" x14ac:dyDescent="0.45">
      <c r="A354" s="10">
        <v>94</v>
      </c>
      <c r="B354" s="10">
        <v>451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204.98880000000003</v>
      </c>
      <c r="G354" s="12">
        <f ca="1">(RANDBETWEEN(50,100)/100)*(dict_DQ_Meth_max[[#This Row],[Vergleich_ub]]-dict_DQ_Meth_max[[#This Row],[Vergleich_lb]])+dict_DQ_Meth_max[[#This Row],[Vergleich_lb]]</f>
        <v>3686.3134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0.20499999999999999</v>
      </c>
      <c r="M354" s="10">
        <f ca="1">VLOOKUP(dict_DQ_Meth_max[[#This Row],[ID_DataQualities]],table_DataQualities[],9,FALSE)</f>
        <v>5119.8</v>
      </c>
    </row>
    <row r="355" spans="1:13" x14ac:dyDescent="0.45">
      <c r="A355" s="10">
        <v>94</v>
      </c>
      <c r="B355" s="10">
        <v>24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2560.0025000000001</v>
      </c>
      <c r="G355" s="12">
        <f ca="1">(RANDBETWEEN(50,100)/100)*(dict_DQ_Meth_max[[#This Row],[Vergleich_ub]]-dict_DQ_Meth_max[[#This Row],[Vergleich_lb]])+dict_DQ_Meth_max[[#This Row],[Vergleich_lb]]</f>
        <v>5068.6040499999999</v>
      </c>
      <c r="H355" s="11" t="str">
        <f ca="1">VLOOKUP(VLOOKUP(dict_DQ_Meth_max[[#This Row],[ID_DataQualities]],table_DataQualities[],3),table_Units[],2)</f>
        <v>Hz</v>
      </c>
      <c r="I355" s="10"/>
      <c r="J355" s="10"/>
      <c r="K355" s="10"/>
      <c r="L355" s="10">
        <f ca="1">VLOOKUP(dict_DQ_Meth_max[[#This Row],[ID_DataQualities]],table_DataQualities[],8,FALSE)</f>
        <v>0.20499999999999999</v>
      </c>
      <c r="M355" s="10">
        <f ca="1">VLOOKUP(dict_DQ_Meth_max[[#This Row],[ID_DataQualities]],table_DataQualities[],9,FALSE)</f>
        <v>5119.8</v>
      </c>
    </row>
    <row r="356" spans="1:13" x14ac:dyDescent="0.45">
      <c r="A356" s="10">
        <v>94</v>
      </c>
      <c r="B356" s="10">
        <v>473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2508.8065499999998</v>
      </c>
      <c r="G356" s="12">
        <f ca="1">(RANDBETWEEN(50,100)/100)*(dict_DQ_Meth_max[[#This Row],[Vergleich_ub]]-dict_DQ_Meth_max[[#This Row],[Vergleich_lb]])+dict_DQ_Meth_max[[#This Row],[Vergleich_lb]]</f>
        <v>5068.6040499999999</v>
      </c>
      <c r="H356" s="11" t="str">
        <f ca="1">VLOOKUP(VLOOKUP(dict_DQ_Meth_max[[#This Row],[ID_DataQualities]],table_DataQualities[],3),table_Units[],2)</f>
        <v>Hz</v>
      </c>
      <c r="I356" s="10"/>
      <c r="J356" s="10"/>
      <c r="K356" s="10"/>
      <c r="L356" s="10">
        <f ca="1">VLOOKUP(dict_DQ_Meth_max[[#This Row],[ID_DataQualities]],table_DataQualities[],8,FALSE)</f>
        <v>0.20499999999999999</v>
      </c>
      <c r="M356" s="10">
        <f ca="1">VLOOKUP(dict_DQ_Meth_max[[#This Row],[ID_DataQualities]],table_DataQualities[],9,FALSE)</f>
        <v>5119.8</v>
      </c>
    </row>
    <row r="357" spans="1:13" x14ac:dyDescent="0.45">
      <c r="A357" s="10">
        <v>95</v>
      </c>
      <c r="B357" s="10">
        <v>320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0.72979999999999989</v>
      </c>
      <c r="G357" s="12">
        <f ca="1">(RANDBETWEEN(50,100)/100)*(dict_DQ_Meth_max[[#This Row],[Vergleich_ub]]-dict_DQ_Meth_max[[#This Row],[Vergleich_lb]])+dict_DQ_Meth_max[[#This Row],[Vergleich_lb]]</f>
        <v>7.3416999999999986</v>
      </c>
      <c r="H357" s="11" t="str">
        <f ca="1">VLOOKUP(VLOOKUP(dict_DQ_Meth_max[[#This Row],[ID_DataQualities]],table_DataQualities[],3),table_Units[],2)</f>
        <v>+/- W</v>
      </c>
      <c r="I357" s="10"/>
      <c r="J357" s="10"/>
      <c r="K357" s="10"/>
      <c r="L357" s="10">
        <f ca="1">VLOOKUP(dict_DQ_Meth_max[[#This Row],[ID_DataQualities]],table_DataQualities[],8,FALSE)</f>
        <v>1.4999999999999999E-2</v>
      </c>
      <c r="M357" s="10">
        <f ca="1">VLOOKUP(dict_DQ_Meth_max[[#This Row],[ID_DataQualities]],table_DataQualities[],9,FALSE)</f>
        <v>8.9499999999999993</v>
      </c>
    </row>
    <row r="358" spans="1:13" x14ac:dyDescent="0.45">
      <c r="A358" s="10">
        <v>95</v>
      </c>
      <c r="B358" s="10">
        <v>473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1.0871999999999997</v>
      </c>
      <c r="G358" s="12">
        <f ca="1">(RANDBETWEEN(50,100)/100)*(dict_DQ_Meth_max[[#This Row],[Vergleich_ub]]-dict_DQ_Meth_max[[#This Row],[Vergleich_lb]])+dict_DQ_Meth_max[[#This Row],[Vergleich_lb]]</f>
        <v>6.0907999999999989</v>
      </c>
      <c r="H358" s="11" t="str">
        <f ca="1">VLOOKUP(VLOOKUP(dict_DQ_Meth_max[[#This Row],[ID_DataQualities]],table_DataQualities[],3),table_Units[],2)</f>
        <v>+/- W</v>
      </c>
      <c r="I358" s="10"/>
      <c r="J358" s="10"/>
      <c r="K358" s="10"/>
      <c r="L358" s="10">
        <f ca="1">VLOOKUP(dict_DQ_Meth_max[[#This Row],[ID_DataQualities]],table_DataQualities[],8,FALSE)</f>
        <v>1.4999999999999999E-2</v>
      </c>
      <c r="M358" s="10">
        <f ca="1">VLOOKUP(dict_DQ_Meth_max[[#This Row],[ID_DataQualities]],table_DataQualities[],9,FALSE)</f>
        <v>8.9499999999999993</v>
      </c>
    </row>
    <row r="359" spans="1:13" x14ac:dyDescent="0.45">
      <c r="A359" s="10">
        <v>95</v>
      </c>
      <c r="B359" s="10">
        <v>343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3.4102999999999999</v>
      </c>
      <c r="G359" s="12">
        <f ca="1">(RANDBETWEEN(50,100)/100)*(dict_DQ_Meth_max[[#This Row],[Vergleich_ub]]-dict_DQ_Meth_max[[#This Row],[Vergleich_lb]])+dict_DQ_Meth_max[[#This Row],[Vergleich_lb]]</f>
        <v>5.3759999999999986</v>
      </c>
      <c r="H359" s="11" t="str">
        <f ca="1">VLOOKUP(VLOOKUP(dict_DQ_Meth_max[[#This Row],[ID_DataQualities]],table_DataQualities[],3),table_Units[],2)</f>
        <v>+/- W</v>
      </c>
      <c r="I359" s="10"/>
      <c r="J359" s="10"/>
      <c r="K359" s="10"/>
      <c r="L359" s="10">
        <f ca="1">VLOOKUP(dict_DQ_Meth_max[[#This Row],[ID_DataQualities]],table_DataQualities[],8,FALSE)</f>
        <v>1.4999999999999999E-2</v>
      </c>
      <c r="M359" s="10">
        <f ca="1">VLOOKUP(dict_DQ_Meth_max[[#This Row],[ID_DataQualities]],table_DataQualities[],9,FALSE)</f>
        <v>8.9499999999999993</v>
      </c>
    </row>
    <row r="360" spans="1:13" x14ac:dyDescent="0.45">
      <c r="A360" s="10">
        <v>95</v>
      </c>
      <c r="B360" s="10">
        <v>451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4.482499999999999</v>
      </c>
      <c r="G360" s="12">
        <f ca="1">(RANDBETWEEN(50,100)/100)*(dict_DQ_Meth_max[[#This Row],[Vergleich_ub]]-dict_DQ_Meth_max[[#This Row],[Vergleich_lb]])+dict_DQ_Meth_max[[#This Row],[Vergleich_lb]]</f>
        <v>7.8777999999999988</v>
      </c>
      <c r="H360" s="11" t="str">
        <f ca="1">VLOOKUP(VLOOKUP(dict_DQ_Meth_max[[#This Row],[ID_DataQualities]],table_DataQualities[],3),table_Units[],2)</f>
        <v>+/- W</v>
      </c>
      <c r="I360" s="10"/>
      <c r="J360" s="10"/>
      <c r="K360" s="10"/>
      <c r="L360" s="10">
        <f ca="1">VLOOKUP(dict_DQ_Meth_max[[#This Row],[ID_DataQualities]],table_DataQualities[],8,FALSE)</f>
        <v>1.4999999999999999E-2</v>
      </c>
      <c r="M360" s="10">
        <f ca="1">VLOOKUP(dict_DQ_Meth_max[[#This Row],[ID_DataQualities]],table_DataQualities[],9,FALSE)</f>
        <v>8.9499999999999993</v>
      </c>
    </row>
    <row r="361" spans="1:13" x14ac:dyDescent="0.45">
      <c r="A361" s="10">
        <v>95</v>
      </c>
      <c r="B361" s="10">
        <v>24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2.4274499999999999</v>
      </c>
      <c r="G361" s="12">
        <f ca="1">(RANDBETWEEN(50,100)/100)*(dict_DQ_Meth_max[[#This Row],[Vergleich_ub]]-dict_DQ_Meth_max[[#This Row],[Vergleich_lb]])+dict_DQ_Meth_max[[#This Row],[Vergleich_lb]]</f>
        <v>8.7712999999999983</v>
      </c>
      <c r="H361" s="11" t="str">
        <f ca="1">VLOOKUP(VLOOKUP(dict_DQ_Meth_max[[#This Row],[ID_DataQualities]],table_DataQualities[],3),table_Units[],2)</f>
        <v>+/- W</v>
      </c>
      <c r="I361" s="10"/>
      <c r="J361" s="10"/>
      <c r="K361" s="10"/>
      <c r="L361" s="10">
        <f ca="1">VLOOKUP(dict_DQ_Meth_max[[#This Row],[ID_DataQualities]],table_DataQualities[],8,FALSE)</f>
        <v>1.4999999999999999E-2</v>
      </c>
      <c r="M361" s="10">
        <f ca="1">VLOOKUP(dict_DQ_Meth_max[[#This Row],[ID_DataQualities]],table_DataQualities[],9,FALSE)</f>
        <v>8.9499999999999993</v>
      </c>
    </row>
    <row r="362" spans="1:13" x14ac:dyDescent="0.45">
      <c r="A362" s="10">
        <v>96</v>
      </c>
      <c r="B362" s="10">
        <v>643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1324.6613599999996</v>
      </c>
      <c r="G362" s="12">
        <f ca="1">(RANDBETWEEN(50,100)/100)*(dict_DQ_Meth_max[[#This Row],[Vergleich_ub]]-dict_DQ_Meth_max[[#This Row],[Vergleich_lb]])+dict_DQ_Meth_max[[#This Row],[Vergleich_lb]]</f>
        <v>4966.7815999999984</v>
      </c>
      <c r="H362" s="11" t="str">
        <f ca="1">VLOOKUP(VLOOKUP(dict_DQ_Meth_max[[#This Row],[ID_DataQualities]],table_DataQualities[],3),table_Units[],2)</f>
        <v>Hz</v>
      </c>
      <c r="I362" s="10"/>
      <c r="J362" s="10"/>
      <c r="K362" s="10"/>
      <c r="L362" s="10">
        <f ca="1">VLOOKUP(dict_DQ_Meth_max[[#This Row],[ID_DataQualities]],table_DataQualities[],8,FALSE)</f>
        <v>0.254</v>
      </c>
      <c r="M362" s="10">
        <f ca="1">VLOOKUP(dict_DQ_Meth_max[[#This Row],[ID_DataQualities]],table_DataQualities[],9,FALSE)</f>
        <v>8277.7999999999993</v>
      </c>
    </row>
    <row r="363" spans="1:13" x14ac:dyDescent="0.45">
      <c r="A363" s="10">
        <v>96</v>
      </c>
      <c r="B363" s="10">
        <v>327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2235.1914199999997</v>
      </c>
      <c r="G363" s="12">
        <f ca="1">(RANDBETWEEN(50,100)/100)*(dict_DQ_Meth_max[[#This Row],[Vergleich_ub]]-dict_DQ_Meth_max[[#This Row],[Vergleich_lb]])+dict_DQ_Meth_max[[#This Row],[Vergleich_lb]]</f>
        <v>5711.7607399999988</v>
      </c>
      <c r="H363" s="11" t="str">
        <f ca="1">VLOOKUP(VLOOKUP(dict_DQ_Meth_max[[#This Row],[ID_DataQualities]],table_DataQualities[],3),table_Units[],2)</f>
        <v>Hz</v>
      </c>
      <c r="I363" s="10"/>
      <c r="J363" s="10"/>
      <c r="K363" s="10"/>
      <c r="L363" s="10">
        <f ca="1">VLOOKUP(dict_DQ_Meth_max[[#This Row],[ID_DataQualities]],table_DataQualities[],8,FALSE)</f>
        <v>0.254</v>
      </c>
      <c r="M363" s="10">
        <f ca="1">VLOOKUP(dict_DQ_Meth_max[[#This Row],[ID_DataQualities]],table_DataQualities[],9,FALSE)</f>
        <v>8277.7999999999993</v>
      </c>
    </row>
    <row r="364" spans="1:13" x14ac:dyDescent="0.45">
      <c r="A364" s="10">
        <v>97</v>
      </c>
      <c r="B364" s="10">
        <v>327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2.4E-2</v>
      </c>
      <c r="G364" s="12">
        <f ca="1">(RANDBETWEEN(50,100)/100)*(dict_DQ_Meth_max[[#This Row],[Vergleich_ub]]-dict_DQ_Meth_max[[#This Row],[Vergleich_lb]])+dict_DQ_Meth_max[[#This Row],[Vergleich_lb]]</f>
        <v>3.9889199999999998</v>
      </c>
      <c r="H364" s="11" t="str">
        <f ca="1">VLOOKUP(VLOOKUP(dict_DQ_Meth_max[[#This Row],[ID_DataQualities]],table_DataQualities[],3),table_Units[],2)</f>
        <v>+/- W</v>
      </c>
      <c r="I364" s="10"/>
      <c r="J364" s="10"/>
      <c r="K364" s="10"/>
      <c r="L364" s="10">
        <f ca="1">VLOOKUP(dict_DQ_Meth_max[[#This Row],[ID_DataQualities]],table_DataQualities[],8,FALSE)</f>
        <v>2.4E-2</v>
      </c>
      <c r="M364" s="10">
        <f ca="1">VLOOKUP(dict_DQ_Meth_max[[#This Row],[ID_DataQualities]],table_DataQualities[],9,FALSE)</f>
        <v>6.98</v>
      </c>
    </row>
    <row r="365" spans="1:13" x14ac:dyDescent="0.45">
      <c r="A365" s="10">
        <v>97</v>
      </c>
      <c r="B365" s="10">
        <v>643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0.30224000000000006</v>
      </c>
      <c r="G365" s="12">
        <f ca="1">(RANDBETWEEN(50,100)/100)*(dict_DQ_Meth_max[[#This Row],[Vergleich_ub]]-dict_DQ_Meth_max[[#This Row],[Vergleich_lb]])+dict_DQ_Meth_max[[#This Row],[Vergleich_lb]]</f>
        <v>3.7802400000000005</v>
      </c>
      <c r="H365" s="11" t="str">
        <f ca="1">VLOOKUP(VLOOKUP(dict_DQ_Meth_max[[#This Row],[ID_DataQualities]],table_DataQualities[],3),table_Units[],2)</f>
        <v>+/- W</v>
      </c>
      <c r="I365" s="10"/>
      <c r="J365" s="10"/>
      <c r="K365" s="10"/>
      <c r="L365" s="10">
        <f ca="1">VLOOKUP(dict_DQ_Meth_max[[#This Row],[ID_DataQualities]],table_DataQualities[],8,FALSE)</f>
        <v>2.4E-2</v>
      </c>
      <c r="M365" s="10">
        <f ca="1">VLOOKUP(dict_DQ_Meth_max[[#This Row],[ID_DataQualities]],table_DataQualities[],9,FALSE)</f>
        <v>6.98</v>
      </c>
    </row>
    <row r="366" spans="1:13" x14ac:dyDescent="0.45">
      <c r="A366" s="10">
        <v>98</v>
      </c>
      <c r="B366" s="10">
        <v>200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3217.1927500000002</v>
      </c>
      <c r="G366" s="12">
        <f ca="1">(RANDBETWEEN(50,100)/100)*(dict_DQ_Meth_max[[#This Row],[Vergleich_ub]]-dict_DQ_Meth_max[[#This Row],[Vergleich_lb]])+dict_DQ_Meth_max[[#This Row],[Vergleich_lb]]</f>
        <v>5147.2053999999998</v>
      </c>
      <c r="H366" s="11" t="str">
        <f ca="1">VLOOKUP(VLOOKUP(dict_DQ_Meth_max[[#This Row],[ID_DataQualities]],table_DataQualities[],3),table_Units[],2)</f>
        <v>Hz</v>
      </c>
      <c r="I366" s="10"/>
      <c r="J366" s="10"/>
      <c r="K366" s="10"/>
      <c r="L366" s="10">
        <f ca="1">VLOOKUP(dict_DQ_Meth_max[[#This Row],[ID_DataQualities]],table_DataQualities[],8,FALSE)</f>
        <v>0.505</v>
      </c>
      <c r="M366" s="10">
        <f ca="1">VLOOKUP(dict_DQ_Meth_max[[#This Row],[ID_DataQualities]],table_DataQualities[],9,FALSE)</f>
        <v>7148.7</v>
      </c>
    </row>
    <row r="367" spans="1:13" x14ac:dyDescent="0.45">
      <c r="A367" s="10">
        <v>98</v>
      </c>
      <c r="B367" s="10">
        <v>577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1644.5898500000001</v>
      </c>
      <c r="G367" s="12">
        <f ca="1">(RANDBETWEEN(50,100)/100)*(dict_DQ_Meth_max[[#This Row],[Vergleich_ub]]-dict_DQ_Meth_max[[#This Row],[Vergleich_lb]])+dict_DQ_Meth_max[[#This Row],[Vergleich_lb]]</f>
        <v>5862.0248999999994</v>
      </c>
      <c r="H367" s="11" t="str">
        <f ca="1">VLOOKUP(VLOOKUP(dict_DQ_Meth_max[[#This Row],[ID_DataQualities]],table_DataQualities[],3),table_Units[],2)</f>
        <v>Hz</v>
      </c>
      <c r="I367" s="10"/>
      <c r="J367" s="10"/>
      <c r="K367" s="10"/>
      <c r="L367" s="10">
        <f ca="1">VLOOKUP(dict_DQ_Meth_max[[#This Row],[ID_DataQualities]],table_DataQualities[],8,FALSE)</f>
        <v>0.505</v>
      </c>
      <c r="M367" s="10">
        <f ca="1">VLOOKUP(dict_DQ_Meth_max[[#This Row],[ID_DataQualities]],table_DataQualities[],9,FALSE)</f>
        <v>7148.7</v>
      </c>
    </row>
    <row r="368" spans="1:13" x14ac:dyDescent="0.45">
      <c r="A368" s="10">
        <v>98</v>
      </c>
      <c r="B368" s="10">
        <v>36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2144.9634999999998</v>
      </c>
      <c r="G368" s="12">
        <f ca="1">(RANDBETWEEN(50,100)/100)*(dict_DQ_Meth_max[[#This Row],[Vergleich_ub]]-dict_DQ_Meth_max[[#This Row],[Vergleich_lb]])+dict_DQ_Meth_max[[#This Row],[Vergleich_lb]]</f>
        <v>4932.7595499999998</v>
      </c>
      <c r="H368" s="11" t="str">
        <f ca="1">VLOOKUP(VLOOKUP(dict_DQ_Meth_max[[#This Row],[ID_DataQualities]],table_DataQualities[],3),table_Units[],2)</f>
        <v>Hz</v>
      </c>
      <c r="I368" s="10"/>
      <c r="J368" s="10"/>
      <c r="K368" s="10"/>
      <c r="L368" s="10">
        <f ca="1">VLOOKUP(dict_DQ_Meth_max[[#This Row],[ID_DataQualities]],table_DataQualities[],8,FALSE)</f>
        <v>0.505</v>
      </c>
      <c r="M368" s="10">
        <f ca="1">VLOOKUP(dict_DQ_Meth_max[[#This Row],[ID_DataQualities]],table_DataQualities[],9,FALSE)</f>
        <v>7148.7</v>
      </c>
    </row>
    <row r="369" spans="1:13" x14ac:dyDescent="0.45">
      <c r="A369" s="10">
        <v>98</v>
      </c>
      <c r="B369" s="10">
        <v>265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3074.22885</v>
      </c>
      <c r="G369" s="12">
        <f ca="1">(RANDBETWEEN(50,100)/100)*(dict_DQ_Meth_max[[#This Row],[Vergleich_ub]]-dict_DQ_Meth_max[[#This Row],[Vergleich_lb]])+dict_DQ_Meth_max[[#This Row],[Vergleich_lb]]</f>
        <v>5504.6151499999996</v>
      </c>
      <c r="H369" s="11" t="str">
        <f ca="1">VLOOKUP(VLOOKUP(dict_DQ_Meth_max[[#This Row],[ID_DataQualities]],table_DataQualities[],3),table_Units[],2)</f>
        <v>Hz</v>
      </c>
      <c r="I369" s="10"/>
      <c r="J369" s="10"/>
      <c r="K369" s="10"/>
      <c r="L369" s="10">
        <f ca="1">VLOOKUP(dict_DQ_Meth_max[[#This Row],[ID_DataQualities]],table_DataQualities[],8,FALSE)</f>
        <v>0.505</v>
      </c>
      <c r="M369" s="10">
        <f ca="1">VLOOKUP(dict_DQ_Meth_max[[#This Row],[ID_DataQualities]],table_DataQualities[],9,FALSE)</f>
        <v>7148.7</v>
      </c>
    </row>
    <row r="370" spans="1:13" x14ac:dyDescent="0.45">
      <c r="A370" s="10">
        <v>98</v>
      </c>
      <c r="B370" s="10">
        <v>373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3574.6025</v>
      </c>
      <c r="G370" s="12">
        <f ca="1">(RANDBETWEEN(50,100)/100)*(dict_DQ_Meth_max[[#This Row],[Vergleich_ub]]-dict_DQ_Meth_max[[#This Row],[Vergleich_lb]])+dict_DQ_Meth_max[[#This Row],[Vergleich_lb]]</f>
        <v>6076.4707499999995</v>
      </c>
      <c r="H370" s="11" t="str">
        <f ca="1">VLOOKUP(VLOOKUP(dict_DQ_Meth_max[[#This Row],[ID_DataQualities]],table_DataQualities[],3),table_Units[],2)</f>
        <v>Hz</v>
      </c>
      <c r="I370" s="10"/>
      <c r="J370" s="10"/>
      <c r="K370" s="10"/>
      <c r="L370" s="10">
        <f ca="1">VLOOKUP(dict_DQ_Meth_max[[#This Row],[ID_DataQualities]],table_DataQualities[],8,FALSE)</f>
        <v>0.505</v>
      </c>
      <c r="M370" s="10">
        <f ca="1">VLOOKUP(dict_DQ_Meth_max[[#This Row],[ID_DataQualities]],table_DataQualities[],9,FALSE)</f>
        <v>7148.7</v>
      </c>
    </row>
    <row r="371" spans="1:13" x14ac:dyDescent="0.45">
      <c r="A371" s="10">
        <v>99</v>
      </c>
      <c r="B371" s="10">
        <v>373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2.0471999999999997</v>
      </c>
      <c r="G371" s="12">
        <f ca="1">(RANDBETWEEN(50,100)/100)*(dict_DQ_Meth_max[[#This Row],[Vergleich_ub]]-dict_DQ_Meth_max[[#This Row],[Vergleich_lb]])+dict_DQ_Meth_max[[#This Row],[Vergleich_lb]]</f>
        <v>4.5564</v>
      </c>
      <c r="H371" s="11" t="str">
        <f ca="1">VLOOKUP(VLOOKUP(dict_DQ_Meth_max[[#This Row],[ID_DataQualities]],table_DataQualities[],3),table_Units[],2)</f>
        <v>+/- W</v>
      </c>
      <c r="I371" s="10"/>
      <c r="J371" s="10"/>
      <c r="K371" s="10"/>
      <c r="L371" s="10">
        <f ca="1">VLOOKUP(dict_DQ_Meth_max[[#This Row],[ID_DataQualities]],table_DataQualities[],8,FALSE)</f>
        <v>0.03</v>
      </c>
      <c r="M371" s="10">
        <f ca="1">VLOOKUP(dict_DQ_Meth_max[[#This Row],[ID_DataQualities]],table_DataQualities[],9,FALSE)</f>
        <v>4.95</v>
      </c>
    </row>
    <row r="372" spans="1:13" x14ac:dyDescent="0.45">
      <c r="A372" s="10">
        <v>99</v>
      </c>
      <c r="B372" s="10">
        <v>265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2.1456</v>
      </c>
      <c r="G372" s="12">
        <f ca="1">(RANDBETWEEN(50,100)/100)*(dict_DQ_Meth_max[[#This Row],[Vergleich_ub]]-dict_DQ_Meth_max[[#This Row],[Vergleich_lb]])+dict_DQ_Meth_max[[#This Row],[Vergleich_lb]]</f>
        <v>4.6056000000000008</v>
      </c>
      <c r="H372" s="11" t="str">
        <f ca="1">VLOOKUP(VLOOKUP(dict_DQ_Meth_max[[#This Row],[ID_DataQualities]],table_DataQualities[],3),table_Units[],2)</f>
        <v>+/- W</v>
      </c>
      <c r="I372" s="10"/>
      <c r="J372" s="10"/>
      <c r="K372" s="10"/>
      <c r="L372" s="10">
        <f ca="1">VLOOKUP(dict_DQ_Meth_max[[#This Row],[ID_DataQualities]],table_DataQualities[],8,FALSE)</f>
        <v>0.03</v>
      </c>
      <c r="M372" s="10">
        <f ca="1">VLOOKUP(dict_DQ_Meth_max[[#This Row],[ID_DataQualities]],table_DataQualities[],9,FALSE)</f>
        <v>4.95</v>
      </c>
    </row>
    <row r="373" spans="1:13" x14ac:dyDescent="0.45">
      <c r="A373" s="10">
        <v>99</v>
      </c>
      <c r="B373" s="10">
        <v>36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2.1456</v>
      </c>
      <c r="G373" s="12">
        <f ca="1">(RANDBETWEEN(50,100)/100)*(dict_DQ_Meth_max[[#This Row],[Vergleich_ub]]-dict_DQ_Meth_max[[#This Row],[Vergleich_lb]])+dict_DQ_Meth_max[[#This Row],[Vergleich_lb]]</f>
        <v>3.1787999999999998</v>
      </c>
      <c r="H373" s="11" t="str">
        <f ca="1">VLOOKUP(VLOOKUP(dict_DQ_Meth_max[[#This Row],[ID_DataQualities]],table_DataQualities[],3),table_Units[],2)</f>
        <v>+/- W</v>
      </c>
      <c r="I373" s="10"/>
      <c r="J373" s="10"/>
      <c r="K373" s="10"/>
      <c r="L373" s="10">
        <f ca="1">VLOOKUP(dict_DQ_Meth_max[[#This Row],[ID_DataQualities]],table_DataQualities[],8,FALSE)</f>
        <v>0.03</v>
      </c>
      <c r="M373" s="10">
        <f ca="1">VLOOKUP(dict_DQ_Meth_max[[#This Row],[ID_DataQualities]],table_DataQualities[],9,FALSE)</f>
        <v>4.95</v>
      </c>
    </row>
    <row r="374" spans="1:13" x14ac:dyDescent="0.45">
      <c r="A374" s="10">
        <v>99</v>
      </c>
      <c r="B374" s="10">
        <v>577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0.76800000000000002</v>
      </c>
      <c r="G374" s="12">
        <f ca="1">(RANDBETWEEN(50,100)/100)*(dict_DQ_Meth_max[[#This Row],[Vergleich_ub]]-dict_DQ_Meth_max[[#This Row],[Vergleich_lb]])+dict_DQ_Meth_max[[#This Row],[Vergleich_lb]]</f>
        <v>3.1787999999999998</v>
      </c>
      <c r="H374" s="11" t="str">
        <f ca="1">VLOOKUP(VLOOKUP(dict_DQ_Meth_max[[#This Row],[ID_DataQualities]],table_DataQualities[],3),table_Units[],2)</f>
        <v>+/- W</v>
      </c>
      <c r="I374" s="10"/>
      <c r="J374" s="10"/>
      <c r="K374" s="10"/>
      <c r="L374" s="10">
        <f ca="1">VLOOKUP(dict_DQ_Meth_max[[#This Row],[ID_DataQualities]],table_DataQualities[],8,FALSE)</f>
        <v>0.03</v>
      </c>
      <c r="M374" s="10">
        <f ca="1">VLOOKUP(dict_DQ_Meth_max[[#This Row],[ID_DataQualities]],table_DataQualities[],9,FALSE)</f>
        <v>4.95</v>
      </c>
    </row>
    <row r="375" spans="1:13" x14ac:dyDescent="0.45">
      <c r="A375" s="10">
        <v>99</v>
      </c>
      <c r="B375" s="10">
        <v>200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1.6044</v>
      </c>
      <c r="G375" s="12">
        <f ca="1">(RANDBETWEEN(50,100)/100)*(dict_DQ_Meth_max[[#This Row],[Vergleich_ub]]-dict_DQ_Meth_max[[#This Row],[Vergleich_lb]])+dict_DQ_Meth_max[[#This Row],[Vergleich_lb]]</f>
        <v>3.1787999999999998</v>
      </c>
      <c r="H375" s="11" t="str">
        <f ca="1">VLOOKUP(VLOOKUP(dict_DQ_Meth_max[[#This Row],[ID_DataQualities]],table_DataQualities[],3),table_Units[],2)</f>
        <v>+/- W</v>
      </c>
      <c r="I375" s="10"/>
      <c r="J375" s="10"/>
      <c r="K375" s="10"/>
      <c r="L375" s="10">
        <f ca="1">VLOOKUP(dict_DQ_Meth_max[[#This Row],[ID_DataQualities]],table_DataQualities[],8,FALSE)</f>
        <v>0.03</v>
      </c>
      <c r="M375" s="10">
        <f ca="1">VLOOKUP(dict_DQ_Meth_max[[#This Row],[ID_DataQualities]],table_DataQualities[],9,FALSE)</f>
        <v>4.95</v>
      </c>
    </row>
    <row r="376" spans="1:13" x14ac:dyDescent="0.45">
      <c r="A376" s="10">
        <v>100</v>
      </c>
      <c r="B376" s="10">
        <v>16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1352.0493799999999</v>
      </c>
      <c r="G376" s="12">
        <f ca="1">(RANDBETWEEN(50,100)/100)*(dict_DQ_Meth_max[[#This Row],[Vergleich_ub]]-dict_DQ_Meth_max[[#This Row],[Vergleich_lb]])+dict_DQ_Meth_max[[#This Row],[Vergleich_lb]]</f>
        <v>7529.724259999999</v>
      </c>
      <c r="H376" s="11" t="str">
        <f ca="1">VLOOKUP(VLOOKUP(dict_DQ_Meth_max[[#This Row],[ID_DataQualities]],table_DataQualities[],3),table_Units[],2)</f>
        <v>Hz</v>
      </c>
      <c r="I376" s="10"/>
      <c r="J376" s="10"/>
      <c r="K376" s="10"/>
      <c r="L376" s="10">
        <f ca="1">VLOOKUP(dict_DQ_Meth_max[[#This Row],[ID_DataQualities]],table_DataQualities[],8,FALSE)</f>
        <v>0.68300000000000005</v>
      </c>
      <c r="M376" s="10">
        <f ca="1">VLOOKUP(dict_DQ_Meth_max[[#This Row],[ID_DataQualities]],table_DataQualities[],9,FALSE)</f>
        <v>9653.2999999999993</v>
      </c>
    </row>
    <row r="377" spans="1:13" x14ac:dyDescent="0.45">
      <c r="A377" s="10">
        <v>100</v>
      </c>
      <c r="B377" s="10">
        <v>345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676.36618999999996</v>
      </c>
      <c r="G377" s="12">
        <f ca="1">(RANDBETWEEN(50,100)/100)*(dict_DQ_Meth_max[[#This Row],[Vergleich_ub]]-dict_DQ_Meth_max[[#This Row],[Vergleich_lb]])+dict_DQ_Meth_max[[#This Row],[Vergleich_lb]]</f>
        <v>5695.7270299999991</v>
      </c>
      <c r="H377" s="11" t="str">
        <f ca="1">VLOOKUP(VLOOKUP(dict_DQ_Meth_max[[#This Row],[ID_DataQualities]],table_DataQualities[],3),table_Units[],2)</f>
        <v>Hz</v>
      </c>
      <c r="I377" s="10"/>
      <c r="J377" s="10"/>
      <c r="K377" s="10"/>
      <c r="L377" s="10">
        <f ca="1">VLOOKUP(dict_DQ_Meth_max[[#This Row],[ID_DataQualities]],table_DataQualities[],8,FALSE)</f>
        <v>0.68300000000000005</v>
      </c>
      <c r="M377" s="10">
        <f ca="1">VLOOKUP(dict_DQ_Meth_max[[#This Row],[ID_DataQualities]],table_DataQualities[],9,FALSE)</f>
        <v>9653.2999999999993</v>
      </c>
    </row>
    <row r="378" spans="1:13" x14ac:dyDescent="0.45">
      <c r="A378" s="10">
        <v>101</v>
      </c>
      <c r="B378" s="10">
        <v>345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0.57999999999999996</v>
      </c>
      <c r="G378" s="12">
        <f ca="1">(RANDBETWEEN(50,100)/100)*(dict_DQ_Meth_max[[#This Row],[Vergleich_ub]]-dict_DQ_Meth_max[[#This Row],[Vergleich_lb]])+dict_DQ_Meth_max[[#This Row],[Vergleich_lb]]</f>
        <v>0.69899999999999995</v>
      </c>
      <c r="H378" s="11" t="str">
        <f ca="1">VLOOKUP(VLOOKUP(dict_DQ_Meth_max[[#This Row],[ID_DataQualities]],table_DataQualities[],3),table_Units[],2)</f>
        <v>+/- °C</v>
      </c>
      <c r="I378" s="10"/>
      <c r="J378" s="10"/>
      <c r="K378" s="10"/>
      <c r="L378" s="10">
        <f ca="1">VLOOKUP(dict_DQ_Meth_max[[#This Row],[ID_DataQualities]],table_DataQualities[],8,FALSE)</f>
        <v>0.3</v>
      </c>
      <c r="M378" s="10">
        <f ca="1">VLOOKUP(dict_DQ_Meth_max[[#This Row],[ID_DataQualities]],table_DataQualities[],9,FALSE)</f>
        <v>1</v>
      </c>
    </row>
    <row r="379" spans="1:13" x14ac:dyDescent="0.45">
      <c r="A379" s="10">
        <v>101</v>
      </c>
      <c r="B379" s="10">
        <v>16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0.38400000000000001</v>
      </c>
      <c r="G379" s="12">
        <f ca="1">(RANDBETWEEN(50,100)/100)*(dict_DQ_Meth_max[[#This Row],[Vergleich_ub]]-dict_DQ_Meth_max[[#This Row],[Vergleich_lb]])+dict_DQ_Meth_max[[#This Row],[Vergleich_lb]]</f>
        <v>0.66399999999999992</v>
      </c>
      <c r="H379" s="11" t="str">
        <f ca="1">VLOOKUP(VLOOKUP(dict_DQ_Meth_max[[#This Row],[ID_DataQualities]],table_DataQualities[],3),table_Units[],2)</f>
        <v>+/- °C</v>
      </c>
      <c r="I379" s="10"/>
      <c r="J379" s="10"/>
      <c r="K379" s="10"/>
      <c r="L379" s="10">
        <f ca="1">VLOOKUP(dict_DQ_Meth_max[[#This Row],[ID_DataQualities]],table_DataQualities[],8,FALSE)</f>
        <v>0.3</v>
      </c>
      <c r="M379" s="10">
        <f ca="1">VLOOKUP(dict_DQ_Meth_max[[#This Row],[ID_DataQualities]],table_DataQualities[],9,FALSE)</f>
        <v>1</v>
      </c>
    </row>
    <row r="380" spans="1:13" x14ac:dyDescent="0.45">
      <c r="A380" s="10">
        <v>102</v>
      </c>
      <c r="B380" s="10">
        <v>665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3402.6941200000001</v>
      </c>
      <c r="G380" s="12">
        <f ca="1">(RANDBETWEEN(50,100)/100)*(dict_DQ_Meth_max[[#This Row],[Vergleich_ub]]-dict_DQ_Meth_max[[#This Row],[Vergleich_lb]])+dict_DQ_Meth_max[[#This Row],[Vergleich_lb]]</f>
        <v>3757.0600700000005</v>
      </c>
      <c r="H380" s="11" t="str">
        <f ca="1">VLOOKUP(VLOOKUP(dict_DQ_Meth_max[[#This Row],[ID_DataQualities]],table_DataQualities[],3),table_Units[],2)</f>
        <v>Hz</v>
      </c>
      <c r="I380" s="10"/>
      <c r="J380" s="10"/>
      <c r="K380" s="10"/>
      <c r="L380" s="10">
        <f ca="1">VLOOKUP(dict_DQ_Meth_max[[#This Row],[ID_DataQualities]],table_DataQualities[],8,FALSE)</f>
        <v>0.78100000000000003</v>
      </c>
      <c r="M380" s="10">
        <f ca="1">VLOOKUP(dict_DQ_Meth_max[[#This Row],[ID_DataQualities]],table_DataQualities[],9,FALSE)</f>
        <v>7088.1</v>
      </c>
    </row>
    <row r="381" spans="1:13" x14ac:dyDescent="0.45">
      <c r="A381" s="10">
        <v>102</v>
      </c>
      <c r="B381" s="10">
        <v>57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993.00566000000015</v>
      </c>
      <c r="G381" s="12">
        <f ca="1">(RANDBETWEEN(50,100)/100)*(dict_DQ_Meth_max[[#This Row],[Vergleich_ub]]-dict_DQ_Meth_max[[#This Row],[Vergleich_lb]])+dict_DQ_Meth_max[[#This Row],[Vergleich_lb]]</f>
        <v>5812.3825799999995</v>
      </c>
      <c r="H381" s="11" t="str">
        <f ca="1">VLOOKUP(VLOOKUP(dict_DQ_Meth_max[[#This Row],[ID_DataQualities]],table_DataQualities[],3),table_Units[],2)</f>
        <v>Hz</v>
      </c>
      <c r="I381" s="10"/>
      <c r="J381" s="10"/>
      <c r="K381" s="10"/>
      <c r="L381" s="10">
        <f ca="1">VLOOKUP(dict_DQ_Meth_max[[#This Row],[ID_DataQualities]],table_DataQualities[],8,FALSE)</f>
        <v>0.78100000000000003</v>
      </c>
      <c r="M381" s="10">
        <f ca="1">VLOOKUP(dict_DQ_Meth_max[[#This Row],[ID_DataQualities]],table_DataQualities[],9,FALSE)</f>
        <v>7088.1</v>
      </c>
    </row>
    <row r="382" spans="1:13" x14ac:dyDescent="0.45">
      <c r="A382" s="10">
        <v>102</v>
      </c>
      <c r="B382" s="10">
        <v>474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851.25927999999999</v>
      </c>
      <c r="G382" s="12">
        <f ca="1">(RANDBETWEEN(50,100)/100)*(dict_DQ_Meth_max[[#This Row],[Vergleich_ub]]-dict_DQ_Meth_max[[#This Row],[Vergleich_lb]])+dict_DQ_Meth_max[[#This Row],[Vergleich_lb]]</f>
        <v>4536.6651600000005</v>
      </c>
      <c r="H382" s="11" t="str">
        <f ca="1">VLOOKUP(VLOOKUP(dict_DQ_Meth_max[[#This Row],[ID_DataQualities]],table_DataQualities[],3),table_Units[],2)</f>
        <v>Hz</v>
      </c>
      <c r="I382" s="10"/>
      <c r="J382" s="10"/>
      <c r="K382" s="10"/>
      <c r="L382" s="10">
        <f ca="1">VLOOKUP(dict_DQ_Meth_max[[#This Row],[ID_DataQualities]],table_DataQualities[],8,FALSE)</f>
        <v>0.78100000000000003</v>
      </c>
      <c r="M382" s="10">
        <f ca="1">VLOOKUP(dict_DQ_Meth_max[[#This Row],[ID_DataQualities]],table_DataQualities[],9,FALSE)</f>
        <v>7088.1</v>
      </c>
    </row>
    <row r="383" spans="1:13" x14ac:dyDescent="0.45">
      <c r="A383" s="10">
        <v>102</v>
      </c>
      <c r="B383" s="10">
        <v>555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1701.73756</v>
      </c>
      <c r="G383" s="12">
        <f ca="1">(RANDBETWEEN(50,100)/100)*(dict_DQ_Meth_max[[#This Row],[Vergleich_ub]]-dict_DQ_Meth_max[[#This Row],[Vergleich_lb]])+dict_DQ_Meth_max[[#This Row],[Vergleich_lb]]</f>
        <v>4465.7919700000002</v>
      </c>
      <c r="H383" s="11" t="str">
        <f ca="1">VLOOKUP(VLOOKUP(dict_DQ_Meth_max[[#This Row],[ID_DataQualities]],table_DataQualities[],3),table_Units[],2)</f>
        <v>Hz</v>
      </c>
      <c r="I383" s="10"/>
      <c r="J383" s="10"/>
      <c r="K383" s="10"/>
      <c r="L383" s="10">
        <f ca="1">VLOOKUP(dict_DQ_Meth_max[[#This Row],[ID_DataQualities]],table_DataQualities[],8,FALSE)</f>
        <v>0.78100000000000003</v>
      </c>
      <c r="M383" s="10">
        <f ca="1">VLOOKUP(dict_DQ_Meth_max[[#This Row],[ID_DataQualities]],table_DataQualities[],9,FALSE)</f>
        <v>7088.1</v>
      </c>
    </row>
    <row r="384" spans="1:13" x14ac:dyDescent="0.45">
      <c r="A384" s="10">
        <v>103</v>
      </c>
      <c r="B384" s="10">
        <v>555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1.14272</v>
      </c>
      <c r="G384" s="12">
        <f ca="1">(RANDBETWEEN(50,100)/100)*(dict_DQ_Meth_max[[#This Row],[Vergleich_ub]]-dict_DQ_Meth_max[[#This Row],[Vergleich_lb]])+dict_DQ_Meth_max[[#This Row],[Vergleich_lb]]</f>
        <v>2.9286499999999998</v>
      </c>
      <c r="H384" s="11" t="str">
        <f ca="1">VLOOKUP(VLOOKUP(dict_DQ_Meth_max[[#This Row],[ID_DataQualities]],table_DataQualities[],3),table_Units[],2)</f>
        <v>+/- W</v>
      </c>
      <c r="I384" s="10"/>
      <c r="J384" s="10"/>
      <c r="K384" s="10"/>
      <c r="L384" s="10">
        <f ca="1">VLOOKUP(dict_DQ_Meth_max[[#This Row],[ID_DataQualities]],table_DataQualities[],8,FALSE)</f>
        <v>5.2999999999999999E-2</v>
      </c>
      <c r="M384" s="10">
        <f ca="1">VLOOKUP(dict_DQ_Meth_max[[#This Row],[ID_DataQualities]],table_DataQualities[],9,FALSE)</f>
        <v>3.08</v>
      </c>
    </row>
    <row r="385" spans="1:13" x14ac:dyDescent="0.45">
      <c r="A385" s="10">
        <v>103</v>
      </c>
      <c r="B385" s="10">
        <v>57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1.2638</v>
      </c>
      <c r="G385" s="12">
        <f ca="1">(RANDBETWEEN(50,100)/100)*(dict_DQ_Meth_max[[#This Row],[Vergleich_ub]]-dict_DQ_Meth_max[[#This Row],[Vergleich_lb]])+dict_DQ_Meth_max[[#This Row],[Vergleich_lb]]</f>
        <v>1.8692</v>
      </c>
      <c r="H385" s="11" t="str">
        <f ca="1">VLOOKUP(VLOOKUP(dict_DQ_Meth_max[[#This Row],[ID_DataQualities]],table_DataQualities[],3),table_Units[],2)</f>
        <v>+/- W</v>
      </c>
      <c r="I385" s="10"/>
      <c r="J385" s="10"/>
      <c r="K385" s="10"/>
      <c r="L385" s="10">
        <f ca="1">VLOOKUP(dict_DQ_Meth_max[[#This Row],[ID_DataQualities]],table_DataQualities[],8,FALSE)</f>
        <v>5.2999999999999999E-2</v>
      </c>
      <c r="M385" s="10">
        <f ca="1">VLOOKUP(dict_DQ_Meth_max[[#This Row],[ID_DataQualities]],table_DataQualities[],9,FALSE)</f>
        <v>3.08</v>
      </c>
    </row>
    <row r="386" spans="1:13" x14ac:dyDescent="0.45">
      <c r="A386" s="10">
        <v>103</v>
      </c>
      <c r="B386" s="10">
        <v>474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1.50596</v>
      </c>
      <c r="G386" s="12">
        <f ca="1">(RANDBETWEEN(50,100)/100)*(dict_DQ_Meth_max[[#This Row],[Vergleich_ub]]-dict_DQ_Meth_max[[#This Row],[Vergleich_lb]])+dict_DQ_Meth_max[[#This Row],[Vergleich_lb]]</f>
        <v>1.6875800000000001</v>
      </c>
      <c r="H386" s="11" t="str">
        <f ca="1">VLOOKUP(VLOOKUP(dict_DQ_Meth_max[[#This Row],[ID_DataQualities]],table_DataQualities[],3),table_Units[],2)</f>
        <v>+/- W</v>
      </c>
      <c r="I386" s="10"/>
      <c r="J386" s="10"/>
      <c r="K386" s="10"/>
      <c r="L386" s="10">
        <f ca="1">VLOOKUP(dict_DQ_Meth_max[[#This Row],[ID_DataQualities]],table_DataQualities[],8,FALSE)</f>
        <v>5.2999999999999999E-2</v>
      </c>
      <c r="M386" s="10">
        <f ca="1">VLOOKUP(dict_DQ_Meth_max[[#This Row],[ID_DataQualities]],table_DataQualities[],9,FALSE)</f>
        <v>3.08</v>
      </c>
    </row>
    <row r="387" spans="1:13" x14ac:dyDescent="0.45">
      <c r="A387" s="10">
        <v>103</v>
      </c>
      <c r="B387" s="10">
        <v>665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0.96110000000000007</v>
      </c>
      <c r="G387" s="12">
        <f ca="1">(RANDBETWEEN(50,100)/100)*(dict_DQ_Meth_max[[#This Row],[Vergleich_ub]]-dict_DQ_Meth_max[[#This Row],[Vergleich_lb]])+dict_DQ_Meth_max[[#This Row],[Vergleich_lb]]</f>
        <v>2.68649</v>
      </c>
      <c r="H387" s="11" t="str">
        <f ca="1">VLOOKUP(VLOOKUP(dict_DQ_Meth_max[[#This Row],[ID_DataQualities]],table_DataQualities[],3),table_Units[],2)</f>
        <v>+/- W</v>
      </c>
      <c r="I387" s="10"/>
      <c r="J387" s="10"/>
      <c r="K387" s="10"/>
      <c r="L387" s="10">
        <f ca="1">VLOOKUP(dict_DQ_Meth_max[[#This Row],[ID_DataQualities]],table_DataQualities[],8,FALSE)</f>
        <v>5.2999999999999999E-2</v>
      </c>
      <c r="M387" s="10">
        <f ca="1">VLOOKUP(dict_DQ_Meth_max[[#This Row],[ID_DataQualities]],table_DataQualities[],9,FALSE)</f>
        <v>3.08</v>
      </c>
    </row>
    <row r="388" spans="1:13" x14ac:dyDescent="0.45">
      <c r="A388" s="10">
        <v>104</v>
      </c>
      <c r="B388" s="10">
        <v>329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480.52663999999999</v>
      </c>
      <c r="G388" s="12">
        <f ca="1">(RANDBETWEEN(50,100)/100)*(dict_DQ_Meth_max[[#This Row],[Vergleich_ub]]-dict_DQ_Meth_max[[#This Row],[Vergleich_lb]])+dict_DQ_Meth_max[[#This Row],[Vergleich_lb]]</f>
        <v>2317.4214399999996</v>
      </c>
      <c r="H388" s="11" t="str">
        <f ca="1">VLOOKUP(VLOOKUP(dict_DQ_Meth_max[[#This Row],[ID_DataQualities]],table_DataQualities[],3),table_Units[],2)</f>
        <v>Hz</v>
      </c>
      <c r="I388" s="10"/>
      <c r="J388" s="10"/>
      <c r="K388" s="10"/>
      <c r="L388" s="10">
        <f ca="1">VLOOKUP(dict_DQ_Meth_max[[#This Row],[ID_DataQualities]],table_DataQualities[],8,FALSE)</f>
        <v>0.108</v>
      </c>
      <c r="M388" s="10">
        <f ca="1">VLOOKUP(dict_DQ_Meth_max[[#This Row],[ID_DataQualities]],table_DataQualities[],9,FALSE)</f>
        <v>2826.1</v>
      </c>
    </row>
    <row r="389" spans="1:13" x14ac:dyDescent="0.45">
      <c r="A389" s="10">
        <v>104</v>
      </c>
      <c r="B389" s="10">
        <v>154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28.367919999999998</v>
      </c>
      <c r="G389" s="12">
        <f ca="1">(RANDBETWEEN(50,100)/100)*(dict_DQ_Meth_max[[#This Row],[Vergleich_ub]]-dict_DQ_Meth_max[[#This Row],[Vergleich_lb]])+dict_DQ_Meth_max[[#This Row],[Vergleich_lb]]</f>
        <v>2571.7607200000002</v>
      </c>
      <c r="H389" s="11" t="str">
        <f ca="1">VLOOKUP(VLOOKUP(dict_DQ_Meth_max[[#This Row],[ID_DataQualities]],table_DataQualities[],3),table_Units[],2)</f>
        <v>Hz</v>
      </c>
      <c r="I389" s="10"/>
      <c r="J389" s="10"/>
      <c r="K389" s="10"/>
      <c r="L389" s="10">
        <f ca="1">VLOOKUP(dict_DQ_Meth_max[[#This Row],[ID_DataQualities]],table_DataQualities[],8,FALSE)</f>
        <v>0.108</v>
      </c>
      <c r="M389" s="10">
        <f ca="1">VLOOKUP(dict_DQ_Meth_max[[#This Row],[ID_DataQualities]],table_DataQualities[],9,FALSE)</f>
        <v>2826.1</v>
      </c>
    </row>
    <row r="390" spans="1:13" x14ac:dyDescent="0.45">
      <c r="A390" s="10">
        <v>104</v>
      </c>
      <c r="B390" s="10">
        <v>492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734.86591999999996</v>
      </c>
      <c r="G390" s="12">
        <f ca="1">(RANDBETWEEN(50,100)/100)*(dict_DQ_Meth_max[[#This Row],[Vergleich_ub]]-dict_DQ_Meth_max[[#This Row],[Vergleich_lb]])+dict_DQ_Meth_max[[#This Row],[Vergleich_lb]]</f>
        <v>2458.7210399999999</v>
      </c>
      <c r="H390" s="11" t="str">
        <f ca="1">VLOOKUP(VLOOKUP(dict_DQ_Meth_max[[#This Row],[ID_DataQualities]],table_DataQualities[],3),table_Units[],2)</f>
        <v>Hz</v>
      </c>
      <c r="I390" s="10"/>
      <c r="J390" s="10"/>
      <c r="K390" s="10"/>
      <c r="L390" s="10">
        <f ca="1">VLOOKUP(dict_DQ_Meth_max[[#This Row],[ID_DataQualities]],table_DataQualities[],8,FALSE)</f>
        <v>0.108</v>
      </c>
      <c r="M390" s="10">
        <f ca="1">VLOOKUP(dict_DQ_Meth_max[[#This Row],[ID_DataQualities]],table_DataQualities[],9,FALSE)</f>
        <v>2826.1</v>
      </c>
    </row>
    <row r="391" spans="1:13" x14ac:dyDescent="0.45">
      <c r="A391" s="10">
        <v>104</v>
      </c>
      <c r="B391" s="10">
        <v>179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197.92744000000002</v>
      </c>
      <c r="G391" s="12">
        <f ca="1">(RANDBETWEEN(50,100)/100)*(dict_DQ_Meth_max[[#This Row],[Vergleich_ub]]-dict_DQ_Meth_max[[#This Row],[Vergleich_lb]])+dict_DQ_Meth_max[[#This Row],[Vergleich_lb]]</f>
        <v>2063.0821599999999</v>
      </c>
      <c r="H391" s="11" t="str">
        <f ca="1">VLOOKUP(VLOOKUP(dict_DQ_Meth_max[[#This Row],[ID_DataQualities]],table_DataQualities[],3),table_Units[],2)</f>
        <v>Hz</v>
      </c>
      <c r="I391" s="10"/>
      <c r="J391" s="10"/>
      <c r="K391" s="10"/>
      <c r="L391" s="10">
        <f ca="1">VLOOKUP(dict_DQ_Meth_max[[#This Row],[ID_DataQualities]],table_DataQualities[],8,FALSE)</f>
        <v>0.108</v>
      </c>
      <c r="M391" s="10">
        <f ca="1">VLOOKUP(dict_DQ_Meth_max[[#This Row],[ID_DataQualities]],table_DataQualities[],9,FALSE)</f>
        <v>2826.1</v>
      </c>
    </row>
    <row r="392" spans="1:13" x14ac:dyDescent="0.45">
      <c r="A392" s="10">
        <v>105</v>
      </c>
      <c r="B392" s="10">
        <v>154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7.17E-2</v>
      </c>
      <c r="G392" s="12">
        <f ca="1">(RANDBETWEEN(50,100)/100)*(dict_DQ_Meth_max[[#This Row],[Vergleich_ub]]-dict_DQ_Meth_max[[#This Row],[Vergleich_lb]])+dict_DQ_Meth_max[[#This Row],[Vergleich_lb]]</f>
        <v>0.1578</v>
      </c>
      <c r="H392" s="11" t="str">
        <f ca="1">VLOOKUP(VLOOKUP(dict_DQ_Meth_max[[#This Row],[ID_DataQualities]],table_DataQualities[],3),table_Units[],2)</f>
        <v>+/- cm³/s</v>
      </c>
      <c r="I392" s="10"/>
      <c r="J392" s="10"/>
      <c r="K392" s="10"/>
      <c r="L392" s="10">
        <f ca="1">VLOOKUP(dict_DQ_Meth_max[[#This Row],[ID_DataQualities]],table_DataQualities[],8,FALSE)</f>
        <v>2E-3</v>
      </c>
      <c r="M392" s="10">
        <f ca="1">VLOOKUP(dict_DQ_Meth_max[[#This Row],[ID_DataQualities]],table_DataQualities[],9,FALSE)</f>
        <v>0.20699999999999999</v>
      </c>
    </row>
    <row r="393" spans="1:13" x14ac:dyDescent="0.45">
      <c r="A393" s="10">
        <v>105</v>
      </c>
      <c r="B393" s="10">
        <v>329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2.0449999999999996E-2</v>
      </c>
      <c r="G393" s="12">
        <f ca="1">(RANDBETWEEN(50,100)/100)*(dict_DQ_Meth_max[[#This Row],[Vergleich_ub]]-dict_DQ_Meth_max[[#This Row],[Vergleich_lb]])+dict_DQ_Meth_max[[#This Row],[Vergleich_lb]]</f>
        <v>0.18034999999999998</v>
      </c>
      <c r="H393" s="11" t="str">
        <f ca="1">VLOOKUP(VLOOKUP(dict_DQ_Meth_max[[#This Row],[ID_DataQualities]],table_DataQualities[],3),table_Units[],2)</f>
        <v>+/- cm³/s</v>
      </c>
      <c r="I393" s="10"/>
      <c r="J393" s="10"/>
      <c r="K393" s="10"/>
      <c r="L393" s="10">
        <f ca="1">VLOOKUP(dict_DQ_Meth_max[[#This Row],[ID_DataQualities]],table_DataQualities[],8,FALSE)</f>
        <v>2E-3</v>
      </c>
      <c r="M393" s="10">
        <f ca="1">VLOOKUP(dict_DQ_Meth_max[[#This Row],[ID_DataQualities]],table_DataQualities[],9,FALSE)</f>
        <v>0.20699999999999999</v>
      </c>
    </row>
    <row r="394" spans="1:13" x14ac:dyDescent="0.45">
      <c r="A394" s="10">
        <v>105</v>
      </c>
      <c r="B394" s="10">
        <v>492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0.10245</v>
      </c>
      <c r="G394" s="12">
        <f ca="1">(RANDBETWEEN(50,100)/100)*(dict_DQ_Meth_max[[#This Row],[Vergleich_ub]]-dict_DQ_Meth_max[[#This Row],[Vergleich_lb]])+dict_DQ_Meth_max[[#This Row],[Vergleich_lb]]</f>
        <v>0.12294999999999999</v>
      </c>
      <c r="H394" s="11" t="str">
        <f ca="1">VLOOKUP(VLOOKUP(dict_DQ_Meth_max[[#This Row],[ID_DataQualities]],table_DataQualities[],3),table_Units[],2)</f>
        <v>+/- cm³/s</v>
      </c>
      <c r="I394" s="10"/>
      <c r="J394" s="10"/>
      <c r="K394" s="10"/>
      <c r="L394" s="10">
        <f ca="1">VLOOKUP(dict_DQ_Meth_max[[#This Row],[ID_DataQualities]],table_DataQualities[],8,FALSE)</f>
        <v>2E-3</v>
      </c>
      <c r="M394" s="10">
        <f ca="1">VLOOKUP(dict_DQ_Meth_max[[#This Row],[ID_DataQualities]],table_DataQualities[],9,FALSE)</f>
        <v>0.20699999999999999</v>
      </c>
    </row>
    <row r="395" spans="1:13" x14ac:dyDescent="0.45">
      <c r="A395" s="10">
        <v>105</v>
      </c>
      <c r="B395" s="10">
        <v>179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9.6299999999999997E-2</v>
      </c>
      <c r="G395" s="12">
        <f ca="1">(RANDBETWEEN(50,100)/100)*(dict_DQ_Meth_max[[#This Row],[Vergleich_ub]]-dict_DQ_Meth_max[[#This Row],[Vergleich_lb]])+dict_DQ_Meth_max[[#This Row],[Vergleich_lb]]</f>
        <v>0.18239999999999998</v>
      </c>
      <c r="H395" s="11" t="str">
        <f ca="1">VLOOKUP(VLOOKUP(dict_DQ_Meth_max[[#This Row],[ID_DataQualities]],table_DataQualities[],3),table_Units[],2)</f>
        <v>+/- cm³/s</v>
      </c>
      <c r="I395" s="10"/>
      <c r="J395" s="10"/>
      <c r="K395" s="10"/>
      <c r="L395" s="10">
        <f ca="1">VLOOKUP(dict_DQ_Meth_max[[#This Row],[ID_DataQualities]],table_DataQualities[],8,FALSE)</f>
        <v>2E-3</v>
      </c>
      <c r="M395" s="10">
        <f ca="1">VLOOKUP(dict_DQ_Meth_max[[#This Row],[ID_DataQualities]],table_DataQualities[],9,FALSE)</f>
        <v>0.20699999999999999</v>
      </c>
    </row>
    <row r="396" spans="1:13" x14ac:dyDescent="0.45">
      <c r="A396" s="10">
        <v>106</v>
      </c>
      <c r="B396" s="10">
        <v>423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5.8883500000000009</v>
      </c>
      <c r="G396" s="12">
        <f ca="1">(RANDBETWEEN(50,100)/100)*(dict_DQ_Meth_max[[#This Row],[Vergleich_ub]]-dict_DQ_Meth_max[[#This Row],[Vergleich_lb]])+dict_DQ_Meth_max[[#This Row],[Vergleich_lb]]</f>
        <v>168.19995</v>
      </c>
      <c r="H396" s="11" t="str">
        <f ca="1">VLOOKUP(VLOOKUP(dict_DQ_Meth_max[[#This Row],[ID_DataQualities]],table_DataQualities[],3),table_Units[],2)</f>
        <v>Hz</v>
      </c>
      <c r="I396" s="10"/>
      <c r="J396" s="10"/>
      <c r="K396" s="10"/>
      <c r="L396" s="10">
        <f ca="1">VLOOKUP(dict_DQ_Meth_max[[#This Row],[ID_DataQualities]],table_DataQualities[],8,FALSE)</f>
        <v>0.35499999999999998</v>
      </c>
      <c r="M396" s="10">
        <f ca="1">VLOOKUP(dict_DQ_Meth_max[[#This Row],[ID_DataQualities]],table_DataQualities[],9,FALSE)</f>
        <v>184.8</v>
      </c>
    </row>
    <row r="397" spans="1:13" x14ac:dyDescent="0.45">
      <c r="A397" s="10">
        <v>106</v>
      </c>
      <c r="B397" s="10">
        <v>28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57.532950000000007</v>
      </c>
      <c r="G397" s="12">
        <f ca="1">(RANDBETWEEN(50,100)/100)*(dict_DQ_Meth_max[[#This Row],[Vergleich_ub]]-dict_DQ_Meth_max[[#This Row],[Vergleich_lb]])+dict_DQ_Meth_max[[#This Row],[Vergleich_lb]]</f>
        <v>160.82215000000002</v>
      </c>
      <c r="H397" s="11" t="str">
        <f ca="1">VLOOKUP(VLOOKUP(dict_DQ_Meth_max[[#This Row],[ID_DataQualities]],table_DataQualities[],3),table_Units[],2)</f>
        <v>Hz</v>
      </c>
      <c r="I397" s="10"/>
      <c r="J397" s="10"/>
      <c r="K397" s="10"/>
      <c r="L397" s="10">
        <f ca="1">VLOOKUP(dict_DQ_Meth_max[[#This Row],[ID_DataQualities]],table_DataQualities[],8,FALSE)</f>
        <v>0.35499999999999998</v>
      </c>
      <c r="M397" s="10">
        <f ca="1">VLOOKUP(dict_DQ_Meth_max[[#This Row],[ID_DataQualities]],table_DataQualities[],9,FALSE)</f>
        <v>184.8</v>
      </c>
    </row>
    <row r="398" spans="1:13" x14ac:dyDescent="0.45">
      <c r="A398" s="10">
        <v>106</v>
      </c>
      <c r="B398" s="10">
        <v>533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50.155150000000006</v>
      </c>
      <c r="G398" s="12">
        <f ca="1">(RANDBETWEEN(50,100)/100)*(dict_DQ_Meth_max[[#This Row],[Vergleich_ub]]-dict_DQ_Meth_max[[#This Row],[Vergleich_lb]])+dict_DQ_Meth_max[[#This Row],[Vergleich_lb]]</f>
        <v>109.17755000000001</v>
      </c>
      <c r="H398" s="11" t="str">
        <f ca="1">VLOOKUP(VLOOKUP(dict_DQ_Meth_max[[#This Row],[ID_DataQualities]],table_DataQualities[],3),table_Units[],2)</f>
        <v>Hz</v>
      </c>
      <c r="I398" s="10"/>
      <c r="J398" s="10"/>
      <c r="K398" s="10"/>
      <c r="L398" s="10">
        <f ca="1">VLOOKUP(dict_DQ_Meth_max[[#This Row],[ID_DataQualities]],table_DataQualities[],8,FALSE)</f>
        <v>0.35499999999999998</v>
      </c>
      <c r="M398" s="10">
        <f ca="1">VLOOKUP(dict_DQ_Meth_max[[#This Row],[ID_DataQualities]],table_DataQualities[],9,FALSE)</f>
        <v>184.8</v>
      </c>
    </row>
    <row r="399" spans="1:13" x14ac:dyDescent="0.45">
      <c r="A399" s="10">
        <v>107</v>
      </c>
      <c r="B399" s="10">
        <v>28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0.622</v>
      </c>
      <c r="G399" s="12">
        <f ca="1">(RANDBETWEEN(50,100)/100)*(dict_DQ_Meth_max[[#This Row],[Vergleich_ub]]-dict_DQ_Meth_max[[#This Row],[Vergleich_lb]])+dict_DQ_Meth_max[[#This Row],[Vergleich_lb]]</f>
        <v>0.94399999999999995</v>
      </c>
      <c r="H399" s="11" t="str">
        <f ca="1">VLOOKUP(VLOOKUP(dict_DQ_Meth_max[[#This Row],[ID_DataQualities]],table_DataQualities[],3),table_Units[],2)</f>
        <v>+/- °C</v>
      </c>
      <c r="I399" s="10"/>
      <c r="J399" s="10"/>
      <c r="K399" s="10"/>
      <c r="L399" s="10">
        <f ca="1">VLOOKUP(dict_DQ_Meth_max[[#This Row],[ID_DataQualities]],table_DataQualities[],8,FALSE)</f>
        <v>0.3</v>
      </c>
      <c r="M399" s="10">
        <f ca="1">VLOOKUP(dict_DQ_Meth_max[[#This Row],[ID_DataQualities]],table_DataQualities[],9,FALSE)</f>
        <v>1</v>
      </c>
    </row>
    <row r="400" spans="1:13" x14ac:dyDescent="0.45">
      <c r="A400" s="10">
        <v>107</v>
      </c>
      <c r="B400" s="10">
        <v>533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0.64999999999999991</v>
      </c>
      <c r="G400" s="12">
        <f ca="1">(RANDBETWEEN(50,100)/100)*(dict_DQ_Meth_max[[#This Row],[Vergleich_ub]]-dict_DQ_Meth_max[[#This Row],[Vergleich_lb]])+dict_DQ_Meth_max[[#This Row],[Vergleich_lb]]</f>
        <v>0.72699999999999998</v>
      </c>
      <c r="H400" s="11" t="str">
        <f ca="1">VLOOKUP(VLOOKUP(dict_DQ_Meth_max[[#This Row],[ID_DataQualities]],table_DataQualities[],3),table_Units[],2)</f>
        <v>+/- °C</v>
      </c>
      <c r="I400" s="10"/>
      <c r="J400" s="10"/>
      <c r="K400" s="10"/>
      <c r="L400" s="10">
        <f ca="1">VLOOKUP(dict_DQ_Meth_max[[#This Row],[ID_DataQualities]],table_DataQualities[],8,FALSE)</f>
        <v>0.3</v>
      </c>
      <c r="M400" s="10">
        <f ca="1">VLOOKUP(dict_DQ_Meth_max[[#This Row],[ID_DataQualities]],table_DataQualities[],9,FALSE)</f>
        <v>1</v>
      </c>
    </row>
    <row r="401" spans="1:13" x14ac:dyDescent="0.45">
      <c r="A401" s="10">
        <v>107</v>
      </c>
      <c r="B401" s="10">
        <v>423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0.47499999999999998</v>
      </c>
      <c r="G401" s="12">
        <f ca="1">(RANDBETWEEN(50,100)/100)*(dict_DQ_Meth_max[[#This Row],[Vergleich_ub]]-dict_DQ_Meth_max[[#This Row],[Vergleich_lb]])+dict_DQ_Meth_max[[#This Row],[Vergleich_lb]]</f>
        <v>0.95100000000000007</v>
      </c>
      <c r="H401" s="11" t="str">
        <f ca="1">VLOOKUP(VLOOKUP(dict_DQ_Meth_max[[#This Row],[ID_DataQualities]],table_DataQualities[],3),table_Units[],2)</f>
        <v>+/- °C</v>
      </c>
      <c r="I401" s="10"/>
      <c r="J401" s="10"/>
      <c r="K401" s="10"/>
      <c r="L401" s="10">
        <f ca="1">VLOOKUP(dict_DQ_Meth_max[[#This Row],[ID_DataQualities]],table_DataQualities[],8,FALSE)</f>
        <v>0.3</v>
      </c>
      <c r="M401" s="10">
        <f ca="1">VLOOKUP(dict_DQ_Meth_max[[#This Row],[ID_DataQualities]],table_DataQualities[],9,FALSE)</f>
        <v>1</v>
      </c>
    </row>
    <row r="402" spans="1:13" x14ac:dyDescent="0.45">
      <c r="A402" s="10">
        <v>108</v>
      </c>
      <c r="B402" s="10">
        <v>225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2225.5288700000001</v>
      </c>
      <c r="G402" s="12">
        <f ca="1">(RANDBETWEEN(50,100)/100)*(dict_DQ_Meth_max[[#This Row],[Vergleich_ub]]-dict_DQ_Meth_max[[#This Row],[Vergleich_lb]])+dict_DQ_Meth_max[[#This Row],[Vergleich_lb]]</f>
        <v>4720.6382999999996</v>
      </c>
      <c r="H402" s="11" t="str">
        <f ca="1">VLOOKUP(VLOOKUP(dict_DQ_Meth_max[[#This Row],[ID_DataQualities]],table_DataQualities[],3),table_Units[],2)</f>
        <v>Hz</v>
      </c>
      <c r="I402" s="10"/>
      <c r="J402" s="10"/>
      <c r="K402" s="10"/>
      <c r="L402" s="10">
        <f ca="1">VLOOKUP(dict_DQ_Meth_max[[#This Row],[ID_DataQualities]],table_DataQualities[],8,FALSE)</f>
        <v>0.161</v>
      </c>
      <c r="M402" s="10">
        <f ca="1">VLOOKUP(dict_DQ_Meth_max[[#This Row],[ID_DataQualities]],table_DataQualities[],9,FALSE)</f>
        <v>6743.7</v>
      </c>
    </row>
    <row r="403" spans="1:13" x14ac:dyDescent="0.45">
      <c r="A403" s="10">
        <v>108</v>
      </c>
      <c r="B403" s="10">
        <v>287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1213.99802</v>
      </c>
      <c r="G403" s="12">
        <f ca="1">(RANDBETWEEN(50,100)/100)*(dict_DQ_Meth_max[[#This Row],[Vergleich_ub]]-dict_DQ_Meth_max[[#This Row],[Vergleich_lb]])+dict_DQ_Meth_max[[#This Row],[Vergleich_lb]]</f>
        <v>4855.5090799999998</v>
      </c>
      <c r="H403" s="11" t="str">
        <f ca="1">VLOOKUP(VLOOKUP(dict_DQ_Meth_max[[#This Row],[ID_DataQualities]],table_DataQualities[],3),table_Units[],2)</f>
        <v>Hz</v>
      </c>
      <c r="I403" s="10"/>
      <c r="J403" s="10"/>
      <c r="K403" s="10"/>
      <c r="L403" s="10">
        <f ca="1">VLOOKUP(dict_DQ_Meth_max[[#This Row],[ID_DataQualities]],table_DataQualities[],8,FALSE)</f>
        <v>0.161</v>
      </c>
      <c r="M403" s="10">
        <f ca="1">VLOOKUP(dict_DQ_Meth_max[[#This Row],[ID_DataQualities]],table_DataQualities[],9,FALSE)</f>
        <v>6743.7</v>
      </c>
    </row>
    <row r="404" spans="1:13" x14ac:dyDescent="0.45">
      <c r="A404" s="10">
        <v>108</v>
      </c>
      <c r="B404" s="10">
        <v>299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1348.8688000000002</v>
      </c>
      <c r="G404" s="12">
        <f ca="1">(RANDBETWEEN(50,100)/100)*(dict_DQ_Meth_max[[#This Row],[Vergleich_ub]]-dict_DQ_Meth_max[[#This Row],[Vergleich_lb]])+dict_DQ_Meth_max[[#This Row],[Vergleich_lb]]</f>
        <v>6473.9584399999994</v>
      </c>
      <c r="H404" s="11" t="str">
        <f ca="1">VLOOKUP(VLOOKUP(dict_DQ_Meth_max[[#This Row],[ID_DataQualities]],table_DataQualities[],3),table_Units[],2)</f>
        <v>Hz</v>
      </c>
      <c r="I404" s="10"/>
      <c r="J404" s="10"/>
      <c r="K404" s="10"/>
      <c r="L404" s="10">
        <f ca="1">VLOOKUP(dict_DQ_Meth_max[[#This Row],[ID_DataQualities]],table_DataQualities[],8,FALSE)</f>
        <v>0.161</v>
      </c>
      <c r="M404" s="10">
        <f ca="1">VLOOKUP(dict_DQ_Meth_max[[#This Row],[ID_DataQualities]],table_DataQualities[],9,FALSE)</f>
        <v>6743.7</v>
      </c>
    </row>
    <row r="405" spans="1:13" x14ac:dyDescent="0.45">
      <c r="A405" s="10">
        <v>108</v>
      </c>
      <c r="B405" s="10">
        <v>517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2562.7058200000001</v>
      </c>
      <c r="G405" s="12">
        <f ca="1">(RANDBETWEEN(50,100)/100)*(dict_DQ_Meth_max[[#This Row],[Vergleich_ub]]-dict_DQ_Meth_max[[#This Row],[Vergleich_lb]])+dict_DQ_Meth_max[[#This Row],[Vergleich_lb]]</f>
        <v>5125.2506400000002</v>
      </c>
      <c r="H405" s="11" t="str">
        <f ca="1">VLOOKUP(VLOOKUP(dict_DQ_Meth_max[[#This Row],[ID_DataQualities]],table_DataQualities[],3),table_Units[],2)</f>
        <v>Hz</v>
      </c>
      <c r="I405" s="10"/>
      <c r="J405" s="10"/>
      <c r="K405" s="10"/>
      <c r="L405" s="10">
        <f ca="1">VLOOKUP(dict_DQ_Meth_max[[#This Row],[ID_DataQualities]],table_DataQualities[],8,FALSE)</f>
        <v>0.161</v>
      </c>
      <c r="M405" s="10">
        <f ca="1">VLOOKUP(dict_DQ_Meth_max[[#This Row],[ID_DataQualities]],table_DataQualities[],9,FALSE)</f>
        <v>6743.7</v>
      </c>
    </row>
    <row r="406" spans="1:13" x14ac:dyDescent="0.45">
      <c r="A406" s="10">
        <v>108</v>
      </c>
      <c r="B406" s="10">
        <v>183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1618.6103599999999</v>
      </c>
      <c r="G406" s="12">
        <f ca="1">(RANDBETWEEN(50,100)/100)*(dict_DQ_Meth_max[[#This Row],[Vergleich_ub]]-dict_DQ_Meth_max[[#This Row],[Vergleich_lb]])+dict_DQ_Meth_max[[#This Row],[Vergleich_lb]]</f>
        <v>5867.0399299999999</v>
      </c>
      <c r="H406" s="11" t="str">
        <f ca="1">VLOOKUP(VLOOKUP(dict_DQ_Meth_max[[#This Row],[ID_DataQualities]],table_DataQualities[],3),table_Units[],2)</f>
        <v>Hz</v>
      </c>
      <c r="I406" s="10"/>
      <c r="J406" s="10"/>
      <c r="K406" s="10"/>
      <c r="L406" s="10">
        <f ca="1">VLOOKUP(dict_DQ_Meth_max[[#This Row],[ID_DataQualities]],table_DataQualities[],8,FALSE)</f>
        <v>0.161</v>
      </c>
      <c r="M406" s="10">
        <f ca="1">VLOOKUP(dict_DQ_Meth_max[[#This Row],[ID_DataQualities]],table_DataQualities[],9,FALSE)</f>
        <v>6743.7</v>
      </c>
    </row>
    <row r="407" spans="1:13" x14ac:dyDescent="0.45">
      <c r="A407" s="10">
        <v>109</v>
      </c>
      <c r="B407" s="10">
        <v>225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0.70584999999999998</v>
      </c>
      <c r="G407" s="12">
        <f ca="1">(RANDBETWEEN(50,100)/100)*(dict_DQ_Meth_max[[#This Row],[Vergleich_ub]]-dict_DQ_Meth_max[[#This Row],[Vergleich_lb]])+dict_DQ_Meth_max[[#This Row],[Vergleich_lb]]</f>
        <v>1.1944999999999999</v>
      </c>
      <c r="H407" s="11" t="str">
        <f ca="1">VLOOKUP(VLOOKUP(dict_DQ_Meth_max[[#This Row],[ID_DataQualities]],table_DataQualities[],3),table_Units[],2)</f>
        <v>+/- mm</v>
      </c>
      <c r="I407" s="10"/>
      <c r="J407" s="10"/>
      <c r="K407" s="10"/>
      <c r="L407" s="10">
        <f ca="1">VLOOKUP(dict_DQ_Meth_max[[#This Row],[ID_DataQualities]],table_DataQualities[],8,FALSE)</f>
        <v>1.4999999999999999E-2</v>
      </c>
      <c r="M407" s="10">
        <f ca="1">VLOOKUP(dict_DQ_Meth_max[[#This Row],[ID_DataQualities]],table_DataQualities[],9,FALSE)</f>
        <v>1.7</v>
      </c>
    </row>
    <row r="408" spans="1:13" x14ac:dyDescent="0.45">
      <c r="A408" s="10">
        <v>109</v>
      </c>
      <c r="B408" s="10">
        <v>183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0.55420000000000003</v>
      </c>
      <c r="G408" s="12">
        <f ca="1">(RANDBETWEEN(50,100)/100)*(dict_DQ_Meth_max[[#This Row],[Vergleich_ub]]-dict_DQ_Meth_max[[#This Row],[Vergleich_lb]])+dict_DQ_Meth_max[[#This Row],[Vergleich_lb]]</f>
        <v>0.90805000000000013</v>
      </c>
      <c r="H408" s="11" t="str">
        <f ca="1">VLOOKUP(VLOOKUP(dict_DQ_Meth_max[[#This Row],[ID_DataQualities]],table_DataQualities[],3),table_Units[],2)</f>
        <v>+/- mm</v>
      </c>
      <c r="I408" s="10"/>
      <c r="J408" s="10"/>
      <c r="K408" s="10"/>
      <c r="L408" s="10">
        <f ca="1">VLOOKUP(dict_DQ_Meth_max[[#This Row],[ID_DataQualities]],table_DataQualities[],8,FALSE)</f>
        <v>1.4999999999999999E-2</v>
      </c>
      <c r="M408" s="10">
        <f ca="1">VLOOKUP(dict_DQ_Meth_max[[#This Row],[ID_DataQualities]],table_DataQualities[],9,FALSE)</f>
        <v>1.7</v>
      </c>
    </row>
    <row r="409" spans="1:13" x14ac:dyDescent="0.45">
      <c r="A409" s="10">
        <v>109</v>
      </c>
      <c r="B409" s="10">
        <v>287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0.35200000000000004</v>
      </c>
      <c r="G409" s="12">
        <f ca="1">(RANDBETWEEN(50,100)/100)*(dict_DQ_Meth_max[[#This Row],[Vergleich_ub]]-dict_DQ_Meth_max[[#This Row],[Vergleich_lb]])+dict_DQ_Meth_max[[#This Row],[Vergleich_lb]]</f>
        <v>1.4978</v>
      </c>
      <c r="H409" s="11" t="str">
        <f ca="1">VLOOKUP(VLOOKUP(dict_DQ_Meth_max[[#This Row],[ID_DataQualities]],table_DataQualities[],3),table_Units[],2)</f>
        <v>+/- mm</v>
      </c>
      <c r="I409" s="10"/>
      <c r="J409" s="10"/>
      <c r="K409" s="10"/>
      <c r="L409" s="10">
        <f ca="1">VLOOKUP(dict_DQ_Meth_max[[#This Row],[ID_DataQualities]],table_DataQualities[],8,FALSE)</f>
        <v>1.4999999999999999E-2</v>
      </c>
      <c r="M409" s="10">
        <f ca="1">VLOOKUP(dict_DQ_Meth_max[[#This Row],[ID_DataQualities]],table_DataQualities[],9,FALSE)</f>
        <v>1.7</v>
      </c>
    </row>
    <row r="410" spans="1:13" x14ac:dyDescent="0.45">
      <c r="A410" s="10">
        <v>109</v>
      </c>
      <c r="B410" s="10">
        <v>299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0.52049999999999996</v>
      </c>
      <c r="G410" s="12">
        <f ca="1">(RANDBETWEEN(50,100)/100)*(dict_DQ_Meth_max[[#This Row],[Vergleich_ub]]-dict_DQ_Meth_max[[#This Row],[Vergleich_lb]])+dict_DQ_Meth_max[[#This Row],[Vergleich_lb]]</f>
        <v>1.6325999999999998</v>
      </c>
      <c r="H410" s="11" t="str">
        <f ca="1">VLOOKUP(VLOOKUP(dict_DQ_Meth_max[[#This Row],[ID_DataQualities]],table_DataQualities[],3),table_Units[],2)</f>
        <v>+/- mm</v>
      </c>
      <c r="I410" s="10"/>
      <c r="J410" s="10"/>
      <c r="K410" s="10"/>
      <c r="L410" s="10">
        <f ca="1">VLOOKUP(dict_DQ_Meth_max[[#This Row],[ID_DataQualities]],table_DataQualities[],8,FALSE)</f>
        <v>1.4999999999999999E-2</v>
      </c>
      <c r="M410" s="10">
        <f ca="1">VLOOKUP(dict_DQ_Meth_max[[#This Row],[ID_DataQualities]],table_DataQualities[],9,FALSE)</f>
        <v>1.7</v>
      </c>
    </row>
    <row r="411" spans="1:13" x14ac:dyDescent="0.45">
      <c r="A411" s="10">
        <v>109</v>
      </c>
      <c r="B411" s="10">
        <v>517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0.80694999999999995</v>
      </c>
      <c r="G411" s="12">
        <f ca="1">(RANDBETWEEN(50,100)/100)*(dict_DQ_Meth_max[[#This Row],[Vergleich_ub]]-dict_DQ_Meth_max[[#This Row],[Vergleich_lb]])+dict_DQ_Meth_max[[#This Row],[Vergleich_lb]]</f>
        <v>1.5651999999999999</v>
      </c>
      <c r="H411" s="11" t="str">
        <f ca="1">VLOOKUP(VLOOKUP(dict_DQ_Meth_max[[#This Row],[ID_DataQualities]],table_DataQualities[],3),table_Units[],2)</f>
        <v>+/- mm</v>
      </c>
      <c r="I411" s="10"/>
      <c r="J411" s="10"/>
      <c r="K411" s="10"/>
      <c r="L411" s="10">
        <f ca="1">VLOOKUP(dict_DQ_Meth_max[[#This Row],[ID_DataQualities]],table_DataQualities[],8,FALSE)</f>
        <v>1.4999999999999999E-2</v>
      </c>
      <c r="M411" s="10">
        <f ca="1">VLOOKUP(dict_DQ_Meth_max[[#This Row],[ID_DataQualities]],table_DataQualities[],9,FALSE)</f>
        <v>1.7</v>
      </c>
    </row>
    <row r="412" spans="1:13" x14ac:dyDescent="0.45">
      <c r="A412" s="10">
        <v>110</v>
      </c>
      <c r="B412" s="10">
        <v>204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374.75744000000003</v>
      </c>
      <c r="G412" s="12">
        <f ca="1">(RANDBETWEEN(50,100)/100)*(dict_DQ_Meth_max[[#This Row],[Vergleich_ub]]-dict_DQ_Meth_max[[#This Row],[Vergleich_lb]])+dict_DQ_Meth_max[[#This Row],[Vergleich_lb]]</f>
        <v>3136.8825600000005</v>
      </c>
      <c r="H412" s="11" t="str">
        <f ca="1">VLOOKUP(VLOOKUP(dict_DQ_Meth_max[[#This Row],[ID_DataQualities]],table_DataQualities[],3),table_Units[],2)</f>
        <v>Hz</v>
      </c>
      <c r="I412" s="10"/>
      <c r="J412" s="10"/>
      <c r="K412" s="10"/>
      <c r="L412" s="10">
        <f ca="1">VLOOKUP(dict_DQ_Meth_max[[#This Row],[ID_DataQualities]],table_DataQualities[],8,FALSE)</f>
        <v>0.23200000000000001</v>
      </c>
      <c r="M412" s="10">
        <f ca="1">VLOOKUP(dict_DQ_Meth_max[[#This Row],[ID_DataQualities]],table_DataQualities[],9,FALSE)</f>
        <v>4681.8</v>
      </c>
    </row>
    <row r="413" spans="1:13" x14ac:dyDescent="0.45">
      <c r="A413" s="10">
        <v>110</v>
      </c>
      <c r="B413" s="10">
        <v>680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842.91423999999995</v>
      </c>
      <c r="G413" s="12">
        <f ca="1">(RANDBETWEEN(50,100)/100)*(dict_DQ_Meth_max[[#This Row],[Vergleich_ub]]-dict_DQ_Meth_max[[#This Row],[Vergleich_lb]])+dict_DQ_Meth_max[[#This Row],[Vergleich_lb]]</f>
        <v>4260.4588800000001</v>
      </c>
      <c r="H413" s="11" t="str">
        <f ca="1">VLOOKUP(VLOOKUP(dict_DQ_Meth_max[[#This Row],[ID_DataQualities]],table_DataQualities[],3),table_Units[],2)</f>
        <v>Hz</v>
      </c>
      <c r="I413" s="10"/>
      <c r="J413" s="10"/>
      <c r="K413" s="10"/>
      <c r="L413" s="10">
        <f ca="1">VLOOKUP(dict_DQ_Meth_max[[#This Row],[ID_DataQualities]],table_DataQualities[],8,FALSE)</f>
        <v>0.23200000000000001</v>
      </c>
      <c r="M413" s="10">
        <f ca="1">VLOOKUP(dict_DQ_Meth_max[[#This Row],[ID_DataQualities]],table_DataQualities[],9,FALSE)</f>
        <v>4681.8</v>
      </c>
    </row>
    <row r="414" spans="1:13" x14ac:dyDescent="0.45">
      <c r="A414" s="10">
        <v>110</v>
      </c>
      <c r="B414" s="10">
        <v>6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749.28287999999998</v>
      </c>
      <c r="G414" s="12">
        <f ca="1">(RANDBETWEEN(50,100)/100)*(dict_DQ_Meth_max[[#This Row],[Vergleich_ub]]-dict_DQ_Meth_max[[#This Row],[Vergleich_lb]])+dict_DQ_Meth_max[[#This Row],[Vergleich_lb]]</f>
        <v>4681.8</v>
      </c>
      <c r="H414" s="11" t="str">
        <f ca="1">VLOOKUP(VLOOKUP(dict_DQ_Meth_max[[#This Row],[ID_DataQualities]],table_DataQualities[],3),table_Units[],2)</f>
        <v>Hz</v>
      </c>
      <c r="I414" s="10"/>
      <c r="J414" s="10"/>
      <c r="K414" s="10"/>
      <c r="L414" s="10">
        <f ca="1">VLOOKUP(dict_DQ_Meth_max[[#This Row],[ID_DataQualities]],table_DataQualities[],8,FALSE)</f>
        <v>0.23200000000000001</v>
      </c>
      <c r="M414" s="10">
        <f ca="1">VLOOKUP(dict_DQ_Meth_max[[#This Row],[ID_DataQualities]],table_DataQualities[],9,FALSE)</f>
        <v>4681.8</v>
      </c>
    </row>
    <row r="415" spans="1:13" x14ac:dyDescent="0.45">
      <c r="A415" s="10">
        <v>110</v>
      </c>
      <c r="B415" s="10">
        <v>58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1170.624</v>
      </c>
      <c r="G415" s="12">
        <f ca="1">(RANDBETWEEN(50,100)/100)*(dict_DQ_Meth_max[[#This Row],[Vergleich_ub]]-dict_DQ_Meth_max[[#This Row],[Vergleich_lb]])+dict_DQ_Meth_max[[#This Row],[Vergleich_lb]]</f>
        <v>3745.4864000000002</v>
      </c>
      <c r="H415" s="11" t="str">
        <f ca="1">VLOOKUP(VLOOKUP(dict_DQ_Meth_max[[#This Row],[ID_DataQualities]],table_DataQualities[],3),table_Units[],2)</f>
        <v>Hz</v>
      </c>
      <c r="I415" s="10"/>
      <c r="J415" s="10"/>
      <c r="K415" s="10"/>
      <c r="L415" s="10">
        <f ca="1">VLOOKUP(dict_DQ_Meth_max[[#This Row],[ID_DataQualities]],table_DataQualities[],8,FALSE)</f>
        <v>0.23200000000000001</v>
      </c>
      <c r="M415" s="10">
        <f ca="1">VLOOKUP(dict_DQ_Meth_max[[#This Row],[ID_DataQualities]],table_DataQualities[],9,FALSE)</f>
        <v>4681.8</v>
      </c>
    </row>
    <row r="416" spans="1:13" x14ac:dyDescent="0.45">
      <c r="A416" s="10">
        <v>111</v>
      </c>
      <c r="B416" s="10">
        <v>58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4.0000000000000001E-3</v>
      </c>
      <c r="G416" s="12">
        <f ca="1">(RANDBETWEEN(50,100)/100)*(dict_DQ_Meth_max[[#This Row],[Vergleich_ub]]-dict_DQ_Meth_max[[#This Row],[Vergleich_lb]])+dict_DQ_Meth_max[[#This Row],[Vergleich_lb]]</f>
        <v>6.8999999999999999E-3</v>
      </c>
      <c r="H416" s="11" t="str">
        <f ca="1">VLOOKUP(VLOOKUP(dict_DQ_Meth_max[[#This Row],[ID_DataQualities]],table_DataQualities[],3),table_Units[],2)</f>
        <v>+/- cm³/s</v>
      </c>
      <c r="I416" s="10"/>
      <c r="J416" s="10"/>
      <c r="K416" s="10"/>
      <c r="L416" s="10">
        <f ca="1">VLOOKUP(dict_DQ_Meth_max[[#This Row],[ID_DataQualities]],table_DataQualities[],8,FALSE)</f>
        <v>4.0000000000000001E-3</v>
      </c>
      <c r="M416" s="10">
        <f ca="1">VLOOKUP(dict_DQ_Meth_max[[#This Row],[ID_DataQualities]],table_DataQualities[],9,FALSE)</f>
        <v>8.9999999999999993E-3</v>
      </c>
    </row>
    <row r="417" spans="1:13" x14ac:dyDescent="0.45">
      <c r="A417" s="10">
        <v>111</v>
      </c>
      <c r="B417" s="10">
        <v>204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5.8499999999999993E-3</v>
      </c>
      <c r="G417" s="12">
        <f ca="1">(RANDBETWEEN(50,100)/100)*(dict_DQ_Meth_max[[#This Row],[Vergleich_ub]]-dict_DQ_Meth_max[[#This Row],[Vergleich_lb]])+dict_DQ_Meth_max[[#This Row],[Vergleich_lb]]</f>
        <v>7.4000000000000003E-3</v>
      </c>
      <c r="H417" s="11" t="str">
        <f ca="1">VLOOKUP(VLOOKUP(dict_DQ_Meth_max[[#This Row],[ID_DataQualities]],table_DataQualities[],3),table_Units[],2)</f>
        <v>+/- cm³/s</v>
      </c>
      <c r="I417" s="10"/>
      <c r="J417" s="10"/>
      <c r="K417" s="10"/>
      <c r="L417" s="10">
        <f ca="1">VLOOKUP(dict_DQ_Meth_max[[#This Row],[ID_DataQualities]],table_DataQualities[],8,FALSE)</f>
        <v>4.0000000000000001E-3</v>
      </c>
      <c r="M417" s="10">
        <f ca="1">VLOOKUP(dict_DQ_Meth_max[[#This Row],[ID_DataQualities]],table_DataQualities[],9,FALSE)</f>
        <v>8.9999999999999993E-3</v>
      </c>
    </row>
    <row r="418" spans="1:13" x14ac:dyDescent="0.45">
      <c r="A418" s="10">
        <v>111</v>
      </c>
      <c r="B418" s="10">
        <v>680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6.1499999999999992E-3</v>
      </c>
      <c r="G418" s="12">
        <f ca="1">(RANDBETWEEN(50,100)/100)*(dict_DQ_Meth_max[[#This Row],[Vergleich_ub]]-dict_DQ_Meth_max[[#This Row],[Vergleich_lb]])+dict_DQ_Meth_max[[#This Row],[Vergleich_lb]]</f>
        <v>8.8500000000000002E-3</v>
      </c>
      <c r="H418" s="11" t="str">
        <f ca="1">VLOOKUP(VLOOKUP(dict_DQ_Meth_max[[#This Row],[ID_DataQualities]],table_DataQualities[],3),table_Units[],2)</f>
        <v>+/- cm³/s</v>
      </c>
      <c r="I418" s="10"/>
      <c r="J418" s="10"/>
      <c r="K418" s="10"/>
      <c r="L418" s="10">
        <f ca="1">VLOOKUP(dict_DQ_Meth_max[[#This Row],[ID_DataQualities]],table_DataQualities[],8,FALSE)</f>
        <v>4.0000000000000001E-3</v>
      </c>
      <c r="M418" s="10">
        <f ca="1">VLOOKUP(dict_DQ_Meth_max[[#This Row],[ID_DataQualities]],table_DataQualities[],9,FALSE)</f>
        <v>8.9999999999999993E-3</v>
      </c>
    </row>
    <row r="419" spans="1:13" x14ac:dyDescent="0.45">
      <c r="A419" s="10">
        <v>111</v>
      </c>
      <c r="B419" s="10">
        <v>6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5.7499999999999999E-3</v>
      </c>
      <c r="G419" s="12">
        <f ca="1">(RANDBETWEEN(50,100)/100)*(dict_DQ_Meth_max[[#This Row],[Vergleich_ub]]-dict_DQ_Meth_max[[#This Row],[Vergleich_lb]])+dict_DQ_Meth_max[[#This Row],[Vergleich_lb]]</f>
        <v>7.8499999999999993E-3</v>
      </c>
      <c r="H419" s="11" t="str">
        <f ca="1">VLOOKUP(VLOOKUP(dict_DQ_Meth_max[[#This Row],[ID_DataQualities]],table_DataQualities[],3),table_Units[],2)</f>
        <v>+/- cm³/s</v>
      </c>
      <c r="I419" s="10"/>
      <c r="J419" s="10"/>
      <c r="K419" s="10"/>
      <c r="L419" s="10">
        <f ca="1">VLOOKUP(dict_DQ_Meth_max[[#This Row],[ID_DataQualities]],table_DataQualities[],8,FALSE)</f>
        <v>4.0000000000000001E-3</v>
      </c>
      <c r="M419" s="10">
        <f ca="1">VLOOKUP(dict_DQ_Meth_max[[#This Row],[ID_DataQualities]],table_DataQualities[],9,FALSE)</f>
        <v>8.9999999999999993E-3</v>
      </c>
    </row>
    <row r="420" spans="1:13" x14ac:dyDescent="0.45">
      <c r="A420" s="10">
        <v>112</v>
      </c>
      <c r="B420" s="10">
        <v>152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151.52580000000003</v>
      </c>
      <c r="G420" s="12">
        <f ca="1">(RANDBETWEEN(50,100)/100)*(dict_DQ_Meth_max[[#This Row],[Vergleich_ub]]-dict_DQ_Meth_max[[#This Row],[Vergleich_lb]])+dict_DQ_Meth_max[[#This Row],[Vergleich_lb]]</f>
        <v>1210.3724000000002</v>
      </c>
      <c r="H420" s="11" t="str">
        <f ca="1">VLOOKUP(VLOOKUP(dict_DQ_Meth_max[[#This Row],[ID_DataQualities]],table_DataQualities[],3),table_Units[],2)</f>
        <v>Hz</v>
      </c>
      <c r="I420" s="10"/>
      <c r="J420" s="10"/>
      <c r="K420" s="10"/>
      <c r="L420" s="10">
        <f ca="1">VLOOKUP(dict_DQ_Meth_max[[#This Row],[ID_DataQualities]],table_DataQualities[],8,FALSE)</f>
        <v>0.26200000000000001</v>
      </c>
      <c r="M420" s="10">
        <f ca="1">VLOOKUP(dict_DQ_Meth_max[[#This Row],[ID_DataQualities]],table_DataQualities[],9,FALSE)</f>
        <v>1512.9</v>
      </c>
    </row>
    <row r="421" spans="1:13" x14ac:dyDescent="0.45">
      <c r="A421" s="10">
        <v>112</v>
      </c>
      <c r="B421" s="10">
        <v>547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529.68529999999998</v>
      </c>
      <c r="G421" s="12">
        <f ca="1">(RANDBETWEEN(50,100)/100)*(dict_DQ_Meth_max[[#This Row],[Vergleich_ub]]-dict_DQ_Meth_max[[#This Row],[Vergleich_lb]])+dict_DQ_Meth_max[[#This Row],[Vergleich_lb]]</f>
        <v>817.08652000000006</v>
      </c>
      <c r="H421" s="11" t="str">
        <f ca="1">VLOOKUP(VLOOKUP(dict_DQ_Meth_max[[#This Row],[ID_DataQualities]],table_DataQualities[],3),table_Units[],2)</f>
        <v>Hz</v>
      </c>
      <c r="I421" s="10"/>
      <c r="J421" s="10"/>
      <c r="K421" s="10"/>
      <c r="L421" s="10">
        <f ca="1">VLOOKUP(dict_DQ_Meth_max[[#This Row],[ID_DataQualities]],table_DataQualities[],8,FALSE)</f>
        <v>0.26200000000000001</v>
      </c>
      <c r="M421" s="10">
        <f ca="1">VLOOKUP(dict_DQ_Meth_max[[#This Row],[ID_DataQualities]],table_DataQualities[],9,FALSE)</f>
        <v>1512.9</v>
      </c>
    </row>
    <row r="422" spans="1:13" x14ac:dyDescent="0.45">
      <c r="A422" s="10">
        <v>112</v>
      </c>
      <c r="B422" s="10">
        <v>574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317.91598000000005</v>
      </c>
      <c r="G422" s="12">
        <f ca="1">(RANDBETWEEN(50,100)/100)*(dict_DQ_Meth_max[[#This Row],[Vergleich_ub]]-dict_DQ_Meth_max[[#This Row],[Vergleich_lb]])+dict_DQ_Meth_max[[#This Row],[Vergleich_lb]]</f>
        <v>832.2129000000001</v>
      </c>
      <c r="H422" s="11" t="str">
        <f ca="1">VLOOKUP(VLOOKUP(dict_DQ_Meth_max[[#This Row],[ID_DataQualities]],table_DataQualities[],3),table_Units[],2)</f>
        <v>Hz</v>
      </c>
      <c r="I422" s="10"/>
      <c r="J422" s="10"/>
      <c r="K422" s="10"/>
      <c r="L422" s="10">
        <f ca="1">VLOOKUP(dict_DQ_Meth_max[[#This Row],[ID_DataQualities]],table_DataQualities[],8,FALSE)</f>
        <v>0.26200000000000001</v>
      </c>
      <c r="M422" s="10">
        <f ca="1">VLOOKUP(dict_DQ_Meth_max[[#This Row],[ID_DataQualities]],table_DataQualities[],9,FALSE)</f>
        <v>1512.9</v>
      </c>
    </row>
    <row r="423" spans="1:13" x14ac:dyDescent="0.45">
      <c r="A423" s="10">
        <v>112</v>
      </c>
      <c r="B423" s="10">
        <v>181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650.69633999999996</v>
      </c>
      <c r="G423" s="12">
        <f ca="1">(RANDBETWEEN(50,100)/100)*(dict_DQ_Meth_max[[#This Row],[Vergleich_ub]]-dict_DQ_Meth_max[[#This Row],[Vergleich_lb]])+dict_DQ_Meth_max[[#This Row],[Vergleich_lb]]</f>
        <v>953.22394000000008</v>
      </c>
      <c r="H423" s="11" t="str">
        <f ca="1">VLOOKUP(VLOOKUP(dict_DQ_Meth_max[[#This Row],[ID_DataQualities]],table_DataQualities[],3),table_Units[],2)</f>
        <v>Hz</v>
      </c>
      <c r="I423" s="10"/>
      <c r="J423" s="10"/>
      <c r="K423" s="10"/>
      <c r="L423" s="10">
        <f ca="1">VLOOKUP(dict_DQ_Meth_max[[#This Row],[ID_DataQualities]],table_DataQualities[],8,FALSE)</f>
        <v>0.26200000000000001</v>
      </c>
      <c r="M423" s="10">
        <f ca="1">VLOOKUP(dict_DQ_Meth_max[[#This Row],[ID_DataQualities]],table_DataQualities[],9,FALSE)</f>
        <v>1512.9</v>
      </c>
    </row>
    <row r="424" spans="1:13" x14ac:dyDescent="0.45">
      <c r="A424" s="10">
        <v>113</v>
      </c>
      <c r="B424" s="10">
        <v>152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1.155</v>
      </c>
      <c r="G424" s="12">
        <f ca="1">(RANDBETWEEN(50,100)/100)*(dict_DQ_Meth_max[[#This Row],[Vergleich_ub]]-dict_DQ_Meth_max[[#This Row],[Vergleich_lb]])+dict_DQ_Meth_max[[#This Row],[Vergleich_lb]]</f>
        <v>1.4932000000000001</v>
      </c>
      <c r="H424" s="11" t="str">
        <f ca="1">VLOOKUP(VLOOKUP(dict_DQ_Meth_max[[#This Row],[ID_DataQualities]],table_DataQualities[],3),table_Units[],2)</f>
        <v>+/- mm/s</v>
      </c>
      <c r="I424" s="10"/>
      <c r="J424" s="10"/>
      <c r="K424" s="10"/>
      <c r="L424" s="10">
        <f ca="1">VLOOKUP(dict_DQ_Meth_max[[#This Row],[ID_DataQualities]],table_DataQualities[],8,FALSE)</f>
        <v>0.71</v>
      </c>
      <c r="M424" s="10">
        <f ca="1">VLOOKUP(dict_DQ_Meth_max[[#This Row],[ID_DataQualities]],table_DataQualities[],9,FALSE)</f>
        <v>1.6</v>
      </c>
    </row>
    <row r="425" spans="1:13" x14ac:dyDescent="0.45">
      <c r="A425" s="10">
        <v>113</v>
      </c>
      <c r="B425" s="10">
        <v>574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0.91470000000000007</v>
      </c>
      <c r="G425" s="12">
        <f ca="1">(RANDBETWEEN(50,100)/100)*(dict_DQ_Meth_max[[#This Row],[Vergleich_ub]]-dict_DQ_Meth_max[[#This Row],[Vergleich_lb]])+dict_DQ_Meth_max[[#This Row],[Vergleich_lb]]</f>
        <v>1.244</v>
      </c>
      <c r="H425" s="11" t="str">
        <f ca="1">VLOOKUP(VLOOKUP(dict_DQ_Meth_max[[#This Row],[ID_DataQualities]],table_DataQualities[],3),table_Units[],2)</f>
        <v>+/- mm/s</v>
      </c>
      <c r="I425" s="10"/>
      <c r="J425" s="10"/>
      <c r="K425" s="10"/>
      <c r="L425" s="10">
        <f ca="1">VLOOKUP(dict_DQ_Meth_max[[#This Row],[ID_DataQualities]],table_DataQualities[],8,FALSE)</f>
        <v>0.71</v>
      </c>
      <c r="M425" s="10">
        <f ca="1">VLOOKUP(dict_DQ_Meth_max[[#This Row],[ID_DataQualities]],table_DataQualities[],9,FALSE)</f>
        <v>1.6</v>
      </c>
    </row>
    <row r="426" spans="1:13" x14ac:dyDescent="0.45">
      <c r="A426" s="10">
        <v>113</v>
      </c>
      <c r="B426" s="10">
        <v>547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0.83460000000000001</v>
      </c>
      <c r="G426" s="12">
        <f ca="1">(RANDBETWEEN(50,100)/100)*(dict_DQ_Meth_max[[#This Row],[Vergleich_ub]]-dict_DQ_Meth_max[[#This Row],[Vergleich_lb]])+dict_DQ_Meth_max[[#This Row],[Vergleich_lb]]</f>
        <v>1.2084000000000001</v>
      </c>
      <c r="H426" s="11" t="str">
        <f ca="1">VLOOKUP(VLOOKUP(dict_DQ_Meth_max[[#This Row],[ID_DataQualities]],table_DataQualities[],3),table_Units[],2)</f>
        <v>+/- mm/s</v>
      </c>
      <c r="I426" s="10"/>
      <c r="J426" s="10"/>
      <c r="K426" s="10"/>
      <c r="L426" s="10">
        <f ca="1">VLOOKUP(dict_DQ_Meth_max[[#This Row],[ID_DataQualities]],table_DataQualities[],8,FALSE)</f>
        <v>0.71</v>
      </c>
      <c r="M426" s="10">
        <f ca="1">VLOOKUP(dict_DQ_Meth_max[[#This Row],[ID_DataQualities]],table_DataQualities[],9,FALSE)</f>
        <v>1.6</v>
      </c>
    </row>
    <row r="427" spans="1:13" x14ac:dyDescent="0.45">
      <c r="A427" s="10">
        <v>113</v>
      </c>
      <c r="B427" s="10">
        <v>181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0.79010000000000002</v>
      </c>
      <c r="G427" s="12">
        <f ca="1">(RANDBETWEEN(50,100)/100)*(dict_DQ_Meth_max[[#This Row],[Vergleich_ub]]-dict_DQ_Meth_max[[#This Row],[Vergleich_lb]])+dict_DQ_Meth_max[[#This Row],[Vergleich_lb]]</f>
        <v>1.5466000000000002</v>
      </c>
      <c r="H427" s="11" t="str">
        <f ca="1">VLOOKUP(VLOOKUP(dict_DQ_Meth_max[[#This Row],[ID_DataQualities]],table_DataQualities[],3),table_Units[],2)</f>
        <v>+/- mm/s</v>
      </c>
      <c r="I427" s="10"/>
      <c r="J427" s="10"/>
      <c r="K427" s="10"/>
      <c r="L427" s="10">
        <f ca="1">VLOOKUP(dict_DQ_Meth_max[[#This Row],[ID_DataQualities]],table_DataQualities[],8,FALSE)</f>
        <v>0.71</v>
      </c>
      <c r="M427" s="10">
        <f ca="1">VLOOKUP(dict_DQ_Meth_max[[#This Row],[ID_DataQualities]],table_DataQualities[],9,FALSE)</f>
        <v>1.6</v>
      </c>
    </row>
    <row r="428" spans="1:13" x14ac:dyDescent="0.45">
      <c r="A428" s="10">
        <v>114</v>
      </c>
      <c r="B428" s="10">
        <v>392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762.53956000000005</v>
      </c>
      <c r="G428" s="12">
        <f ca="1">(RANDBETWEEN(50,100)/100)*(dict_DQ_Meth_max[[#This Row],[Vergleich_ub]]-dict_DQ_Meth_max[[#This Row],[Vergleich_lb]])+dict_DQ_Meth_max[[#This Row],[Vergleich_lb]]</f>
        <v>4080.9114999999997</v>
      </c>
      <c r="H428" s="11" t="str">
        <f ca="1">VLOOKUP(VLOOKUP(dict_DQ_Meth_max[[#This Row],[ID_DataQualities]],table_DataQualities[],3),table_Units[],2)</f>
        <v>Hz</v>
      </c>
      <c r="I428" s="10"/>
      <c r="J428" s="10"/>
      <c r="K428" s="10"/>
      <c r="L428" s="10">
        <f ca="1">VLOOKUP(dict_DQ_Meth_max[[#This Row],[ID_DataQualities]],table_DataQualities[],8,FALSE)</f>
        <v>0.94599999999999995</v>
      </c>
      <c r="M428" s="10">
        <f ca="1">VLOOKUP(dict_DQ_Meth_max[[#This Row],[ID_DataQualities]],table_DataQualities[],9,FALSE)</f>
        <v>5440.9</v>
      </c>
    </row>
    <row r="429" spans="1:13" x14ac:dyDescent="0.45">
      <c r="A429" s="10">
        <v>114</v>
      </c>
      <c r="B429" s="10">
        <v>564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2503.3248399999998</v>
      </c>
      <c r="G429" s="12">
        <f ca="1">(RANDBETWEEN(50,100)/100)*(dict_DQ_Meth_max[[#This Row],[Vergleich_ub]]-dict_DQ_Meth_max[[#This Row],[Vergleich_lb]])+dict_DQ_Meth_max[[#This Row],[Vergleich_lb]]</f>
        <v>2992.9207000000001</v>
      </c>
      <c r="H429" s="11" t="str">
        <f ca="1">VLOOKUP(VLOOKUP(dict_DQ_Meth_max[[#This Row],[ID_DataQualities]],table_DataQualities[],3),table_Units[],2)</f>
        <v>Hz</v>
      </c>
      <c r="I429" s="10"/>
      <c r="J429" s="10"/>
      <c r="K429" s="10"/>
      <c r="L429" s="10">
        <f ca="1">VLOOKUP(dict_DQ_Meth_max[[#This Row],[ID_DataQualities]],table_DataQualities[],8,FALSE)</f>
        <v>0.94599999999999995</v>
      </c>
      <c r="M429" s="10">
        <f ca="1">VLOOKUP(dict_DQ_Meth_max[[#This Row],[ID_DataQualities]],table_DataQualities[],9,FALSE)</f>
        <v>5440.9</v>
      </c>
    </row>
    <row r="430" spans="1:13" x14ac:dyDescent="0.45">
      <c r="A430" s="10">
        <v>114</v>
      </c>
      <c r="B430" s="10">
        <v>8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1904.9298999999996</v>
      </c>
      <c r="G430" s="12">
        <f ca="1">(RANDBETWEEN(50,100)/100)*(dict_DQ_Meth_max[[#This Row],[Vergleich_ub]]-dict_DQ_Meth_max[[#This Row],[Vergleich_lb]])+dict_DQ_Meth_max[[#This Row],[Vergleich_lb]]</f>
        <v>4026.5119599999998</v>
      </c>
      <c r="H430" s="11" t="str">
        <f ca="1">VLOOKUP(VLOOKUP(dict_DQ_Meth_max[[#This Row],[ID_DataQualities]],table_DataQualities[],3),table_Units[],2)</f>
        <v>Hz</v>
      </c>
      <c r="I430" s="10"/>
      <c r="J430" s="10"/>
      <c r="K430" s="10"/>
      <c r="L430" s="10">
        <f ca="1">VLOOKUP(dict_DQ_Meth_max[[#This Row],[ID_DataQualities]],table_DataQualities[],8,FALSE)</f>
        <v>0.94599999999999995</v>
      </c>
      <c r="M430" s="10">
        <f ca="1">VLOOKUP(dict_DQ_Meth_max[[#This Row],[ID_DataQualities]],table_DataQualities[],9,FALSE)</f>
        <v>5440.9</v>
      </c>
    </row>
    <row r="431" spans="1:13" x14ac:dyDescent="0.45">
      <c r="A431" s="10">
        <v>115</v>
      </c>
      <c r="B431" s="10">
        <v>8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0.98799999999999999</v>
      </c>
      <c r="G431" s="12">
        <f ca="1">(RANDBETWEEN(50,100)/100)*(dict_DQ_Meth_max[[#This Row],[Vergleich_ub]]-dict_DQ_Meth_max[[#This Row],[Vergleich_lb]])+dict_DQ_Meth_max[[#This Row],[Vergleich_lb]]</f>
        <v>1.7910000000000001</v>
      </c>
      <c r="H431" s="11" t="str">
        <f ca="1">VLOOKUP(VLOOKUP(dict_DQ_Meth_max[[#This Row],[ID_DataQualities]],table_DataQualities[],3),table_Units[],2)</f>
        <v>+/- °C</v>
      </c>
      <c r="I431" s="10"/>
      <c r="J431" s="10"/>
      <c r="K431" s="10"/>
      <c r="L431" s="10">
        <f ca="1">VLOOKUP(dict_DQ_Meth_max[[#This Row],[ID_DataQualities]],table_DataQualities[],8,FALSE)</f>
        <v>0.9</v>
      </c>
      <c r="M431" s="10">
        <f ca="1">VLOOKUP(dict_DQ_Meth_max[[#This Row],[ID_DataQualities]],table_DataQualities[],9,FALSE)</f>
        <v>2</v>
      </c>
    </row>
    <row r="432" spans="1:13" x14ac:dyDescent="0.45">
      <c r="A432" s="10">
        <v>115</v>
      </c>
      <c r="B432" s="10">
        <v>564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1.34</v>
      </c>
      <c r="G432" s="12">
        <f ca="1">(RANDBETWEEN(50,100)/100)*(dict_DQ_Meth_max[[#This Row],[Vergleich_ub]]-dict_DQ_Meth_max[[#This Row],[Vergleich_lb]])+dict_DQ_Meth_max[[#This Row],[Vergleich_lb]]</f>
        <v>1.681</v>
      </c>
      <c r="H432" s="11" t="str">
        <f ca="1">VLOOKUP(VLOOKUP(dict_DQ_Meth_max[[#This Row],[ID_DataQualities]],table_DataQualities[],3),table_Units[],2)</f>
        <v>+/- °C</v>
      </c>
      <c r="I432" s="10"/>
      <c r="J432" s="10"/>
      <c r="K432" s="10"/>
      <c r="L432" s="10">
        <f ca="1">VLOOKUP(dict_DQ_Meth_max[[#This Row],[ID_DataQualities]],table_DataQualities[],8,FALSE)</f>
        <v>0.9</v>
      </c>
      <c r="M432" s="10">
        <f ca="1">VLOOKUP(dict_DQ_Meth_max[[#This Row],[ID_DataQualities]],table_DataQualities[],9,FALSE)</f>
        <v>2</v>
      </c>
    </row>
    <row r="433" spans="1:13" x14ac:dyDescent="0.45">
      <c r="A433" s="10">
        <v>115</v>
      </c>
      <c r="B433" s="10">
        <v>392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1.175</v>
      </c>
      <c r="G433" s="12">
        <f ca="1">(RANDBETWEEN(50,100)/100)*(dict_DQ_Meth_max[[#This Row],[Vergleich_ub]]-dict_DQ_Meth_max[[#This Row],[Vergleich_lb]])+dict_DQ_Meth_max[[#This Row],[Vergleich_lb]]</f>
        <v>1.4940000000000002</v>
      </c>
      <c r="H433" s="11" t="str">
        <f ca="1">VLOOKUP(VLOOKUP(dict_DQ_Meth_max[[#This Row],[ID_DataQualities]],table_DataQualities[],3),table_Units[],2)</f>
        <v>+/- °C</v>
      </c>
      <c r="I433" s="10"/>
      <c r="J433" s="10"/>
      <c r="K433" s="10"/>
      <c r="L433" s="10">
        <f ca="1">VLOOKUP(dict_DQ_Meth_max[[#This Row],[ID_DataQualities]],table_DataQualities[],8,FALSE)</f>
        <v>0.9</v>
      </c>
      <c r="M433" s="10">
        <f ca="1">VLOOKUP(dict_DQ_Meth_max[[#This Row],[ID_DataQualities]],table_DataQualities[],9,FALSE)</f>
        <v>2</v>
      </c>
    </row>
    <row r="434" spans="1:13" x14ac:dyDescent="0.45">
      <c r="A434" s="10">
        <v>116</v>
      </c>
      <c r="B434" s="10">
        <v>229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2472.4309499999999</v>
      </c>
      <c r="G434" s="12">
        <f ca="1">(RANDBETWEEN(50,100)/100)*(dict_DQ_Meth_max[[#This Row],[Vergleich_ub]]-dict_DQ_Meth_max[[#This Row],[Vergleich_lb]])+dict_DQ_Meth_max[[#This Row],[Vergleich_lb]]</f>
        <v>5677.0256999999992</v>
      </c>
      <c r="H434" s="11" t="str">
        <f ca="1">VLOOKUP(VLOOKUP(dict_DQ_Meth_max[[#This Row],[ID_DataQualities]],table_DataQualities[],3),table_Units[],2)</f>
        <v>Hz</v>
      </c>
      <c r="I434" s="10"/>
      <c r="J434" s="10"/>
      <c r="K434" s="10"/>
      <c r="L434" s="10">
        <f ca="1">VLOOKUP(dict_DQ_Meth_max[[#This Row],[ID_DataQualities]],table_DataQualities[],8,FALSE)</f>
        <v>0.315</v>
      </c>
      <c r="M434" s="10">
        <f ca="1">VLOOKUP(dict_DQ_Meth_max[[#This Row],[ID_DataQualities]],table_DataQualities[],9,FALSE)</f>
        <v>9156.2999999999993</v>
      </c>
    </row>
    <row r="435" spans="1:13" x14ac:dyDescent="0.45">
      <c r="A435" s="10">
        <v>116</v>
      </c>
      <c r="B435" s="10">
        <v>65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1190.5930499999999</v>
      </c>
      <c r="G435" s="12">
        <f ca="1">(RANDBETWEEN(50,100)/100)*(dict_DQ_Meth_max[[#This Row],[Vergleich_ub]]-dict_DQ_Meth_max[[#This Row],[Vergleich_lb]])+dict_DQ_Meth_max[[#This Row],[Vergleich_lb]]</f>
        <v>6226.3847999999989</v>
      </c>
      <c r="H435" s="11" t="str">
        <f ca="1">VLOOKUP(VLOOKUP(dict_DQ_Meth_max[[#This Row],[ID_DataQualities]],table_DataQualities[],3),table_Units[],2)</f>
        <v>Hz</v>
      </c>
      <c r="I435" s="10"/>
      <c r="J435" s="10"/>
      <c r="K435" s="10"/>
      <c r="L435" s="10">
        <f ca="1">VLOOKUP(dict_DQ_Meth_max[[#This Row],[ID_DataQualities]],table_DataQualities[],8,FALSE)</f>
        <v>0.315</v>
      </c>
      <c r="M435" s="10">
        <f ca="1">VLOOKUP(dict_DQ_Meth_max[[#This Row],[ID_DataQualities]],table_DataQualities[],9,FALSE)</f>
        <v>9156.2999999999993</v>
      </c>
    </row>
    <row r="436" spans="1:13" x14ac:dyDescent="0.45">
      <c r="A436" s="10">
        <v>116</v>
      </c>
      <c r="B436" s="10">
        <v>663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3296.4695999999994</v>
      </c>
      <c r="G436" s="12">
        <f ca="1">(RANDBETWEEN(50,100)/100)*(dict_DQ_Meth_max[[#This Row],[Vergleich_ub]]-dict_DQ_Meth_max[[#This Row],[Vergleich_lb]])+dict_DQ_Meth_max[[#This Row],[Vergleich_lb]]</f>
        <v>4669.8673499999986</v>
      </c>
      <c r="H436" s="11" t="str">
        <f ca="1">VLOOKUP(VLOOKUP(dict_DQ_Meth_max[[#This Row],[ID_DataQualities]],table_DataQualities[],3),table_Units[],2)</f>
        <v>Hz</v>
      </c>
      <c r="I436" s="10"/>
      <c r="J436" s="10"/>
      <c r="K436" s="10"/>
      <c r="L436" s="10">
        <f ca="1">VLOOKUP(dict_DQ_Meth_max[[#This Row],[ID_DataQualities]],table_DataQualities[],8,FALSE)</f>
        <v>0.315</v>
      </c>
      <c r="M436" s="10">
        <f ca="1">VLOOKUP(dict_DQ_Meth_max[[#This Row],[ID_DataQualities]],table_DataQualities[],9,FALSE)</f>
        <v>9156.2999999999993</v>
      </c>
    </row>
    <row r="437" spans="1:13" x14ac:dyDescent="0.45">
      <c r="A437" s="10">
        <v>117</v>
      </c>
      <c r="B437" s="10">
        <v>65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8.0440000000000008E-3</v>
      </c>
      <c r="G437" s="12">
        <f ca="1">(RANDBETWEEN(50,100)/100)*(dict_DQ_Meth_max[[#This Row],[Vergleich_ub]]-dict_DQ_Meth_max[[#This Row],[Vergleich_lb]])+dict_DQ_Meth_max[[#This Row],[Vergleich_lb]]</f>
        <v>1.1311999999999999E-2</v>
      </c>
      <c r="H437" s="11" t="str">
        <f ca="1">VLOOKUP(VLOOKUP(dict_DQ_Meth_max[[#This Row],[ID_DataQualities]],table_DataQualities[],3),table_Units[],2)</f>
        <v>+/- cm³/s</v>
      </c>
      <c r="I437" s="10"/>
      <c r="J437" s="10"/>
      <c r="K437" s="10"/>
      <c r="L437" s="10">
        <f ca="1">VLOOKUP(dict_DQ_Meth_max[[#This Row],[ID_DataQualities]],table_DataQualities[],8,FALSE)</f>
        <v>7.7000000000000002E-3</v>
      </c>
      <c r="M437" s="10">
        <f ca="1">VLOOKUP(dict_DQ_Meth_max[[#This Row],[ID_DataQualities]],table_DataQualities[],9,FALSE)</f>
        <v>1.2E-2</v>
      </c>
    </row>
    <row r="438" spans="1:13" x14ac:dyDescent="0.45">
      <c r="A438" s="10">
        <v>117</v>
      </c>
      <c r="B438" s="10">
        <v>229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7.9150000000000002E-3</v>
      </c>
      <c r="G438" s="12">
        <f ca="1">(RANDBETWEEN(50,100)/100)*(dict_DQ_Meth_max[[#This Row],[Vergleich_ub]]-dict_DQ_Meth_max[[#This Row],[Vergleich_lb]])+dict_DQ_Meth_max[[#This Row],[Vergleich_lb]]</f>
        <v>1.0624000000000001E-2</v>
      </c>
      <c r="H438" s="11" t="str">
        <f ca="1">VLOOKUP(VLOOKUP(dict_DQ_Meth_max[[#This Row],[ID_DataQualities]],table_DataQualities[],3),table_Units[],2)</f>
        <v>+/- cm³/s</v>
      </c>
      <c r="I438" s="10"/>
      <c r="J438" s="10"/>
      <c r="K438" s="10"/>
      <c r="L438" s="10">
        <f ca="1">VLOOKUP(dict_DQ_Meth_max[[#This Row],[ID_DataQualities]],table_DataQualities[],8,FALSE)</f>
        <v>7.7000000000000002E-3</v>
      </c>
      <c r="M438" s="10">
        <f ca="1">VLOOKUP(dict_DQ_Meth_max[[#This Row],[ID_DataQualities]],table_DataQualities[],9,FALSE)</f>
        <v>1.2E-2</v>
      </c>
    </row>
    <row r="439" spans="1:13" x14ac:dyDescent="0.45">
      <c r="A439" s="10">
        <v>117</v>
      </c>
      <c r="B439" s="10">
        <v>663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8.7320000000000002E-3</v>
      </c>
      <c r="G439" s="12">
        <f ca="1">(RANDBETWEEN(50,100)/100)*(dict_DQ_Meth_max[[#This Row],[Vergleich_ub]]-dict_DQ_Meth_max[[#This Row],[Vergleich_lb]])+dict_DQ_Meth_max[[#This Row],[Vergleich_lb]]</f>
        <v>1.0451999999999999E-2</v>
      </c>
      <c r="H439" s="11" t="str">
        <f ca="1">VLOOKUP(VLOOKUP(dict_DQ_Meth_max[[#This Row],[ID_DataQualities]],table_DataQualities[],3),table_Units[],2)</f>
        <v>+/- cm³/s</v>
      </c>
      <c r="I439" s="10"/>
      <c r="J439" s="10"/>
      <c r="K439" s="10"/>
      <c r="L439" s="10">
        <f ca="1">VLOOKUP(dict_DQ_Meth_max[[#This Row],[ID_DataQualities]],table_DataQualities[],8,FALSE)</f>
        <v>7.7000000000000002E-3</v>
      </c>
      <c r="M439" s="10">
        <f ca="1">VLOOKUP(dict_DQ_Meth_max[[#This Row],[ID_DataQualities]],table_DataQualities[],9,FALSE)</f>
        <v>1.2E-2</v>
      </c>
    </row>
    <row r="440" spans="1:13" x14ac:dyDescent="0.45">
      <c r="A440" s="10">
        <v>118</v>
      </c>
      <c r="B440" s="10">
        <v>381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1925.0432499999999</v>
      </c>
      <c r="G440" s="12">
        <f ca="1">(RANDBETWEEN(50,100)/100)*(dict_DQ_Meth_max[[#This Row],[Vergleich_ub]]-dict_DQ_Meth_max[[#This Row],[Vergleich_lb]])+dict_DQ_Meth_max[[#This Row],[Vergleich_lb]]</f>
        <v>7281.0592500000002</v>
      </c>
      <c r="H440" s="11" t="str">
        <f ca="1">VLOOKUP(VLOOKUP(dict_DQ_Meth_max[[#This Row],[ID_DataQualities]],table_DataQualities[],3),table_Units[],2)</f>
        <v>Hz</v>
      </c>
      <c r="I440" s="10"/>
      <c r="J440" s="10"/>
      <c r="K440" s="10"/>
      <c r="L440" s="10">
        <f ca="1">VLOOKUP(dict_DQ_Meth_max[[#This Row],[ID_DataQualities]],table_DataQualities[],8,FALSE)</f>
        <v>0.22500000000000001</v>
      </c>
      <c r="M440" s="10">
        <f ca="1">VLOOKUP(dict_DQ_Meth_max[[#This Row],[ID_DataQualities]],table_DataQualities[],9,FALSE)</f>
        <v>8369</v>
      </c>
    </row>
    <row r="441" spans="1:13" x14ac:dyDescent="0.45">
      <c r="A441" s="10">
        <v>118</v>
      </c>
      <c r="B441" s="10">
        <v>368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4100.9247500000001</v>
      </c>
      <c r="G441" s="12">
        <f ca="1">(RANDBETWEEN(50,100)/100)*(dict_DQ_Meth_max[[#This Row],[Vergleich_ub]]-dict_DQ_Meth_max[[#This Row],[Vergleich_lb]])+dict_DQ_Meth_max[[#This Row],[Vergleich_lb]]</f>
        <v>6025.7429999999995</v>
      </c>
      <c r="H441" s="11" t="str">
        <f ca="1">VLOOKUP(VLOOKUP(dict_DQ_Meth_max[[#This Row],[ID_DataQualities]],table_DataQualities[],3),table_Units[],2)</f>
        <v>Hz</v>
      </c>
      <c r="I441" s="10"/>
      <c r="J441" s="10"/>
      <c r="K441" s="10"/>
      <c r="L441" s="10">
        <f ca="1">VLOOKUP(dict_DQ_Meth_max[[#This Row],[ID_DataQualities]],table_DataQualities[],8,FALSE)</f>
        <v>0.22500000000000001</v>
      </c>
      <c r="M441" s="10">
        <f ca="1">VLOOKUP(dict_DQ_Meth_max[[#This Row],[ID_DataQualities]],table_DataQualities[],9,FALSE)</f>
        <v>8369</v>
      </c>
    </row>
    <row r="442" spans="1:13" x14ac:dyDescent="0.45">
      <c r="A442" s="10">
        <v>118</v>
      </c>
      <c r="B442" s="10">
        <v>101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2678.2329999999997</v>
      </c>
      <c r="G442" s="12">
        <f ca="1">(RANDBETWEEN(50,100)/100)*(dict_DQ_Meth_max[[#This Row],[Vergleich_ub]]-dict_DQ_Meth_max[[#This Row],[Vergleich_lb]])+dict_DQ_Meth_max[[#This Row],[Vergleich_lb]]</f>
        <v>4937.8022499999997</v>
      </c>
      <c r="H442" s="11" t="str">
        <f ca="1">VLOOKUP(VLOOKUP(dict_DQ_Meth_max[[#This Row],[ID_DataQualities]],table_DataQualities[],3),table_Units[],2)</f>
        <v>Hz</v>
      </c>
      <c r="I442" s="10"/>
      <c r="J442" s="10"/>
      <c r="K442" s="10"/>
      <c r="L442" s="10">
        <f ca="1">VLOOKUP(dict_DQ_Meth_max[[#This Row],[ID_DataQualities]],table_DataQualities[],8,FALSE)</f>
        <v>0.22500000000000001</v>
      </c>
      <c r="M442" s="10">
        <f ca="1">VLOOKUP(dict_DQ_Meth_max[[#This Row],[ID_DataQualities]],table_DataQualities[],9,FALSE)</f>
        <v>8369</v>
      </c>
    </row>
    <row r="443" spans="1:13" x14ac:dyDescent="0.45">
      <c r="A443" s="10">
        <v>118</v>
      </c>
      <c r="B443" s="10">
        <v>678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2343.482</v>
      </c>
      <c r="G443" s="12">
        <f ca="1">(RANDBETWEEN(50,100)/100)*(dict_DQ_Meth_max[[#This Row],[Vergleich_ub]]-dict_DQ_Meth_max[[#This Row],[Vergleich_lb]])+dict_DQ_Meth_max[[#This Row],[Vergleich_lb]]</f>
        <v>5774.6797499999993</v>
      </c>
      <c r="H443" s="11" t="str">
        <f ca="1">VLOOKUP(VLOOKUP(dict_DQ_Meth_max[[#This Row],[ID_DataQualities]],table_DataQualities[],3),table_Units[],2)</f>
        <v>Hz</v>
      </c>
      <c r="I443" s="10"/>
      <c r="J443" s="10"/>
      <c r="K443" s="10"/>
      <c r="L443" s="10">
        <f ca="1">VLOOKUP(dict_DQ_Meth_max[[#This Row],[ID_DataQualities]],table_DataQualities[],8,FALSE)</f>
        <v>0.22500000000000001</v>
      </c>
      <c r="M443" s="10">
        <f ca="1">VLOOKUP(dict_DQ_Meth_max[[#This Row],[ID_DataQualities]],table_DataQualities[],9,FALSE)</f>
        <v>8369</v>
      </c>
    </row>
    <row r="444" spans="1:13" x14ac:dyDescent="0.45">
      <c r="A444" s="10">
        <v>118</v>
      </c>
      <c r="B444" s="10">
        <v>206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4100.9247500000001</v>
      </c>
      <c r="G444" s="12">
        <f ca="1">(RANDBETWEEN(50,100)/100)*(dict_DQ_Meth_max[[#This Row],[Vergleich_ub]]-dict_DQ_Meth_max[[#This Row],[Vergleich_lb]])+dict_DQ_Meth_max[[#This Row],[Vergleich_lb]]</f>
        <v>7615.8102500000005</v>
      </c>
      <c r="H444" s="11" t="str">
        <f ca="1">VLOOKUP(VLOOKUP(dict_DQ_Meth_max[[#This Row],[ID_DataQualities]],table_DataQualities[],3),table_Units[],2)</f>
        <v>Hz</v>
      </c>
      <c r="I444" s="10"/>
      <c r="J444" s="10"/>
      <c r="K444" s="10"/>
      <c r="L444" s="10">
        <f ca="1">VLOOKUP(dict_DQ_Meth_max[[#This Row],[ID_DataQualities]],table_DataQualities[],8,FALSE)</f>
        <v>0.22500000000000001</v>
      </c>
      <c r="M444" s="10">
        <f ca="1">VLOOKUP(dict_DQ_Meth_max[[#This Row],[ID_DataQualities]],table_DataQualities[],9,FALSE)</f>
        <v>8369</v>
      </c>
    </row>
    <row r="445" spans="1:13" x14ac:dyDescent="0.45">
      <c r="A445" s="10">
        <v>118</v>
      </c>
      <c r="B445" s="10">
        <v>185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2176.1064999999999</v>
      </c>
      <c r="G445" s="12">
        <f ca="1">(RANDBETWEEN(50,100)/100)*(dict_DQ_Meth_max[[#This Row],[Vergleich_ub]]-dict_DQ_Meth_max[[#This Row],[Vergleich_lb]])+dict_DQ_Meth_max[[#This Row],[Vergleich_lb]]</f>
        <v>6862.6205</v>
      </c>
      <c r="H445" s="11" t="str">
        <f ca="1">VLOOKUP(VLOOKUP(dict_DQ_Meth_max[[#This Row],[ID_DataQualities]],table_DataQualities[],3),table_Units[],2)</f>
        <v>Hz</v>
      </c>
      <c r="I445" s="10"/>
      <c r="J445" s="10"/>
      <c r="K445" s="10"/>
      <c r="L445" s="10">
        <f ca="1">VLOOKUP(dict_DQ_Meth_max[[#This Row],[ID_DataQualities]],table_DataQualities[],8,FALSE)</f>
        <v>0.22500000000000001</v>
      </c>
      <c r="M445" s="10">
        <f ca="1">VLOOKUP(dict_DQ_Meth_max[[#This Row],[ID_DataQualities]],table_DataQualities[],9,FALSE)</f>
        <v>8369</v>
      </c>
    </row>
    <row r="446" spans="1:13" x14ac:dyDescent="0.45">
      <c r="A446" s="10">
        <v>119</v>
      </c>
      <c r="B446" s="10">
        <v>101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227.1</v>
      </c>
      <c r="G446" s="12">
        <f ca="1">(RANDBETWEEN(50,100)/100)*(dict_DQ_Meth_max[[#This Row],[Vergleich_ub]]-dict_DQ_Meth_max[[#This Row],[Vergleich_lb]])+dict_DQ_Meth_max[[#This Row],[Vergleich_lb]]</f>
        <v>1199.82</v>
      </c>
      <c r="H446" s="11" t="str">
        <f ca="1">VLOOKUP(VLOOKUP(dict_DQ_Meth_max[[#This Row],[ID_DataQualities]],table_DataQualities[],3),table_Units[],2)</f>
        <v>bit</v>
      </c>
      <c r="I446" s="10"/>
      <c r="J446" s="10"/>
      <c r="K446" s="10"/>
      <c r="L446" s="10">
        <f ca="1">VLOOKUP(dict_DQ_Meth_max[[#This Row],[ID_DataQualities]],table_DataQualities[],8,FALSE)</f>
        <v>92</v>
      </c>
      <c r="M446" s="10">
        <f ca="1">VLOOKUP(dict_DQ_Meth_max[[#This Row],[ID_DataQualities]],table_DataQualities[],9,FALSE)</f>
        <v>1443</v>
      </c>
    </row>
    <row r="447" spans="1:13" x14ac:dyDescent="0.45">
      <c r="A447" s="10">
        <v>119</v>
      </c>
      <c r="B447" s="10">
        <v>206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321.67</v>
      </c>
      <c r="G447" s="12">
        <f ca="1">(RANDBETWEEN(50,100)/100)*(dict_DQ_Meth_max[[#This Row],[Vergleich_ub]]-dict_DQ_Meth_max[[#This Row],[Vergleich_lb]])+dict_DQ_Meth_max[[#This Row],[Vergleich_lb]]</f>
        <v>956.64</v>
      </c>
      <c r="H447" s="11" t="str">
        <f ca="1">VLOOKUP(VLOOKUP(dict_DQ_Meth_max[[#This Row],[ID_DataQualities]],table_DataQualities[],3),table_Units[],2)</f>
        <v>bit</v>
      </c>
      <c r="I447" s="10"/>
      <c r="J447" s="10"/>
      <c r="K447" s="10"/>
      <c r="L447" s="10">
        <f ca="1">VLOOKUP(dict_DQ_Meth_max[[#This Row],[ID_DataQualities]],table_DataQualities[],8,FALSE)</f>
        <v>92</v>
      </c>
      <c r="M447" s="10">
        <f ca="1">VLOOKUP(dict_DQ_Meth_max[[#This Row],[ID_DataQualities]],table_DataQualities[],9,FALSE)</f>
        <v>1443</v>
      </c>
    </row>
    <row r="448" spans="1:13" x14ac:dyDescent="0.45">
      <c r="A448" s="10">
        <v>119</v>
      </c>
      <c r="B448" s="10">
        <v>368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92</v>
      </c>
      <c r="G448" s="12">
        <f ca="1">(RANDBETWEEN(50,100)/100)*(dict_DQ_Meth_max[[#This Row],[Vergleich_ub]]-dict_DQ_Meth_max[[#This Row],[Vergleich_lb]])+dict_DQ_Meth_max[[#This Row],[Vergleich_lb]]</f>
        <v>1253.8599999999999</v>
      </c>
      <c r="H448" s="11" t="str">
        <f ca="1">VLOOKUP(VLOOKUP(dict_DQ_Meth_max[[#This Row],[ID_DataQualities]],table_DataQualities[],3),table_Units[],2)</f>
        <v>bit</v>
      </c>
      <c r="I448" s="10"/>
      <c r="J448" s="10"/>
      <c r="K448" s="10"/>
      <c r="L448" s="10">
        <f ca="1">VLOOKUP(dict_DQ_Meth_max[[#This Row],[ID_DataQualities]],table_DataQualities[],8,FALSE)</f>
        <v>92</v>
      </c>
      <c r="M448" s="10">
        <f ca="1">VLOOKUP(dict_DQ_Meth_max[[#This Row],[ID_DataQualities]],table_DataQualities[],9,FALSE)</f>
        <v>1443</v>
      </c>
    </row>
    <row r="449" spans="1:13" x14ac:dyDescent="0.45">
      <c r="A449" s="10">
        <v>119</v>
      </c>
      <c r="B449" s="10">
        <v>678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740.48</v>
      </c>
      <c r="G449" s="12">
        <f ca="1">(RANDBETWEEN(50,100)/100)*(dict_DQ_Meth_max[[#This Row],[Vergleich_ub]]-dict_DQ_Meth_max[[#This Row],[Vergleich_lb]])+dict_DQ_Meth_max[[#This Row],[Vergleich_lb]]</f>
        <v>943.13</v>
      </c>
      <c r="H449" s="11" t="str">
        <f ca="1">VLOOKUP(VLOOKUP(dict_DQ_Meth_max[[#This Row],[ID_DataQualities]],table_DataQualities[],3),table_Units[],2)</f>
        <v>bit</v>
      </c>
      <c r="I449" s="10"/>
      <c r="J449" s="10"/>
      <c r="K449" s="10"/>
      <c r="L449" s="10">
        <f ca="1">VLOOKUP(dict_DQ_Meth_max[[#This Row],[ID_DataQualities]],table_DataQualities[],8,FALSE)</f>
        <v>92</v>
      </c>
      <c r="M449" s="10">
        <f ca="1">VLOOKUP(dict_DQ_Meth_max[[#This Row],[ID_DataQualities]],table_DataQualities[],9,FALSE)</f>
        <v>1443</v>
      </c>
    </row>
    <row r="450" spans="1:13" x14ac:dyDescent="0.45">
      <c r="A450" s="10">
        <v>119</v>
      </c>
      <c r="B450" s="10">
        <v>185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753.99</v>
      </c>
      <c r="G450" s="12">
        <f ca="1">(RANDBETWEEN(50,100)/100)*(dict_DQ_Meth_max[[#This Row],[Vergleich_ub]]-dict_DQ_Meth_max[[#This Row],[Vergleich_lb]])+dict_DQ_Meth_max[[#This Row],[Vergleich_lb]]</f>
        <v>1280.8800000000001</v>
      </c>
      <c r="H450" s="11" t="str">
        <f ca="1">VLOOKUP(VLOOKUP(dict_DQ_Meth_max[[#This Row],[ID_DataQualities]],table_DataQualities[],3),table_Units[],2)</f>
        <v>bit</v>
      </c>
      <c r="I450" s="10"/>
      <c r="J450" s="10"/>
      <c r="K450" s="10"/>
      <c r="L450" s="10">
        <f ca="1">VLOOKUP(dict_DQ_Meth_max[[#This Row],[ID_DataQualities]],table_DataQualities[],8,FALSE)</f>
        <v>92</v>
      </c>
      <c r="M450" s="10">
        <f ca="1">VLOOKUP(dict_DQ_Meth_max[[#This Row],[ID_DataQualities]],table_DataQualities[],9,FALSE)</f>
        <v>1443</v>
      </c>
    </row>
    <row r="451" spans="1:13" x14ac:dyDescent="0.45">
      <c r="A451" s="10">
        <v>119</v>
      </c>
      <c r="B451" s="10">
        <v>381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173.06</v>
      </c>
      <c r="G451" s="12">
        <f ca="1">(RANDBETWEEN(50,100)/100)*(dict_DQ_Meth_max[[#This Row],[Vergleich_ub]]-dict_DQ_Meth_max[[#This Row],[Vergleich_lb]])+dict_DQ_Meth_max[[#This Row],[Vergleich_lb]]</f>
        <v>1132.27</v>
      </c>
      <c r="H451" s="11" t="str">
        <f ca="1">VLOOKUP(VLOOKUP(dict_DQ_Meth_max[[#This Row],[ID_DataQualities]],table_DataQualities[],3),table_Units[],2)</f>
        <v>bit</v>
      </c>
      <c r="I451" s="10"/>
      <c r="J451" s="10"/>
      <c r="K451" s="10"/>
      <c r="L451" s="10">
        <f ca="1">VLOOKUP(dict_DQ_Meth_max[[#This Row],[ID_DataQualities]],table_DataQualities[],8,FALSE)</f>
        <v>92</v>
      </c>
      <c r="M451" s="10">
        <f ca="1">VLOOKUP(dict_DQ_Meth_max[[#This Row],[ID_DataQualities]],table_DataQualities[],9,FALSE)</f>
        <v>1443</v>
      </c>
    </row>
    <row r="452" spans="1:13" x14ac:dyDescent="0.45">
      <c r="A452" s="10">
        <v>120</v>
      </c>
      <c r="B452" s="10">
        <v>11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1545.69282</v>
      </c>
      <c r="G452" s="12">
        <f ca="1">(RANDBETWEEN(50,100)/100)*(dict_DQ_Meth_max[[#This Row],[Vergleich_ub]]-dict_DQ_Meth_max[[#This Row],[Vergleich_lb]])+dict_DQ_Meth_max[[#This Row],[Vergleich_lb]]</f>
        <v>2630.3388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0.89400000000000002</v>
      </c>
      <c r="M452" s="10">
        <f ca="1">VLOOKUP(dict_DQ_Meth_max[[#This Row],[ID_DataQualities]],table_DataQualities[],9,FALSE)</f>
        <v>3287.7</v>
      </c>
    </row>
    <row r="453" spans="1:13" x14ac:dyDescent="0.45">
      <c r="A453" s="10">
        <v>120</v>
      </c>
      <c r="B453" s="10">
        <v>553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954.06773999999996</v>
      </c>
      <c r="G453" s="12">
        <f ca="1">(RANDBETWEEN(50,100)/100)*(dict_DQ_Meth_max[[#This Row],[Vergleich_ub]]-dict_DQ_Meth_max[[#This Row],[Vergleich_lb]])+dict_DQ_Meth_max[[#This Row],[Vergleich_lb]]</f>
        <v>2038.71372</v>
      </c>
      <c r="H453" s="11" t="str">
        <f ca="1">VLOOKUP(VLOOKUP(dict_DQ_Meth_max[[#This Row],[ID_DataQualities]],table_DataQualities[],3),table_Units[],2)</f>
        <v>Hz</v>
      </c>
      <c r="I453" s="10"/>
      <c r="J453" s="10"/>
      <c r="K453" s="10"/>
      <c r="L453" s="10">
        <f ca="1">VLOOKUP(dict_DQ_Meth_max[[#This Row],[ID_DataQualities]],table_DataQualities[],8,FALSE)</f>
        <v>0.89400000000000002</v>
      </c>
      <c r="M453" s="10">
        <f ca="1">VLOOKUP(dict_DQ_Meth_max[[#This Row],[ID_DataQualities]],table_DataQualities[],9,FALSE)</f>
        <v>3287.7</v>
      </c>
    </row>
    <row r="454" spans="1:13" x14ac:dyDescent="0.45">
      <c r="A454" s="10">
        <v>121</v>
      </c>
      <c r="B454" s="10">
        <v>11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2.0032899999999998</v>
      </c>
      <c r="G454" s="12">
        <f ca="1">(RANDBETWEEN(50,100)/100)*(dict_DQ_Meth_max[[#This Row],[Vergleich_ub]]-dict_DQ_Meth_max[[#This Row],[Vergleich_lb]])+dict_DQ_Meth_max[[#This Row],[Vergleich_lb]]</f>
        <v>2.6814999999999998</v>
      </c>
      <c r="H454" s="11" t="str">
        <f ca="1">VLOOKUP(VLOOKUP(dict_DQ_Meth_max[[#This Row],[ID_DataQualities]],table_DataQualities[],3),table_Units[],2)</f>
        <v>+/- mm</v>
      </c>
      <c r="I454" s="10"/>
      <c r="J454" s="10"/>
      <c r="K454" s="10"/>
      <c r="L454" s="10">
        <f ca="1">VLOOKUP(dict_DQ_Meth_max[[#This Row],[ID_DataQualities]],table_DataQualities[],8,FALSE)</f>
        <v>7.2999999999999995E-2</v>
      </c>
      <c r="M454" s="10">
        <f ca="1">VLOOKUP(dict_DQ_Meth_max[[#This Row],[ID_DataQualities]],table_DataQualities[],9,FALSE)</f>
        <v>5.29</v>
      </c>
    </row>
    <row r="455" spans="1:13" x14ac:dyDescent="0.45">
      <c r="A455" s="10">
        <v>121</v>
      </c>
      <c r="B455" s="10">
        <v>553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0.5946999999999999</v>
      </c>
      <c r="G455" s="12">
        <f ca="1">(RANDBETWEEN(50,100)/100)*(dict_DQ_Meth_max[[#This Row],[Vergleich_ub]]-dict_DQ_Meth_max[[#This Row],[Vergleich_lb]])+dict_DQ_Meth_max[[#This Row],[Vergleich_lb]]</f>
        <v>3.7770699999999997</v>
      </c>
      <c r="H455" s="11" t="str">
        <f ca="1">VLOOKUP(VLOOKUP(dict_DQ_Meth_max[[#This Row],[ID_DataQualities]],table_DataQualities[],3),table_Units[],2)</f>
        <v>+/- mm</v>
      </c>
      <c r="I455" s="10"/>
      <c r="J455" s="10"/>
      <c r="K455" s="10"/>
      <c r="L455" s="10">
        <f ca="1">VLOOKUP(dict_DQ_Meth_max[[#This Row],[ID_DataQualities]],table_DataQualities[],8,FALSE)</f>
        <v>7.2999999999999995E-2</v>
      </c>
      <c r="M455" s="10">
        <f ca="1">VLOOKUP(dict_DQ_Meth_max[[#This Row],[ID_DataQualities]],table_DataQualities[],9,FALSE)</f>
        <v>5.29</v>
      </c>
    </row>
    <row r="456" spans="1:13" x14ac:dyDescent="0.45">
      <c r="A456" s="10">
        <v>122</v>
      </c>
      <c r="B456" s="10">
        <v>274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66.503060000000005</v>
      </c>
      <c r="G456" s="12">
        <f ca="1">(RANDBETWEEN(50,100)/100)*(dict_DQ_Meth_max[[#This Row],[Vergleich_ub]]-dict_DQ_Meth_max[[#This Row],[Vergleich_lb]])+dict_DQ_Meth_max[[#This Row],[Vergleich_lb]]</f>
        <v>1856.76668</v>
      </c>
      <c r="H456" s="11" t="str">
        <f ca="1">VLOOKUP(VLOOKUP(dict_DQ_Meth_max[[#This Row],[ID_DataQualities]],table_DataQualities[],3),table_Units[],2)</f>
        <v>Hz</v>
      </c>
      <c r="I456" s="10"/>
      <c r="J456" s="10"/>
      <c r="K456" s="10"/>
      <c r="L456" s="10">
        <f ca="1">VLOOKUP(dict_DQ_Meth_max[[#This Row],[ID_DataQualities]],table_DataQualities[],8,FALSE)</f>
        <v>0.19700000000000001</v>
      </c>
      <c r="M456" s="10">
        <f ca="1">VLOOKUP(dict_DQ_Meth_max[[#This Row],[ID_DataQualities]],table_DataQualities[],9,FALSE)</f>
        <v>3315.5</v>
      </c>
    </row>
    <row r="457" spans="1:13" x14ac:dyDescent="0.45">
      <c r="A457" s="10">
        <v>122</v>
      </c>
      <c r="B457" s="10">
        <v>626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99.656089999999992</v>
      </c>
      <c r="G457" s="12">
        <f ca="1">(RANDBETWEEN(50,100)/100)*(dict_DQ_Meth_max[[#This Row],[Vergleich_ub]]-dict_DQ_Meth_max[[#This Row],[Vergleich_lb]])+dict_DQ_Meth_max[[#This Row],[Vergleich_lb]]</f>
        <v>2088.8378900000002</v>
      </c>
      <c r="H457" s="11" t="str">
        <f ca="1">VLOOKUP(VLOOKUP(dict_DQ_Meth_max[[#This Row],[ID_DataQualities]],table_DataQualities[],3),table_Units[],2)</f>
        <v>Hz</v>
      </c>
      <c r="I457" s="10"/>
      <c r="J457" s="10"/>
      <c r="K457" s="10"/>
      <c r="L457" s="10">
        <f ca="1">VLOOKUP(dict_DQ_Meth_max[[#This Row],[ID_DataQualities]],table_DataQualities[],8,FALSE)</f>
        <v>0.19700000000000001</v>
      </c>
      <c r="M457" s="10">
        <f ca="1">VLOOKUP(dict_DQ_Meth_max[[#This Row],[ID_DataQualities]],table_DataQualities[],9,FALSE)</f>
        <v>3315.5</v>
      </c>
    </row>
    <row r="458" spans="1:13" x14ac:dyDescent="0.45">
      <c r="A458" s="10">
        <v>122</v>
      </c>
      <c r="B458" s="10">
        <v>0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464.33942000000002</v>
      </c>
      <c r="G458" s="12">
        <f ca="1">(RANDBETWEEN(50,100)/100)*(dict_DQ_Meth_max[[#This Row],[Vergleich_ub]]-dict_DQ_Meth_max[[#This Row],[Vergleich_lb]])+dict_DQ_Meth_max[[#This Row],[Vergleich_lb]]</f>
        <v>2685.5924300000001</v>
      </c>
      <c r="H458" s="11" t="str">
        <f ca="1">VLOOKUP(VLOOKUP(dict_DQ_Meth_max[[#This Row],[ID_DataQualities]],table_DataQualities[],3),table_Units[],2)</f>
        <v>Hz</v>
      </c>
      <c r="I458" s="10"/>
      <c r="J458" s="10"/>
      <c r="K458" s="10"/>
      <c r="L458" s="10">
        <f ca="1">VLOOKUP(dict_DQ_Meth_max[[#This Row],[ID_DataQualities]],table_DataQualities[],8,FALSE)</f>
        <v>0.19700000000000001</v>
      </c>
      <c r="M458" s="10">
        <f ca="1">VLOOKUP(dict_DQ_Meth_max[[#This Row],[ID_DataQualities]],table_DataQualities[],9,FALSE)</f>
        <v>3315.5</v>
      </c>
    </row>
    <row r="459" spans="1:13" x14ac:dyDescent="0.45">
      <c r="A459" s="10">
        <v>123</v>
      </c>
      <c r="B459" s="10">
        <v>0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4.607759999999999</v>
      </c>
      <c r="G459" s="12">
        <f ca="1">(RANDBETWEEN(50,100)/100)*(dict_DQ_Meth_max[[#This Row],[Vergleich_ub]]-dict_DQ_Meth_max[[#This Row],[Vergleich_lb]])+dict_DQ_Meth_max[[#This Row],[Vergleich_lb]]</f>
        <v>8.9313599999999997</v>
      </c>
      <c r="H459" s="11" t="str">
        <f ca="1">VLOOKUP(VLOOKUP(dict_DQ_Meth_max[[#This Row],[ID_DataQualities]],table_DataQualities[],3),table_Units[],2)</f>
        <v>+/- W</v>
      </c>
      <c r="I459" s="10"/>
      <c r="J459" s="10"/>
      <c r="K459" s="10"/>
      <c r="L459" s="10">
        <f ca="1">VLOOKUP(dict_DQ_Meth_max[[#This Row],[ID_DataQualities]],table_DataQualities[],8,FALSE)</f>
        <v>9.1999999999999998E-2</v>
      </c>
      <c r="M459" s="10">
        <f ca="1">VLOOKUP(dict_DQ_Meth_max[[#This Row],[ID_DataQualities]],table_DataQualities[],9,FALSE)</f>
        <v>9.6999999999999993</v>
      </c>
    </row>
    <row r="460" spans="1:13" x14ac:dyDescent="0.45">
      <c r="A460" s="10">
        <v>123</v>
      </c>
      <c r="B460" s="10">
        <v>626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1.43712</v>
      </c>
      <c r="G460" s="12">
        <f ca="1">(RANDBETWEEN(50,100)/100)*(dict_DQ_Meth_max[[#This Row],[Vergleich_ub]]-dict_DQ_Meth_max[[#This Row],[Vergleich_lb]])+dict_DQ_Meth_max[[#This Row],[Vergleich_lb]]</f>
        <v>8.5470399999999991</v>
      </c>
      <c r="H460" s="11" t="str">
        <f ca="1">VLOOKUP(VLOOKUP(dict_DQ_Meth_max[[#This Row],[ID_DataQualities]],table_DataQualities[],3),table_Units[],2)</f>
        <v>+/- W</v>
      </c>
      <c r="I460" s="10"/>
      <c r="J460" s="10"/>
      <c r="K460" s="10"/>
      <c r="L460" s="10">
        <f ca="1">VLOOKUP(dict_DQ_Meth_max[[#This Row],[ID_DataQualities]],table_DataQualities[],8,FALSE)</f>
        <v>9.1999999999999998E-2</v>
      </c>
      <c r="M460" s="10">
        <f ca="1">VLOOKUP(dict_DQ_Meth_max[[#This Row],[ID_DataQualities]],table_DataQualities[],9,FALSE)</f>
        <v>9.6999999999999993</v>
      </c>
    </row>
    <row r="461" spans="1:13" x14ac:dyDescent="0.45">
      <c r="A461" s="10">
        <v>123</v>
      </c>
      <c r="B461" s="10">
        <v>274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0.66847999999999985</v>
      </c>
      <c r="G461" s="12">
        <f ca="1">(RANDBETWEEN(50,100)/100)*(dict_DQ_Meth_max[[#This Row],[Vergleich_ub]]-dict_DQ_Meth_max[[#This Row],[Vergleich_lb]])+dict_DQ_Meth_max[[#This Row],[Vergleich_lb]]</f>
        <v>7.0097599999999982</v>
      </c>
      <c r="H461" s="11" t="str">
        <f ca="1">VLOOKUP(VLOOKUP(dict_DQ_Meth_max[[#This Row],[ID_DataQualities]],table_DataQualities[],3),table_Units[],2)</f>
        <v>+/- W</v>
      </c>
      <c r="I461" s="10"/>
      <c r="J461" s="10"/>
      <c r="K461" s="10"/>
      <c r="L461" s="10">
        <f ca="1">VLOOKUP(dict_DQ_Meth_max[[#This Row],[ID_DataQualities]],table_DataQualities[],8,FALSE)</f>
        <v>9.1999999999999998E-2</v>
      </c>
      <c r="M461" s="10">
        <f ca="1">VLOOKUP(dict_DQ_Meth_max[[#This Row],[ID_DataQualities]],table_DataQualities[],9,FALSE)</f>
        <v>9.6999999999999993</v>
      </c>
    </row>
    <row r="462" spans="1:13" x14ac:dyDescent="0.45">
      <c r="A462" s="10">
        <v>124</v>
      </c>
      <c r="B462" s="10">
        <v>294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2106.48911</v>
      </c>
      <c r="G462" s="12">
        <f ca="1">(RANDBETWEEN(50,100)/100)*(dict_DQ_Meth_max[[#This Row],[Vergleich_ub]]-dict_DQ_Meth_max[[#This Row],[Vergleich_lb]])+dict_DQ_Meth_max[[#This Row],[Vergleich_lb]]</f>
        <v>4680.2227999999996</v>
      </c>
      <c r="H462" s="11" t="str">
        <f ca="1">VLOOKUP(VLOOKUP(dict_DQ_Meth_max[[#This Row],[ID_DataQualities]],table_DataQualities[],3),table_Units[],2)</f>
        <v>Hz</v>
      </c>
      <c r="I462" s="10"/>
      <c r="J462" s="10"/>
      <c r="K462" s="10"/>
      <c r="L462" s="10">
        <f ca="1">VLOOKUP(dict_DQ_Meth_max[[#This Row],[ID_DataQualities]],table_DataQualities[],8,FALSE)</f>
        <v>0.70699999999999996</v>
      </c>
      <c r="M462" s="10">
        <f ca="1">VLOOKUP(dict_DQ_Meth_max[[#This Row],[ID_DataQualities]],table_DataQualities[],9,FALSE)</f>
        <v>7799.9</v>
      </c>
    </row>
    <row r="463" spans="1:13" x14ac:dyDescent="0.45">
      <c r="A463" s="10">
        <v>124</v>
      </c>
      <c r="B463" s="10">
        <v>425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2496.4487599999998</v>
      </c>
      <c r="G463" s="12">
        <f ca="1">(RANDBETWEEN(50,100)/100)*(dict_DQ_Meth_max[[#This Row],[Vergleich_ub]]-dict_DQ_Meth_max[[#This Row],[Vergleich_lb]])+dict_DQ_Meth_max[[#This Row],[Vergleich_lb]]</f>
        <v>7565.9242099999992</v>
      </c>
      <c r="H463" s="11" t="str">
        <f ca="1">VLOOKUP(VLOOKUP(dict_DQ_Meth_max[[#This Row],[ID_DataQualities]],table_DataQualities[],3),table_Units[],2)</f>
        <v>Hz</v>
      </c>
      <c r="I463" s="10"/>
      <c r="J463" s="10"/>
      <c r="K463" s="10"/>
      <c r="L463" s="10">
        <f ca="1">VLOOKUP(dict_DQ_Meth_max[[#This Row],[ID_DataQualities]],table_DataQualities[],8,FALSE)</f>
        <v>0.70699999999999996</v>
      </c>
      <c r="M463" s="10">
        <f ca="1">VLOOKUP(dict_DQ_Meth_max[[#This Row],[ID_DataQualities]],table_DataQualities[],9,FALSE)</f>
        <v>7799.9</v>
      </c>
    </row>
    <row r="464" spans="1:13" x14ac:dyDescent="0.45">
      <c r="A464" s="10">
        <v>124</v>
      </c>
      <c r="B464" s="10">
        <v>61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3510.3438499999997</v>
      </c>
      <c r="G464" s="12">
        <f ca="1">(RANDBETWEEN(50,100)/100)*(dict_DQ_Meth_max[[#This Row],[Vergleich_ub]]-dict_DQ_Meth_max[[#This Row],[Vergleich_lb]])+dict_DQ_Meth_max[[#This Row],[Vergleich_lb]]</f>
        <v>4290.2631500000007</v>
      </c>
      <c r="H464" s="11" t="str">
        <f ca="1">VLOOKUP(VLOOKUP(dict_DQ_Meth_max[[#This Row],[ID_DataQualities]],table_DataQualities[],3),table_Units[],2)</f>
        <v>Hz</v>
      </c>
      <c r="I464" s="10"/>
      <c r="J464" s="10"/>
      <c r="K464" s="10"/>
      <c r="L464" s="10">
        <f ca="1">VLOOKUP(dict_DQ_Meth_max[[#This Row],[ID_DataQualities]],table_DataQualities[],8,FALSE)</f>
        <v>0.70699999999999996</v>
      </c>
      <c r="M464" s="10">
        <f ca="1">VLOOKUP(dict_DQ_Meth_max[[#This Row],[ID_DataQualities]],table_DataQualities[],9,FALSE)</f>
        <v>7799.9</v>
      </c>
    </row>
    <row r="465" spans="1:13" x14ac:dyDescent="0.45">
      <c r="A465" s="10">
        <v>124</v>
      </c>
      <c r="B465" s="10">
        <v>601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3822.3115699999994</v>
      </c>
      <c r="G465" s="12">
        <f ca="1">(RANDBETWEEN(50,100)/100)*(dict_DQ_Meth_max[[#This Row],[Vergleich_ub]]-dict_DQ_Meth_max[[#This Row],[Vergleich_lb]])+dict_DQ_Meth_max[[#This Row],[Vergleich_lb]]</f>
        <v>7409.9403499999989</v>
      </c>
      <c r="H465" s="11" t="str">
        <f ca="1">VLOOKUP(VLOOKUP(dict_DQ_Meth_max[[#This Row],[ID_DataQualities]],table_DataQualities[],3),table_Units[],2)</f>
        <v>Hz</v>
      </c>
      <c r="I465" s="10"/>
      <c r="J465" s="10"/>
      <c r="K465" s="10"/>
      <c r="L465" s="10">
        <f ca="1">VLOOKUP(dict_DQ_Meth_max[[#This Row],[ID_DataQualities]],table_DataQualities[],8,FALSE)</f>
        <v>0.70699999999999996</v>
      </c>
      <c r="M465" s="10">
        <f ca="1">VLOOKUP(dict_DQ_Meth_max[[#This Row],[ID_DataQualities]],table_DataQualities[],9,FALSE)</f>
        <v>7799.9</v>
      </c>
    </row>
    <row r="466" spans="1:13" x14ac:dyDescent="0.45">
      <c r="A466" s="10">
        <v>124</v>
      </c>
      <c r="B466" s="10">
        <v>455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2028.4971800000001</v>
      </c>
      <c r="G466" s="12">
        <f ca="1">(RANDBETWEEN(50,100)/100)*(dict_DQ_Meth_max[[#This Row],[Vergleich_ub]]-dict_DQ_Meth_max[[#This Row],[Vergleich_lb]])+dict_DQ_Meth_max[[#This Row],[Vergleich_lb]]</f>
        <v>7175.9645600000003</v>
      </c>
      <c r="H466" s="11" t="str">
        <f ca="1">VLOOKUP(VLOOKUP(dict_DQ_Meth_max[[#This Row],[ID_DataQualities]],table_DataQualities[],3),table_Units[],2)</f>
        <v>Hz</v>
      </c>
      <c r="I466" s="10"/>
      <c r="J466" s="10"/>
      <c r="K466" s="10"/>
      <c r="L466" s="10">
        <f ca="1">VLOOKUP(dict_DQ_Meth_max[[#This Row],[ID_DataQualities]],table_DataQualities[],8,FALSE)</f>
        <v>0.70699999999999996</v>
      </c>
      <c r="M466" s="10">
        <f ca="1">VLOOKUP(dict_DQ_Meth_max[[#This Row],[ID_DataQualities]],table_DataQualities[],9,FALSE)</f>
        <v>7799.9</v>
      </c>
    </row>
    <row r="467" spans="1:13" x14ac:dyDescent="0.45">
      <c r="A467" s="10">
        <v>125</v>
      </c>
      <c r="B467" s="10">
        <v>294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0.25919200000000003</v>
      </c>
      <c r="G467" s="12">
        <f ca="1">(RANDBETWEEN(50,100)/100)*(dict_DQ_Meth_max[[#This Row],[Vergleich_ub]]-dict_DQ_Meth_max[[#This Row],[Vergleich_lb]])+dict_DQ_Meth_max[[#This Row],[Vergleich_lb]]</f>
        <v>0.46864800000000001</v>
      </c>
      <c r="H467" s="11" t="str">
        <f ca="1">VLOOKUP(VLOOKUP(dict_DQ_Meth_max[[#This Row],[ID_DataQualities]],table_DataQualities[],3),table_Units[],2)</f>
        <v>+/- cm³/s</v>
      </c>
      <c r="I467" s="10"/>
      <c r="J467" s="10"/>
      <c r="K467" s="10"/>
      <c r="L467" s="10">
        <f ca="1">VLOOKUP(dict_DQ_Meth_max[[#This Row],[ID_DataQualities]],table_DataQualities[],8,FALSE)</f>
        <v>1.4E-3</v>
      </c>
      <c r="M467" s="10">
        <f ca="1">VLOOKUP(dict_DQ_Meth_max[[#This Row],[ID_DataQualities]],table_DataQualities[],9,FALSE)</f>
        <v>0.80700000000000005</v>
      </c>
    </row>
    <row r="468" spans="1:13" x14ac:dyDescent="0.45">
      <c r="A468" s="10">
        <v>125</v>
      </c>
      <c r="B468" s="10">
        <v>455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3.3624000000000001E-2</v>
      </c>
      <c r="G468" s="12">
        <f ca="1">(RANDBETWEEN(50,100)/100)*(dict_DQ_Meth_max[[#This Row],[Vergleich_ub]]-dict_DQ_Meth_max[[#This Row],[Vergleich_lb]])+dict_DQ_Meth_max[[#This Row],[Vergleich_lb]]</f>
        <v>0.76671999999999996</v>
      </c>
      <c r="H468" s="11" t="str">
        <f ca="1">VLOOKUP(VLOOKUP(dict_DQ_Meth_max[[#This Row],[ID_DataQualities]],table_DataQualities[],3),table_Units[],2)</f>
        <v>+/- cm³/s</v>
      </c>
      <c r="I468" s="10"/>
      <c r="J468" s="10"/>
      <c r="K468" s="10"/>
      <c r="L468" s="10">
        <f ca="1">VLOOKUP(dict_DQ_Meth_max[[#This Row],[ID_DataQualities]],table_DataQualities[],8,FALSE)</f>
        <v>1.4E-3</v>
      </c>
      <c r="M468" s="10">
        <f ca="1">VLOOKUP(dict_DQ_Meth_max[[#This Row],[ID_DataQualities]],table_DataQualities[],9,FALSE)</f>
        <v>0.80700000000000005</v>
      </c>
    </row>
    <row r="469" spans="1:13" x14ac:dyDescent="0.45">
      <c r="A469" s="10">
        <v>125</v>
      </c>
      <c r="B469" s="10">
        <v>425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0.39614400000000005</v>
      </c>
      <c r="G469" s="12">
        <f ca="1">(RANDBETWEEN(50,100)/100)*(dict_DQ_Meth_max[[#This Row],[Vergleich_ub]]-dict_DQ_Meth_max[[#This Row],[Vergleich_lb]])+dict_DQ_Meth_max[[#This Row],[Vergleich_lb]]</f>
        <v>0.67004799999999998</v>
      </c>
      <c r="H469" s="11" t="str">
        <f ca="1">VLOOKUP(VLOOKUP(dict_DQ_Meth_max[[#This Row],[ID_DataQualities]],table_DataQualities[],3),table_Units[],2)</f>
        <v>+/- cm³/s</v>
      </c>
      <c r="I469" s="10"/>
      <c r="J469" s="10"/>
      <c r="K469" s="10"/>
      <c r="L469" s="10">
        <f ca="1">VLOOKUP(dict_DQ_Meth_max[[#This Row],[ID_DataQualities]],table_DataQualities[],8,FALSE)</f>
        <v>1.4E-3</v>
      </c>
      <c r="M469" s="10">
        <f ca="1">VLOOKUP(dict_DQ_Meth_max[[#This Row],[ID_DataQualities]],table_DataQualities[],9,FALSE)</f>
        <v>0.80700000000000005</v>
      </c>
    </row>
    <row r="470" spans="1:13" x14ac:dyDescent="0.45">
      <c r="A470" s="10">
        <v>125</v>
      </c>
      <c r="B470" s="10">
        <v>601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0.17863200000000004</v>
      </c>
      <c r="G470" s="12">
        <f ca="1">(RANDBETWEEN(50,100)/100)*(dict_DQ_Meth_max[[#This Row],[Vergleich_ub]]-dict_DQ_Meth_max[[#This Row],[Vergleich_lb]])+dict_DQ_Meth_max[[#This Row],[Vergleich_lb]]</f>
        <v>0.65393600000000007</v>
      </c>
      <c r="H470" s="11" t="str">
        <f ca="1">VLOOKUP(VLOOKUP(dict_DQ_Meth_max[[#This Row],[ID_DataQualities]],table_DataQualities[],3),table_Units[],2)</f>
        <v>+/- cm³/s</v>
      </c>
      <c r="I470" s="10"/>
      <c r="J470" s="10"/>
      <c r="K470" s="10"/>
      <c r="L470" s="10">
        <f ca="1">VLOOKUP(dict_DQ_Meth_max[[#This Row],[ID_DataQualities]],table_DataQualities[],8,FALSE)</f>
        <v>1.4E-3</v>
      </c>
      <c r="M470" s="10">
        <f ca="1">VLOOKUP(dict_DQ_Meth_max[[#This Row],[ID_DataQualities]],table_DataQualities[],9,FALSE)</f>
        <v>0.80700000000000005</v>
      </c>
    </row>
    <row r="471" spans="1:13" x14ac:dyDescent="0.45">
      <c r="A471" s="10">
        <v>125</v>
      </c>
      <c r="B471" s="10">
        <v>61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0.39614400000000005</v>
      </c>
      <c r="G471" s="12">
        <f ca="1">(RANDBETWEEN(50,100)/100)*(dict_DQ_Meth_max[[#This Row],[Vergleich_ub]]-dict_DQ_Meth_max[[#This Row],[Vergleich_lb]])+dict_DQ_Meth_max[[#This Row],[Vergleich_lb]]</f>
        <v>0.68615999999999999</v>
      </c>
      <c r="H471" s="11" t="str">
        <f ca="1">VLOOKUP(VLOOKUP(dict_DQ_Meth_max[[#This Row],[ID_DataQualities]],table_DataQualities[],3),table_Units[],2)</f>
        <v>+/- cm³/s</v>
      </c>
      <c r="I471" s="10"/>
      <c r="J471" s="10"/>
      <c r="K471" s="10"/>
      <c r="L471" s="10">
        <f ca="1">VLOOKUP(dict_DQ_Meth_max[[#This Row],[ID_DataQualities]],table_DataQualities[],8,FALSE)</f>
        <v>1.4E-3</v>
      </c>
      <c r="M471" s="10">
        <f ca="1">VLOOKUP(dict_DQ_Meth_max[[#This Row],[ID_DataQualities]],table_DataQualities[],9,FALSE)</f>
        <v>0.80700000000000005</v>
      </c>
    </row>
    <row r="472" spans="1:13" x14ac:dyDescent="0.45">
      <c r="A472" s="10">
        <v>126</v>
      </c>
      <c r="B472" s="10">
        <v>262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372.95580000000001</v>
      </c>
      <c r="G472" s="12">
        <f ca="1">(RANDBETWEEN(50,100)/100)*(dict_DQ_Meth_max[[#This Row],[Vergleich_ub]]-dict_DQ_Meth_max[[#This Row],[Vergleich_lb]])+dict_DQ_Meth_max[[#This Row],[Vergleich_lb]]</f>
        <v>3442.7048999999997</v>
      </c>
      <c r="H472" s="11" t="str">
        <f ca="1">VLOOKUP(VLOOKUP(dict_DQ_Meth_max[[#This Row],[ID_DataQualities]],table_DataQualities[],3),table_Units[],2)</f>
        <v>Hz</v>
      </c>
      <c r="I472" s="10"/>
      <c r="J472" s="10"/>
      <c r="K472" s="10"/>
      <c r="L472" s="10">
        <f ca="1">VLOOKUP(dict_DQ_Meth_max[[#This Row],[ID_DataQualities]],table_DataQualities[],8,FALSE)</f>
        <v>0.86499999999999999</v>
      </c>
      <c r="M472" s="10">
        <f ca="1">VLOOKUP(dict_DQ_Meth_max[[#This Row],[ID_DataQualities]],table_DataQualities[],9,FALSE)</f>
        <v>4652</v>
      </c>
    </row>
    <row r="473" spans="1:13" x14ac:dyDescent="0.45">
      <c r="A473" s="10">
        <v>126</v>
      </c>
      <c r="B473" s="10">
        <v>566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745.04660000000001</v>
      </c>
      <c r="G473" s="12">
        <f ca="1">(RANDBETWEEN(50,100)/100)*(dict_DQ_Meth_max[[#This Row],[Vergleich_ub]]-dict_DQ_Meth_max[[#This Row],[Vergleich_lb]])+dict_DQ_Meth_max[[#This Row],[Vergleich_lb]]</f>
        <v>4372.9318999999996</v>
      </c>
      <c r="H473" s="11" t="str">
        <f ca="1">VLOOKUP(VLOOKUP(dict_DQ_Meth_max[[#This Row],[ID_DataQualities]],table_DataQualities[],3),table_Units[],2)</f>
        <v>Hz</v>
      </c>
      <c r="I473" s="10"/>
      <c r="J473" s="10"/>
      <c r="K473" s="10"/>
      <c r="L473" s="10">
        <f ca="1">VLOOKUP(dict_DQ_Meth_max[[#This Row],[ID_DataQualities]],table_DataQualities[],8,FALSE)</f>
        <v>0.86499999999999999</v>
      </c>
      <c r="M473" s="10">
        <f ca="1">VLOOKUP(dict_DQ_Meth_max[[#This Row],[ID_DataQualities]],table_DataQualities[],9,FALSE)</f>
        <v>4652</v>
      </c>
    </row>
    <row r="474" spans="1:13" x14ac:dyDescent="0.45">
      <c r="A474" s="10">
        <v>126</v>
      </c>
      <c r="B474" s="10">
        <v>648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1070.6260500000001</v>
      </c>
      <c r="G474" s="12">
        <f ca="1">(RANDBETWEEN(50,100)/100)*(dict_DQ_Meth_max[[#This Row],[Vergleich_ub]]-dict_DQ_Meth_max[[#This Row],[Vergleich_lb]])+dict_DQ_Meth_max[[#This Row],[Vergleich_lb]]</f>
        <v>3582.2389499999999</v>
      </c>
      <c r="H474" s="11" t="str">
        <f ca="1">VLOOKUP(VLOOKUP(dict_DQ_Meth_max[[#This Row],[ID_DataQualities]],table_DataQualities[],3),table_Units[],2)</f>
        <v>Hz</v>
      </c>
      <c r="I474" s="10"/>
      <c r="J474" s="10"/>
      <c r="K474" s="10"/>
      <c r="L474" s="10">
        <f ca="1">VLOOKUP(dict_DQ_Meth_max[[#This Row],[ID_DataQualities]],table_DataQualities[],8,FALSE)</f>
        <v>0.86499999999999999</v>
      </c>
      <c r="M474" s="10">
        <f ca="1">VLOOKUP(dict_DQ_Meth_max[[#This Row],[ID_DataQualities]],table_DataQualities[],9,FALSE)</f>
        <v>4652</v>
      </c>
    </row>
    <row r="475" spans="1:13" x14ac:dyDescent="0.45">
      <c r="A475" s="10">
        <v>126</v>
      </c>
      <c r="B475" s="10">
        <v>73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0.86499999999999999</v>
      </c>
      <c r="G475" s="12">
        <f ca="1">(RANDBETWEEN(50,100)/100)*(dict_DQ_Meth_max[[#This Row],[Vergleich_ub]]-dict_DQ_Meth_max[[#This Row],[Vergleich_lb]])+dict_DQ_Meth_max[[#This Row],[Vergleich_lb]]</f>
        <v>3861.3070499999999</v>
      </c>
      <c r="H475" s="11" t="str">
        <f ca="1">VLOOKUP(VLOOKUP(dict_DQ_Meth_max[[#This Row],[ID_DataQualities]],table_DataQualities[],3),table_Units[],2)</f>
        <v>Hz</v>
      </c>
      <c r="I475" s="10"/>
      <c r="J475" s="10"/>
      <c r="K475" s="10"/>
      <c r="L475" s="10">
        <f ca="1">VLOOKUP(dict_DQ_Meth_max[[#This Row],[ID_DataQualities]],table_DataQualities[],8,FALSE)</f>
        <v>0.86499999999999999</v>
      </c>
      <c r="M475" s="10">
        <f ca="1">VLOOKUP(dict_DQ_Meth_max[[#This Row],[ID_DataQualities]],table_DataQualities[],9,FALSE)</f>
        <v>4652</v>
      </c>
    </row>
    <row r="476" spans="1:13" x14ac:dyDescent="0.45">
      <c r="A476" s="10">
        <v>127</v>
      </c>
      <c r="B476" s="10">
        <v>566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7.9948000000000005E-2</v>
      </c>
      <c r="G476" s="12">
        <f ca="1">(RANDBETWEEN(50,100)/100)*(dict_DQ_Meth_max[[#This Row],[Vergleich_ub]]-dict_DQ_Meth_max[[#This Row],[Vergleich_lb]])+dict_DQ_Meth_max[[#This Row],[Vergleich_lb]]</f>
        <v>0.114796</v>
      </c>
      <c r="H476" s="11" t="str">
        <f ca="1">VLOOKUP(VLOOKUP(dict_DQ_Meth_max[[#This Row],[ID_DataQualities]],table_DataQualities[],3),table_Units[],2)</f>
        <v>+/- cm³/s</v>
      </c>
      <c r="I476" s="10"/>
      <c r="J476" s="10"/>
      <c r="K476" s="10"/>
      <c r="L476" s="10">
        <f ca="1">VLOOKUP(dict_DQ_Meth_max[[#This Row],[ID_DataQualities]],table_DataQualities[],8,FALSE)</f>
        <v>8.8000000000000005E-3</v>
      </c>
      <c r="M476" s="10">
        <f ca="1">VLOOKUP(dict_DQ_Meth_max[[#This Row],[ID_DataQualities]],table_DataQualities[],9,FALSE)</f>
        <v>0.154</v>
      </c>
    </row>
    <row r="477" spans="1:13" x14ac:dyDescent="0.45">
      <c r="A477" s="10">
        <v>127</v>
      </c>
      <c r="B477" s="10">
        <v>262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3.9292000000000001E-2</v>
      </c>
      <c r="G477" s="12">
        <f ca="1">(RANDBETWEEN(50,100)/100)*(dict_DQ_Meth_max[[#This Row],[Vergleich_ub]]-dict_DQ_Meth_max[[#This Row],[Vergleich_lb]])+dict_DQ_Meth_max[[#This Row],[Vergleich_lb]]</f>
        <v>0.11915199999999999</v>
      </c>
      <c r="H477" s="11" t="str">
        <f ca="1">VLOOKUP(VLOOKUP(dict_DQ_Meth_max[[#This Row],[ID_DataQualities]],table_DataQualities[],3),table_Units[],2)</f>
        <v>+/- cm³/s</v>
      </c>
      <c r="I477" s="10"/>
      <c r="J477" s="10"/>
      <c r="K477" s="10"/>
      <c r="L477" s="10">
        <f ca="1">VLOOKUP(dict_DQ_Meth_max[[#This Row],[ID_DataQualities]],table_DataQualities[],8,FALSE)</f>
        <v>8.8000000000000005E-3</v>
      </c>
      <c r="M477" s="10">
        <f ca="1">VLOOKUP(dict_DQ_Meth_max[[#This Row],[ID_DataQualities]],table_DataQualities[],9,FALSE)</f>
        <v>0.154</v>
      </c>
    </row>
    <row r="478" spans="1:13" x14ac:dyDescent="0.45">
      <c r="A478" s="10">
        <v>127</v>
      </c>
      <c r="B478" s="10">
        <v>648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2.1867999999999999E-2</v>
      </c>
      <c r="G478" s="12">
        <f ca="1">(RANDBETWEEN(50,100)/100)*(dict_DQ_Meth_max[[#This Row],[Vergleich_ub]]-dict_DQ_Meth_max[[#This Row],[Vergleich_lb]])+dict_DQ_Meth_max[[#This Row],[Vergleich_lb]]</f>
        <v>0.130768</v>
      </c>
      <c r="H478" s="11" t="str">
        <f ca="1">VLOOKUP(VLOOKUP(dict_DQ_Meth_max[[#This Row],[ID_DataQualities]],table_DataQualities[],3),table_Units[],2)</f>
        <v>+/- cm³/s</v>
      </c>
      <c r="I478" s="10"/>
      <c r="J478" s="10"/>
      <c r="K478" s="10"/>
      <c r="L478" s="10">
        <f ca="1">VLOOKUP(dict_DQ_Meth_max[[#This Row],[ID_DataQualities]],table_DataQualities[],8,FALSE)</f>
        <v>8.8000000000000005E-3</v>
      </c>
      <c r="M478" s="10">
        <f ca="1">VLOOKUP(dict_DQ_Meth_max[[#This Row],[ID_DataQualities]],table_DataQualities[],9,FALSE)</f>
        <v>0.154</v>
      </c>
    </row>
    <row r="479" spans="1:13" x14ac:dyDescent="0.45">
      <c r="A479" s="10">
        <v>127</v>
      </c>
      <c r="B479" s="10">
        <v>73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1.6060000000000001E-2</v>
      </c>
      <c r="G479" s="12">
        <f ca="1">(RANDBETWEEN(50,100)/100)*(dict_DQ_Meth_max[[#This Row],[Vergleich_ub]]-dict_DQ_Meth_max[[#This Row],[Vergleich_lb]])+dict_DQ_Meth_max[[#This Row],[Vergleich_lb]]</f>
        <v>9.5919999999999991E-2</v>
      </c>
      <c r="H479" s="11" t="str">
        <f ca="1">VLOOKUP(VLOOKUP(dict_DQ_Meth_max[[#This Row],[ID_DataQualities]],table_DataQualities[],3),table_Units[],2)</f>
        <v>+/- cm³/s</v>
      </c>
      <c r="I479" s="10"/>
      <c r="J479" s="10"/>
      <c r="K479" s="10"/>
      <c r="L479" s="10">
        <f ca="1">VLOOKUP(dict_DQ_Meth_max[[#This Row],[ID_DataQualities]],table_DataQualities[],8,FALSE)</f>
        <v>8.8000000000000005E-3</v>
      </c>
      <c r="M479" s="10">
        <f ca="1">VLOOKUP(dict_DQ_Meth_max[[#This Row],[ID_DataQualities]],table_DataQualities[],9,FALSE)</f>
        <v>0.154</v>
      </c>
    </row>
    <row r="480" spans="1:13" x14ac:dyDescent="0.45">
      <c r="A480" s="10">
        <v>128</v>
      </c>
      <c r="B480" s="10">
        <v>174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1583.5331799999999</v>
      </c>
      <c r="G480" s="12">
        <f ca="1">(RANDBETWEEN(50,100)/100)*(dict_DQ_Meth_max[[#This Row],[Vergleich_ub]]-dict_DQ_Meth_max[[#This Row],[Vergleich_lb]])+dict_DQ_Meth_max[[#This Row],[Vergleich_lb]]</f>
        <v>5056.82222</v>
      </c>
      <c r="H480" s="11" t="str">
        <f ca="1">VLOOKUP(VLOOKUP(dict_DQ_Meth_max[[#This Row],[ID_DataQualities]],table_DataQualities[],3),table_Units[],2)</f>
        <v>Hz</v>
      </c>
      <c r="I480" s="10"/>
      <c r="J480" s="10"/>
      <c r="K480" s="10"/>
      <c r="L480" s="10">
        <f ca="1">VLOOKUP(dict_DQ_Meth_max[[#This Row],[ID_DataQualities]],table_DataQualities[],8,FALSE)</f>
        <v>0.122</v>
      </c>
      <c r="M480" s="10">
        <f ca="1">VLOOKUP(dict_DQ_Meth_max[[#This Row],[ID_DataQualities]],table_DataQualities[],9,FALSE)</f>
        <v>5107.8999999999996</v>
      </c>
    </row>
    <row r="481" spans="1:13" x14ac:dyDescent="0.45">
      <c r="A481" s="10">
        <v>128</v>
      </c>
      <c r="B481" s="10">
        <v>110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306.58867999999995</v>
      </c>
      <c r="G481" s="12">
        <f ca="1">(RANDBETWEEN(50,100)/100)*(dict_DQ_Meth_max[[#This Row],[Vergleich_ub]]-dict_DQ_Meth_max[[#This Row],[Vergleich_lb]])+dict_DQ_Meth_max[[#This Row],[Vergleich_lb]]</f>
        <v>4392.8110799999995</v>
      </c>
      <c r="H481" s="11" t="str">
        <f ca="1">VLOOKUP(VLOOKUP(dict_DQ_Meth_max[[#This Row],[ID_DataQualities]],table_DataQualities[],3),table_Units[],2)</f>
        <v>Hz</v>
      </c>
      <c r="I481" s="10"/>
      <c r="J481" s="10"/>
      <c r="K481" s="10"/>
      <c r="L481" s="10">
        <f ca="1">VLOOKUP(dict_DQ_Meth_max[[#This Row],[ID_DataQualities]],table_DataQualities[],8,FALSE)</f>
        <v>0.122</v>
      </c>
      <c r="M481" s="10">
        <f ca="1">VLOOKUP(dict_DQ_Meth_max[[#This Row],[ID_DataQualities]],table_DataQualities[],9,FALSE)</f>
        <v>5107.8999999999996</v>
      </c>
    </row>
    <row r="482" spans="1:13" x14ac:dyDescent="0.45">
      <c r="A482" s="10">
        <v>128</v>
      </c>
      <c r="B482" s="10">
        <v>226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2349.6998799999997</v>
      </c>
      <c r="G482" s="12">
        <f ca="1">(RANDBETWEEN(50,100)/100)*(dict_DQ_Meth_max[[#This Row],[Vergleich_ub]]-dict_DQ_Meth_max[[#This Row],[Vergleich_lb]])+dict_DQ_Meth_max[[#This Row],[Vergleich_lb]]</f>
        <v>2860.47768</v>
      </c>
      <c r="H482" s="11" t="str">
        <f ca="1">VLOOKUP(VLOOKUP(dict_DQ_Meth_max[[#This Row],[ID_DataQualities]],table_DataQualities[],3),table_Units[],2)</f>
        <v>Hz</v>
      </c>
      <c r="I482" s="10"/>
      <c r="J482" s="10"/>
      <c r="K482" s="10"/>
      <c r="L482" s="10">
        <f ca="1">VLOOKUP(dict_DQ_Meth_max[[#This Row],[ID_DataQualities]],table_DataQualities[],8,FALSE)</f>
        <v>0.122</v>
      </c>
      <c r="M482" s="10">
        <f ca="1">VLOOKUP(dict_DQ_Meth_max[[#This Row],[ID_DataQualities]],table_DataQualities[],9,FALSE)</f>
        <v>5107.8999999999996</v>
      </c>
    </row>
    <row r="483" spans="1:13" x14ac:dyDescent="0.45">
      <c r="A483" s="10">
        <v>128</v>
      </c>
      <c r="B483" s="10">
        <v>332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2502.9332199999994</v>
      </c>
      <c r="G483" s="12">
        <f ca="1">(RANDBETWEEN(50,100)/100)*(dict_DQ_Meth_max[[#This Row],[Vergleich_ub]]-dict_DQ_Meth_max[[#This Row],[Vergleich_lb]])+dict_DQ_Meth_max[[#This Row],[Vergleich_lb]]</f>
        <v>3984.1888399999993</v>
      </c>
      <c r="H483" s="11" t="str">
        <f ca="1">VLOOKUP(VLOOKUP(dict_DQ_Meth_max[[#This Row],[ID_DataQualities]],table_DataQualities[],3),table_Units[],2)</f>
        <v>Hz</v>
      </c>
      <c r="I483" s="10"/>
      <c r="J483" s="10"/>
      <c r="K483" s="10"/>
      <c r="L483" s="10">
        <f ca="1">VLOOKUP(dict_DQ_Meth_max[[#This Row],[ID_DataQualities]],table_DataQualities[],8,FALSE)</f>
        <v>0.122</v>
      </c>
      <c r="M483" s="10">
        <f ca="1">VLOOKUP(dict_DQ_Meth_max[[#This Row],[ID_DataQualities]],table_DataQualities[],9,FALSE)</f>
        <v>5107.8999999999996</v>
      </c>
    </row>
    <row r="484" spans="1:13" x14ac:dyDescent="0.45">
      <c r="A484" s="10">
        <v>128</v>
      </c>
      <c r="B484" s="10">
        <v>649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919.52203999999983</v>
      </c>
      <c r="G484" s="12">
        <f ca="1">(RANDBETWEEN(50,100)/100)*(dict_DQ_Meth_max[[#This Row],[Vergleich_ub]]-dict_DQ_Meth_max[[#This Row],[Vergleich_lb]])+dict_DQ_Meth_max[[#This Row],[Vergleich_lb]]</f>
        <v>2911.5554599999991</v>
      </c>
      <c r="H484" s="11" t="str">
        <f ca="1">VLOOKUP(VLOOKUP(dict_DQ_Meth_max[[#This Row],[ID_DataQualities]],table_DataQualities[],3),table_Units[],2)</f>
        <v>Hz</v>
      </c>
      <c r="I484" s="10"/>
      <c r="J484" s="10"/>
      <c r="K484" s="10"/>
      <c r="L484" s="10">
        <f ca="1">VLOOKUP(dict_DQ_Meth_max[[#This Row],[ID_DataQualities]],table_DataQualities[],8,FALSE)</f>
        <v>0.122</v>
      </c>
      <c r="M484" s="10">
        <f ca="1">VLOOKUP(dict_DQ_Meth_max[[#This Row],[ID_DataQualities]],table_DataQualities[],9,FALSE)</f>
        <v>5107.8999999999996</v>
      </c>
    </row>
    <row r="485" spans="1:13" x14ac:dyDescent="0.45">
      <c r="A485" s="10">
        <v>129</v>
      </c>
      <c r="B485" s="10">
        <v>174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5.2299999999999995</v>
      </c>
      <c r="G485" s="12">
        <f ca="1">(RANDBETWEEN(50,100)/100)*(dict_DQ_Meth_max[[#This Row],[Vergleich_ub]]-dict_DQ_Meth_max[[#This Row],[Vergleich_lb]])+dict_DQ_Meth_max[[#This Row],[Vergleich_lb]]</f>
        <v>8.4751999999999992</v>
      </c>
      <c r="H485" s="11" t="str">
        <f ca="1">VLOOKUP(VLOOKUP(dict_DQ_Meth_max[[#This Row],[ID_DataQualities]],table_DataQualities[],3),table_Units[],2)</f>
        <v>+/- mm/s</v>
      </c>
      <c r="I485" s="10"/>
      <c r="J485" s="10"/>
      <c r="K485" s="10"/>
      <c r="L485" s="10">
        <f ca="1">VLOOKUP(dict_DQ_Meth_max[[#This Row],[ID_DataQualities]],table_DataQualities[],8,FALSE)</f>
        <v>0.96</v>
      </c>
      <c r="M485" s="10">
        <f ca="1">VLOOKUP(dict_DQ_Meth_max[[#This Row],[ID_DataQualities]],table_DataQualities[],9,FALSE)</f>
        <v>9.5</v>
      </c>
    </row>
    <row r="486" spans="1:13" x14ac:dyDescent="0.45">
      <c r="A486" s="10">
        <v>129</v>
      </c>
      <c r="B486" s="10">
        <v>226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3.8635999999999999</v>
      </c>
      <c r="G486" s="12">
        <f ca="1">(RANDBETWEEN(50,100)/100)*(dict_DQ_Meth_max[[#This Row],[Vergleich_ub]]-dict_DQ_Meth_max[[#This Row],[Vergleich_lb]])+dict_DQ_Meth_max[[#This Row],[Vergleich_lb]]</f>
        <v>8.4751999999999992</v>
      </c>
      <c r="H486" s="11" t="str">
        <f ca="1">VLOOKUP(VLOOKUP(dict_DQ_Meth_max[[#This Row],[ID_DataQualities]],table_DataQualities[],3),table_Units[],2)</f>
        <v>+/- mm/s</v>
      </c>
      <c r="I486" s="10"/>
      <c r="J486" s="10"/>
      <c r="K486" s="10"/>
      <c r="L486" s="10">
        <f ca="1">VLOOKUP(dict_DQ_Meth_max[[#This Row],[ID_DataQualities]],table_DataQualities[],8,FALSE)</f>
        <v>0.96</v>
      </c>
      <c r="M486" s="10">
        <f ca="1">VLOOKUP(dict_DQ_Meth_max[[#This Row],[ID_DataQualities]],table_DataQualities[],9,FALSE)</f>
        <v>9.5</v>
      </c>
    </row>
    <row r="487" spans="1:13" x14ac:dyDescent="0.45">
      <c r="A487" s="10">
        <v>129</v>
      </c>
      <c r="B487" s="10">
        <v>332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1.8994</v>
      </c>
      <c r="G487" s="12">
        <f ca="1">(RANDBETWEEN(50,100)/100)*(dict_DQ_Meth_max[[#This Row],[Vergleich_ub]]-dict_DQ_Meth_max[[#This Row],[Vergleich_lb]])+dict_DQ_Meth_max[[#This Row],[Vergleich_lb]]</f>
        <v>5.7423999999999999</v>
      </c>
      <c r="H487" s="11" t="str">
        <f ca="1">VLOOKUP(VLOOKUP(dict_DQ_Meth_max[[#This Row],[ID_DataQualities]],table_DataQualities[],3),table_Units[],2)</f>
        <v>+/- mm/s</v>
      </c>
      <c r="I487" s="10"/>
      <c r="J487" s="10"/>
      <c r="K487" s="10"/>
      <c r="L487" s="10">
        <f ca="1">VLOOKUP(dict_DQ_Meth_max[[#This Row],[ID_DataQualities]],table_DataQualities[],8,FALSE)</f>
        <v>0.96</v>
      </c>
      <c r="M487" s="10">
        <f ca="1">VLOOKUP(dict_DQ_Meth_max[[#This Row],[ID_DataQualities]],table_DataQualities[],9,FALSE)</f>
        <v>9.5</v>
      </c>
    </row>
    <row r="488" spans="1:13" x14ac:dyDescent="0.45">
      <c r="A488" s="10">
        <v>129</v>
      </c>
      <c r="B488" s="10">
        <v>649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3.2658</v>
      </c>
      <c r="G488" s="12">
        <f ca="1">(RANDBETWEEN(50,100)/100)*(dict_DQ_Meth_max[[#This Row],[Vergleich_ub]]-dict_DQ_Meth_max[[#This Row],[Vergleich_lb]])+dict_DQ_Meth_max[[#This Row],[Vergleich_lb]]</f>
        <v>9.0730000000000004</v>
      </c>
      <c r="H488" s="11" t="str">
        <f ca="1">VLOOKUP(VLOOKUP(dict_DQ_Meth_max[[#This Row],[ID_DataQualities]],table_DataQualities[],3),table_Units[],2)</f>
        <v>+/- mm/s</v>
      </c>
      <c r="I488" s="10"/>
      <c r="J488" s="10"/>
      <c r="K488" s="10"/>
      <c r="L488" s="10">
        <f ca="1">VLOOKUP(dict_DQ_Meth_max[[#This Row],[ID_DataQualities]],table_DataQualities[],8,FALSE)</f>
        <v>0.96</v>
      </c>
      <c r="M488" s="10">
        <f ca="1">VLOOKUP(dict_DQ_Meth_max[[#This Row],[ID_DataQualities]],table_DataQualities[],9,FALSE)</f>
        <v>9.5</v>
      </c>
    </row>
    <row r="489" spans="1:13" x14ac:dyDescent="0.45">
      <c r="A489" s="10">
        <v>129</v>
      </c>
      <c r="B489" s="10">
        <v>110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1.7285999999999999</v>
      </c>
      <c r="G489" s="12">
        <f ca="1">(RANDBETWEEN(50,100)/100)*(dict_DQ_Meth_max[[#This Row],[Vergleich_ub]]-dict_DQ_Meth_max[[#This Row],[Vergleich_lb]])+dict_DQ_Meth_max[[#This Row],[Vergleich_lb]]</f>
        <v>7.7919999999999998</v>
      </c>
      <c r="H489" s="11" t="str">
        <f ca="1">VLOOKUP(VLOOKUP(dict_DQ_Meth_max[[#This Row],[ID_DataQualities]],table_DataQualities[],3),table_Units[],2)</f>
        <v>+/- mm/s</v>
      </c>
      <c r="I489" s="10"/>
      <c r="J489" s="10"/>
      <c r="K489" s="10"/>
      <c r="L489" s="10">
        <f ca="1">VLOOKUP(dict_DQ_Meth_max[[#This Row],[ID_DataQualities]],table_DataQualities[],8,FALSE)</f>
        <v>0.96</v>
      </c>
      <c r="M489" s="10">
        <f ca="1">VLOOKUP(dict_DQ_Meth_max[[#This Row],[ID_DataQualities]],table_DataQualities[],9,FALSE)</f>
        <v>9.5</v>
      </c>
    </row>
    <row r="490" spans="1:13" x14ac:dyDescent="0.45">
      <c r="A490" s="10">
        <v>130</v>
      </c>
      <c r="B490" s="10">
        <v>520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1411.4714999999997</v>
      </c>
      <c r="G490" s="12">
        <f ca="1">(RANDBETWEEN(50,100)/100)*(dict_DQ_Meth_max[[#This Row],[Vergleich_ub]]-dict_DQ_Meth_max[[#This Row],[Vergleich_lb]])+dict_DQ_Meth_max[[#This Row],[Vergleich_lb]]</f>
        <v>5739.7080999999998</v>
      </c>
      <c r="H490" s="11" t="str">
        <f ca="1">VLOOKUP(VLOOKUP(dict_DQ_Meth_max[[#This Row],[ID_DataQualities]],table_DataQualities[],3),table_Units[],2)</f>
        <v>Hz</v>
      </c>
      <c r="I490" s="10"/>
      <c r="J490" s="10"/>
      <c r="K490" s="10"/>
      <c r="L490" s="10">
        <f ca="1">VLOOKUP(dict_DQ_Meth_max[[#This Row],[ID_DataQualities]],table_DataQualities[],8,FALSE)</f>
        <v>0.09</v>
      </c>
      <c r="M490" s="10">
        <f ca="1">VLOOKUP(dict_DQ_Meth_max[[#This Row],[ID_DataQualities]],table_DataQualities[],9,FALSE)</f>
        <v>9409.2999999999993</v>
      </c>
    </row>
    <row r="491" spans="1:13" x14ac:dyDescent="0.45">
      <c r="A491" s="10">
        <v>130</v>
      </c>
      <c r="B491" s="10">
        <v>164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94.182099999999991</v>
      </c>
      <c r="G491" s="12">
        <f ca="1">(RANDBETWEEN(50,100)/100)*(dict_DQ_Meth_max[[#This Row],[Vergleich_ub]]-dict_DQ_Meth_max[[#This Row],[Vergleich_lb]])+dict_DQ_Meth_max[[#This Row],[Vergleich_lb]]</f>
        <v>5363.3396999999995</v>
      </c>
      <c r="H491" s="11" t="str">
        <f ca="1">VLOOKUP(VLOOKUP(dict_DQ_Meth_max[[#This Row],[ID_DataQualities]],table_DataQualities[],3),table_Units[],2)</f>
        <v>Hz</v>
      </c>
      <c r="I491" s="10"/>
      <c r="J491" s="10"/>
      <c r="K491" s="10"/>
      <c r="L491" s="10">
        <f ca="1">VLOOKUP(dict_DQ_Meth_max[[#This Row],[ID_DataQualities]],table_DataQualities[],8,FALSE)</f>
        <v>0.09</v>
      </c>
      <c r="M491" s="10">
        <f ca="1">VLOOKUP(dict_DQ_Meth_max[[#This Row],[ID_DataQualities]],table_DataQualities[],9,FALSE)</f>
        <v>9409.2999999999993</v>
      </c>
    </row>
    <row r="492" spans="1:13" x14ac:dyDescent="0.45">
      <c r="A492" s="10">
        <v>130</v>
      </c>
      <c r="B492" s="10">
        <v>235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1976.0240999999996</v>
      </c>
      <c r="G492" s="12">
        <f ca="1">(RANDBETWEEN(50,100)/100)*(dict_DQ_Meth_max[[#This Row],[Vergleich_ub]]-dict_DQ_Meth_max[[#This Row],[Vergleich_lb]])+dict_DQ_Meth_max[[#This Row],[Vergleich_lb]]</f>
        <v>6304.2606999999998</v>
      </c>
      <c r="H492" s="11" t="str">
        <f ca="1">VLOOKUP(VLOOKUP(dict_DQ_Meth_max[[#This Row],[ID_DataQualities]],table_DataQualities[],3),table_Units[],2)</f>
        <v>Hz</v>
      </c>
      <c r="I492" s="10"/>
      <c r="J492" s="10"/>
      <c r="K492" s="10"/>
      <c r="L492" s="10">
        <f ca="1">VLOOKUP(dict_DQ_Meth_max[[#This Row],[ID_DataQualities]],table_DataQualities[],8,FALSE)</f>
        <v>0.09</v>
      </c>
      <c r="M492" s="10">
        <f ca="1">VLOOKUP(dict_DQ_Meth_max[[#This Row],[ID_DataQualities]],table_DataQualities[],9,FALSE)</f>
        <v>9409.2999999999993</v>
      </c>
    </row>
    <row r="493" spans="1:13" x14ac:dyDescent="0.45">
      <c r="A493" s="10">
        <v>131</v>
      </c>
      <c r="B493" s="10">
        <v>164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0.72499999999999998</v>
      </c>
      <c r="G493" s="12">
        <f ca="1">(RANDBETWEEN(50,100)/100)*(dict_DQ_Meth_max[[#This Row],[Vergleich_ub]]-dict_DQ_Meth_max[[#This Row],[Vergleich_lb]])+dict_DQ_Meth_max[[#This Row],[Vergleich_lb]]</f>
        <v>0.86499999999999999</v>
      </c>
      <c r="H493" s="11" t="str">
        <f ca="1">VLOOKUP(VLOOKUP(dict_DQ_Meth_max[[#This Row],[ID_DataQualities]],table_DataQualities[],3),table_Units[],2)</f>
        <v>+/- °C</v>
      </c>
      <c r="I493" s="10"/>
      <c r="J493" s="10"/>
      <c r="K493" s="10"/>
      <c r="L493" s="10">
        <f ca="1">VLOOKUP(dict_DQ_Meth_max[[#This Row],[ID_DataQualities]],table_DataQualities[],8,FALSE)</f>
        <v>0.5</v>
      </c>
      <c r="M493" s="10">
        <f ca="1">VLOOKUP(dict_DQ_Meth_max[[#This Row],[ID_DataQualities]],table_DataQualities[],9,FALSE)</f>
        <v>1</v>
      </c>
    </row>
    <row r="494" spans="1:13" x14ac:dyDescent="0.45">
      <c r="A494" s="10">
        <v>131</v>
      </c>
      <c r="B494" s="10">
        <v>235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0.53</v>
      </c>
      <c r="G494" s="12">
        <f ca="1">(RANDBETWEEN(50,100)/100)*(dict_DQ_Meth_max[[#This Row],[Vergleich_ub]]-dict_DQ_Meth_max[[#This Row],[Vergleich_lb]])+dict_DQ_Meth_max[[#This Row],[Vergleich_lb]]</f>
        <v>0.76</v>
      </c>
      <c r="H494" s="11" t="str">
        <f ca="1">VLOOKUP(VLOOKUP(dict_DQ_Meth_max[[#This Row],[ID_DataQualities]],table_DataQualities[],3),table_Units[],2)</f>
        <v>+/- °C</v>
      </c>
      <c r="I494" s="10"/>
      <c r="J494" s="10"/>
      <c r="K494" s="10"/>
      <c r="L494" s="10">
        <f ca="1">VLOOKUP(dict_DQ_Meth_max[[#This Row],[ID_DataQualities]],table_DataQualities[],8,FALSE)</f>
        <v>0.5</v>
      </c>
      <c r="M494" s="10">
        <f ca="1">VLOOKUP(dict_DQ_Meth_max[[#This Row],[ID_DataQualities]],table_DataQualities[],9,FALSE)</f>
        <v>1</v>
      </c>
    </row>
    <row r="495" spans="1:13" x14ac:dyDescent="0.45">
      <c r="A495" s="10">
        <v>131</v>
      </c>
      <c r="B495" s="10">
        <v>520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0.69500000000000006</v>
      </c>
      <c r="G495" s="12">
        <f ca="1">(RANDBETWEEN(50,100)/100)*(dict_DQ_Meth_max[[#This Row],[Vergleich_ub]]-dict_DQ_Meth_max[[#This Row],[Vergleich_lb]])+dict_DQ_Meth_max[[#This Row],[Vergleich_lb]]</f>
        <v>0.86499999999999999</v>
      </c>
      <c r="H495" s="11" t="str">
        <f ca="1">VLOOKUP(VLOOKUP(dict_DQ_Meth_max[[#This Row],[ID_DataQualities]],table_DataQualities[],3),table_Units[],2)</f>
        <v>+/- °C</v>
      </c>
      <c r="I495" s="10"/>
      <c r="J495" s="10"/>
      <c r="K495" s="10"/>
      <c r="L495" s="10">
        <f ca="1">VLOOKUP(dict_DQ_Meth_max[[#This Row],[ID_DataQualities]],table_DataQualities[],8,FALSE)</f>
        <v>0.5</v>
      </c>
      <c r="M495" s="10">
        <f ca="1">VLOOKUP(dict_DQ_Meth_max[[#This Row],[ID_DataQualities]],table_DataQualities[],9,FALSE)</f>
        <v>1</v>
      </c>
    </row>
    <row r="496" spans="1:13" x14ac:dyDescent="0.45">
      <c r="A496" s="10">
        <v>132</v>
      </c>
      <c r="B496" s="10">
        <v>596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0.75600000000000001</v>
      </c>
      <c r="G496" s="12">
        <f ca="1">(RANDBETWEEN(50,100)/100)*(dict_DQ_Meth_max[[#This Row],[Vergleich_ub]]-dict_DQ_Meth_max[[#This Row],[Vergleich_lb]])+dict_DQ_Meth_max[[#This Row],[Vergleich_lb]]</f>
        <v>3080.2339199999997</v>
      </c>
      <c r="H496" s="11" t="str">
        <f ca="1">VLOOKUP(VLOOKUP(dict_DQ_Meth_max[[#This Row],[ID_DataQualities]],table_DataQualities[],3),table_Units[],2)</f>
        <v>Hz</v>
      </c>
      <c r="I496" s="10"/>
      <c r="J496" s="10"/>
      <c r="K496" s="10"/>
      <c r="L496" s="10">
        <f ca="1">VLOOKUP(dict_DQ_Meth_max[[#This Row],[ID_DataQualities]],table_DataQualities[],8,FALSE)</f>
        <v>0.75600000000000001</v>
      </c>
      <c r="M496" s="10">
        <f ca="1">VLOOKUP(dict_DQ_Meth_max[[#This Row],[ID_DataQualities]],table_DataQualities[],9,FALSE)</f>
        <v>4529.3999999999996</v>
      </c>
    </row>
    <row r="497" spans="1:13" x14ac:dyDescent="0.45">
      <c r="A497" s="10">
        <v>132</v>
      </c>
      <c r="B497" s="10">
        <v>62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1857.5000399999997</v>
      </c>
      <c r="G497" s="12">
        <f ca="1">(RANDBETWEEN(50,100)/100)*(dict_DQ_Meth_max[[#This Row],[Vergleich_ub]]-dict_DQ_Meth_max[[#This Row],[Vergleich_lb]])+dict_DQ_Meth_max[[#This Row],[Vergleich_lb]]</f>
        <v>2672.6559599999991</v>
      </c>
      <c r="H497" s="11" t="str">
        <f ca="1">VLOOKUP(VLOOKUP(dict_DQ_Meth_max[[#This Row],[ID_DataQualities]],table_DataQualities[],3),table_Units[],2)</f>
        <v>Hz</v>
      </c>
      <c r="I497" s="10"/>
      <c r="J497" s="10"/>
      <c r="K497" s="10"/>
      <c r="L497" s="10">
        <f ca="1">VLOOKUP(dict_DQ_Meth_max[[#This Row],[ID_DataQualities]],table_DataQualities[],8,FALSE)</f>
        <v>0.75600000000000001</v>
      </c>
      <c r="M497" s="10">
        <f ca="1">VLOOKUP(dict_DQ_Meth_max[[#This Row],[ID_DataQualities]],table_DataQualities[],9,FALSE)</f>
        <v>4529.3999999999996</v>
      </c>
    </row>
    <row r="498" spans="1:13" x14ac:dyDescent="0.45">
      <c r="A498" s="10">
        <v>132</v>
      </c>
      <c r="B498" s="10">
        <v>190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997.05767999999978</v>
      </c>
      <c r="G498" s="12">
        <f ca="1">(RANDBETWEEN(50,100)/100)*(dict_DQ_Meth_max[[#This Row],[Vergleich_ub]]-dict_DQ_Meth_max[[#This Row],[Vergleich_lb]])+dict_DQ_Meth_max[[#This Row],[Vergleich_lb]]</f>
        <v>2808.5152799999996</v>
      </c>
      <c r="H498" s="11" t="str">
        <f ca="1">VLOOKUP(VLOOKUP(dict_DQ_Meth_max[[#This Row],[ID_DataQualities]],table_DataQualities[],3),table_Units[],2)</f>
        <v>Hz</v>
      </c>
      <c r="I498" s="10"/>
      <c r="J498" s="10"/>
      <c r="K498" s="10"/>
      <c r="L498" s="10">
        <f ca="1">VLOOKUP(dict_DQ_Meth_max[[#This Row],[ID_DataQualities]],table_DataQualities[],8,FALSE)</f>
        <v>0.75600000000000001</v>
      </c>
      <c r="M498" s="10">
        <f ca="1">VLOOKUP(dict_DQ_Meth_max[[#This Row],[ID_DataQualities]],table_DataQualities[],9,FALSE)</f>
        <v>4529.3999999999996</v>
      </c>
    </row>
    <row r="499" spans="1:13" x14ac:dyDescent="0.45">
      <c r="A499" s="10">
        <v>132</v>
      </c>
      <c r="B499" s="10">
        <v>209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363.04751999999991</v>
      </c>
      <c r="G499" s="12">
        <f ca="1">(RANDBETWEEN(50,100)/100)*(dict_DQ_Meth_max[[#This Row],[Vergleich_ub]]-dict_DQ_Meth_max[[#This Row],[Vergleich_lb]])+dict_DQ_Meth_max[[#This Row],[Vergleich_lb]]</f>
        <v>3216.0932399999992</v>
      </c>
      <c r="H499" s="11" t="str">
        <f ca="1">VLOOKUP(VLOOKUP(dict_DQ_Meth_max[[#This Row],[ID_DataQualities]],table_DataQualities[],3),table_Units[],2)</f>
        <v>Hz</v>
      </c>
      <c r="I499" s="10"/>
      <c r="J499" s="10"/>
      <c r="K499" s="10"/>
      <c r="L499" s="10">
        <f ca="1">VLOOKUP(dict_DQ_Meth_max[[#This Row],[ID_DataQualities]],table_DataQualities[],8,FALSE)</f>
        <v>0.75600000000000001</v>
      </c>
      <c r="M499" s="10">
        <f ca="1">VLOOKUP(dict_DQ_Meth_max[[#This Row],[ID_DataQualities]],table_DataQualities[],9,FALSE)</f>
        <v>4529.3999999999996</v>
      </c>
    </row>
    <row r="500" spans="1:13" x14ac:dyDescent="0.45">
      <c r="A500" s="10">
        <v>133</v>
      </c>
      <c r="B500" s="10">
        <v>209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2839.5499999999997</v>
      </c>
      <c r="G500" s="12">
        <f ca="1">(RANDBETWEEN(50,100)/100)*(dict_DQ_Meth_max[[#This Row],[Vergleich_ub]]-dict_DQ_Meth_max[[#This Row],[Vergleich_lb]])+dict_DQ_Meth_max[[#This Row],[Vergleich_lb]]</f>
        <v>6869.45</v>
      </c>
      <c r="H500" s="11" t="str">
        <f ca="1">VLOOKUP(VLOOKUP(dict_DQ_Meth_max[[#This Row],[ID_DataQualities]],table_DataQualities[],3),table_Units[],2)</f>
        <v>bit</v>
      </c>
      <c r="I500" s="10"/>
      <c r="J500" s="10"/>
      <c r="K500" s="10"/>
      <c r="L500" s="10">
        <f ca="1">VLOOKUP(dict_DQ_Meth_max[[#This Row],[ID_DataQualities]],table_DataQualities[],8,FALSE)</f>
        <v>57</v>
      </c>
      <c r="M500" s="10">
        <f ca="1">VLOOKUP(dict_DQ_Meth_max[[#This Row],[ID_DataQualities]],table_DataQualities[],9,FALSE)</f>
        <v>9652</v>
      </c>
    </row>
    <row r="501" spans="1:13" x14ac:dyDescent="0.45">
      <c r="A501" s="10">
        <v>133</v>
      </c>
      <c r="B501" s="10">
        <v>62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2263.85</v>
      </c>
      <c r="G501" s="12">
        <f ca="1">(RANDBETWEEN(50,100)/100)*(dict_DQ_Meth_max[[#This Row],[Vergleich_ub]]-dict_DQ_Meth_max[[#This Row],[Vergleich_lb]])+dict_DQ_Meth_max[[#This Row],[Vergleich_lb]]</f>
        <v>5622.0999999999995</v>
      </c>
      <c r="H501" s="11" t="str">
        <f ca="1">VLOOKUP(VLOOKUP(dict_DQ_Meth_max[[#This Row],[ID_DataQualities]],table_DataQualities[],3),table_Units[],2)</f>
        <v>bit</v>
      </c>
      <c r="I501" s="10"/>
      <c r="J501" s="10"/>
      <c r="K501" s="10"/>
      <c r="L501" s="10">
        <f ca="1">VLOOKUP(dict_DQ_Meth_max[[#This Row],[ID_DataQualities]],table_DataQualities[],8,FALSE)</f>
        <v>57</v>
      </c>
      <c r="M501" s="10">
        <f ca="1">VLOOKUP(dict_DQ_Meth_max[[#This Row],[ID_DataQualities]],table_DataQualities[],9,FALSE)</f>
        <v>9652</v>
      </c>
    </row>
    <row r="502" spans="1:13" x14ac:dyDescent="0.45">
      <c r="A502" s="10">
        <v>133</v>
      </c>
      <c r="B502" s="10">
        <v>190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3511.2</v>
      </c>
      <c r="G502" s="12">
        <f ca="1">(RANDBETWEEN(50,100)/100)*(dict_DQ_Meth_max[[#This Row],[Vergleich_ub]]-dict_DQ_Meth_max[[#This Row],[Vergleich_lb]])+dict_DQ_Meth_max[[#This Row],[Vergleich_lb]]</f>
        <v>7828.9500000000007</v>
      </c>
      <c r="H502" s="11" t="str">
        <f ca="1">VLOOKUP(VLOOKUP(dict_DQ_Meth_max[[#This Row],[ID_DataQualities]],table_DataQualities[],3),table_Units[],2)</f>
        <v>bit</v>
      </c>
      <c r="I502" s="10"/>
      <c r="J502" s="10"/>
      <c r="K502" s="10"/>
      <c r="L502" s="10">
        <f ca="1">VLOOKUP(dict_DQ_Meth_max[[#This Row],[ID_DataQualities]],table_DataQualities[],8,FALSE)</f>
        <v>57</v>
      </c>
      <c r="M502" s="10">
        <f ca="1">VLOOKUP(dict_DQ_Meth_max[[#This Row],[ID_DataQualities]],table_DataQualities[],9,FALSE)</f>
        <v>9652</v>
      </c>
    </row>
    <row r="503" spans="1:13" x14ac:dyDescent="0.45">
      <c r="A503" s="10">
        <v>133</v>
      </c>
      <c r="B503" s="10">
        <v>596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57</v>
      </c>
      <c r="G503" s="12">
        <f ca="1">(RANDBETWEEN(50,100)/100)*(dict_DQ_Meth_max[[#This Row],[Vergleich_ub]]-dict_DQ_Meth_max[[#This Row],[Vergleich_lb]])+dict_DQ_Meth_max[[#This Row],[Vergleich_lb]]</f>
        <v>5718.0499999999993</v>
      </c>
      <c r="H503" s="11" t="str">
        <f ca="1">VLOOKUP(VLOOKUP(dict_DQ_Meth_max[[#This Row],[ID_DataQualities]],table_DataQualities[],3),table_Units[],2)</f>
        <v>bit</v>
      </c>
      <c r="I503" s="10"/>
      <c r="J503" s="10"/>
      <c r="K503" s="10"/>
      <c r="L503" s="10">
        <f ca="1">VLOOKUP(dict_DQ_Meth_max[[#This Row],[ID_DataQualities]],table_DataQualities[],8,FALSE)</f>
        <v>57</v>
      </c>
      <c r="M503" s="10">
        <f ca="1">VLOOKUP(dict_DQ_Meth_max[[#This Row],[ID_DataQualities]],table_DataQualities[],9,FALSE)</f>
        <v>9652</v>
      </c>
    </row>
    <row r="504" spans="1:13" x14ac:dyDescent="0.45">
      <c r="A504" s="10">
        <v>134</v>
      </c>
      <c r="B504" s="10">
        <v>604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3241.1657999999998</v>
      </c>
      <c r="G504" s="12">
        <f ca="1">(RANDBETWEEN(50,100)/100)*(dict_DQ_Meth_max[[#This Row],[Vergleich_ub]]-dict_DQ_Meth_max[[#This Row],[Vergleich_lb]])+dict_DQ_Meth_max[[#This Row],[Vergleich_lb]]</f>
        <v>5401.4330000000009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0.76500000000000001</v>
      </c>
      <c r="M504" s="10">
        <f ca="1">VLOOKUP(dict_DQ_Meth_max[[#This Row],[ID_DataQualities]],table_DataQualities[],9,FALSE)</f>
        <v>6751.6</v>
      </c>
    </row>
    <row r="505" spans="1:13" x14ac:dyDescent="0.45">
      <c r="A505" s="10">
        <v>134</v>
      </c>
      <c r="B505" s="10">
        <v>14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1890.9988000000003</v>
      </c>
      <c r="G505" s="12">
        <f ca="1">(RANDBETWEEN(50,100)/100)*(dict_DQ_Meth_max[[#This Row],[Vergleich_ub]]-dict_DQ_Meth_max[[#This Row],[Vergleich_lb]])+dict_DQ_Meth_max[[#This Row],[Vergleich_lb]]</f>
        <v>5536.4497000000001</v>
      </c>
      <c r="H505" s="11" t="str">
        <f ca="1">VLOOKUP(VLOOKUP(dict_DQ_Meth_max[[#This Row],[ID_DataQualities]],table_DataQualities[],3),table_Units[],2)</f>
        <v>Hz</v>
      </c>
      <c r="I505" s="10"/>
      <c r="J505" s="10"/>
      <c r="K505" s="10"/>
      <c r="L505" s="10">
        <f ca="1">VLOOKUP(dict_DQ_Meth_max[[#This Row],[ID_DataQualities]],table_DataQualities[],8,FALSE)</f>
        <v>0.76500000000000001</v>
      </c>
      <c r="M505" s="10">
        <f ca="1">VLOOKUP(dict_DQ_Meth_max[[#This Row],[ID_DataQualities]],table_DataQualities[],9,FALSE)</f>
        <v>6751.6</v>
      </c>
    </row>
    <row r="506" spans="1:13" x14ac:dyDescent="0.45">
      <c r="A506" s="10">
        <v>134</v>
      </c>
      <c r="B506" s="10">
        <v>676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3241.1657999999998</v>
      </c>
      <c r="G506" s="12">
        <f ca="1">(RANDBETWEEN(50,100)/100)*(dict_DQ_Meth_max[[#This Row],[Vergleich_ub]]-dict_DQ_Meth_max[[#This Row],[Vergleich_lb]])+dict_DQ_Meth_max[[#This Row],[Vergleich_lb]]</f>
        <v>6009.0081500000006</v>
      </c>
      <c r="H506" s="11" t="str">
        <f ca="1">VLOOKUP(VLOOKUP(dict_DQ_Meth_max[[#This Row],[ID_DataQualities]],table_DataQualities[],3),table_Units[],2)</f>
        <v>Hz</v>
      </c>
      <c r="I506" s="10"/>
      <c r="J506" s="10"/>
      <c r="K506" s="10"/>
      <c r="L506" s="10">
        <f ca="1">VLOOKUP(dict_DQ_Meth_max[[#This Row],[ID_DataQualities]],table_DataQualities[],8,FALSE)</f>
        <v>0.76500000000000001</v>
      </c>
      <c r="M506" s="10">
        <f ca="1">VLOOKUP(dict_DQ_Meth_max[[#This Row],[ID_DataQualities]],table_DataQualities[],9,FALSE)</f>
        <v>6751.6</v>
      </c>
    </row>
    <row r="507" spans="1:13" x14ac:dyDescent="0.45">
      <c r="A507" s="10">
        <v>135</v>
      </c>
      <c r="B507" s="10">
        <v>604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1813.4199999999998</v>
      </c>
      <c r="G507" s="12">
        <f ca="1">(RANDBETWEEN(50,100)/100)*(dict_DQ_Meth_max[[#This Row],[Vergleich_ub]]-dict_DQ_Meth_max[[#This Row],[Vergleich_lb]])+dict_DQ_Meth_max[[#This Row],[Vergleich_lb]]</f>
        <v>8293.27</v>
      </c>
      <c r="H507" s="11" t="str">
        <f ca="1">VLOOKUP(VLOOKUP(dict_DQ_Meth_max[[#This Row],[ID_DataQualities]],table_DataQualities[],3),table_Units[],2)</f>
        <v>bit</v>
      </c>
      <c r="I507" s="10"/>
      <c r="J507" s="10"/>
      <c r="K507" s="10"/>
      <c r="L507" s="10">
        <f ca="1">VLOOKUP(dict_DQ_Meth_max[[#This Row],[ID_DataQualities]],table_DataQualities[],8,FALSE)</f>
        <v>19</v>
      </c>
      <c r="M507" s="10">
        <f ca="1">VLOOKUP(dict_DQ_Meth_max[[#This Row],[ID_DataQualities]],table_DataQualities[],9,FALSE)</f>
        <v>9988</v>
      </c>
    </row>
    <row r="508" spans="1:13" x14ac:dyDescent="0.45">
      <c r="A508" s="10">
        <v>135</v>
      </c>
      <c r="B508" s="10">
        <v>14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4604.74</v>
      </c>
      <c r="G508" s="12">
        <f ca="1">(RANDBETWEEN(50,100)/100)*(dict_DQ_Meth_max[[#This Row],[Vergleich_ub]]-dict_DQ_Meth_max[[#This Row],[Vergleich_lb]])+dict_DQ_Meth_max[[#This Row],[Vergleich_lb]]</f>
        <v>5003.5</v>
      </c>
      <c r="H508" s="11" t="str">
        <f ca="1">VLOOKUP(VLOOKUP(dict_DQ_Meth_max[[#This Row],[ID_DataQualities]],table_DataQualities[],3),table_Units[],2)</f>
        <v>bit</v>
      </c>
      <c r="I508" s="10"/>
      <c r="J508" s="10"/>
      <c r="K508" s="10"/>
      <c r="L508" s="10">
        <f ca="1">VLOOKUP(dict_DQ_Meth_max[[#This Row],[ID_DataQualities]],table_DataQualities[],8,FALSE)</f>
        <v>19</v>
      </c>
      <c r="M508" s="10">
        <f ca="1">VLOOKUP(dict_DQ_Meth_max[[#This Row],[ID_DataQualities]],table_DataQualities[],9,FALSE)</f>
        <v>9988</v>
      </c>
    </row>
    <row r="509" spans="1:13" x14ac:dyDescent="0.45">
      <c r="A509" s="10">
        <v>135</v>
      </c>
      <c r="B509" s="10">
        <v>676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517.45000000000005</v>
      </c>
      <c r="G509" s="12">
        <f ca="1">(RANDBETWEEN(50,100)/100)*(dict_DQ_Meth_max[[#This Row],[Vergleich_ub]]-dict_DQ_Meth_max[[#This Row],[Vergleich_lb]])+dict_DQ_Meth_max[[#This Row],[Vergleich_lb]]</f>
        <v>6598.54</v>
      </c>
      <c r="H509" s="11" t="str">
        <f ca="1">VLOOKUP(VLOOKUP(dict_DQ_Meth_max[[#This Row],[ID_DataQualities]],table_DataQualities[],3),table_Units[],2)</f>
        <v>bit</v>
      </c>
      <c r="I509" s="10"/>
      <c r="J509" s="10"/>
      <c r="K509" s="10"/>
      <c r="L509" s="10">
        <f ca="1">VLOOKUP(dict_DQ_Meth_max[[#This Row],[ID_DataQualities]],table_DataQualities[],8,FALSE)</f>
        <v>19</v>
      </c>
      <c r="M509" s="10">
        <f ca="1">VLOOKUP(dict_DQ_Meth_max[[#This Row],[ID_DataQualities]],table_DataQualities[],9,FALSE)</f>
        <v>9988</v>
      </c>
    </row>
    <row r="510" spans="1:13" x14ac:dyDescent="0.45">
      <c r="A510" s="10">
        <v>136</v>
      </c>
      <c r="B510" s="10">
        <v>70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1749.6368000000002</v>
      </c>
      <c r="G510" s="12">
        <f ca="1">(RANDBETWEEN(50,100)/100)*(dict_DQ_Meth_max[[#This Row],[Vergleich_ub]]-dict_DQ_Meth_max[[#This Row],[Vergleich_lb]])+dict_DQ_Meth_max[[#This Row],[Vergleich_lb]]</f>
        <v>5373.0765999999994</v>
      </c>
      <c r="H510" s="11" t="str">
        <f ca="1">VLOOKUP(VLOOKUP(dict_DQ_Meth_max[[#This Row],[ID_DataQualities]],table_DataQualities[],3),table_Units[],2)</f>
        <v>Hz</v>
      </c>
      <c r="I510" s="10"/>
      <c r="J510" s="10"/>
      <c r="K510" s="10"/>
      <c r="L510" s="10">
        <f ca="1">VLOOKUP(dict_DQ_Meth_max[[#This Row],[ID_DataQualities]],table_DataQualities[],8,FALSE)</f>
        <v>0.39</v>
      </c>
      <c r="M510" s="10">
        <f ca="1">VLOOKUP(dict_DQ_Meth_max[[#This Row],[ID_DataQualities]],table_DataQualities[],9,FALSE)</f>
        <v>6247.7</v>
      </c>
    </row>
    <row r="511" spans="1:13" x14ac:dyDescent="0.45">
      <c r="A511" s="10">
        <v>136</v>
      </c>
      <c r="B511" s="10">
        <v>439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2936.6256999999996</v>
      </c>
      <c r="G511" s="12">
        <f ca="1">(RANDBETWEEN(50,100)/100)*(dict_DQ_Meth_max[[#This Row],[Vergleich_ub]]-dict_DQ_Meth_max[[#This Row],[Vergleich_lb]])+dict_DQ_Meth_max[[#This Row],[Vergleich_lb]]</f>
        <v>3873.7221999999997</v>
      </c>
      <c r="H511" s="11" t="str">
        <f ca="1">VLOOKUP(VLOOKUP(dict_DQ_Meth_max[[#This Row],[ID_DataQualities]],table_DataQualities[],3),table_Units[],2)</f>
        <v>Hz</v>
      </c>
      <c r="I511" s="10"/>
      <c r="J511" s="10"/>
      <c r="K511" s="10"/>
      <c r="L511" s="10">
        <f ca="1">VLOOKUP(dict_DQ_Meth_max[[#This Row],[ID_DataQualities]],table_DataQualities[],8,FALSE)</f>
        <v>0.39</v>
      </c>
      <c r="M511" s="10">
        <f ca="1">VLOOKUP(dict_DQ_Meth_max[[#This Row],[ID_DataQualities]],table_DataQualities[],9,FALSE)</f>
        <v>6247.7</v>
      </c>
    </row>
    <row r="512" spans="1:13" x14ac:dyDescent="0.45">
      <c r="A512" s="10">
        <v>136</v>
      </c>
      <c r="B512" s="10">
        <v>6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687.59409999999991</v>
      </c>
      <c r="G512" s="12">
        <f ca="1">(RANDBETWEEN(50,100)/100)*(dict_DQ_Meth_max[[#This Row],[Vergleich_ub]]-dict_DQ_Meth_max[[#This Row],[Vergleich_lb]])+dict_DQ_Meth_max[[#This Row],[Vergleich_lb]]</f>
        <v>3998.6683999999996</v>
      </c>
      <c r="H512" s="11" t="str">
        <f ca="1">VLOOKUP(VLOOKUP(dict_DQ_Meth_max[[#This Row],[ID_DataQualities]],table_DataQualities[],3),table_Units[],2)</f>
        <v>Hz</v>
      </c>
      <c r="I512" s="10"/>
      <c r="J512" s="10"/>
      <c r="K512" s="10"/>
      <c r="L512" s="10">
        <f ca="1">VLOOKUP(dict_DQ_Meth_max[[#This Row],[ID_DataQualities]],table_DataQualities[],8,FALSE)</f>
        <v>0.39</v>
      </c>
      <c r="M512" s="10">
        <f ca="1">VLOOKUP(dict_DQ_Meth_max[[#This Row],[ID_DataQualities]],table_DataQualities[],9,FALSE)</f>
        <v>6247.7</v>
      </c>
    </row>
    <row r="513" spans="1:13" x14ac:dyDescent="0.45">
      <c r="A513" s="10">
        <v>137</v>
      </c>
      <c r="B513" s="10">
        <v>6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2.5877999999999997</v>
      </c>
      <c r="G513" s="12">
        <f ca="1">(RANDBETWEEN(50,100)/100)*(dict_DQ_Meth_max[[#This Row],[Vergleich_ub]]-dict_DQ_Meth_max[[#This Row],[Vergleich_lb]])+dict_DQ_Meth_max[[#This Row],[Vergleich_lb]]</f>
        <v>5.0448000000000004</v>
      </c>
      <c r="H513" s="11" t="str">
        <f ca="1">VLOOKUP(VLOOKUP(dict_DQ_Meth_max[[#This Row],[ID_DataQualities]],table_DataQualities[],3),table_Units[],2)</f>
        <v>+/- mm/s</v>
      </c>
      <c r="I513" s="10"/>
      <c r="J513" s="10"/>
      <c r="K513" s="10"/>
      <c r="L513" s="10">
        <f ca="1">VLOOKUP(dict_DQ_Meth_max[[#This Row],[ID_DataQualities]],table_DataQualities[],8,FALSE)</f>
        <v>0.24</v>
      </c>
      <c r="M513" s="10">
        <f ca="1">VLOOKUP(dict_DQ_Meth_max[[#This Row],[ID_DataQualities]],table_DataQualities[],9,FALSE)</f>
        <v>5.7</v>
      </c>
    </row>
    <row r="514" spans="1:13" x14ac:dyDescent="0.45">
      <c r="A514" s="10">
        <v>137</v>
      </c>
      <c r="B514" s="10">
        <v>70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2.8608000000000002</v>
      </c>
      <c r="G514" s="12">
        <f ca="1">(RANDBETWEEN(50,100)/100)*(dict_DQ_Meth_max[[#This Row],[Vergleich_ub]]-dict_DQ_Meth_max[[#This Row],[Vergleich_lb]])+dict_DQ_Meth_max[[#This Row],[Vergleich_lb]]</f>
        <v>5.1539999999999999</v>
      </c>
      <c r="H514" s="11" t="str">
        <f ca="1">VLOOKUP(VLOOKUP(dict_DQ_Meth_max[[#This Row],[ID_DataQualities]],table_DataQualities[],3),table_Units[],2)</f>
        <v>+/- mm/s</v>
      </c>
      <c r="I514" s="10"/>
      <c r="J514" s="10"/>
      <c r="K514" s="10"/>
      <c r="L514" s="10">
        <f ca="1">VLOOKUP(dict_DQ_Meth_max[[#This Row],[ID_DataQualities]],table_DataQualities[],8,FALSE)</f>
        <v>0.24</v>
      </c>
      <c r="M514" s="10">
        <f ca="1">VLOOKUP(dict_DQ_Meth_max[[#This Row],[ID_DataQualities]],table_DataQualities[],9,FALSE)</f>
        <v>5.7</v>
      </c>
    </row>
    <row r="515" spans="1:13" x14ac:dyDescent="0.45">
      <c r="A515" s="10">
        <v>137</v>
      </c>
      <c r="B515" s="10">
        <v>439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0.78600000000000003</v>
      </c>
      <c r="G515" s="12">
        <f ca="1">(RANDBETWEEN(50,100)/100)*(dict_DQ_Meth_max[[#This Row],[Vergleich_ub]]-dict_DQ_Meth_max[[#This Row],[Vergleich_lb]])+dict_DQ_Meth_max[[#This Row],[Vergleich_lb]]</f>
        <v>3.0792000000000002</v>
      </c>
      <c r="H515" s="11" t="str">
        <f ca="1">VLOOKUP(VLOOKUP(dict_DQ_Meth_max[[#This Row],[ID_DataQualities]],table_DataQualities[],3),table_Units[],2)</f>
        <v>+/- mm/s</v>
      </c>
      <c r="I515" s="10"/>
      <c r="J515" s="10"/>
      <c r="K515" s="10"/>
      <c r="L515" s="10">
        <f ca="1">VLOOKUP(dict_DQ_Meth_max[[#This Row],[ID_DataQualities]],table_DataQualities[],8,FALSE)</f>
        <v>0.24</v>
      </c>
      <c r="M515" s="10">
        <f ca="1">VLOOKUP(dict_DQ_Meth_max[[#This Row],[ID_DataQualities]],table_DataQualities[],9,FALSE)</f>
        <v>5.7</v>
      </c>
    </row>
    <row r="516" spans="1:13" x14ac:dyDescent="0.45">
      <c r="A516" s="10">
        <v>138</v>
      </c>
      <c r="B516" s="10">
        <v>167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3600.1026400000001</v>
      </c>
      <c r="G516" s="12">
        <f ca="1">(RANDBETWEEN(50,100)/100)*(dict_DQ_Meth_max[[#This Row],[Vergleich_ub]]-dict_DQ_Meth_max[[#This Row],[Vergleich_lb]])+dict_DQ_Meth_max[[#This Row],[Vergleich_lb]]</f>
        <v>5774.9338600000001</v>
      </c>
      <c r="H516" s="11" t="str">
        <f ca="1">VLOOKUP(VLOOKUP(dict_DQ_Meth_max[[#This Row],[ID_DataQualities]],table_DataQualities[],3),table_Units[],2)</f>
        <v>Hz</v>
      </c>
      <c r="I516" s="10"/>
      <c r="J516" s="10"/>
      <c r="K516" s="10"/>
      <c r="L516" s="10">
        <f ca="1">VLOOKUP(dict_DQ_Meth_max[[#This Row],[ID_DataQualities]],table_DataQualities[],8,FALSE)</f>
        <v>0.38200000000000001</v>
      </c>
      <c r="M516" s="10">
        <f ca="1">VLOOKUP(dict_DQ_Meth_max[[#This Row],[ID_DataQualities]],table_DataQualities[],9,FALSE)</f>
        <v>7499.8</v>
      </c>
    </row>
    <row r="517" spans="1:13" x14ac:dyDescent="0.45">
      <c r="A517" s="10">
        <v>138</v>
      </c>
      <c r="B517" s="10">
        <v>108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1950.2306800000003</v>
      </c>
      <c r="G517" s="12">
        <f ca="1">(RANDBETWEEN(50,100)/100)*(dict_DQ_Meth_max[[#This Row],[Vergleich_ub]]-dict_DQ_Meth_max[[#This Row],[Vergleich_lb]])+dict_DQ_Meth_max[[#This Row],[Vergleich_lb]]</f>
        <v>7424.8058200000005</v>
      </c>
      <c r="H517" s="11" t="str">
        <f ca="1">VLOOKUP(VLOOKUP(dict_DQ_Meth_max[[#This Row],[ID_DataQualities]],table_DataQualities[],3),table_Units[],2)</f>
        <v>Hz</v>
      </c>
      <c r="I517" s="10"/>
      <c r="J517" s="10"/>
      <c r="K517" s="10"/>
      <c r="L517" s="10">
        <f ca="1">VLOOKUP(dict_DQ_Meth_max[[#This Row],[ID_DataQualities]],table_DataQualities[],8,FALSE)</f>
        <v>0.38200000000000001</v>
      </c>
      <c r="M517" s="10">
        <f ca="1">VLOOKUP(dict_DQ_Meth_max[[#This Row],[ID_DataQualities]],table_DataQualities[],9,FALSE)</f>
        <v>7499.8</v>
      </c>
    </row>
    <row r="518" spans="1:13" x14ac:dyDescent="0.45">
      <c r="A518" s="10">
        <v>138</v>
      </c>
      <c r="B518" s="10">
        <v>137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1125.2947000000001</v>
      </c>
      <c r="G518" s="12">
        <f ca="1">(RANDBETWEEN(50,100)/100)*(dict_DQ_Meth_max[[#This Row],[Vergleich_ub]]-dict_DQ_Meth_max[[#This Row],[Vergleich_lb]])+dict_DQ_Meth_max[[#This Row],[Vergleich_lb]]</f>
        <v>7049.8349199999993</v>
      </c>
      <c r="H518" s="11" t="str">
        <f ca="1">VLOOKUP(VLOOKUP(dict_DQ_Meth_max[[#This Row],[ID_DataQualities]],table_DataQualities[],3),table_Units[],2)</f>
        <v>Hz</v>
      </c>
      <c r="I518" s="10"/>
      <c r="J518" s="10"/>
      <c r="K518" s="10"/>
      <c r="L518" s="10">
        <f ca="1">VLOOKUP(dict_DQ_Meth_max[[#This Row],[ID_DataQualities]],table_DataQualities[],8,FALSE)</f>
        <v>0.38200000000000001</v>
      </c>
      <c r="M518" s="10">
        <f ca="1">VLOOKUP(dict_DQ_Meth_max[[#This Row],[ID_DataQualities]],table_DataQualities[],9,FALSE)</f>
        <v>7499.8</v>
      </c>
    </row>
    <row r="519" spans="1:13" x14ac:dyDescent="0.45">
      <c r="A519" s="10">
        <v>139</v>
      </c>
      <c r="B519" s="10">
        <v>137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0.21600000000000003</v>
      </c>
      <c r="G519" s="12">
        <f ca="1">(RANDBETWEEN(50,100)/100)*(dict_DQ_Meth_max[[#This Row],[Vergleich_ub]]-dict_DQ_Meth_max[[#This Row],[Vergleich_lb]])+dict_DQ_Meth_max[[#This Row],[Vergleich_lb]]</f>
        <v>0.74399999999999999</v>
      </c>
      <c r="H519" s="11" t="str">
        <f ca="1">VLOOKUP(VLOOKUP(dict_DQ_Meth_max[[#This Row],[ID_DataQualities]],table_DataQualities[],3),table_Units[],2)</f>
        <v>+/- °C</v>
      </c>
      <c r="I519" s="10"/>
      <c r="J519" s="10"/>
      <c r="K519" s="10"/>
      <c r="L519" s="10">
        <f ca="1">VLOOKUP(dict_DQ_Meth_max[[#This Row],[ID_DataQualities]],table_DataQualities[],8,FALSE)</f>
        <v>0.2</v>
      </c>
      <c r="M519" s="10">
        <f ca="1">VLOOKUP(dict_DQ_Meth_max[[#This Row],[ID_DataQualities]],table_DataQualities[],9,FALSE)</f>
        <v>1</v>
      </c>
    </row>
    <row r="520" spans="1:13" x14ac:dyDescent="0.45">
      <c r="A520" s="10">
        <v>139</v>
      </c>
      <c r="B520" s="10">
        <v>167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0.36000000000000004</v>
      </c>
      <c r="G520" s="12">
        <f ca="1">(RANDBETWEEN(50,100)/100)*(dict_DQ_Meth_max[[#This Row],[Vergleich_ub]]-dict_DQ_Meth_max[[#This Row],[Vergleich_lb]])+dict_DQ_Meth_max[[#This Row],[Vergleich_lb]]</f>
        <v>0.72</v>
      </c>
      <c r="H520" s="11" t="str">
        <f ca="1">VLOOKUP(VLOOKUP(dict_DQ_Meth_max[[#This Row],[ID_DataQualities]],table_DataQualities[],3),table_Units[],2)</f>
        <v>+/- °C</v>
      </c>
      <c r="I520" s="10"/>
      <c r="J520" s="10"/>
      <c r="K520" s="10"/>
      <c r="L520" s="10">
        <f ca="1">VLOOKUP(dict_DQ_Meth_max[[#This Row],[ID_DataQualities]],table_DataQualities[],8,FALSE)</f>
        <v>0.2</v>
      </c>
      <c r="M520" s="10">
        <f ca="1">VLOOKUP(dict_DQ_Meth_max[[#This Row],[ID_DataQualities]],table_DataQualities[],9,FALSE)</f>
        <v>1</v>
      </c>
    </row>
    <row r="521" spans="1:13" x14ac:dyDescent="0.45">
      <c r="A521" s="10">
        <v>139</v>
      </c>
      <c r="B521" s="10">
        <v>108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0.44</v>
      </c>
      <c r="G521" s="12">
        <f ca="1">(RANDBETWEEN(50,100)/100)*(dict_DQ_Meth_max[[#This Row],[Vergleich_ub]]-dict_DQ_Meth_max[[#This Row],[Vergleich_lb]])+dict_DQ_Meth_max[[#This Row],[Vergleich_lb]]</f>
        <v>0.8</v>
      </c>
      <c r="H521" s="11" t="str">
        <f ca="1">VLOOKUP(VLOOKUP(dict_DQ_Meth_max[[#This Row],[ID_DataQualities]],table_DataQualities[],3),table_Units[],2)</f>
        <v>+/- °C</v>
      </c>
      <c r="I521" s="10"/>
      <c r="J521" s="10"/>
      <c r="K521" s="10"/>
      <c r="L521" s="10">
        <f ca="1">VLOOKUP(dict_DQ_Meth_max[[#This Row],[ID_DataQualities]],table_DataQualities[],8,FALSE)</f>
        <v>0.2</v>
      </c>
      <c r="M521" s="10">
        <f ca="1">VLOOKUP(dict_DQ_Meth_max[[#This Row],[ID_DataQualities]],table_DataQualities[],9,FALSE)</f>
        <v>1</v>
      </c>
    </row>
    <row r="522" spans="1:13" x14ac:dyDescent="0.45">
      <c r="A522" s="10">
        <v>140</v>
      </c>
      <c r="B522" s="10">
        <v>448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345.49450000000002</v>
      </c>
      <c r="G522" s="12">
        <f ca="1">(RANDBETWEEN(50,100)/100)*(dict_DQ_Meth_max[[#This Row],[Vergleich_ub]]-dict_DQ_Meth_max[[#This Row],[Vergleich_lb]])+dict_DQ_Meth_max[[#This Row],[Vergleich_lb]]</f>
        <v>4970.9668000000001</v>
      </c>
      <c r="H522" s="11" t="str">
        <f ca="1">VLOOKUP(VLOOKUP(dict_DQ_Meth_max[[#This Row],[ID_DataQualities]],table_DataQualities[],3),table_Units[],2)</f>
        <v>Hz</v>
      </c>
      <c r="I522" s="10"/>
      <c r="J522" s="10"/>
      <c r="K522" s="10"/>
      <c r="L522" s="10">
        <f ca="1">VLOOKUP(dict_DQ_Meth_max[[#This Row],[ID_DataQualities]],table_DataQualities[],8,FALSE)</f>
        <v>0.31</v>
      </c>
      <c r="M522" s="10">
        <f ca="1">VLOOKUP(dict_DQ_Meth_max[[#This Row],[ID_DataQualities]],table_DataQualities[],9,FALSE)</f>
        <v>6904</v>
      </c>
    </row>
    <row r="523" spans="1:13" x14ac:dyDescent="0.45">
      <c r="A523" s="10">
        <v>140</v>
      </c>
      <c r="B523" s="10">
        <v>412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2416.6014999999998</v>
      </c>
      <c r="G523" s="12">
        <f ca="1">(RANDBETWEEN(50,100)/100)*(dict_DQ_Meth_max[[#This Row],[Vergleich_ub]]-dict_DQ_Meth_max[[#This Row],[Vergleich_lb]])+dict_DQ_Meth_max[[#This Row],[Vergleich_lb]]</f>
        <v>5109.0406000000003</v>
      </c>
      <c r="H523" s="11" t="str">
        <f ca="1">VLOOKUP(VLOOKUP(dict_DQ_Meth_max[[#This Row],[ID_DataQualities]],table_DataQualities[],3),table_Units[],2)</f>
        <v>Hz</v>
      </c>
      <c r="I523" s="10"/>
      <c r="J523" s="10"/>
      <c r="K523" s="10"/>
      <c r="L523" s="10">
        <f ca="1">VLOOKUP(dict_DQ_Meth_max[[#This Row],[ID_DataQualities]],table_DataQualities[],8,FALSE)</f>
        <v>0.31</v>
      </c>
      <c r="M523" s="10">
        <f ca="1">VLOOKUP(dict_DQ_Meth_max[[#This Row],[ID_DataQualities]],table_DataQualities[],9,FALSE)</f>
        <v>6904</v>
      </c>
    </row>
    <row r="524" spans="1:13" x14ac:dyDescent="0.45">
      <c r="A524" s="10">
        <v>140</v>
      </c>
      <c r="B524" s="10">
        <v>7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1933.3432</v>
      </c>
      <c r="G524" s="12">
        <f ca="1">(RANDBETWEEN(50,100)/100)*(dict_DQ_Meth_max[[#This Row],[Vergleich_ub]]-dict_DQ_Meth_max[[#This Row],[Vergleich_lb]])+dict_DQ_Meth_max[[#This Row],[Vergleich_lb]]</f>
        <v>4901.9299000000001</v>
      </c>
      <c r="H524" s="11" t="str">
        <f ca="1">VLOOKUP(VLOOKUP(dict_DQ_Meth_max[[#This Row],[ID_DataQualities]],table_DataQualities[],3),table_Units[],2)</f>
        <v>Hz</v>
      </c>
      <c r="I524" s="10"/>
      <c r="J524" s="10"/>
      <c r="K524" s="10"/>
      <c r="L524" s="10">
        <f ca="1">VLOOKUP(dict_DQ_Meth_max[[#This Row],[ID_DataQualities]],table_DataQualities[],8,FALSE)</f>
        <v>0.31</v>
      </c>
      <c r="M524" s="10">
        <f ca="1">VLOOKUP(dict_DQ_Meth_max[[#This Row],[ID_DataQualities]],table_DataQualities[],9,FALSE)</f>
        <v>6904</v>
      </c>
    </row>
    <row r="525" spans="1:13" x14ac:dyDescent="0.45">
      <c r="A525" s="10">
        <v>140</v>
      </c>
      <c r="B525" s="10">
        <v>98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1933.3432</v>
      </c>
      <c r="G525" s="12">
        <f ca="1">(RANDBETWEEN(50,100)/100)*(dict_DQ_Meth_max[[#This Row],[Vergleich_ub]]-dict_DQ_Meth_max[[#This Row],[Vergleich_lb]])+dict_DQ_Meth_max[[#This Row],[Vergleich_lb]]</f>
        <v>4901.9299000000001</v>
      </c>
      <c r="H525" s="11" t="str">
        <f ca="1">VLOOKUP(VLOOKUP(dict_DQ_Meth_max[[#This Row],[ID_DataQualities]],table_DataQualities[],3),table_Units[],2)</f>
        <v>Hz</v>
      </c>
      <c r="I525" s="10"/>
      <c r="J525" s="10"/>
      <c r="K525" s="10"/>
      <c r="L525" s="10">
        <f ca="1">VLOOKUP(dict_DQ_Meth_max[[#This Row],[ID_DataQualities]],table_DataQualities[],8,FALSE)</f>
        <v>0.31</v>
      </c>
      <c r="M525" s="10">
        <f ca="1">VLOOKUP(dict_DQ_Meth_max[[#This Row],[ID_DataQualities]],table_DataQualities[],9,FALSE)</f>
        <v>6904</v>
      </c>
    </row>
    <row r="526" spans="1:13" x14ac:dyDescent="0.45">
      <c r="A526" s="10">
        <v>140</v>
      </c>
      <c r="B526" s="10">
        <v>96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1104.9004</v>
      </c>
      <c r="G526" s="12">
        <f ca="1">(RANDBETWEEN(50,100)/100)*(dict_DQ_Meth_max[[#This Row],[Vergleich_ub]]-dict_DQ_Meth_max[[#This Row],[Vergleich_lb]])+dict_DQ_Meth_max[[#This Row],[Vergleich_lb]]</f>
        <v>5454.2251000000006</v>
      </c>
      <c r="H526" s="11" t="str">
        <f ca="1">VLOOKUP(VLOOKUP(dict_DQ_Meth_max[[#This Row],[ID_DataQualities]],table_DataQualities[],3),table_Units[],2)</f>
        <v>Hz</v>
      </c>
      <c r="I526" s="10"/>
      <c r="J526" s="10"/>
      <c r="K526" s="10"/>
      <c r="L526" s="10">
        <f ca="1">VLOOKUP(dict_DQ_Meth_max[[#This Row],[ID_DataQualities]],table_DataQualities[],8,FALSE)</f>
        <v>0.31</v>
      </c>
      <c r="M526" s="10">
        <f ca="1">VLOOKUP(dict_DQ_Meth_max[[#This Row],[ID_DataQualities]],table_DataQualities[],9,FALSE)</f>
        <v>6904</v>
      </c>
    </row>
    <row r="527" spans="1:13" x14ac:dyDescent="0.45">
      <c r="A527" s="10">
        <v>140</v>
      </c>
      <c r="B527" s="10">
        <v>56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1864.3063</v>
      </c>
      <c r="G527" s="12">
        <f ca="1">(RANDBETWEEN(50,100)/100)*(dict_DQ_Meth_max[[#This Row],[Vergleich_ub]]-dict_DQ_Meth_max[[#This Row],[Vergleich_lb]])+dict_DQ_Meth_max[[#This Row],[Vergleich_lb]]</f>
        <v>6144.5941000000003</v>
      </c>
      <c r="H527" s="11" t="str">
        <f ca="1">VLOOKUP(VLOOKUP(dict_DQ_Meth_max[[#This Row],[ID_DataQualities]],table_DataQualities[],3),table_Units[],2)</f>
        <v>Hz</v>
      </c>
      <c r="I527" s="10"/>
      <c r="J527" s="10"/>
      <c r="K527" s="10"/>
      <c r="L527" s="10">
        <f ca="1">VLOOKUP(dict_DQ_Meth_max[[#This Row],[ID_DataQualities]],table_DataQualities[],8,FALSE)</f>
        <v>0.31</v>
      </c>
      <c r="M527" s="10">
        <f ca="1">VLOOKUP(dict_DQ_Meth_max[[#This Row],[ID_DataQualities]],table_DataQualities[],9,FALSE)</f>
        <v>6904</v>
      </c>
    </row>
    <row r="528" spans="1:13" x14ac:dyDescent="0.45">
      <c r="A528" s="10">
        <v>141</v>
      </c>
      <c r="B528" s="10">
        <v>96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8.7999999999999995E-2</v>
      </c>
      <c r="G528" s="12">
        <f ca="1">(RANDBETWEEN(50,100)/100)*(dict_DQ_Meth_max[[#This Row],[Vergleich_ub]]-dict_DQ_Meth_max[[#This Row],[Vergleich_lb]])+dict_DQ_Meth_max[[#This Row],[Vergleich_lb]]</f>
        <v>0.59119999999999995</v>
      </c>
      <c r="H528" s="11" t="str">
        <f ca="1">VLOOKUP(VLOOKUP(dict_DQ_Meth_max[[#This Row],[ID_DataQualities]],table_DataQualities[],3),table_Units[],2)</f>
        <v>+/- W</v>
      </c>
      <c r="I528" s="10"/>
      <c r="J528" s="10"/>
      <c r="K528" s="10"/>
      <c r="L528" s="10">
        <f ca="1">VLOOKUP(dict_DQ_Meth_max[[#This Row],[ID_DataQualities]],table_DataQualities[],8,FALSE)</f>
        <v>0.02</v>
      </c>
      <c r="M528" s="10">
        <f ca="1">VLOOKUP(dict_DQ_Meth_max[[#This Row],[ID_DataQualities]],table_DataQualities[],9,FALSE)</f>
        <v>0.7</v>
      </c>
    </row>
    <row r="529" spans="1:13" x14ac:dyDescent="0.45">
      <c r="A529" s="10">
        <v>141</v>
      </c>
      <c r="B529" s="10">
        <v>56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0.19679999999999997</v>
      </c>
      <c r="G529" s="12">
        <f ca="1">(RANDBETWEEN(50,100)/100)*(dict_DQ_Meth_max[[#This Row],[Vergleich_ub]]-dict_DQ_Meth_max[[#This Row],[Vergleich_lb]])+dict_DQ_Meth_max[[#This Row],[Vergleich_lb]]</f>
        <v>0.67959999999999998</v>
      </c>
      <c r="H529" s="11" t="str">
        <f ca="1">VLOOKUP(VLOOKUP(dict_DQ_Meth_max[[#This Row],[ID_DataQualities]],table_DataQualities[],3),table_Units[],2)</f>
        <v>+/- W</v>
      </c>
      <c r="I529" s="10"/>
      <c r="J529" s="10"/>
      <c r="K529" s="10"/>
      <c r="L529" s="10">
        <f ca="1">VLOOKUP(dict_DQ_Meth_max[[#This Row],[ID_DataQualities]],table_DataQualities[],8,FALSE)</f>
        <v>0.02</v>
      </c>
      <c r="M529" s="10">
        <f ca="1">VLOOKUP(dict_DQ_Meth_max[[#This Row],[ID_DataQualities]],table_DataQualities[],9,FALSE)</f>
        <v>0.7</v>
      </c>
    </row>
    <row r="530" spans="1:13" x14ac:dyDescent="0.45">
      <c r="A530" s="10">
        <v>141</v>
      </c>
      <c r="B530" s="10">
        <v>412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8.1199999999999994E-2</v>
      </c>
      <c r="G530" s="12">
        <f ca="1">(RANDBETWEEN(50,100)/100)*(dict_DQ_Meth_max[[#This Row],[Vergleich_ub]]-dict_DQ_Meth_max[[#This Row],[Vergleich_lb]])+dict_DQ_Meth_max[[#This Row],[Vergleich_lb]]</f>
        <v>0.54359999999999997</v>
      </c>
      <c r="H530" s="11" t="str">
        <f ca="1">VLOOKUP(VLOOKUP(dict_DQ_Meth_max[[#This Row],[ID_DataQualities]],table_DataQualities[],3),table_Units[],2)</f>
        <v>+/- W</v>
      </c>
      <c r="I530" s="10"/>
      <c r="J530" s="10"/>
      <c r="K530" s="10"/>
      <c r="L530" s="10">
        <f ca="1">VLOOKUP(dict_DQ_Meth_max[[#This Row],[ID_DataQualities]],table_DataQualities[],8,FALSE)</f>
        <v>0.02</v>
      </c>
      <c r="M530" s="10">
        <f ca="1">VLOOKUP(dict_DQ_Meth_max[[#This Row],[ID_DataQualities]],table_DataQualities[],9,FALSE)</f>
        <v>0.7</v>
      </c>
    </row>
    <row r="531" spans="1:13" x14ac:dyDescent="0.45">
      <c r="A531" s="10">
        <v>141</v>
      </c>
      <c r="B531" s="10">
        <v>7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0.1356</v>
      </c>
      <c r="G531" s="12">
        <f ca="1">(RANDBETWEEN(50,100)/100)*(dict_DQ_Meth_max[[#This Row],[Vergleich_ub]]-dict_DQ_Meth_max[[#This Row],[Vergleich_lb]])+dict_DQ_Meth_max[[#This Row],[Vergleich_lb]]</f>
        <v>0.67959999999999998</v>
      </c>
      <c r="H531" s="11" t="str">
        <f ca="1">VLOOKUP(VLOOKUP(dict_DQ_Meth_max[[#This Row],[ID_DataQualities]],table_DataQualities[],3),table_Units[],2)</f>
        <v>+/- W</v>
      </c>
      <c r="I531" s="10"/>
      <c r="J531" s="10"/>
      <c r="K531" s="10"/>
      <c r="L531" s="10">
        <f ca="1">VLOOKUP(dict_DQ_Meth_max[[#This Row],[ID_DataQualities]],table_DataQualities[],8,FALSE)</f>
        <v>0.02</v>
      </c>
      <c r="M531" s="10">
        <f ca="1">VLOOKUP(dict_DQ_Meth_max[[#This Row],[ID_DataQualities]],table_DataQualities[],9,FALSE)</f>
        <v>0.7</v>
      </c>
    </row>
    <row r="532" spans="1:13" x14ac:dyDescent="0.45">
      <c r="A532" s="10">
        <v>141</v>
      </c>
      <c r="B532" s="10">
        <v>98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0.32600000000000001</v>
      </c>
      <c r="G532" s="12">
        <f ca="1">(RANDBETWEEN(50,100)/100)*(dict_DQ_Meth_max[[#This Row],[Vergleich_ub]]-dict_DQ_Meth_max[[#This Row],[Vergleich_lb]])+dict_DQ_Meth_max[[#This Row],[Vergleich_lb]]</f>
        <v>0.45519999999999999</v>
      </c>
      <c r="H532" s="11" t="str">
        <f ca="1">VLOOKUP(VLOOKUP(dict_DQ_Meth_max[[#This Row],[ID_DataQualities]],table_DataQualities[],3),table_Units[],2)</f>
        <v>+/- W</v>
      </c>
      <c r="I532" s="10"/>
      <c r="J532" s="10"/>
      <c r="K532" s="10"/>
      <c r="L532" s="10">
        <f ca="1">VLOOKUP(dict_DQ_Meth_max[[#This Row],[ID_DataQualities]],table_DataQualities[],8,FALSE)</f>
        <v>0.02</v>
      </c>
      <c r="M532" s="10">
        <f ca="1">VLOOKUP(dict_DQ_Meth_max[[#This Row],[ID_DataQualities]],table_DataQualities[],9,FALSE)</f>
        <v>0.7</v>
      </c>
    </row>
    <row r="533" spans="1:13" x14ac:dyDescent="0.45">
      <c r="A533" s="10">
        <v>141</v>
      </c>
      <c r="B533" s="10">
        <v>448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0.33279999999999998</v>
      </c>
      <c r="G533" s="12">
        <f ca="1">(RANDBETWEEN(50,100)/100)*(dict_DQ_Meth_max[[#This Row],[Vergleich_ub]]-dict_DQ_Meth_max[[#This Row],[Vergleich_lb]])+dict_DQ_Meth_max[[#This Row],[Vergleich_lb]]</f>
        <v>0.58439999999999992</v>
      </c>
      <c r="H533" s="11" t="str">
        <f ca="1">VLOOKUP(VLOOKUP(dict_DQ_Meth_max[[#This Row],[ID_DataQualities]],table_DataQualities[],3),table_Units[],2)</f>
        <v>+/- W</v>
      </c>
      <c r="I533" s="10"/>
      <c r="J533" s="10"/>
      <c r="K533" s="10"/>
      <c r="L533" s="10">
        <f ca="1">VLOOKUP(dict_DQ_Meth_max[[#This Row],[ID_DataQualities]],table_DataQualities[],8,FALSE)</f>
        <v>0.02</v>
      </c>
      <c r="M533" s="10">
        <f ca="1">VLOOKUP(dict_DQ_Meth_max[[#This Row],[ID_DataQualities]],table_DataQualities[],9,FALSE)</f>
        <v>0.7</v>
      </c>
    </row>
    <row r="534" spans="1:13" x14ac:dyDescent="0.45">
      <c r="A534" s="10">
        <v>142</v>
      </c>
      <c r="B534" s="10">
        <v>481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381.59361000000001</v>
      </c>
      <c r="G534" s="12">
        <f ca="1">(RANDBETWEEN(50,100)/100)*(dict_DQ_Meth_max[[#This Row],[Vergleich_ub]]-dict_DQ_Meth_max[[#This Row],[Vergleich_lb]])+dict_DQ_Meth_max[[#This Row],[Vergleich_lb]]</f>
        <v>2425.9146999999998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0.44900000000000001</v>
      </c>
      <c r="M534" s="10">
        <f ca="1">VLOOKUP(dict_DQ_Meth_max[[#This Row],[ID_DataQualities]],table_DataQualities[],9,FALSE)</f>
        <v>3465.4</v>
      </c>
    </row>
    <row r="535" spans="1:13" x14ac:dyDescent="0.45">
      <c r="A535" s="10">
        <v>142</v>
      </c>
      <c r="B535" s="10">
        <v>267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277.64508000000001</v>
      </c>
      <c r="G535" s="12">
        <f ca="1">(RANDBETWEEN(50,100)/100)*(dict_DQ_Meth_max[[#This Row],[Vergleich_ub]]-dict_DQ_Meth_max[[#This Row],[Vergleich_lb]])+dict_DQ_Meth_max[[#This Row],[Vergleich_lb]]</f>
        <v>2807.0593100000001</v>
      </c>
      <c r="H535" s="11" t="str">
        <f ca="1">VLOOKUP(VLOOKUP(dict_DQ_Meth_max[[#This Row],[ID_DataQualities]],table_DataQualities[],3),table_Units[],2)</f>
        <v>Hz</v>
      </c>
      <c r="I535" s="10"/>
      <c r="J535" s="10"/>
      <c r="K535" s="10"/>
      <c r="L535" s="10">
        <f ca="1">VLOOKUP(dict_DQ_Meth_max[[#This Row],[ID_DataQualities]],table_DataQualities[],8,FALSE)</f>
        <v>0.44900000000000001</v>
      </c>
      <c r="M535" s="10">
        <f ca="1">VLOOKUP(dict_DQ_Meth_max[[#This Row],[ID_DataQualities]],table_DataQualities[],9,FALSE)</f>
        <v>3465.4</v>
      </c>
    </row>
    <row r="536" spans="1:13" x14ac:dyDescent="0.45">
      <c r="A536" s="10">
        <v>142</v>
      </c>
      <c r="B536" s="10">
        <v>452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589.49067000000002</v>
      </c>
      <c r="G536" s="12">
        <f ca="1">(RANDBETWEEN(50,100)/100)*(dict_DQ_Meth_max[[#This Row],[Vergleich_ub]]-dict_DQ_Meth_max[[#This Row],[Vergleich_lb]])+dict_DQ_Meth_max[[#This Row],[Vergleich_lb]]</f>
        <v>2807.0593100000001</v>
      </c>
      <c r="H536" s="11" t="str">
        <f ca="1">VLOOKUP(VLOOKUP(dict_DQ_Meth_max[[#This Row],[ID_DataQualities]],table_DataQualities[],3),table_Units[],2)</f>
        <v>Hz</v>
      </c>
      <c r="I536" s="10"/>
      <c r="J536" s="10"/>
      <c r="K536" s="10"/>
      <c r="L536" s="10">
        <f ca="1">VLOOKUP(dict_DQ_Meth_max[[#This Row],[ID_DataQualities]],table_DataQualities[],8,FALSE)</f>
        <v>0.44900000000000001</v>
      </c>
      <c r="M536" s="10">
        <f ca="1">VLOOKUP(dict_DQ_Meth_max[[#This Row],[ID_DataQualities]],table_DataQualities[],9,FALSE)</f>
        <v>3465.4</v>
      </c>
    </row>
    <row r="537" spans="1:13" x14ac:dyDescent="0.45">
      <c r="A537" s="10">
        <v>143</v>
      </c>
      <c r="B537" s="10">
        <v>452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558.55999999999995</v>
      </c>
      <c r="G537" s="12">
        <f ca="1">(RANDBETWEEN(50,100)/100)*(dict_DQ_Meth_max[[#This Row],[Vergleich_ub]]-dict_DQ_Meth_max[[#This Row],[Vergleich_lb]])+dict_DQ_Meth_max[[#This Row],[Vergleich_lb]]</f>
        <v>2129.06</v>
      </c>
      <c r="H537" s="11" t="str">
        <f ca="1">VLOOKUP(VLOOKUP(dict_DQ_Meth_max[[#This Row],[ID_DataQualities]],table_DataQualities[],3),table_Units[],2)</f>
        <v>bit</v>
      </c>
      <c r="I537" s="10"/>
      <c r="J537" s="10"/>
      <c r="K537" s="10"/>
      <c r="L537" s="10">
        <f ca="1">VLOOKUP(dict_DQ_Meth_max[[#This Row],[ID_DataQualities]],table_DataQualities[],8,FALSE)</f>
        <v>56</v>
      </c>
      <c r="M537" s="10">
        <f ca="1">VLOOKUP(dict_DQ_Meth_max[[#This Row],[ID_DataQualities]],table_DataQualities[],9,FALSE)</f>
        <v>2150</v>
      </c>
    </row>
    <row r="538" spans="1:13" x14ac:dyDescent="0.45">
      <c r="A538" s="10">
        <v>143</v>
      </c>
      <c r="B538" s="10">
        <v>267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705.14</v>
      </c>
      <c r="G538" s="12">
        <f ca="1">(RANDBETWEEN(50,100)/100)*(dict_DQ_Meth_max[[#This Row],[Vergleich_ub]]-dict_DQ_Meth_max[[#This Row],[Vergleich_lb]])+dict_DQ_Meth_max[[#This Row],[Vergleich_lb]]</f>
        <v>1752.14</v>
      </c>
      <c r="H538" s="11" t="str">
        <f ca="1">VLOOKUP(VLOOKUP(dict_DQ_Meth_max[[#This Row],[ID_DataQualities]],table_DataQualities[],3),table_Units[],2)</f>
        <v>bit</v>
      </c>
      <c r="I538" s="10"/>
      <c r="J538" s="10"/>
      <c r="K538" s="10"/>
      <c r="L538" s="10">
        <f ca="1">VLOOKUP(dict_DQ_Meth_max[[#This Row],[ID_DataQualities]],table_DataQualities[],8,FALSE)</f>
        <v>56</v>
      </c>
      <c r="M538" s="10">
        <f ca="1">VLOOKUP(dict_DQ_Meth_max[[#This Row],[ID_DataQualities]],table_DataQualities[],9,FALSE)</f>
        <v>2150</v>
      </c>
    </row>
    <row r="539" spans="1:13" x14ac:dyDescent="0.45">
      <c r="A539" s="10">
        <v>143</v>
      </c>
      <c r="B539" s="10">
        <v>481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809.83999999999992</v>
      </c>
      <c r="G539" s="12">
        <f ca="1">(RANDBETWEEN(50,100)/100)*(dict_DQ_Meth_max[[#This Row],[Vergleich_ub]]-dict_DQ_Meth_max[[#This Row],[Vergleich_lb]])+dict_DQ_Meth_max[[#This Row],[Vergleich_lb]]</f>
        <v>1249.58</v>
      </c>
      <c r="H539" s="11" t="str">
        <f ca="1">VLOOKUP(VLOOKUP(dict_DQ_Meth_max[[#This Row],[ID_DataQualities]],table_DataQualities[],3),table_Units[],2)</f>
        <v>bit</v>
      </c>
      <c r="I539" s="10"/>
      <c r="J539" s="10"/>
      <c r="K539" s="10"/>
      <c r="L539" s="10">
        <f ca="1">VLOOKUP(dict_DQ_Meth_max[[#This Row],[ID_DataQualities]],table_DataQualities[],8,FALSE)</f>
        <v>56</v>
      </c>
      <c r="M539" s="10">
        <f ca="1">VLOOKUP(dict_DQ_Meth_max[[#This Row],[ID_DataQualities]],table_DataQualities[],9,FALSE)</f>
        <v>2150</v>
      </c>
    </row>
    <row r="540" spans="1:13" x14ac:dyDescent="0.45">
      <c r="A540" s="10">
        <v>144</v>
      </c>
      <c r="B540" s="10">
        <v>599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3975.1458899999998</v>
      </c>
      <c r="G540" s="12">
        <f ca="1">(RANDBETWEEN(50,100)/100)*(dict_DQ_Meth_max[[#This Row],[Vergleich_ub]]-dict_DQ_Meth_max[[#This Row],[Vergleich_lb]])+dict_DQ_Meth_max[[#This Row],[Vergleich_lb]]</f>
        <v>9597.85671</v>
      </c>
      <c r="H540" s="11" t="str">
        <f ca="1">VLOOKUP(VLOOKUP(dict_DQ_Meth_max[[#This Row],[ID_DataQualities]],table_DataQualities[],3),table_Units[],2)</f>
        <v>Hz</v>
      </c>
      <c r="I540" s="10"/>
      <c r="J540" s="10"/>
      <c r="K540" s="10"/>
      <c r="L540" s="10">
        <f ca="1">VLOOKUP(dict_DQ_Meth_max[[#This Row],[ID_DataQualities]],table_DataQualities[],8,FALSE)</f>
        <v>0.47099999999999997</v>
      </c>
      <c r="M540" s="10">
        <f ca="1">VLOOKUP(dict_DQ_Meth_max[[#This Row],[ID_DataQualities]],table_DataQualities[],9,FALSE)</f>
        <v>9694.7999999999993</v>
      </c>
    </row>
    <row r="541" spans="1:13" x14ac:dyDescent="0.45">
      <c r="A541" s="10">
        <v>144</v>
      </c>
      <c r="B541" s="10">
        <v>393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2714.88312</v>
      </c>
      <c r="G541" s="12">
        <f ca="1">(RANDBETWEEN(50,100)/100)*(dict_DQ_Meth_max[[#This Row],[Vergleich_ub]]-dict_DQ_Meth_max[[#This Row],[Vergleich_lb]])+dict_DQ_Meth_max[[#This Row],[Vergleich_lb]]</f>
        <v>5914.0116899999994</v>
      </c>
      <c r="H541" s="11" t="str">
        <f ca="1">VLOOKUP(VLOOKUP(dict_DQ_Meth_max[[#This Row],[ID_DataQualities]],table_DataQualities[],3),table_Units[],2)</f>
        <v>Hz</v>
      </c>
      <c r="I541" s="10"/>
      <c r="J541" s="10"/>
      <c r="K541" s="10"/>
      <c r="L541" s="10">
        <f ca="1">VLOOKUP(dict_DQ_Meth_max[[#This Row],[ID_DataQualities]],table_DataQualities[],8,FALSE)</f>
        <v>0.47099999999999997</v>
      </c>
      <c r="M541" s="10">
        <f ca="1">VLOOKUP(dict_DQ_Meth_max[[#This Row],[ID_DataQualities]],table_DataQualities[],9,FALSE)</f>
        <v>9694.7999999999993</v>
      </c>
    </row>
    <row r="542" spans="1:13" x14ac:dyDescent="0.45">
      <c r="A542" s="10">
        <v>144</v>
      </c>
      <c r="B542" s="10">
        <v>216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388.24416000000002</v>
      </c>
      <c r="G542" s="12">
        <f ca="1">(RANDBETWEEN(50,100)/100)*(dict_DQ_Meth_max[[#This Row],[Vergleich_ub]]-dict_DQ_Meth_max[[#This Row],[Vergleich_lb]])+dict_DQ_Meth_max[[#This Row],[Vergleich_lb]]</f>
        <v>8434.5372299999999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0.47099999999999997</v>
      </c>
      <c r="M542" s="10">
        <f ca="1">VLOOKUP(dict_DQ_Meth_max[[#This Row],[ID_DataQualities]],table_DataQualities[],9,FALSE)</f>
        <v>9694.7999999999993</v>
      </c>
    </row>
    <row r="543" spans="1:13" x14ac:dyDescent="0.45">
      <c r="A543" s="10">
        <v>145</v>
      </c>
      <c r="B543" s="10">
        <v>216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2.3039000000000001</v>
      </c>
      <c r="G543" s="12">
        <f ca="1">(RANDBETWEEN(50,100)/100)*(dict_DQ_Meth_max[[#This Row],[Vergleich_ub]]-dict_DQ_Meth_max[[#This Row],[Vergleich_lb]])+dict_DQ_Meth_max[[#This Row],[Vergleich_lb]]</f>
        <v>7.0343</v>
      </c>
      <c r="H543" s="11" t="str">
        <f ca="1">VLOOKUP(VLOOKUP(dict_DQ_Meth_max[[#This Row],[ID_DataQualities]],table_DataQualities[],3),table_Units[],2)</f>
        <v>+/- mm/s</v>
      </c>
      <c r="I543" s="10"/>
      <c r="J543" s="10"/>
      <c r="K543" s="10"/>
      <c r="L543" s="10">
        <f ca="1">VLOOKUP(dict_DQ_Meth_max[[#This Row],[ID_DataQualities]],table_DataQualities[],8,FALSE)</f>
        <v>0.53</v>
      </c>
      <c r="M543" s="10">
        <f ca="1">VLOOKUP(dict_DQ_Meth_max[[#This Row],[ID_DataQualities]],table_DataQualities[],9,FALSE)</f>
        <v>7.1</v>
      </c>
    </row>
    <row r="544" spans="1:13" x14ac:dyDescent="0.45">
      <c r="A544" s="10">
        <v>145</v>
      </c>
      <c r="B544" s="10">
        <v>599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2.6981000000000002</v>
      </c>
      <c r="G544" s="12">
        <f ca="1">(RANDBETWEEN(50,100)/100)*(dict_DQ_Meth_max[[#This Row],[Vergleich_ub]]-dict_DQ_Meth_max[[#This Row],[Vergleich_lb]])+dict_DQ_Meth_max[[#This Row],[Vergleich_lb]]</f>
        <v>4.3405999999999993</v>
      </c>
      <c r="H544" s="11" t="str">
        <f ca="1">VLOOKUP(VLOOKUP(dict_DQ_Meth_max[[#This Row],[ID_DataQualities]],table_DataQualities[],3),table_Units[],2)</f>
        <v>+/- mm/s</v>
      </c>
      <c r="I544" s="10"/>
      <c r="J544" s="10"/>
      <c r="K544" s="10"/>
      <c r="L544" s="10">
        <f ca="1">VLOOKUP(dict_DQ_Meth_max[[#This Row],[ID_DataQualities]],table_DataQualities[],8,FALSE)</f>
        <v>0.53</v>
      </c>
      <c r="M544" s="10">
        <f ca="1">VLOOKUP(dict_DQ_Meth_max[[#This Row],[ID_DataQualities]],table_DataQualities[],9,FALSE)</f>
        <v>7.1</v>
      </c>
    </row>
    <row r="545" spans="1:13" x14ac:dyDescent="0.45">
      <c r="A545" s="10">
        <v>145</v>
      </c>
      <c r="B545" s="10">
        <v>393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0.66139999999999999</v>
      </c>
      <c r="G545" s="12">
        <f ca="1">(RANDBETWEEN(50,100)/100)*(dict_DQ_Meth_max[[#This Row],[Vergleich_ub]]-dict_DQ_Meth_max[[#This Row],[Vergleich_lb]])+dict_DQ_Meth_max[[#This Row],[Vergleich_lb]]</f>
        <v>6.7714999999999996</v>
      </c>
      <c r="H545" s="11" t="str">
        <f ca="1">VLOOKUP(VLOOKUP(dict_DQ_Meth_max[[#This Row],[ID_DataQualities]],table_DataQualities[],3),table_Units[],2)</f>
        <v>+/- mm/s</v>
      </c>
      <c r="I545" s="10"/>
      <c r="J545" s="10"/>
      <c r="K545" s="10"/>
      <c r="L545" s="10">
        <f ca="1">VLOOKUP(dict_DQ_Meth_max[[#This Row],[ID_DataQualities]],table_DataQualities[],8,FALSE)</f>
        <v>0.53</v>
      </c>
      <c r="M545" s="10">
        <f ca="1">VLOOKUP(dict_DQ_Meth_max[[#This Row],[ID_DataQualities]],table_DataQualities[],9,FALSE)</f>
        <v>7.1</v>
      </c>
    </row>
    <row r="546" spans="1:13" x14ac:dyDescent="0.45">
      <c r="A546" s="10">
        <v>146</v>
      </c>
      <c r="B546" s="10">
        <v>567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443.59536000000008</v>
      </c>
      <c r="G546" s="12">
        <f ca="1">(RANDBETWEEN(50,100)/100)*(dict_DQ_Meth_max[[#This Row],[Vergleich_ub]]-dict_DQ_Meth_max[[#This Row],[Vergleich_lb]])+dict_DQ_Meth_max[[#This Row],[Vergleich_lb]]</f>
        <v>3599.1678000000006</v>
      </c>
      <c r="H546" s="11" t="str">
        <f ca="1">VLOOKUP(VLOOKUP(dict_DQ_Meth_max[[#This Row],[ID_DataQualities]],table_DataQualities[],3),table_Units[],2)</f>
        <v>Hz</v>
      </c>
      <c r="I546" s="10"/>
      <c r="J546" s="10"/>
      <c r="K546" s="10"/>
      <c r="L546" s="10">
        <f ca="1">VLOOKUP(dict_DQ_Meth_max[[#This Row],[ID_DataQualities]],table_DataQualities[],8,FALSE)</f>
        <v>0.70799999999999996</v>
      </c>
      <c r="M546" s="10">
        <f ca="1">VLOOKUP(dict_DQ_Meth_max[[#This Row],[ID_DataQualities]],table_DataQualities[],9,FALSE)</f>
        <v>5536.8</v>
      </c>
    </row>
    <row r="547" spans="1:13" x14ac:dyDescent="0.45">
      <c r="A547" s="10">
        <v>146</v>
      </c>
      <c r="B547" s="10">
        <v>321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2602.6712400000001</v>
      </c>
      <c r="G547" s="12">
        <f ca="1">(RANDBETWEEN(50,100)/100)*(dict_DQ_Meth_max[[#This Row],[Vergleich_ub]]-dict_DQ_Meth_max[[#This Row],[Vergleich_lb]])+dict_DQ_Meth_max[[#This Row],[Vergleich_lb]]</f>
        <v>3045.5586000000008</v>
      </c>
      <c r="H547" s="11" t="str">
        <f ca="1">VLOOKUP(VLOOKUP(dict_DQ_Meth_max[[#This Row],[ID_DataQualities]],table_DataQualities[],3),table_Units[],2)</f>
        <v>Hz</v>
      </c>
      <c r="I547" s="10"/>
      <c r="J547" s="10"/>
      <c r="K547" s="10"/>
      <c r="L547" s="10">
        <f ca="1">VLOOKUP(dict_DQ_Meth_max[[#This Row],[ID_DataQualities]],table_DataQualities[],8,FALSE)</f>
        <v>0.70799999999999996</v>
      </c>
      <c r="M547" s="10">
        <f ca="1">VLOOKUP(dict_DQ_Meth_max[[#This Row],[ID_DataQualities]],table_DataQualities[],9,FALSE)</f>
        <v>5536.8</v>
      </c>
    </row>
    <row r="548" spans="1:13" x14ac:dyDescent="0.45">
      <c r="A548" s="10">
        <v>146</v>
      </c>
      <c r="B548" s="10">
        <v>325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2270.5057200000001</v>
      </c>
      <c r="G548" s="12">
        <f ca="1">(RANDBETWEEN(50,100)/100)*(dict_DQ_Meth_max[[#This Row],[Vergleich_ub]]-dict_DQ_Meth_max[[#This Row],[Vergleich_lb]])+dict_DQ_Meth_max[[#This Row],[Vergleich_lb]]</f>
        <v>4042.0551600000003</v>
      </c>
      <c r="H548" s="11" t="str">
        <f ca="1">VLOOKUP(VLOOKUP(dict_DQ_Meth_max[[#This Row],[ID_DataQualities]],table_DataQualities[],3),table_Units[],2)</f>
        <v>Hz</v>
      </c>
      <c r="I548" s="10"/>
      <c r="J548" s="10"/>
      <c r="K548" s="10"/>
      <c r="L548" s="10">
        <f ca="1">VLOOKUP(dict_DQ_Meth_max[[#This Row],[ID_DataQualities]],table_DataQualities[],8,FALSE)</f>
        <v>0.70799999999999996</v>
      </c>
      <c r="M548" s="10">
        <f ca="1">VLOOKUP(dict_DQ_Meth_max[[#This Row],[ID_DataQualities]],table_DataQualities[],9,FALSE)</f>
        <v>5536.8</v>
      </c>
    </row>
    <row r="549" spans="1:13" x14ac:dyDescent="0.45">
      <c r="A549" s="10">
        <v>146</v>
      </c>
      <c r="B549" s="10">
        <v>23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1274.0091600000003</v>
      </c>
      <c r="G549" s="12">
        <f ca="1">(RANDBETWEEN(50,100)/100)*(dict_DQ_Meth_max[[#This Row],[Vergleich_ub]]-dict_DQ_Meth_max[[#This Row],[Vergleich_lb]])+dict_DQ_Meth_max[[#This Row],[Vergleich_lb]]</f>
        <v>3986.6942400000003</v>
      </c>
      <c r="H549" s="11" t="str">
        <f ca="1">VLOOKUP(VLOOKUP(dict_DQ_Meth_max[[#This Row],[ID_DataQualities]],table_DataQualities[],3),table_Units[],2)</f>
        <v>Hz</v>
      </c>
      <c r="I549" s="10"/>
      <c r="J549" s="10"/>
      <c r="K549" s="10"/>
      <c r="L549" s="10">
        <f ca="1">VLOOKUP(dict_DQ_Meth_max[[#This Row],[ID_DataQualities]],table_DataQualities[],8,FALSE)</f>
        <v>0.70799999999999996</v>
      </c>
      <c r="M549" s="10">
        <f ca="1">VLOOKUP(dict_DQ_Meth_max[[#This Row],[ID_DataQualities]],table_DataQualities[],9,FALSE)</f>
        <v>5536.8</v>
      </c>
    </row>
    <row r="550" spans="1:13" x14ac:dyDescent="0.45">
      <c r="A550" s="10">
        <v>146</v>
      </c>
      <c r="B550" s="10">
        <v>654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1550.8137600000005</v>
      </c>
      <c r="G550" s="12">
        <f ca="1">(RANDBETWEEN(50,100)/100)*(dict_DQ_Meth_max[[#This Row],[Vergleich_ub]]-dict_DQ_Meth_max[[#This Row],[Vergleich_lb]])+dict_DQ_Meth_max[[#This Row],[Vergleich_lb]]</f>
        <v>5536.8</v>
      </c>
      <c r="H550" s="11" t="str">
        <f ca="1">VLOOKUP(VLOOKUP(dict_DQ_Meth_max[[#This Row],[ID_DataQualities]],table_DataQualities[],3),table_Units[],2)</f>
        <v>Hz</v>
      </c>
      <c r="I550" s="10"/>
      <c r="J550" s="10"/>
      <c r="K550" s="10"/>
      <c r="L550" s="10">
        <f ca="1">VLOOKUP(dict_DQ_Meth_max[[#This Row],[ID_DataQualities]],table_DataQualities[],8,FALSE)</f>
        <v>0.70799999999999996</v>
      </c>
      <c r="M550" s="10">
        <f ca="1">VLOOKUP(dict_DQ_Meth_max[[#This Row],[ID_DataQualities]],table_DataQualities[],9,FALSE)</f>
        <v>5536.8</v>
      </c>
    </row>
    <row r="551" spans="1:13" x14ac:dyDescent="0.45">
      <c r="A551" s="10">
        <v>147</v>
      </c>
      <c r="B551" s="10">
        <v>567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2.5340499999999997</v>
      </c>
      <c r="G551" s="12">
        <f ca="1">(RANDBETWEEN(50,100)/100)*(dict_DQ_Meth_max[[#This Row],[Vergleich_ub]]-dict_DQ_Meth_max[[#This Row],[Vergleich_lb]])+dict_DQ_Meth_max[[#This Row],[Vergleich_lb]]</f>
        <v>5.0670999999999999</v>
      </c>
      <c r="H551" s="11" t="str">
        <f ca="1">VLOOKUP(VLOOKUP(dict_DQ_Meth_max[[#This Row],[ID_DataQualities]],table_DataQualities[],3),table_Units[],2)</f>
        <v>+/- mm</v>
      </c>
      <c r="I551" s="10"/>
      <c r="J551" s="10"/>
      <c r="K551" s="10"/>
      <c r="L551" s="10">
        <f ca="1">VLOOKUP(dict_DQ_Meth_max[[#This Row],[ID_DataQualities]],table_DataQualities[],8,FALSE)</f>
        <v>1E-3</v>
      </c>
      <c r="M551" s="10">
        <f ca="1">VLOOKUP(dict_DQ_Meth_max[[#This Row],[ID_DataQualities]],table_DataQualities[],9,FALSE)</f>
        <v>5.63</v>
      </c>
    </row>
    <row r="552" spans="1:13" x14ac:dyDescent="0.45">
      <c r="A552" s="10">
        <v>147</v>
      </c>
      <c r="B552" s="10">
        <v>325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1.7459899999999997</v>
      </c>
      <c r="G552" s="12">
        <f ca="1">(RANDBETWEEN(50,100)/100)*(dict_DQ_Meth_max[[#This Row],[Vergleich_ub]]-dict_DQ_Meth_max[[#This Row],[Vergleich_lb]])+dict_DQ_Meth_max[[#This Row],[Vergleich_lb]]</f>
        <v>5.1233899999999997</v>
      </c>
      <c r="H552" s="11" t="str">
        <f ca="1">VLOOKUP(VLOOKUP(dict_DQ_Meth_max[[#This Row],[ID_DataQualities]],table_DataQualities[],3),table_Units[],2)</f>
        <v>+/- mm</v>
      </c>
      <c r="I552" s="10"/>
      <c r="J552" s="10"/>
      <c r="K552" s="10"/>
      <c r="L552" s="10">
        <f ca="1">VLOOKUP(dict_DQ_Meth_max[[#This Row],[ID_DataQualities]],table_DataQualities[],8,FALSE)</f>
        <v>1E-3</v>
      </c>
      <c r="M552" s="10">
        <f ca="1">VLOOKUP(dict_DQ_Meth_max[[#This Row],[ID_DataQualities]],table_DataQualities[],9,FALSE)</f>
        <v>5.63</v>
      </c>
    </row>
    <row r="553" spans="1:13" x14ac:dyDescent="0.45">
      <c r="A553" s="10">
        <v>147</v>
      </c>
      <c r="B553" s="10">
        <v>23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2.3651799999999996</v>
      </c>
      <c r="G553" s="12">
        <f ca="1">(RANDBETWEEN(50,100)/100)*(dict_DQ_Meth_max[[#This Row],[Vergleich_ub]]-dict_DQ_Meth_max[[#This Row],[Vergleich_lb]])+dict_DQ_Meth_max[[#This Row],[Vergleich_lb]]</f>
        <v>5.4048400000000001</v>
      </c>
      <c r="H553" s="11" t="str">
        <f ca="1">VLOOKUP(VLOOKUP(dict_DQ_Meth_max[[#This Row],[ID_DataQualities]],table_DataQualities[],3),table_Units[],2)</f>
        <v>+/- mm</v>
      </c>
      <c r="I553" s="10"/>
      <c r="J553" s="10"/>
      <c r="K553" s="10"/>
      <c r="L553" s="10">
        <f ca="1">VLOOKUP(dict_DQ_Meth_max[[#This Row],[ID_DataQualities]],table_DataQualities[],8,FALSE)</f>
        <v>1E-3</v>
      </c>
      <c r="M553" s="10">
        <f ca="1">VLOOKUP(dict_DQ_Meth_max[[#This Row],[ID_DataQualities]],table_DataQualities[],9,FALSE)</f>
        <v>5.63</v>
      </c>
    </row>
    <row r="554" spans="1:13" x14ac:dyDescent="0.45">
      <c r="A554" s="10">
        <v>147</v>
      </c>
      <c r="B554" s="10">
        <v>321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1.1830899999999998</v>
      </c>
      <c r="G554" s="12">
        <f ca="1">(RANDBETWEEN(50,100)/100)*(dict_DQ_Meth_max[[#This Row],[Vergleich_ub]]-dict_DQ_Meth_max[[#This Row],[Vergleich_lb]])+dict_DQ_Meth_max[[#This Row],[Vergleich_lb]]</f>
        <v>4.5604900000000006</v>
      </c>
      <c r="H554" s="11" t="str">
        <f ca="1">VLOOKUP(VLOOKUP(dict_DQ_Meth_max[[#This Row],[ID_DataQualities]],table_DataQualities[],3),table_Units[],2)</f>
        <v>+/- mm</v>
      </c>
      <c r="I554" s="10"/>
      <c r="J554" s="10"/>
      <c r="K554" s="10"/>
      <c r="L554" s="10">
        <f ca="1">VLOOKUP(dict_DQ_Meth_max[[#This Row],[ID_DataQualities]],table_DataQualities[],8,FALSE)</f>
        <v>1E-3</v>
      </c>
      <c r="M554" s="10">
        <f ca="1">VLOOKUP(dict_DQ_Meth_max[[#This Row],[ID_DataQualities]],table_DataQualities[],9,FALSE)</f>
        <v>5.63</v>
      </c>
    </row>
    <row r="555" spans="1:13" x14ac:dyDescent="0.45">
      <c r="A555" s="10">
        <v>147</v>
      </c>
      <c r="B555" s="10">
        <v>654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0.16986999999999999</v>
      </c>
      <c r="G555" s="12">
        <f ca="1">(RANDBETWEEN(50,100)/100)*(dict_DQ_Meth_max[[#This Row],[Vergleich_ub]]-dict_DQ_Meth_max[[#This Row],[Vergleich_lb]])+dict_DQ_Meth_max[[#This Row],[Vergleich_lb]]</f>
        <v>4.5604900000000006</v>
      </c>
      <c r="H555" s="11" t="str">
        <f ca="1">VLOOKUP(VLOOKUP(dict_DQ_Meth_max[[#This Row],[ID_DataQualities]],table_DataQualities[],3),table_Units[],2)</f>
        <v>+/- mm</v>
      </c>
      <c r="I555" s="10"/>
      <c r="J555" s="10"/>
      <c r="K555" s="10"/>
      <c r="L555" s="10">
        <f ca="1">VLOOKUP(dict_DQ_Meth_max[[#This Row],[ID_DataQualities]],table_DataQualities[],8,FALSE)</f>
        <v>1E-3</v>
      </c>
      <c r="M555" s="10">
        <f ca="1">VLOOKUP(dict_DQ_Meth_max[[#This Row],[ID_DataQualities]],table_DataQualities[],9,FALSE)</f>
        <v>5.63</v>
      </c>
    </row>
    <row r="556" spans="1:13" x14ac:dyDescent="0.45">
      <c r="A556" s="10">
        <v>148</v>
      </c>
      <c r="B556" s="10">
        <v>613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1106.83356</v>
      </c>
      <c r="G556" s="12">
        <f ca="1">(RANDBETWEEN(50,100)/100)*(dict_DQ_Meth_max[[#This Row],[Vergleich_ub]]-dict_DQ_Meth_max[[#This Row],[Vergleich_lb]])+dict_DQ_Meth_max[[#This Row],[Vergleich_lb]]</f>
        <v>3089.2277300000001</v>
      </c>
      <c r="H556" s="11" t="str">
        <f ca="1">VLOOKUP(VLOOKUP(dict_DQ_Meth_max[[#This Row],[ID_DataQualities]],table_DataQualities[],3),table_Units[],2)</f>
        <v>Hz</v>
      </c>
      <c r="I556" s="10"/>
      <c r="J556" s="10"/>
      <c r="K556" s="10"/>
      <c r="L556" s="10">
        <f ca="1">VLOOKUP(dict_DQ_Meth_max[[#This Row],[ID_DataQualities]],table_DataQualities[],8,FALSE)</f>
        <v>0.38100000000000001</v>
      </c>
      <c r="M556" s="10">
        <f ca="1">VLOOKUP(dict_DQ_Meth_max[[#This Row],[ID_DataQualities]],table_DataQualities[],9,FALSE)</f>
        <v>4610.6000000000004</v>
      </c>
    </row>
    <row r="557" spans="1:13" x14ac:dyDescent="0.45">
      <c r="A557" s="10">
        <v>148</v>
      </c>
      <c r="B557" s="10">
        <v>396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138.68756999999999</v>
      </c>
      <c r="G557" s="12">
        <f ca="1">(RANDBETWEEN(50,100)/100)*(dict_DQ_Meth_max[[#This Row],[Vergleich_ub]]-dict_DQ_Meth_max[[#This Row],[Vergleich_lb]])+dict_DQ_Meth_max[[#This Row],[Vergleich_lb]]</f>
        <v>3780.7605799999997</v>
      </c>
      <c r="H557" s="11" t="str">
        <f ca="1">VLOOKUP(VLOOKUP(dict_DQ_Meth_max[[#This Row],[ID_DataQualities]],table_DataQualities[],3),table_Units[],2)</f>
        <v>Hz</v>
      </c>
      <c r="I557" s="10"/>
      <c r="J557" s="10"/>
      <c r="K557" s="10"/>
      <c r="L557" s="10">
        <f ca="1">VLOOKUP(dict_DQ_Meth_max[[#This Row],[ID_DataQualities]],table_DataQualities[],8,FALSE)</f>
        <v>0.38100000000000001</v>
      </c>
      <c r="M557" s="10">
        <f ca="1">VLOOKUP(dict_DQ_Meth_max[[#This Row],[ID_DataQualities]],table_DataQualities[],9,FALSE)</f>
        <v>4610.6000000000004</v>
      </c>
    </row>
    <row r="558" spans="1:13" x14ac:dyDescent="0.45">
      <c r="A558" s="10">
        <v>148</v>
      </c>
      <c r="B558" s="10">
        <v>18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599.70947000000001</v>
      </c>
      <c r="G558" s="12">
        <f ca="1">(RANDBETWEEN(50,100)/100)*(dict_DQ_Meth_max[[#This Row],[Vergleich_ub]]-dict_DQ_Meth_max[[#This Row],[Vergleich_lb]])+dict_DQ_Meth_max[[#This Row],[Vergleich_lb]]</f>
        <v>4057.37372</v>
      </c>
      <c r="H558" s="11" t="str">
        <f ca="1">VLOOKUP(VLOOKUP(dict_DQ_Meth_max[[#This Row],[ID_DataQualities]],table_DataQualities[],3),table_Units[],2)</f>
        <v>Hz</v>
      </c>
      <c r="I558" s="10"/>
      <c r="J558" s="10"/>
      <c r="K558" s="10"/>
      <c r="L558" s="10">
        <f ca="1">VLOOKUP(dict_DQ_Meth_max[[#This Row],[ID_DataQualities]],table_DataQualities[],8,FALSE)</f>
        <v>0.38100000000000001</v>
      </c>
      <c r="M558" s="10">
        <f ca="1">VLOOKUP(dict_DQ_Meth_max[[#This Row],[ID_DataQualities]],table_DataQualities[],9,FALSE)</f>
        <v>4610.6000000000004</v>
      </c>
    </row>
    <row r="559" spans="1:13" x14ac:dyDescent="0.45">
      <c r="A559" s="10">
        <v>149</v>
      </c>
      <c r="B559" s="10">
        <v>613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3.0327999999999999</v>
      </c>
      <c r="G559" s="12">
        <f ca="1">(RANDBETWEEN(50,100)/100)*(dict_DQ_Meth_max[[#This Row],[Vergleich_ub]]-dict_DQ_Meth_max[[#This Row],[Vergleich_lb]])+dict_DQ_Meth_max[[#This Row],[Vergleich_lb]]</f>
        <v>6.8680000000000003</v>
      </c>
      <c r="H559" s="11" t="str">
        <f ca="1">VLOOKUP(VLOOKUP(dict_DQ_Meth_max[[#This Row],[ID_DataQualities]],table_DataQualities[],3),table_Units[],2)</f>
        <v>+/- mm/s</v>
      </c>
      <c r="I559" s="10"/>
      <c r="J559" s="10"/>
      <c r="K559" s="10"/>
      <c r="L559" s="10">
        <f ca="1">VLOOKUP(dict_DQ_Meth_max[[#This Row],[ID_DataQualities]],table_DataQualities[],8,FALSE)</f>
        <v>0.34</v>
      </c>
      <c r="M559" s="10">
        <f ca="1">VLOOKUP(dict_DQ_Meth_max[[#This Row],[ID_DataQualities]],table_DataQualities[],9,FALSE)</f>
        <v>8.5</v>
      </c>
    </row>
    <row r="560" spans="1:13" x14ac:dyDescent="0.45">
      <c r="A560" s="10">
        <v>149</v>
      </c>
      <c r="B560" s="10">
        <v>396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0.58479999999999999</v>
      </c>
      <c r="G560" s="12">
        <f ca="1">(RANDBETWEEN(50,100)/100)*(dict_DQ_Meth_max[[#This Row],[Vergleich_ub]]-dict_DQ_Meth_max[[#This Row],[Vergleich_lb]])+dict_DQ_Meth_max[[#This Row],[Vergleich_lb]]</f>
        <v>6.46</v>
      </c>
      <c r="H560" s="11" t="str">
        <f ca="1">VLOOKUP(VLOOKUP(dict_DQ_Meth_max[[#This Row],[ID_DataQualities]],table_DataQualities[],3),table_Units[],2)</f>
        <v>+/- mm/s</v>
      </c>
      <c r="I560" s="10"/>
      <c r="J560" s="10"/>
      <c r="K560" s="10"/>
      <c r="L560" s="10">
        <f ca="1">VLOOKUP(dict_DQ_Meth_max[[#This Row],[ID_DataQualities]],table_DataQualities[],8,FALSE)</f>
        <v>0.34</v>
      </c>
      <c r="M560" s="10">
        <f ca="1">VLOOKUP(dict_DQ_Meth_max[[#This Row],[ID_DataQualities]],table_DataQualities[],9,FALSE)</f>
        <v>8.5</v>
      </c>
    </row>
    <row r="561" spans="1:13" x14ac:dyDescent="0.45">
      <c r="A561" s="10">
        <v>149</v>
      </c>
      <c r="B561" s="10">
        <v>18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1.6456000000000002</v>
      </c>
      <c r="G561" s="12">
        <f ca="1">(RANDBETWEEN(50,100)/100)*(dict_DQ_Meth_max[[#This Row],[Vergleich_ub]]-dict_DQ_Meth_max[[#This Row],[Vergleich_lb]])+dict_DQ_Meth_max[[#This Row],[Vergleich_lb]]</f>
        <v>7.6840000000000002</v>
      </c>
      <c r="H561" s="11" t="str">
        <f ca="1">VLOOKUP(VLOOKUP(dict_DQ_Meth_max[[#This Row],[ID_DataQualities]],table_DataQualities[],3),table_Units[],2)</f>
        <v>+/- mm/s</v>
      </c>
      <c r="I561" s="10"/>
      <c r="J561" s="10"/>
      <c r="K561" s="10"/>
      <c r="L561" s="10">
        <f ca="1">VLOOKUP(dict_DQ_Meth_max[[#This Row],[ID_DataQualities]],table_DataQualities[],8,FALSE)</f>
        <v>0.34</v>
      </c>
      <c r="M561" s="10">
        <f ca="1">VLOOKUP(dict_DQ_Meth_max[[#This Row],[ID_DataQualities]],table_DataQualities[],9,FALSE)</f>
        <v>8.5</v>
      </c>
    </row>
    <row r="562" spans="1:13" x14ac:dyDescent="0.45">
      <c r="A562" s="10">
        <v>150</v>
      </c>
      <c r="B562" s="10">
        <v>222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0.39200000000000002</v>
      </c>
      <c r="G562" s="12">
        <f ca="1">(RANDBETWEEN(50,100)/100)*(dict_DQ_Meth_max[[#This Row],[Vergleich_ub]]-dict_DQ_Meth_max[[#This Row],[Vergleich_lb]])+dict_DQ_Meth_max[[#This Row],[Vergleich_lb]]</f>
        <v>7526.7748799999999</v>
      </c>
      <c r="H562" s="11" t="str">
        <f ca="1">VLOOKUP(VLOOKUP(dict_DQ_Meth_max[[#This Row],[ID_DataQualities]],table_DataQualities[],3),table_Units[],2)</f>
        <v>Hz</v>
      </c>
      <c r="I562" s="10"/>
      <c r="J562" s="10"/>
      <c r="K562" s="10"/>
      <c r="L562" s="10">
        <f ca="1">VLOOKUP(dict_DQ_Meth_max[[#This Row],[ID_DataQualities]],table_DataQualities[],8,FALSE)</f>
        <v>0.39200000000000002</v>
      </c>
      <c r="M562" s="10">
        <f ca="1">VLOOKUP(dict_DQ_Meth_max[[#This Row],[ID_DataQualities]],table_DataQualities[],9,FALSE)</f>
        <v>8752</v>
      </c>
    </row>
    <row r="563" spans="1:13" x14ac:dyDescent="0.45">
      <c r="A563" s="10">
        <v>150</v>
      </c>
      <c r="B563" s="10">
        <v>45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2800.9065599999999</v>
      </c>
      <c r="G563" s="12">
        <f ca="1">(RANDBETWEEN(50,100)/100)*(dict_DQ_Meth_max[[#This Row],[Vergleich_ub]]-dict_DQ_Meth_max[[#This Row],[Vergleich_lb]])+dict_DQ_Meth_max[[#This Row],[Vergleich_lb]]</f>
        <v>4988.8085599999995</v>
      </c>
      <c r="H563" s="11" t="str">
        <f ca="1">VLOOKUP(VLOOKUP(dict_DQ_Meth_max[[#This Row],[ID_DataQualities]],table_DataQualities[],3),table_Units[],2)</f>
        <v>Hz</v>
      </c>
      <c r="I563" s="10"/>
      <c r="J563" s="10"/>
      <c r="K563" s="10"/>
      <c r="L563" s="10">
        <f ca="1">VLOOKUP(dict_DQ_Meth_max[[#This Row],[ID_DataQualities]],table_DataQualities[],8,FALSE)</f>
        <v>0.39200000000000002</v>
      </c>
      <c r="M563" s="10">
        <f ca="1">VLOOKUP(dict_DQ_Meth_max[[#This Row],[ID_DataQualities]],table_DataQualities[],9,FALSE)</f>
        <v>8752</v>
      </c>
    </row>
    <row r="564" spans="1:13" x14ac:dyDescent="0.45">
      <c r="A564" s="10">
        <v>150</v>
      </c>
      <c r="B564" s="10">
        <v>698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963.06888000000004</v>
      </c>
      <c r="G564" s="12">
        <f ca="1">(RANDBETWEEN(50,100)/100)*(dict_DQ_Meth_max[[#This Row],[Vergleich_ub]]-dict_DQ_Meth_max[[#This Row],[Vergleich_lb]])+dict_DQ_Meth_max[[#This Row],[Vergleich_lb]]</f>
        <v>6914.1623200000004</v>
      </c>
      <c r="H564" s="11" t="str">
        <f ca="1">VLOOKUP(VLOOKUP(dict_DQ_Meth_max[[#This Row],[ID_DataQualities]],table_DataQualities[],3),table_Units[],2)</f>
        <v>Hz</v>
      </c>
      <c r="I564" s="10"/>
      <c r="J564" s="10"/>
      <c r="K564" s="10"/>
      <c r="L564" s="10">
        <f ca="1">VLOOKUP(dict_DQ_Meth_max[[#This Row],[ID_DataQualities]],table_DataQualities[],8,FALSE)</f>
        <v>0.39200000000000002</v>
      </c>
      <c r="M564" s="10">
        <f ca="1">VLOOKUP(dict_DQ_Meth_max[[#This Row],[ID_DataQualities]],table_DataQualities[],9,FALSE)</f>
        <v>8752</v>
      </c>
    </row>
    <row r="565" spans="1:13" x14ac:dyDescent="0.45">
      <c r="A565" s="10">
        <v>150</v>
      </c>
      <c r="B565" s="10">
        <v>133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2013.2618400000001</v>
      </c>
      <c r="G565" s="12">
        <f ca="1">(RANDBETWEEN(50,100)/100)*(dict_DQ_Meth_max[[#This Row],[Vergleich_ub]]-dict_DQ_Meth_max[[#This Row],[Vergleich_lb]])+dict_DQ_Meth_max[[#This Row],[Vergleich_lb]]</f>
        <v>8051.8713600000001</v>
      </c>
      <c r="H565" s="11" t="str">
        <f ca="1">VLOOKUP(VLOOKUP(dict_DQ_Meth_max[[#This Row],[ID_DataQualities]],table_DataQualities[],3),table_Units[],2)</f>
        <v>Hz</v>
      </c>
      <c r="I565" s="10"/>
      <c r="J565" s="10"/>
      <c r="K565" s="10"/>
      <c r="L565" s="10">
        <f ca="1">VLOOKUP(dict_DQ_Meth_max[[#This Row],[ID_DataQualities]],table_DataQualities[],8,FALSE)</f>
        <v>0.39200000000000002</v>
      </c>
      <c r="M565" s="10">
        <f ca="1">VLOOKUP(dict_DQ_Meth_max[[#This Row],[ID_DataQualities]],table_DataQualities[],9,FALSE)</f>
        <v>8752</v>
      </c>
    </row>
    <row r="566" spans="1:13" x14ac:dyDescent="0.45">
      <c r="A566" s="10">
        <v>151</v>
      </c>
      <c r="B566" s="10">
        <v>45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0.13719999999999999</v>
      </c>
      <c r="G566" s="12">
        <f ca="1">(RANDBETWEEN(50,100)/100)*(dict_DQ_Meth_max[[#This Row],[Vergleich_ub]]-dict_DQ_Meth_max[[#This Row],[Vergleich_lb]])+dict_DQ_Meth_max[[#This Row],[Vergleich_lb]]</f>
        <v>0.33117999999999997</v>
      </c>
      <c r="H566" s="11" t="str">
        <f ca="1">VLOOKUP(VLOOKUP(dict_DQ_Meth_max[[#This Row],[ID_DataQualities]],table_DataQualities[],3),table_Units[],2)</f>
        <v>+/- mm</v>
      </c>
      <c r="I566" s="10"/>
      <c r="J566" s="10"/>
      <c r="K566" s="10"/>
      <c r="L566" s="10">
        <f ca="1">VLOOKUP(dict_DQ_Meth_max[[#This Row],[ID_DataQualities]],table_DataQualities[],8,FALSE)</f>
        <v>6.4000000000000001E-2</v>
      </c>
      <c r="M566" s="10">
        <f ca="1">VLOOKUP(dict_DQ_Meth_max[[#This Row],[ID_DataQualities]],table_DataQualities[],9,FALSE)</f>
        <v>0.43</v>
      </c>
    </row>
    <row r="567" spans="1:13" x14ac:dyDescent="0.45">
      <c r="A567" s="10">
        <v>151</v>
      </c>
      <c r="B567" s="10">
        <v>222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0.20674000000000001</v>
      </c>
      <c r="G567" s="12">
        <f ca="1">(RANDBETWEEN(50,100)/100)*(dict_DQ_Meth_max[[#This Row],[Vergleich_ub]]-dict_DQ_Meth_max[[#This Row],[Vergleich_lb]])+dict_DQ_Meth_max[[#This Row],[Vergleich_lb]]</f>
        <v>0.40438000000000002</v>
      </c>
      <c r="H567" s="11" t="str">
        <f ca="1">VLOOKUP(VLOOKUP(dict_DQ_Meth_max[[#This Row],[ID_DataQualities]],table_DataQualities[],3),table_Units[],2)</f>
        <v>+/- mm</v>
      </c>
      <c r="I567" s="10"/>
      <c r="J567" s="10"/>
      <c r="K567" s="10"/>
      <c r="L567" s="10">
        <f ca="1">VLOOKUP(dict_DQ_Meth_max[[#This Row],[ID_DataQualities]],table_DataQualities[],8,FALSE)</f>
        <v>6.4000000000000001E-2</v>
      </c>
      <c r="M567" s="10">
        <f ca="1">VLOOKUP(dict_DQ_Meth_max[[#This Row],[ID_DataQualities]],table_DataQualities[],9,FALSE)</f>
        <v>0.43</v>
      </c>
    </row>
    <row r="568" spans="1:13" x14ac:dyDescent="0.45">
      <c r="A568" s="10">
        <v>151</v>
      </c>
      <c r="B568" s="10">
        <v>133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0.17746000000000001</v>
      </c>
      <c r="G568" s="12">
        <f ca="1">(RANDBETWEEN(50,100)/100)*(dict_DQ_Meth_max[[#This Row],[Vergleich_ub]]-dict_DQ_Meth_max[[#This Row],[Vergleich_lb]])+dict_DQ_Meth_max[[#This Row],[Vergleich_lb]]</f>
        <v>0.25065999999999999</v>
      </c>
      <c r="H568" s="11" t="str">
        <f ca="1">VLOOKUP(VLOOKUP(dict_DQ_Meth_max[[#This Row],[ID_DataQualities]],table_DataQualities[],3),table_Units[],2)</f>
        <v>+/- mm</v>
      </c>
      <c r="I568" s="10"/>
      <c r="J568" s="10"/>
      <c r="K568" s="10"/>
      <c r="L568" s="10">
        <f ca="1">VLOOKUP(dict_DQ_Meth_max[[#This Row],[ID_DataQualities]],table_DataQualities[],8,FALSE)</f>
        <v>6.4000000000000001E-2</v>
      </c>
      <c r="M568" s="10">
        <f ca="1">VLOOKUP(dict_DQ_Meth_max[[#This Row],[ID_DataQualities]],table_DataQualities[],9,FALSE)</f>
        <v>0.43</v>
      </c>
    </row>
    <row r="569" spans="1:13" x14ac:dyDescent="0.45">
      <c r="A569" s="10">
        <v>151</v>
      </c>
      <c r="B569" s="10">
        <v>698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0.11158</v>
      </c>
      <c r="G569" s="12">
        <f ca="1">(RANDBETWEEN(50,100)/100)*(dict_DQ_Meth_max[[#This Row],[Vergleich_ub]]-dict_DQ_Meth_max[[#This Row],[Vergleich_lb]])+dict_DQ_Meth_max[[#This Row],[Vergleich_lb]]</f>
        <v>0.43</v>
      </c>
      <c r="H569" s="11" t="str">
        <f ca="1">VLOOKUP(VLOOKUP(dict_DQ_Meth_max[[#This Row],[ID_DataQualities]],table_DataQualities[],3),table_Units[],2)</f>
        <v>+/- mm</v>
      </c>
      <c r="I569" s="10"/>
      <c r="J569" s="10"/>
      <c r="K569" s="10"/>
      <c r="L569" s="10">
        <f ca="1">VLOOKUP(dict_DQ_Meth_max[[#This Row],[ID_DataQualities]],table_DataQualities[],8,FALSE)</f>
        <v>6.4000000000000001E-2</v>
      </c>
      <c r="M569" s="10">
        <f ca="1">VLOOKUP(dict_DQ_Meth_max[[#This Row],[ID_DataQualities]],table_DataQualities[],9,FALSE)</f>
        <v>0.43</v>
      </c>
    </row>
    <row r="570" spans="1:13" x14ac:dyDescent="0.45">
      <c r="A570" s="10">
        <v>152</v>
      </c>
      <c r="B570" s="10">
        <v>535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181.67292</v>
      </c>
      <c r="G570" s="12">
        <f ca="1">(RANDBETWEEN(50,100)/100)*(dict_DQ_Meth_max[[#This Row],[Vergleich_ub]]-dict_DQ_Meth_max[[#This Row],[Vergleich_lb]])+dict_DQ_Meth_max[[#This Row],[Vergleich_lb]]</f>
        <v>6687.55404</v>
      </c>
      <c r="H570" s="11" t="str">
        <f ca="1">VLOOKUP(VLOOKUP(dict_DQ_Meth_max[[#This Row],[ID_DataQualities]],table_DataQualities[],3),table_Units[],2)</f>
        <v>Hz</v>
      </c>
      <c r="I570" s="10"/>
      <c r="J570" s="10"/>
      <c r="K570" s="10"/>
      <c r="L570" s="10">
        <f ca="1">VLOOKUP(dict_DQ_Meth_max[[#This Row],[ID_DataQualities]],table_DataQualities[],8,FALSE)</f>
        <v>0.95399999999999996</v>
      </c>
      <c r="M570" s="10">
        <f ca="1">VLOOKUP(dict_DQ_Meth_max[[#This Row],[ID_DataQualities]],table_DataQualities[],9,FALSE)</f>
        <v>9036.9</v>
      </c>
    </row>
    <row r="571" spans="1:13" x14ac:dyDescent="0.45">
      <c r="A571" s="10">
        <v>152</v>
      </c>
      <c r="B571" s="10">
        <v>367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1265.9864400000001</v>
      </c>
      <c r="G571" s="12">
        <f ca="1">(RANDBETWEEN(50,100)/100)*(dict_DQ_Meth_max[[#This Row],[Vergleich_ub]]-dict_DQ_Meth_max[[#This Row],[Vergleich_lb]])+dict_DQ_Meth_max[[#This Row],[Vergleich_lb]]</f>
        <v>5151.4432199999992</v>
      </c>
      <c r="H571" s="11" t="str">
        <f ca="1">VLOOKUP(VLOOKUP(dict_DQ_Meth_max[[#This Row],[ID_DataQualities]],table_DataQualities[],3),table_Units[],2)</f>
        <v>Hz</v>
      </c>
      <c r="I571" s="10"/>
      <c r="J571" s="10"/>
      <c r="K571" s="10"/>
      <c r="L571" s="10">
        <f ca="1">VLOOKUP(dict_DQ_Meth_max[[#This Row],[ID_DataQualities]],table_DataQualities[],8,FALSE)</f>
        <v>0.95399999999999996</v>
      </c>
      <c r="M571" s="10">
        <f ca="1">VLOOKUP(dict_DQ_Meth_max[[#This Row],[ID_DataQualities]],table_DataQualities[],9,FALSE)</f>
        <v>9036.9</v>
      </c>
    </row>
    <row r="572" spans="1:13" x14ac:dyDescent="0.45">
      <c r="A572" s="10">
        <v>152</v>
      </c>
      <c r="B572" s="10">
        <v>227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1988.86212</v>
      </c>
      <c r="G572" s="12">
        <f ca="1">(RANDBETWEEN(50,100)/100)*(dict_DQ_Meth_max[[#This Row],[Vergleich_ub]]-dict_DQ_Meth_max[[#This Row],[Vergleich_lb]])+dict_DQ_Meth_max[[#This Row],[Vergleich_lb]]</f>
        <v>7591.1486399999994</v>
      </c>
      <c r="H572" s="11" t="str">
        <f ca="1">VLOOKUP(VLOOKUP(dict_DQ_Meth_max[[#This Row],[ID_DataQualities]],table_DataQualities[],3),table_Units[],2)</f>
        <v>Hz</v>
      </c>
      <c r="I572" s="10"/>
      <c r="J572" s="10"/>
      <c r="K572" s="10"/>
      <c r="L572" s="10">
        <f ca="1">VLOOKUP(dict_DQ_Meth_max[[#This Row],[ID_DataQualities]],table_DataQualities[],8,FALSE)</f>
        <v>0.95399999999999996</v>
      </c>
      <c r="M572" s="10">
        <f ca="1">VLOOKUP(dict_DQ_Meth_max[[#This Row],[ID_DataQualities]],table_DataQualities[],9,FALSE)</f>
        <v>9036.9</v>
      </c>
    </row>
    <row r="573" spans="1:13" x14ac:dyDescent="0.45">
      <c r="A573" s="10">
        <v>152</v>
      </c>
      <c r="B573" s="10">
        <v>309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2259.9405000000002</v>
      </c>
      <c r="G573" s="12">
        <f ca="1">(RANDBETWEEN(50,100)/100)*(dict_DQ_Meth_max[[#This Row],[Vergleich_ub]]-dict_DQ_Meth_max[[#This Row],[Vergleich_lb]])+dict_DQ_Meth_max[[#This Row],[Vergleich_lb]]</f>
        <v>7229.7107999999998</v>
      </c>
      <c r="H573" s="11" t="str">
        <f ca="1">VLOOKUP(VLOOKUP(dict_DQ_Meth_max[[#This Row],[ID_DataQualities]],table_DataQualities[],3),table_Units[],2)</f>
        <v>Hz</v>
      </c>
      <c r="I573" s="10"/>
      <c r="J573" s="10"/>
      <c r="K573" s="10"/>
      <c r="L573" s="10">
        <f ca="1">VLOOKUP(dict_DQ_Meth_max[[#This Row],[ID_DataQualities]],table_DataQualities[],8,FALSE)</f>
        <v>0.95399999999999996</v>
      </c>
      <c r="M573" s="10">
        <f ca="1">VLOOKUP(dict_DQ_Meth_max[[#This Row],[ID_DataQualities]],table_DataQualities[],9,FALSE)</f>
        <v>9036.9</v>
      </c>
    </row>
    <row r="574" spans="1:13" x14ac:dyDescent="0.45">
      <c r="A574" s="10">
        <v>153</v>
      </c>
      <c r="B574" s="10">
        <v>227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1.1879599999999999</v>
      </c>
      <c r="G574" s="12">
        <f ca="1">(RANDBETWEEN(50,100)/100)*(dict_DQ_Meth_max[[#This Row],[Vergleich_ub]]-dict_DQ_Meth_max[[#This Row],[Vergleich_lb]])+dict_DQ_Meth_max[[#This Row],[Vergleich_lb]]</f>
        <v>4.9752799999999997</v>
      </c>
      <c r="H574" s="11" t="str">
        <f ca="1">VLOOKUP(VLOOKUP(dict_DQ_Meth_max[[#This Row],[ID_DataQualities]],table_DataQualities[],3),table_Units[],2)</f>
        <v>+/- mm</v>
      </c>
      <c r="I574" s="10"/>
      <c r="J574" s="10"/>
      <c r="K574" s="10"/>
      <c r="L574" s="10">
        <f ca="1">VLOOKUP(dict_DQ_Meth_max[[#This Row],[ID_DataQualities]],table_DataQualities[],8,FALSE)</f>
        <v>6.2E-2</v>
      </c>
      <c r="M574" s="10">
        <f ca="1">VLOOKUP(dict_DQ_Meth_max[[#This Row],[ID_DataQualities]],table_DataQualities[],9,FALSE)</f>
        <v>5.18</v>
      </c>
    </row>
    <row r="575" spans="1:13" x14ac:dyDescent="0.45">
      <c r="A575" s="10">
        <v>153</v>
      </c>
      <c r="B575" s="10">
        <v>535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0.31789999999999996</v>
      </c>
      <c r="G575" s="12">
        <f ca="1">(RANDBETWEEN(50,100)/100)*(dict_DQ_Meth_max[[#This Row],[Vergleich_ub]]-dict_DQ_Meth_max[[#This Row],[Vergleich_lb]])+dict_DQ_Meth_max[[#This Row],[Vergleich_lb]]</f>
        <v>3.0816199999999991</v>
      </c>
      <c r="H575" s="11" t="str">
        <f ca="1">VLOOKUP(VLOOKUP(dict_DQ_Meth_max[[#This Row],[ID_DataQualities]],table_DataQualities[],3),table_Units[],2)</f>
        <v>+/- mm</v>
      </c>
      <c r="I575" s="10"/>
      <c r="J575" s="10"/>
      <c r="K575" s="10"/>
      <c r="L575" s="10">
        <f ca="1">VLOOKUP(dict_DQ_Meth_max[[#This Row],[ID_DataQualities]],table_DataQualities[],8,FALSE)</f>
        <v>6.2E-2</v>
      </c>
      <c r="M575" s="10">
        <f ca="1">VLOOKUP(dict_DQ_Meth_max[[#This Row],[ID_DataQualities]],table_DataQualities[],9,FALSE)</f>
        <v>5.18</v>
      </c>
    </row>
    <row r="576" spans="1:13" x14ac:dyDescent="0.45">
      <c r="A576" s="10">
        <v>153</v>
      </c>
      <c r="B576" s="10">
        <v>367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2.1603799999999995</v>
      </c>
      <c r="G576" s="12">
        <f ca="1">(RANDBETWEEN(50,100)/100)*(dict_DQ_Meth_max[[#This Row],[Vergleich_ub]]-dict_DQ_Meth_max[[#This Row],[Vergleich_lb]])+dict_DQ_Meth_max[[#This Row],[Vergleich_lb]]</f>
        <v>3.2863399999999996</v>
      </c>
      <c r="H576" s="11" t="str">
        <f ca="1">VLOOKUP(VLOOKUP(dict_DQ_Meth_max[[#This Row],[ID_DataQualities]],table_DataQualities[],3),table_Units[],2)</f>
        <v>+/- mm</v>
      </c>
      <c r="I576" s="10"/>
      <c r="J576" s="10"/>
      <c r="K576" s="10"/>
      <c r="L576" s="10">
        <f ca="1">VLOOKUP(dict_DQ_Meth_max[[#This Row],[ID_DataQualities]],table_DataQualities[],8,FALSE)</f>
        <v>6.2E-2</v>
      </c>
      <c r="M576" s="10">
        <f ca="1">VLOOKUP(dict_DQ_Meth_max[[#This Row],[ID_DataQualities]],table_DataQualities[],9,FALSE)</f>
        <v>5.18</v>
      </c>
    </row>
    <row r="577" spans="1:13" x14ac:dyDescent="0.45">
      <c r="A577" s="10">
        <v>153</v>
      </c>
      <c r="B577" s="10">
        <v>309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1.4950399999999999</v>
      </c>
      <c r="G577" s="12">
        <f ca="1">(RANDBETWEEN(50,100)/100)*(dict_DQ_Meth_max[[#This Row],[Vergleich_ub]]-dict_DQ_Meth_max[[#This Row],[Vergleich_lb]])+dict_DQ_Meth_max[[#This Row],[Vergleich_lb]]</f>
        <v>4.9240999999999993</v>
      </c>
      <c r="H577" s="11" t="str">
        <f ca="1">VLOOKUP(VLOOKUP(dict_DQ_Meth_max[[#This Row],[ID_DataQualities]],table_DataQualities[],3),table_Units[],2)</f>
        <v>+/- mm</v>
      </c>
      <c r="I577" s="10"/>
      <c r="J577" s="10"/>
      <c r="K577" s="10"/>
      <c r="L577" s="10">
        <f ca="1">VLOOKUP(dict_DQ_Meth_max[[#This Row],[ID_DataQualities]],table_DataQualities[],8,FALSE)</f>
        <v>6.2E-2</v>
      </c>
      <c r="M577" s="10">
        <f ca="1">VLOOKUP(dict_DQ_Meth_max[[#This Row],[ID_DataQualities]],table_DataQualities[],9,FALSE)</f>
        <v>5.18</v>
      </c>
    </row>
    <row r="578" spans="1:13" x14ac:dyDescent="0.45">
      <c r="A578" s="10">
        <v>154</v>
      </c>
      <c r="B578" s="10">
        <v>80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3067.7565</v>
      </c>
      <c r="G578" s="12">
        <f ca="1">(RANDBETWEEN(50,100)/100)*(dict_DQ_Meth_max[[#This Row],[Vergleich_ub]]-dict_DQ_Meth_max[[#This Row],[Vergleich_lb]])+dict_DQ_Meth_max[[#This Row],[Vergleich_lb]]</f>
        <v>3129.1013699999999</v>
      </c>
      <c r="H578" s="11" t="str">
        <f ca="1">VLOOKUP(VLOOKUP(dict_DQ_Meth_max[[#This Row],[ID_DataQualities]],table_DataQualities[],3),table_Units[],2)</f>
        <v>Hz</v>
      </c>
      <c r="I578" s="10"/>
      <c r="J578" s="10"/>
      <c r="K578" s="10"/>
      <c r="L578" s="10">
        <f ca="1">VLOOKUP(dict_DQ_Meth_max[[#This Row],[ID_DataQualities]],table_DataQualities[],8,FALSE)</f>
        <v>0.51300000000000001</v>
      </c>
      <c r="M578" s="10">
        <f ca="1">VLOOKUP(dict_DQ_Meth_max[[#This Row],[ID_DataQualities]],table_DataQualities[],9,FALSE)</f>
        <v>6135</v>
      </c>
    </row>
    <row r="579" spans="1:13" x14ac:dyDescent="0.45">
      <c r="A579" s="10">
        <v>154</v>
      </c>
      <c r="B579" s="10">
        <v>30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3006.4116300000001</v>
      </c>
      <c r="G579" s="12">
        <f ca="1">(RANDBETWEEN(50,100)/100)*(dict_DQ_Meth_max[[#This Row],[Vergleich_ub]]-dict_DQ_Meth_max[[#This Row],[Vergleich_lb]])+dict_DQ_Meth_max[[#This Row],[Vergleich_lb]]</f>
        <v>5092.1372099999999</v>
      </c>
      <c r="H579" s="11" t="str">
        <f ca="1">VLOOKUP(VLOOKUP(dict_DQ_Meth_max[[#This Row],[ID_DataQualities]],table_DataQualities[],3),table_Units[],2)</f>
        <v>Hz</v>
      </c>
      <c r="I579" s="10"/>
      <c r="J579" s="10"/>
      <c r="K579" s="10"/>
      <c r="L579" s="10">
        <f ca="1">VLOOKUP(dict_DQ_Meth_max[[#This Row],[ID_DataQualities]],table_DataQualities[],8,FALSE)</f>
        <v>0.51300000000000001</v>
      </c>
      <c r="M579" s="10">
        <f ca="1">VLOOKUP(dict_DQ_Meth_max[[#This Row],[ID_DataQualities]],table_DataQualities[],9,FALSE)</f>
        <v>6135</v>
      </c>
    </row>
    <row r="580" spans="1:13" x14ac:dyDescent="0.45">
      <c r="A580" s="10">
        <v>155</v>
      </c>
      <c r="B580" s="10">
        <v>80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0.16792000000000001</v>
      </c>
      <c r="G580" s="12">
        <f ca="1">(RANDBETWEEN(50,100)/100)*(dict_DQ_Meth_max[[#This Row],[Vergleich_ub]]-dict_DQ_Meth_max[[#This Row],[Vergleich_lb]])+dict_DQ_Meth_max[[#This Row],[Vergleich_lb]]</f>
        <v>1.0485599999999999</v>
      </c>
      <c r="H580" s="11" t="str">
        <f ca="1">VLOOKUP(VLOOKUP(dict_DQ_Meth_max[[#This Row],[ID_DataQualities]],table_DataQualities[],3),table_Units[],2)</f>
        <v>+/- mm</v>
      </c>
      <c r="I580" s="10"/>
      <c r="J580" s="10"/>
      <c r="K580" s="10"/>
      <c r="L580" s="10">
        <f ca="1">VLOOKUP(dict_DQ_Meth_max[[#This Row],[ID_DataQualities]],table_DataQualities[],8,FALSE)</f>
        <v>8.5999999999999993E-2</v>
      </c>
      <c r="M580" s="10">
        <f ca="1">VLOOKUP(dict_DQ_Meth_max[[#This Row],[ID_DataQualities]],table_DataQualities[],9,FALSE)</f>
        <v>1.1100000000000001</v>
      </c>
    </row>
    <row r="581" spans="1:13" x14ac:dyDescent="0.45">
      <c r="A581" s="10">
        <v>155</v>
      </c>
      <c r="B581" s="10">
        <v>30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0.50583999999999996</v>
      </c>
      <c r="G581" s="12">
        <f ca="1">(RANDBETWEEN(50,100)/100)*(dict_DQ_Meth_max[[#This Row],[Vergleich_ub]]-dict_DQ_Meth_max[[#This Row],[Vergleich_lb]])+dict_DQ_Meth_max[[#This Row],[Vergleich_lb]]</f>
        <v>1.06904</v>
      </c>
      <c r="H581" s="11" t="str">
        <f ca="1">VLOOKUP(VLOOKUP(dict_DQ_Meth_max[[#This Row],[ID_DataQualities]],table_DataQualities[],3),table_Units[],2)</f>
        <v>+/- mm</v>
      </c>
      <c r="I581" s="10"/>
      <c r="J581" s="10"/>
      <c r="K581" s="10"/>
      <c r="L581" s="10">
        <f ca="1">VLOOKUP(dict_DQ_Meth_max[[#This Row],[ID_DataQualities]],table_DataQualities[],8,FALSE)</f>
        <v>8.5999999999999993E-2</v>
      </c>
      <c r="M581" s="10">
        <f ca="1">VLOOKUP(dict_DQ_Meth_max[[#This Row],[ID_DataQualities]],table_DataQualities[],9,FALSE)</f>
        <v>1.1100000000000001</v>
      </c>
    </row>
    <row r="582" spans="1:13" x14ac:dyDescent="0.45">
      <c r="A582" s="10">
        <v>156</v>
      </c>
      <c r="B582" s="10">
        <v>15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4266.1298999999999</v>
      </c>
      <c r="G582" s="12">
        <f ca="1">(RANDBETWEEN(50,100)/100)*(dict_DQ_Meth_max[[#This Row],[Vergleich_ub]]-dict_DQ_Meth_max[[#This Row],[Vergleich_lb]])+dict_DQ_Meth_max[[#This Row],[Vergleich_lb]]</f>
        <v>8985.7382999999991</v>
      </c>
      <c r="H582" s="11" t="str">
        <f ca="1">VLOOKUP(VLOOKUP(dict_DQ_Meth_max[[#This Row],[ID_DataQualities]],table_DataQualities[],3),table_Units[],2)</f>
        <v>Hz</v>
      </c>
      <c r="I582" s="10"/>
      <c r="J582" s="10"/>
      <c r="K582" s="10"/>
      <c r="L582" s="10">
        <f ca="1">VLOOKUP(dict_DQ_Meth_max[[#This Row],[ID_DataQualities]],table_DataQualities[],8,FALSE)</f>
        <v>0.33</v>
      </c>
      <c r="M582" s="10">
        <f ca="1">VLOOKUP(dict_DQ_Meth_max[[#This Row],[ID_DataQualities]],table_DataQualities[],9,FALSE)</f>
        <v>9076.5</v>
      </c>
    </row>
    <row r="583" spans="1:13" x14ac:dyDescent="0.45">
      <c r="A583" s="10">
        <v>156</v>
      </c>
      <c r="B583" s="10">
        <v>59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1906.3256999999999</v>
      </c>
      <c r="G583" s="12">
        <f ca="1">(RANDBETWEEN(50,100)/100)*(dict_DQ_Meth_max[[#This Row],[Vergleich_ub]]-dict_DQ_Meth_max[[#This Row],[Vergleich_lb]])+dict_DQ_Meth_max[[#This Row],[Vergleich_lb]]</f>
        <v>7442.7893999999997</v>
      </c>
      <c r="H583" s="11" t="str">
        <f ca="1">VLOOKUP(VLOOKUP(dict_DQ_Meth_max[[#This Row],[ID_DataQualities]],table_DataQualities[],3),table_Units[],2)</f>
        <v>Hz</v>
      </c>
      <c r="I583" s="10"/>
      <c r="J583" s="10"/>
      <c r="K583" s="10"/>
      <c r="L583" s="10">
        <f ca="1">VLOOKUP(dict_DQ_Meth_max[[#This Row],[ID_DataQualities]],table_DataQualities[],8,FALSE)</f>
        <v>0.33</v>
      </c>
      <c r="M583" s="10">
        <f ca="1">VLOOKUP(dict_DQ_Meth_max[[#This Row],[ID_DataQualities]],table_DataQualities[],9,FALSE)</f>
        <v>9076.5</v>
      </c>
    </row>
    <row r="584" spans="1:13" x14ac:dyDescent="0.45">
      <c r="A584" s="10">
        <v>156</v>
      </c>
      <c r="B584" s="10">
        <v>168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2813.9427000000001</v>
      </c>
      <c r="G584" s="12">
        <f ca="1">(RANDBETWEEN(50,100)/100)*(dict_DQ_Meth_max[[#This Row],[Vergleich_ub]]-dict_DQ_Meth_max[[#This Row],[Vergleich_lb]])+dict_DQ_Meth_max[[#This Row],[Vergleich_lb]]</f>
        <v>8713.4531999999999</v>
      </c>
      <c r="H584" s="11" t="str">
        <f ca="1">VLOOKUP(VLOOKUP(dict_DQ_Meth_max[[#This Row],[ID_DataQualities]],table_DataQualities[],3),table_Units[],2)</f>
        <v>Hz</v>
      </c>
      <c r="I584" s="10"/>
      <c r="J584" s="10"/>
      <c r="K584" s="10"/>
      <c r="L584" s="10">
        <f ca="1">VLOOKUP(dict_DQ_Meth_max[[#This Row],[ID_DataQualities]],table_DataQualities[],8,FALSE)</f>
        <v>0.33</v>
      </c>
      <c r="M584" s="10">
        <f ca="1">VLOOKUP(dict_DQ_Meth_max[[#This Row],[ID_DataQualities]],table_DataQualities[],9,FALSE)</f>
        <v>9076.5</v>
      </c>
    </row>
    <row r="585" spans="1:13" x14ac:dyDescent="0.45">
      <c r="A585" s="10">
        <v>156</v>
      </c>
      <c r="B585" s="10">
        <v>324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4356.8915999999999</v>
      </c>
      <c r="G585" s="12">
        <f ca="1">(RANDBETWEEN(50,100)/100)*(dict_DQ_Meth_max[[#This Row],[Vergleich_ub]]-dict_DQ_Meth_max[[#This Row],[Vergleich_lb]])+dict_DQ_Meth_max[[#This Row],[Vergleich_lb]]</f>
        <v>4629.1767</v>
      </c>
      <c r="H585" s="11" t="str">
        <f ca="1">VLOOKUP(VLOOKUP(dict_DQ_Meth_max[[#This Row],[ID_DataQualities]],table_DataQualities[],3),table_Units[],2)</f>
        <v>Hz</v>
      </c>
      <c r="I585" s="10"/>
      <c r="J585" s="10"/>
      <c r="K585" s="10"/>
      <c r="L585" s="10">
        <f ca="1">VLOOKUP(dict_DQ_Meth_max[[#This Row],[ID_DataQualities]],table_DataQualities[],8,FALSE)</f>
        <v>0.33</v>
      </c>
      <c r="M585" s="10">
        <f ca="1">VLOOKUP(dict_DQ_Meth_max[[#This Row],[ID_DataQualities]],table_DataQualities[],9,FALSE)</f>
        <v>9076.5</v>
      </c>
    </row>
    <row r="586" spans="1:13" x14ac:dyDescent="0.45">
      <c r="A586" s="10">
        <v>157</v>
      </c>
      <c r="B586" s="10">
        <v>59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1.6751999999999998</v>
      </c>
      <c r="G586" s="12">
        <f ca="1">(RANDBETWEEN(50,100)/100)*(dict_DQ_Meth_max[[#This Row],[Vergleich_ub]]-dict_DQ_Meth_max[[#This Row],[Vergleich_lb]])+dict_DQ_Meth_max[[#This Row],[Vergleich_lb]]</f>
        <v>5.17422</v>
      </c>
      <c r="H586" s="11" t="str">
        <f ca="1">VLOOKUP(VLOOKUP(dict_DQ_Meth_max[[#This Row],[ID_DataQualities]],table_DataQualities[],3),table_Units[],2)</f>
        <v>+/- mm</v>
      </c>
      <c r="I586" s="10"/>
      <c r="J586" s="10"/>
      <c r="K586" s="10"/>
      <c r="L586" s="10">
        <f ca="1">VLOOKUP(dict_DQ_Meth_max[[#This Row],[ID_DataQualities]],table_DataQualities[],8,FALSE)</f>
        <v>8.9999999999999993E-3</v>
      </c>
      <c r="M586" s="10">
        <f ca="1">VLOOKUP(dict_DQ_Meth_max[[#This Row],[ID_DataQualities]],table_DataQualities[],9,FALSE)</f>
        <v>8.34</v>
      </c>
    </row>
    <row r="587" spans="1:13" x14ac:dyDescent="0.45">
      <c r="A587" s="10">
        <v>157</v>
      </c>
      <c r="B587" s="10">
        <v>15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0.25892999999999999</v>
      </c>
      <c r="G587" s="12">
        <f ca="1">(RANDBETWEEN(50,100)/100)*(dict_DQ_Meth_max[[#This Row],[Vergleich_ub]]-dict_DQ_Meth_max[[#This Row],[Vergleich_lb]])+dict_DQ_Meth_max[[#This Row],[Vergleich_lb]]</f>
        <v>6.34056</v>
      </c>
      <c r="H587" s="11" t="str">
        <f ca="1">VLOOKUP(VLOOKUP(dict_DQ_Meth_max[[#This Row],[ID_DataQualities]],table_DataQualities[],3),table_Units[],2)</f>
        <v>+/- mm</v>
      </c>
      <c r="I587" s="10"/>
      <c r="J587" s="10"/>
      <c r="K587" s="10"/>
      <c r="L587" s="10">
        <f ca="1">VLOOKUP(dict_DQ_Meth_max[[#This Row],[ID_DataQualities]],table_DataQualities[],8,FALSE)</f>
        <v>8.9999999999999993E-3</v>
      </c>
      <c r="M587" s="10">
        <f ca="1">VLOOKUP(dict_DQ_Meth_max[[#This Row],[ID_DataQualities]],table_DataQualities[],9,FALSE)</f>
        <v>8.34</v>
      </c>
    </row>
    <row r="588" spans="1:13" x14ac:dyDescent="0.45">
      <c r="A588" s="10">
        <v>157</v>
      </c>
      <c r="B588" s="10">
        <v>168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0.59216999999999997</v>
      </c>
      <c r="G588" s="12">
        <f ca="1">(RANDBETWEEN(50,100)/100)*(dict_DQ_Meth_max[[#This Row],[Vergleich_ub]]-dict_DQ_Meth_max[[#This Row],[Vergleich_lb]])+dict_DQ_Meth_max[[#This Row],[Vergleich_lb]]</f>
        <v>4.5910500000000001</v>
      </c>
      <c r="H588" s="11" t="str">
        <f ca="1">VLOOKUP(VLOOKUP(dict_DQ_Meth_max[[#This Row],[ID_DataQualities]],table_DataQualities[],3),table_Units[],2)</f>
        <v>+/- mm</v>
      </c>
      <c r="I588" s="10"/>
      <c r="J588" s="10"/>
      <c r="K588" s="10"/>
      <c r="L588" s="10">
        <f ca="1">VLOOKUP(dict_DQ_Meth_max[[#This Row],[ID_DataQualities]],table_DataQualities[],8,FALSE)</f>
        <v>8.9999999999999993E-3</v>
      </c>
      <c r="M588" s="10">
        <f ca="1">VLOOKUP(dict_DQ_Meth_max[[#This Row],[ID_DataQualities]],table_DataQualities[],9,FALSE)</f>
        <v>8.34</v>
      </c>
    </row>
    <row r="589" spans="1:13" x14ac:dyDescent="0.45">
      <c r="A589" s="10">
        <v>157</v>
      </c>
      <c r="B589" s="10">
        <v>324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1.9251299999999998</v>
      </c>
      <c r="G589" s="12">
        <f ca="1">(RANDBETWEEN(50,100)/100)*(dict_DQ_Meth_max[[#This Row],[Vergleich_ub]]-dict_DQ_Meth_max[[#This Row],[Vergleich_lb]])+dict_DQ_Meth_max[[#This Row],[Vergleich_lb]]</f>
        <v>8.0067599999999999</v>
      </c>
      <c r="H589" s="11" t="str">
        <f ca="1">VLOOKUP(VLOOKUP(dict_DQ_Meth_max[[#This Row],[ID_DataQualities]],table_DataQualities[],3),table_Units[],2)</f>
        <v>+/- mm</v>
      </c>
      <c r="I589" s="10"/>
      <c r="J589" s="10"/>
      <c r="K589" s="10"/>
      <c r="L589" s="10">
        <f ca="1">VLOOKUP(dict_DQ_Meth_max[[#This Row],[ID_DataQualities]],table_DataQualities[],8,FALSE)</f>
        <v>8.9999999999999993E-3</v>
      </c>
      <c r="M589" s="10">
        <f ca="1">VLOOKUP(dict_DQ_Meth_max[[#This Row],[ID_DataQualities]],table_DataQualities[],9,FALSE)</f>
        <v>8.34</v>
      </c>
    </row>
    <row r="590" spans="1:13" x14ac:dyDescent="0.45">
      <c r="A590" s="10">
        <v>158</v>
      </c>
      <c r="B590" s="10">
        <v>519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285.65640000000002</v>
      </c>
      <c r="G590" s="12">
        <f ca="1">(RANDBETWEEN(50,100)/100)*(dict_DQ_Meth_max[[#This Row],[Vergleich_ub]]-dict_DQ_Meth_max[[#This Row],[Vergleich_lb]])+dict_DQ_Meth_max[[#This Row],[Vergleich_lb]]</f>
        <v>2851.2</v>
      </c>
      <c r="H590" s="11" t="str">
        <f ca="1">VLOOKUP(VLOOKUP(dict_DQ_Meth_max[[#This Row],[ID_DataQualities]],table_DataQualities[],3),table_Units[],2)</f>
        <v>Hz</v>
      </c>
      <c r="I590" s="10"/>
      <c r="J590" s="10"/>
      <c r="K590" s="10"/>
      <c r="L590" s="10">
        <f ca="1">VLOOKUP(dict_DQ_Meth_max[[#This Row],[ID_DataQualities]],table_DataQualities[],8,FALSE)</f>
        <v>0.59599999999999997</v>
      </c>
      <c r="M590" s="10">
        <f ca="1">VLOOKUP(dict_DQ_Meth_max[[#This Row],[ID_DataQualities]],table_DataQualities[],9,FALSE)</f>
        <v>2851.2</v>
      </c>
    </row>
    <row r="591" spans="1:13" x14ac:dyDescent="0.45">
      <c r="A591" s="10">
        <v>158</v>
      </c>
      <c r="B591" s="10">
        <v>334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969.80136000000005</v>
      </c>
      <c r="G591" s="12">
        <f ca="1">(RANDBETWEEN(50,100)/100)*(dict_DQ_Meth_max[[#This Row],[Vergleich_ub]]-dict_DQ_Meth_max[[#This Row],[Vergleich_lb]])+dict_DQ_Meth_max[[#This Row],[Vergleich_lb]]</f>
        <v>2794.1879199999998</v>
      </c>
      <c r="H591" s="11" t="str">
        <f ca="1">VLOOKUP(VLOOKUP(dict_DQ_Meth_max[[#This Row],[ID_DataQualities]],table_DataQualities[],3),table_Units[],2)</f>
        <v>Hz</v>
      </c>
      <c r="I591" s="10"/>
      <c r="J591" s="10"/>
      <c r="K591" s="10"/>
      <c r="L591" s="10">
        <f ca="1">VLOOKUP(dict_DQ_Meth_max[[#This Row],[ID_DataQualities]],table_DataQualities[],8,FALSE)</f>
        <v>0.59599999999999997</v>
      </c>
      <c r="M591" s="10">
        <f ca="1">VLOOKUP(dict_DQ_Meth_max[[#This Row],[ID_DataQualities]],table_DataQualities[],9,FALSE)</f>
        <v>2851.2</v>
      </c>
    </row>
    <row r="592" spans="1:13" x14ac:dyDescent="0.45">
      <c r="A592" s="10">
        <v>158</v>
      </c>
      <c r="B592" s="10">
        <v>240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86.11412</v>
      </c>
      <c r="G592" s="12">
        <f ca="1">(RANDBETWEEN(50,100)/100)*(dict_DQ_Meth_max[[#This Row],[Vergleich_ub]]-dict_DQ_Meth_max[[#This Row],[Vergleich_lb]])+dict_DQ_Meth_max[[#This Row],[Vergleich_lb]]</f>
        <v>1967.5127599999996</v>
      </c>
      <c r="H592" s="11" t="str">
        <f ca="1">VLOOKUP(VLOOKUP(dict_DQ_Meth_max[[#This Row],[ID_DataQualities]],table_DataQualities[],3),table_Units[],2)</f>
        <v>Hz</v>
      </c>
      <c r="I592" s="10"/>
      <c r="J592" s="10"/>
      <c r="K592" s="10"/>
      <c r="L592" s="10">
        <f ca="1">VLOOKUP(dict_DQ_Meth_max[[#This Row],[ID_DataQualities]],table_DataQualities[],8,FALSE)</f>
        <v>0.59599999999999997</v>
      </c>
      <c r="M592" s="10">
        <f ca="1">VLOOKUP(dict_DQ_Meth_max[[#This Row],[ID_DataQualities]],table_DataQualities[],9,FALSE)</f>
        <v>2851.2</v>
      </c>
    </row>
    <row r="593" spans="1:13" x14ac:dyDescent="0.45">
      <c r="A593" s="10">
        <v>158</v>
      </c>
      <c r="B593" s="10">
        <v>254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798.76512000000002</v>
      </c>
      <c r="G593" s="12">
        <f ca="1">(RANDBETWEEN(50,100)/100)*(dict_DQ_Meth_max[[#This Row],[Vergleich_ub]]-dict_DQ_Meth_max[[#This Row],[Vergleich_lb]])+dict_DQ_Meth_max[[#This Row],[Vergleich_lb]]</f>
        <v>2110.0429599999998</v>
      </c>
      <c r="H593" s="11" t="str">
        <f ca="1">VLOOKUP(VLOOKUP(dict_DQ_Meth_max[[#This Row],[ID_DataQualities]],table_DataQualities[],3),table_Units[],2)</f>
        <v>Hz</v>
      </c>
      <c r="I593" s="10"/>
      <c r="J593" s="10"/>
      <c r="K593" s="10"/>
      <c r="L593" s="10">
        <f ca="1">VLOOKUP(dict_DQ_Meth_max[[#This Row],[ID_DataQualities]],table_DataQualities[],8,FALSE)</f>
        <v>0.59599999999999997</v>
      </c>
      <c r="M593" s="10">
        <f ca="1">VLOOKUP(dict_DQ_Meth_max[[#This Row],[ID_DataQualities]],table_DataQualities[],9,FALSE)</f>
        <v>2851.2</v>
      </c>
    </row>
    <row r="594" spans="1:13" x14ac:dyDescent="0.45">
      <c r="A594" s="10">
        <v>158</v>
      </c>
      <c r="B594" s="10">
        <v>72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257.15035999999998</v>
      </c>
      <c r="G594" s="12">
        <f ca="1">(RANDBETWEEN(50,100)/100)*(dict_DQ_Meth_max[[#This Row],[Vergleich_ub]]-dict_DQ_Meth_max[[#This Row],[Vergleich_lb]])+dict_DQ_Meth_max[[#This Row],[Vergleich_lb]]</f>
        <v>2822.6939599999996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0.59599999999999997</v>
      </c>
      <c r="M594" s="10">
        <f ca="1">VLOOKUP(dict_DQ_Meth_max[[#This Row],[ID_DataQualities]],table_DataQualities[],9,FALSE)</f>
        <v>2851.2</v>
      </c>
    </row>
    <row r="595" spans="1:13" x14ac:dyDescent="0.45">
      <c r="A595" s="10">
        <v>159</v>
      </c>
      <c r="B595" s="10">
        <v>334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0.88717000000000001</v>
      </c>
      <c r="G595" s="12">
        <f ca="1">(RANDBETWEEN(50,100)/100)*(dict_DQ_Meth_max[[#This Row],[Vergleich_ub]]-dict_DQ_Meth_max[[#This Row],[Vergleich_lb]])+dict_DQ_Meth_max[[#This Row],[Vergleich_lb]]</f>
        <v>1.3287999999999998</v>
      </c>
      <c r="H595" s="11" t="str">
        <f ca="1">VLOOKUP(VLOOKUP(dict_DQ_Meth_max[[#This Row],[ID_DataQualities]],table_DataQualities[],3),table_Units[],2)</f>
        <v>+/- W</v>
      </c>
      <c r="I595" s="10"/>
      <c r="J595" s="10"/>
      <c r="K595" s="10"/>
      <c r="L595" s="10">
        <f ca="1">VLOOKUP(dict_DQ_Meth_max[[#This Row],[ID_DataQualities]],table_DataQualities[],8,FALSE)</f>
        <v>6.7000000000000004E-2</v>
      </c>
      <c r="M595" s="10">
        <f ca="1">VLOOKUP(dict_DQ_Meth_max[[#This Row],[ID_DataQualities]],table_DataQualities[],9,FALSE)</f>
        <v>2.17</v>
      </c>
    </row>
    <row r="596" spans="1:13" x14ac:dyDescent="0.45">
      <c r="A596" s="10">
        <v>159</v>
      </c>
      <c r="B596" s="10">
        <v>240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0.27729999999999999</v>
      </c>
      <c r="G596" s="12">
        <f ca="1">(RANDBETWEEN(50,100)/100)*(dict_DQ_Meth_max[[#This Row],[Vergleich_ub]]-dict_DQ_Meth_max[[#This Row],[Vergleich_lb]])+dict_DQ_Meth_max[[#This Row],[Vergleich_lb]]</f>
        <v>1.3077699999999997</v>
      </c>
      <c r="H596" s="11" t="str">
        <f ca="1">VLOOKUP(VLOOKUP(dict_DQ_Meth_max[[#This Row],[ID_DataQualities]],table_DataQualities[],3),table_Units[],2)</f>
        <v>+/- W</v>
      </c>
      <c r="I596" s="10"/>
      <c r="J596" s="10"/>
      <c r="K596" s="10"/>
      <c r="L596" s="10">
        <f ca="1">VLOOKUP(dict_DQ_Meth_max[[#This Row],[ID_DataQualities]],table_DataQualities[],8,FALSE)</f>
        <v>6.7000000000000004E-2</v>
      </c>
      <c r="M596" s="10">
        <f ca="1">VLOOKUP(dict_DQ_Meth_max[[#This Row],[ID_DataQualities]],table_DataQualities[],9,FALSE)</f>
        <v>2.17</v>
      </c>
    </row>
    <row r="597" spans="1:13" x14ac:dyDescent="0.45">
      <c r="A597" s="10">
        <v>159</v>
      </c>
      <c r="B597" s="10">
        <v>519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1.01335</v>
      </c>
      <c r="G597" s="12">
        <f ca="1">(RANDBETWEEN(50,100)/100)*(dict_DQ_Meth_max[[#This Row],[Vergleich_ub]]-dict_DQ_Meth_max[[#This Row],[Vergleich_lb]])+dict_DQ_Meth_max[[#This Row],[Vergleich_lb]]</f>
        <v>1.1395299999999999</v>
      </c>
      <c r="H597" s="11" t="str">
        <f ca="1">VLOOKUP(VLOOKUP(dict_DQ_Meth_max[[#This Row],[ID_DataQualities]],table_DataQualities[],3),table_Units[],2)</f>
        <v>+/- W</v>
      </c>
      <c r="I597" s="10"/>
      <c r="J597" s="10"/>
      <c r="K597" s="10"/>
      <c r="L597" s="10">
        <f ca="1">VLOOKUP(dict_DQ_Meth_max[[#This Row],[ID_DataQualities]],table_DataQualities[],8,FALSE)</f>
        <v>6.7000000000000004E-2</v>
      </c>
      <c r="M597" s="10">
        <f ca="1">VLOOKUP(dict_DQ_Meth_max[[#This Row],[ID_DataQualities]],table_DataQualities[],9,FALSE)</f>
        <v>2.17</v>
      </c>
    </row>
    <row r="598" spans="1:13" x14ac:dyDescent="0.45">
      <c r="A598" s="10">
        <v>159</v>
      </c>
      <c r="B598" s="10">
        <v>72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0.57172000000000001</v>
      </c>
      <c r="G598" s="12">
        <f ca="1">(RANDBETWEEN(50,100)/100)*(dict_DQ_Meth_max[[#This Row],[Vergleich_ub]]-dict_DQ_Meth_max[[#This Row],[Vergleich_lb]])+dict_DQ_Meth_max[[#This Row],[Vergleich_lb]]</f>
        <v>2.0648499999999999</v>
      </c>
      <c r="H598" s="11" t="str">
        <f ca="1">VLOOKUP(VLOOKUP(dict_DQ_Meth_max[[#This Row],[ID_DataQualities]],table_DataQualities[],3),table_Units[],2)</f>
        <v>+/- W</v>
      </c>
      <c r="I598" s="10"/>
      <c r="J598" s="10"/>
      <c r="K598" s="10"/>
      <c r="L598" s="10">
        <f ca="1">VLOOKUP(dict_DQ_Meth_max[[#This Row],[ID_DataQualities]],table_DataQualities[],8,FALSE)</f>
        <v>6.7000000000000004E-2</v>
      </c>
      <c r="M598" s="10">
        <f ca="1">VLOOKUP(dict_DQ_Meth_max[[#This Row],[ID_DataQualities]],table_DataQualities[],9,FALSE)</f>
        <v>2.17</v>
      </c>
    </row>
    <row r="599" spans="1:13" x14ac:dyDescent="0.45">
      <c r="A599" s="10">
        <v>159</v>
      </c>
      <c r="B599" s="10">
        <v>254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0.50862999999999992</v>
      </c>
      <c r="G599" s="12">
        <f ca="1">(RANDBETWEEN(50,100)/100)*(dict_DQ_Meth_max[[#This Row],[Vergleich_ub]]-dict_DQ_Meth_max[[#This Row],[Vergleich_lb]])+dict_DQ_Meth_max[[#This Row],[Vergleich_lb]]</f>
        <v>1.3077699999999997</v>
      </c>
      <c r="H599" s="11" t="str">
        <f ca="1">VLOOKUP(VLOOKUP(dict_DQ_Meth_max[[#This Row],[ID_DataQualities]],table_DataQualities[],3),table_Units[],2)</f>
        <v>+/- W</v>
      </c>
      <c r="I599" s="10"/>
      <c r="J599" s="10"/>
      <c r="K599" s="10"/>
      <c r="L599" s="10">
        <f ca="1">VLOOKUP(dict_DQ_Meth_max[[#This Row],[ID_DataQualities]],table_DataQualities[],8,FALSE)</f>
        <v>6.7000000000000004E-2</v>
      </c>
      <c r="M599" s="10">
        <f ca="1">VLOOKUP(dict_DQ_Meth_max[[#This Row],[ID_DataQualities]],table_DataQualities[],9,FALSE)</f>
        <v>2.17</v>
      </c>
    </row>
    <row r="600" spans="1:13" x14ac:dyDescent="0.45">
      <c r="A600" s="10">
        <v>160</v>
      </c>
      <c r="B600" s="10">
        <v>5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45.104600000000005</v>
      </c>
      <c r="G600" s="12">
        <f ca="1">(RANDBETWEEN(50,100)/100)*(dict_DQ_Meth_max[[#This Row],[Vergleich_ub]]-dict_DQ_Meth_max[[#This Row],[Vergleich_lb]])+dict_DQ_Meth_max[[#This Row],[Vergleich_lb]]</f>
        <v>181.15229999999997</v>
      </c>
      <c r="H600" s="11" t="str">
        <f ca="1">VLOOKUP(VLOOKUP(dict_DQ_Meth_max[[#This Row],[ID_DataQualities]],table_DataQualities[],3),table_Units[],2)</f>
        <v>Hz</v>
      </c>
      <c r="I600" s="10"/>
      <c r="J600" s="10"/>
      <c r="K600" s="10"/>
      <c r="L600" s="10">
        <f ca="1">VLOOKUP(dict_DQ_Meth_max[[#This Row],[ID_DataQualities]],table_DataQualities[],8,FALSE)</f>
        <v>0.81</v>
      </c>
      <c r="M600" s="10">
        <f ca="1">VLOOKUP(dict_DQ_Meth_max[[#This Row],[ID_DataQualities]],table_DataQualities[],9,FALSE)</f>
        <v>317.2</v>
      </c>
    </row>
    <row r="601" spans="1:13" x14ac:dyDescent="0.45">
      <c r="A601" s="10">
        <v>160</v>
      </c>
      <c r="B601" s="10">
        <v>500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117.87429999999999</v>
      </c>
      <c r="G601" s="12">
        <f ca="1">(RANDBETWEEN(50,100)/100)*(dict_DQ_Meth_max[[#This Row],[Vergleich_ub]]-dict_DQ_Meth_max[[#This Row],[Vergleich_lb]])+dict_DQ_Meth_max[[#This Row],[Vergleich_lb]]</f>
        <v>253.922</v>
      </c>
      <c r="H601" s="11" t="str">
        <f ca="1">VLOOKUP(VLOOKUP(dict_DQ_Meth_max[[#This Row],[ID_DataQualities]],table_DataQualities[],3),table_Units[],2)</f>
        <v>Hz</v>
      </c>
      <c r="I601" s="10"/>
      <c r="J601" s="10"/>
      <c r="K601" s="10"/>
      <c r="L601" s="10">
        <f ca="1">VLOOKUP(dict_DQ_Meth_max[[#This Row],[ID_DataQualities]],table_DataQualities[],8,FALSE)</f>
        <v>0.81</v>
      </c>
      <c r="M601" s="10">
        <f ca="1">VLOOKUP(dict_DQ_Meth_max[[#This Row],[ID_DataQualities]],table_DataQualities[],9,FALSE)</f>
        <v>317.2</v>
      </c>
    </row>
    <row r="602" spans="1:13" x14ac:dyDescent="0.45">
      <c r="A602" s="10">
        <v>160</v>
      </c>
      <c r="B602" s="10">
        <v>259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140.02160000000001</v>
      </c>
      <c r="G602" s="12">
        <f ca="1">(RANDBETWEEN(50,100)/100)*(dict_DQ_Meth_max[[#This Row],[Vergleich_ub]]-dict_DQ_Meth_max[[#This Row],[Vergleich_lb]])+dict_DQ_Meth_max[[#This Row],[Vergleich_lb]]</f>
        <v>171.66060000000002</v>
      </c>
      <c r="H602" s="11" t="str">
        <f ca="1">VLOOKUP(VLOOKUP(dict_DQ_Meth_max[[#This Row],[ID_DataQualities]],table_DataQualities[],3),table_Units[],2)</f>
        <v>Hz</v>
      </c>
      <c r="I602" s="10"/>
      <c r="J602" s="10"/>
      <c r="K602" s="10"/>
      <c r="L602" s="10">
        <f ca="1">VLOOKUP(dict_DQ_Meth_max[[#This Row],[ID_DataQualities]],table_DataQualities[],8,FALSE)</f>
        <v>0.81</v>
      </c>
      <c r="M602" s="10">
        <f ca="1">VLOOKUP(dict_DQ_Meth_max[[#This Row],[ID_DataQualities]],table_DataQualities[],9,FALSE)</f>
        <v>317.2</v>
      </c>
    </row>
    <row r="603" spans="1:13" x14ac:dyDescent="0.45">
      <c r="A603" s="10">
        <v>161</v>
      </c>
      <c r="B603" s="10">
        <v>500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1.1492</v>
      </c>
      <c r="G603" s="12">
        <f ca="1">(RANDBETWEEN(50,100)/100)*(dict_DQ_Meth_max[[#This Row],[Vergleich_ub]]-dict_DQ_Meth_max[[#This Row],[Vergleich_lb]])+dict_DQ_Meth_max[[#This Row],[Vergleich_lb]]</f>
        <v>2.5873999999999997</v>
      </c>
      <c r="H603" s="11" t="str">
        <f ca="1">VLOOKUP(VLOOKUP(dict_DQ_Meth_max[[#This Row],[ID_DataQualities]],table_DataQualities[],3),table_Units[],2)</f>
        <v>+/- mm/s</v>
      </c>
      <c r="I603" s="10"/>
      <c r="J603" s="10"/>
      <c r="K603" s="10"/>
      <c r="L603" s="10">
        <f ca="1">VLOOKUP(dict_DQ_Meth_max[[#This Row],[ID_DataQualities]],table_DataQualities[],8,FALSE)</f>
        <v>0.98</v>
      </c>
      <c r="M603" s="10">
        <f ca="1">VLOOKUP(dict_DQ_Meth_max[[#This Row],[ID_DataQualities]],table_DataQualities[],9,FALSE)</f>
        <v>3.8</v>
      </c>
    </row>
    <row r="604" spans="1:13" x14ac:dyDescent="0.45">
      <c r="A604" s="10">
        <v>161</v>
      </c>
      <c r="B604" s="10">
        <v>259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1.5722</v>
      </c>
      <c r="G604" s="12">
        <f ca="1">(RANDBETWEEN(50,100)/100)*(dict_DQ_Meth_max[[#This Row],[Vergleich_ub]]-dict_DQ_Meth_max[[#This Row],[Vergleich_lb]])+dict_DQ_Meth_max[[#This Row],[Vergleich_lb]]</f>
        <v>2.8975999999999997</v>
      </c>
      <c r="H604" s="11" t="str">
        <f ca="1">VLOOKUP(VLOOKUP(dict_DQ_Meth_max[[#This Row],[ID_DataQualities]],table_DataQualities[],3),table_Units[],2)</f>
        <v>+/- mm/s</v>
      </c>
      <c r="I604" s="10"/>
      <c r="J604" s="10"/>
      <c r="K604" s="10"/>
      <c r="L604" s="10">
        <f ca="1">VLOOKUP(dict_DQ_Meth_max[[#This Row],[ID_DataQualities]],table_DataQualities[],8,FALSE)</f>
        <v>0.98</v>
      </c>
      <c r="M604" s="10">
        <f ca="1">VLOOKUP(dict_DQ_Meth_max[[#This Row],[ID_DataQualities]],table_DataQualities[],9,FALSE)</f>
        <v>3.8</v>
      </c>
    </row>
    <row r="605" spans="1:13" x14ac:dyDescent="0.45">
      <c r="A605" s="10">
        <v>161</v>
      </c>
      <c r="B605" s="10">
        <v>5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1.403</v>
      </c>
      <c r="G605" s="12">
        <f ca="1">(RANDBETWEEN(50,100)/100)*(dict_DQ_Meth_max[[#This Row],[Vergleich_ub]]-dict_DQ_Meth_max[[#This Row],[Vergleich_lb]])+dict_DQ_Meth_max[[#This Row],[Vergleich_lb]]</f>
        <v>3.2923999999999998</v>
      </c>
      <c r="H605" s="11" t="str">
        <f ca="1">VLOOKUP(VLOOKUP(dict_DQ_Meth_max[[#This Row],[ID_DataQualities]],table_DataQualities[],3),table_Units[],2)</f>
        <v>+/- mm/s</v>
      </c>
      <c r="I605" s="10"/>
      <c r="J605" s="10"/>
      <c r="K605" s="10"/>
      <c r="L605" s="10">
        <f ca="1">VLOOKUP(dict_DQ_Meth_max[[#This Row],[ID_DataQualities]],table_DataQualities[],8,FALSE)</f>
        <v>0.98</v>
      </c>
      <c r="M605" s="10">
        <f ca="1">VLOOKUP(dict_DQ_Meth_max[[#This Row],[ID_DataQualities]],table_DataQualities[],9,FALSE)</f>
        <v>3.8</v>
      </c>
    </row>
    <row r="606" spans="1:13" x14ac:dyDescent="0.45">
      <c r="A606" s="10">
        <v>162</v>
      </c>
      <c r="B606" s="10">
        <v>1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3904.7735499999999</v>
      </c>
      <c r="G606" s="12">
        <f ca="1">(RANDBETWEEN(50,100)/100)*(dict_DQ_Meth_max[[#This Row],[Vergleich_ub]]-dict_DQ_Meth_max[[#This Row],[Vergleich_lb]])+dict_DQ_Meth_max[[#This Row],[Vergleich_lb]]</f>
        <v>7729.3631499999992</v>
      </c>
      <c r="H606" s="11" t="str">
        <f ca="1">VLOOKUP(VLOOKUP(dict_DQ_Meth_max[[#This Row],[ID_DataQualities]],table_DataQualities[],3),table_Units[],2)</f>
        <v>Hz</v>
      </c>
      <c r="I606" s="10"/>
      <c r="J606" s="10"/>
      <c r="K606" s="10"/>
      <c r="L606" s="10">
        <f ca="1">VLOOKUP(dict_DQ_Meth_max[[#This Row],[ID_DataQualities]],table_DataQualities[],8,FALSE)</f>
        <v>0.505</v>
      </c>
      <c r="M606" s="10">
        <f ca="1">VLOOKUP(dict_DQ_Meth_max[[#This Row],[ID_DataQualities]],table_DataQualities[],9,FALSE)</f>
        <v>7968.4</v>
      </c>
    </row>
    <row r="607" spans="1:13" x14ac:dyDescent="0.45">
      <c r="A607" s="10">
        <v>162</v>
      </c>
      <c r="B607" s="10">
        <v>50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876.97344999999996</v>
      </c>
      <c r="G607" s="12">
        <f ca="1">(RANDBETWEEN(50,100)/100)*(dict_DQ_Meth_max[[#This Row],[Vergleich_ub]]-dict_DQ_Meth_max[[#This Row],[Vergleich_lb]])+dict_DQ_Meth_max[[#This Row],[Vergleich_lb]]</f>
        <v>6454.4999500000004</v>
      </c>
      <c r="H607" s="11" t="str">
        <f ca="1">VLOOKUP(VLOOKUP(dict_DQ_Meth_max[[#This Row],[ID_DataQualities]],table_DataQualities[],3),table_Units[],2)</f>
        <v>Hz</v>
      </c>
      <c r="I607" s="10"/>
      <c r="J607" s="10"/>
      <c r="K607" s="10"/>
      <c r="L607" s="10">
        <f ca="1">VLOOKUP(dict_DQ_Meth_max[[#This Row],[ID_DataQualities]],table_DataQualities[],8,FALSE)</f>
        <v>0.505</v>
      </c>
      <c r="M607" s="10">
        <f ca="1">VLOOKUP(dict_DQ_Meth_max[[#This Row],[ID_DataQualities]],table_DataQualities[],9,FALSE)</f>
        <v>7968.4</v>
      </c>
    </row>
    <row r="608" spans="1:13" x14ac:dyDescent="0.45">
      <c r="A608" s="10">
        <v>162</v>
      </c>
      <c r="B608" s="10">
        <v>125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558.25765000000001</v>
      </c>
      <c r="G608" s="12">
        <f ca="1">(RANDBETWEEN(50,100)/100)*(dict_DQ_Meth_max[[#This Row],[Vergleich_ub]]-dict_DQ_Meth_max[[#This Row],[Vergleich_lb]])+dict_DQ_Meth_max[[#This Row],[Vergleich_lb]]</f>
        <v>5817.0683499999996</v>
      </c>
      <c r="H608" s="11" t="str">
        <f ca="1">VLOOKUP(VLOOKUP(dict_DQ_Meth_max[[#This Row],[ID_DataQualities]],table_DataQualities[],3),table_Units[],2)</f>
        <v>Hz</v>
      </c>
      <c r="I608" s="10"/>
      <c r="J608" s="10"/>
      <c r="K608" s="10"/>
      <c r="L608" s="10">
        <f ca="1">VLOOKUP(dict_DQ_Meth_max[[#This Row],[ID_DataQualities]],table_DataQualities[],8,FALSE)</f>
        <v>0.505</v>
      </c>
      <c r="M608" s="10">
        <f ca="1">VLOOKUP(dict_DQ_Meth_max[[#This Row],[ID_DataQualities]],table_DataQualities[],9,FALSE)</f>
        <v>7968.4</v>
      </c>
    </row>
    <row r="609" spans="1:13" x14ac:dyDescent="0.45">
      <c r="A609" s="10">
        <v>162</v>
      </c>
      <c r="B609" s="10">
        <v>562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239.54184999999998</v>
      </c>
      <c r="G609" s="12">
        <f ca="1">(RANDBETWEEN(50,100)/100)*(dict_DQ_Meth_max[[#This Row],[Vergleich_ub]]-dict_DQ_Meth_max[[#This Row],[Vergleich_lb]])+dict_DQ_Meth_max[[#This Row],[Vergleich_lb]]</f>
        <v>5020.2788499999997</v>
      </c>
      <c r="H609" s="11" t="str">
        <f ca="1">VLOOKUP(VLOOKUP(dict_DQ_Meth_max[[#This Row],[ID_DataQualities]],table_DataQualities[],3),table_Units[],2)</f>
        <v>Hz</v>
      </c>
      <c r="I609" s="10"/>
      <c r="J609" s="10"/>
      <c r="K609" s="10"/>
      <c r="L609" s="10">
        <f ca="1">VLOOKUP(dict_DQ_Meth_max[[#This Row],[ID_DataQualities]],table_DataQualities[],8,FALSE)</f>
        <v>0.505</v>
      </c>
      <c r="M609" s="10">
        <f ca="1">VLOOKUP(dict_DQ_Meth_max[[#This Row],[ID_DataQualities]],table_DataQualities[],9,FALSE)</f>
        <v>7968.4</v>
      </c>
    </row>
    <row r="610" spans="1:13" x14ac:dyDescent="0.45">
      <c r="A610" s="10">
        <v>163</v>
      </c>
      <c r="B610" s="10">
        <v>125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4.4866000000000001</v>
      </c>
      <c r="G610" s="12">
        <f ca="1">(RANDBETWEEN(50,100)/100)*(dict_DQ_Meth_max[[#This Row],[Vergleich_ub]]-dict_DQ_Meth_max[[#This Row],[Vergleich_lb]])+dict_DQ_Meth_max[[#This Row],[Vergleich_lb]]</f>
        <v>8.2735000000000003</v>
      </c>
      <c r="H610" s="11" t="str">
        <f ca="1">VLOOKUP(VLOOKUP(dict_DQ_Meth_max[[#This Row],[ID_DataQualities]],table_DataQualities[],3),table_Units[],2)</f>
        <v>+/- mm</v>
      </c>
      <c r="I610" s="10"/>
      <c r="J610" s="10"/>
      <c r="K610" s="10"/>
      <c r="L610" s="10">
        <f ca="1">VLOOKUP(dict_DQ_Meth_max[[#This Row],[ID_DataQualities]],table_DataQualities[],8,FALSE)</f>
        <v>0.02</v>
      </c>
      <c r="M610" s="10">
        <f ca="1">VLOOKUP(dict_DQ_Meth_max[[#This Row],[ID_DataQualities]],table_DataQualities[],9,FALSE)</f>
        <v>9.73</v>
      </c>
    </row>
    <row r="611" spans="1:13" x14ac:dyDescent="0.45">
      <c r="A611" s="10">
        <v>163</v>
      </c>
      <c r="B611" s="10">
        <v>50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2.3504</v>
      </c>
      <c r="G611" s="12">
        <f ca="1">(RANDBETWEEN(50,100)/100)*(dict_DQ_Meth_max[[#This Row],[Vergleich_ub]]-dict_DQ_Meth_max[[#This Row],[Vergleich_lb]])+dict_DQ_Meth_max[[#This Row],[Vergleich_lb]]</f>
        <v>7.3996000000000004</v>
      </c>
      <c r="H611" s="11" t="str">
        <f ca="1">VLOOKUP(VLOOKUP(dict_DQ_Meth_max[[#This Row],[ID_DataQualities]],table_DataQualities[],3),table_Units[],2)</f>
        <v>+/- mm</v>
      </c>
      <c r="I611" s="10"/>
      <c r="J611" s="10"/>
      <c r="K611" s="10"/>
      <c r="L611" s="10">
        <f ca="1">VLOOKUP(dict_DQ_Meth_max[[#This Row],[ID_DataQualities]],table_DataQualities[],8,FALSE)</f>
        <v>0.02</v>
      </c>
      <c r="M611" s="10">
        <f ca="1">VLOOKUP(dict_DQ_Meth_max[[#This Row],[ID_DataQualities]],table_DataQualities[],9,FALSE)</f>
        <v>9.73</v>
      </c>
    </row>
    <row r="612" spans="1:13" x14ac:dyDescent="0.45">
      <c r="A612" s="10">
        <v>163</v>
      </c>
      <c r="B612" s="10">
        <v>1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0.9910000000000001</v>
      </c>
      <c r="G612" s="12">
        <f ca="1">(RANDBETWEEN(50,100)/100)*(dict_DQ_Meth_max[[#This Row],[Vergleich_ub]]-dict_DQ_Meth_max[[#This Row],[Vergleich_lb]])+dict_DQ_Meth_max[[#This Row],[Vergleich_lb]]</f>
        <v>7.2054</v>
      </c>
      <c r="H612" s="11" t="str">
        <f ca="1">VLOOKUP(VLOOKUP(dict_DQ_Meth_max[[#This Row],[ID_DataQualities]],table_DataQualities[],3),table_Units[],2)</f>
        <v>+/- mm</v>
      </c>
      <c r="I612" s="10"/>
      <c r="J612" s="10"/>
      <c r="K612" s="10"/>
      <c r="L612" s="10">
        <f ca="1">VLOOKUP(dict_DQ_Meth_max[[#This Row],[ID_DataQualities]],table_DataQualities[],8,FALSE)</f>
        <v>0.02</v>
      </c>
      <c r="M612" s="10">
        <f ca="1">VLOOKUP(dict_DQ_Meth_max[[#This Row],[ID_DataQualities]],table_DataQualities[],9,FALSE)</f>
        <v>9.73</v>
      </c>
    </row>
    <row r="613" spans="1:13" x14ac:dyDescent="0.45">
      <c r="A613" s="10">
        <v>163</v>
      </c>
      <c r="B613" s="10">
        <v>562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1.5736000000000001</v>
      </c>
      <c r="G613" s="12">
        <f ca="1">(RANDBETWEEN(50,100)/100)*(dict_DQ_Meth_max[[#This Row],[Vergleich_ub]]-dict_DQ_Meth_max[[#This Row],[Vergleich_lb]])+dict_DQ_Meth_max[[#This Row],[Vergleich_lb]]</f>
        <v>6.0402000000000005</v>
      </c>
      <c r="H613" s="11" t="str">
        <f ca="1">VLOOKUP(VLOOKUP(dict_DQ_Meth_max[[#This Row],[ID_DataQualities]],table_DataQualities[],3),table_Units[],2)</f>
        <v>+/- mm</v>
      </c>
      <c r="I613" s="10"/>
      <c r="J613" s="10"/>
      <c r="K613" s="10"/>
      <c r="L613" s="10">
        <f ca="1">VLOOKUP(dict_DQ_Meth_max[[#This Row],[ID_DataQualities]],table_DataQualities[],8,FALSE)</f>
        <v>0.02</v>
      </c>
      <c r="M613" s="10">
        <f ca="1">VLOOKUP(dict_DQ_Meth_max[[#This Row],[ID_DataQualities]],table_DataQualities[],9,FALSE)</f>
        <v>9.73</v>
      </c>
    </row>
    <row r="614" spans="1:13" x14ac:dyDescent="0.45">
      <c r="A614" s="10">
        <v>164</v>
      </c>
      <c r="B614" s="10">
        <v>516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582.28823999999997</v>
      </c>
      <c r="G614" s="12">
        <f ca="1">(RANDBETWEEN(50,100)/100)*(dict_DQ_Meth_max[[#This Row],[Vergleich_ub]]-dict_DQ_Meth_max[[#This Row],[Vergleich_lb]])+dict_DQ_Meth_max[[#This Row],[Vergleich_lb]]</f>
        <v>5743.6886199999999</v>
      </c>
      <c r="H614" s="11" t="str">
        <f ca="1">VLOOKUP(VLOOKUP(dict_DQ_Meth_max[[#This Row],[ID_DataQualities]],table_DataQualities[],3),table_Units[],2)</f>
        <v>Hz</v>
      </c>
      <c r="I614" s="10"/>
      <c r="J614" s="10"/>
      <c r="K614" s="10"/>
      <c r="L614" s="10">
        <f ca="1">VLOOKUP(dict_DQ_Meth_max[[#This Row],[ID_DataQualities]],table_DataQualities[],8,FALSE)</f>
        <v>0.72199999999999998</v>
      </c>
      <c r="M614" s="10">
        <f ca="1">VLOOKUP(dict_DQ_Meth_max[[#This Row],[ID_DataQualities]],table_DataQualities[],9,FALSE)</f>
        <v>7270.3</v>
      </c>
    </row>
    <row r="615" spans="1:13" x14ac:dyDescent="0.45">
      <c r="A615" s="10">
        <v>164</v>
      </c>
      <c r="B615" s="10">
        <v>220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1890.8122800000001</v>
      </c>
      <c r="G615" s="12">
        <f ca="1">(RANDBETWEEN(50,100)/100)*(dict_DQ_Meth_max[[#This Row],[Vergleich_ub]]-dict_DQ_Meth_max[[#This Row],[Vergleich_lb]])+dict_DQ_Meth_max[[#This Row],[Vergleich_lb]]</f>
        <v>4217.0772399999996</v>
      </c>
      <c r="H615" s="11" t="str">
        <f ca="1">VLOOKUP(VLOOKUP(dict_DQ_Meth_max[[#This Row],[ID_DataQualities]],table_DataQualities[],3),table_Units[],2)</f>
        <v>Hz</v>
      </c>
      <c r="I615" s="10"/>
      <c r="J615" s="10"/>
      <c r="K615" s="10"/>
      <c r="L615" s="10">
        <f ca="1">VLOOKUP(dict_DQ_Meth_max[[#This Row],[ID_DataQualities]],table_DataQualities[],8,FALSE)</f>
        <v>0.72199999999999998</v>
      </c>
      <c r="M615" s="10">
        <f ca="1">VLOOKUP(dict_DQ_Meth_max[[#This Row],[ID_DataQualities]],table_DataQualities[],9,FALSE)</f>
        <v>7270.3</v>
      </c>
    </row>
    <row r="616" spans="1:13" x14ac:dyDescent="0.45">
      <c r="A616" s="10">
        <v>164</v>
      </c>
      <c r="B616" s="10">
        <v>270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1600.02916</v>
      </c>
      <c r="G616" s="12">
        <f ca="1">(RANDBETWEEN(50,100)/100)*(dict_DQ_Meth_max[[#This Row],[Vergleich_ub]]-dict_DQ_Meth_max[[#This Row],[Vergleich_lb]])+dict_DQ_Meth_max[[#This Row],[Vergleich_lb]]</f>
        <v>3853.5983400000005</v>
      </c>
      <c r="H616" s="11" t="str">
        <f ca="1">VLOOKUP(VLOOKUP(dict_DQ_Meth_max[[#This Row],[ID_DataQualities]],table_DataQualities[],3),table_Units[],2)</f>
        <v>Hz</v>
      </c>
      <c r="I616" s="10"/>
      <c r="J616" s="10"/>
      <c r="K616" s="10"/>
      <c r="L616" s="10">
        <f ca="1">VLOOKUP(dict_DQ_Meth_max[[#This Row],[ID_DataQualities]],table_DataQualities[],8,FALSE)</f>
        <v>0.72199999999999998</v>
      </c>
      <c r="M616" s="10">
        <f ca="1">VLOOKUP(dict_DQ_Meth_max[[#This Row],[ID_DataQualities]],table_DataQualities[],9,FALSE)</f>
        <v>7270.3</v>
      </c>
    </row>
    <row r="617" spans="1:13" x14ac:dyDescent="0.45">
      <c r="A617" s="10">
        <v>164</v>
      </c>
      <c r="B617" s="10">
        <v>37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1600.02916</v>
      </c>
      <c r="G617" s="12">
        <f ca="1">(RANDBETWEEN(50,100)/100)*(dict_DQ_Meth_max[[#This Row],[Vergleich_ub]]-dict_DQ_Meth_max[[#This Row],[Vergleich_lb]])+dict_DQ_Meth_max[[#This Row],[Vergleich_lb]]</f>
        <v>5380.2097199999998</v>
      </c>
      <c r="H617" s="11" t="str">
        <f ca="1">VLOOKUP(VLOOKUP(dict_DQ_Meth_max[[#This Row],[ID_DataQualities]],table_DataQualities[],3),table_Units[],2)</f>
        <v>Hz</v>
      </c>
      <c r="I617" s="10"/>
      <c r="J617" s="10"/>
      <c r="K617" s="10"/>
      <c r="L617" s="10">
        <f ca="1">VLOOKUP(dict_DQ_Meth_max[[#This Row],[ID_DataQualities]],table_DataQualities[],8,FALSE)</f>
        <v>0.72199999999999998</v>
      </c>
      <c r="M617" s="10">
        <f ca="1">VLOOKUP(dict_DQ_Meth_max[[#This Row],[ID_DataQualities]],table_DataQualities[],9,FALSE)</f>
        <v>7270.3</v>
      </c>
    </row>
    <row r="618" spans="1:13" x14ac:dyDescent="0.45">
      <c r="A618" s="10">
        <v>165</v>
      </c>
      <c r="B618" s="10">
        <v>516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0.5786</v>
      </c>
      <c r="G618" s="12">
        <f ca="1">(RANDBETWEEN(50,100)/100)*(dict_DQ_Meth_max[[#This Row],[Vergleich_ub]]-dict_DQ_Meth_max[[#This Row],[Vergleich_lb]])+dict_DQ_Meth_max[[#This Row],[Vergleich_lb]]</f>
        <v>0.90049999999999986</v>
      </c>
      <c r="H618" s="11" t="str">
        <f ca="1">VLOOKUP(VLOOKUP(dict_DQ_Meth_max[[#This Row],[ID_DataQualities]],table_DataQualities[],3),table_Units[],2)</f>
        <v>+/- mm/s</v>
      </c>
      <c r="I618" s="10"/>
      <c r="J618" s="10"/>
      <c r="K618" s="10"/>
      <c r="L618" s="10">
        <f ca="1">VLOOKUP(dict_DQ_Meth_max[[#This Row],[ID_DataQualities]],table_DataQualities[],8,FALSE)</f>
        <v>0.28999999999999998</v>
      </c>
      <c r="M618" s="10">
        <f ca="1">VLOOKUP(dict_DQ_Meth_max[[#This Row],[ID_DataQualities]],table_DataQualities[],9,FALSE)</f>
        <v>1.4</v>
      </c>
    </row>
    <row r="619" spans="1:13" x14ac:dyDescent="0.45">
      <c r="A619" s="10">
        <v>165</v>
      </c>
      <c r="B619" s="10">
        <v>270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0.6452</v>
      </c>
      <c r="G619" s="12">
        <f ca="1">(RANDBETWEEN(50,100)/100)*(dict_DQ_Meth_max[[#This Row],[Vergleich_ub]]-dict_DQ_Meth_max[[#This Row],[Vergleich_lb]])+dict_DQ_Meth_max[[#This Row],[Vergleich_lb]]</f>
        <v>0.90049999999999986</v>
      </c>
      <c r="H619" s="11" t="str">
        <f ca="1">VLOOKUP(VLOOKUP(dict_DQ_Meth_max[[#This Row],[ID_DataQualities]],table_DataQualities[],3),table_Units[],2)</f>
        <v>+/- mm/s</v>
      </c>
      <c r="I619" s="10"/>
      <c r="J619" s="10"/>
      <c r="K619" s="10"/>
      <c r="L619" s="10">
        <f ca="1">VLOOKUP(dict_DQ_Meth_max[[#This Row],[ID_DataQualities]],table_DataQualities[],8,FALSE)</f>
        <v>0.28999999999999998</v>
      </c>
      <c r="M619" s="10">
        <f ca="1">VLOOKUP(dict_DQ_Meth_max[[#This Row],[ID_DataQualities]],table_DataQualities[],9,FALSE)</f>
        <v>1.4</v>
      </c>
    </row>
    <row r="620" spans="1:13" x14ac:dyDescent="0.45">
      <c r="A620" s="10">
        <v>165</v>
      </c>
      <c r="B620" s="10">
        <v>37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0.61189999999999989</v>
      </c>
      <c r="G620" s="12">
        <f ca="1">(RANDBETWEEN(50,100)/100)*(dict_DQ_Meth_max[[#This Row],[Vergleich_ub]]-dict_DQ_Meth_max[[#This Row],[Vergleich_lb]])+dict_DQ_Meth_max[[#This Row],[Vergleich_lb]]</f>
        <v>0.88939999999999997</v>
      </c>
      <c r="H620" s="11" t="str">
        <f ca="1">VLOOKUP(VLOOKUP(dict_DQ_Meth_max[[#This Row],[ID_DataQualities]],table_DataQualities[],3),table_Units[],2)</f>
        <v>+/- mm/s</v>
      </c>
      <c r="I620" s="10"/>
      <c r="J620" s="10"/>
      <c r="K620" s="10"/>
      <c r="L620" s="10">
        <f ca="1">VLOOKUP(dict_DQ_Meth_max[[#This Row],[ID_DataQualities]],table_DataQualities[],8,FALSE)</f>
        <v>0.28999999999999998</v>
      </c>
      <c r="M620" s="10">
        <f ca="1">VLOOKUP(dict_DQ_Meth_max[[#This Row],[ID_DataQualities]],table_DataQualities[],9,FALSE)</f>
        <v>1.4</v>
      </c>
    </row>
    <row r="621" spans="1:13" x14ac:dyDescent="0.45">
      <c r="A621" s="10">
        <v>165</v>
      </c>
      <c r="B621" s="10">
        <v>220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0.78949999999999987</v>
      </c>
      <c r="G621" s="12">
        <f ca="1">(RANDBETWEEN(50,100)/100)*(dict_DQ_Meth_max[[#This Row],[Vergleich_ub]]-dict_DQ_Meth_max[[#This Row],[Vergleich_lb]])+dict_DQ_Meth_max[[#This Row],[Vergleich_lb]]</f>
        <v>1.1668999999999998</v>
      </c>
      <c r="H621" s="11" t="str">
        <f ca="1">VLOOKUP(VLOOKUP(dict_DQ_Meth_max[[#This Row],[ID_DataQualities]],table_DataQualities[],3),table_Units[],2)</f>
        <v>+/- mm/s</v>
      </c>
      <c r="I621" s="10"/>
      <c r="J621" s="10"/>
      <c r="K621" s="10"/>
      <c r="L621" s="10">
        <f ca="1">VLOOKUP(dict_DQ_Meth_max[[#This Row],[ID_DataQualities]],table_DataQualities[],8,FALSE)</f>
        <v>0.28999999999999998</v>
      </c>
      <c r="M621" s="10">
        <f ca="1">VLOOKUP(dict_DQ_Meth_max[[#This Row],[ID_DataQualities]],table_DataQualities[],9,FALSE)</f>
        <v>1.4</v>
      </c>
    </row>
    <row r="622" spans="1:13" x14ac:dyDescent="0.45">
      <c r="A622" s="10">
        <v>166</v>
      </c>
      <c r="B622" s="10">
        <v>217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430.44340000000005</v>
      </c>
      <c r="G622" s="12">
        <f ca="1">(RANDBETWEEN(50,100)/100)*(dict_DQ_Meth_max[[#This Row],[Vergleich_ub]]-dict_DQ_Meth_max[[#This Row],[Vergleich_lb]])+dict_DQ_Meth_max[[#This Row],[Vergleich_lb]]</f>
        <v>1568.0524</v>
      </c>
      <c r="H622" s="11" t="str">
        <f ca="1">VLOOKUP(VLOOKUP(dict_DQ_Meth_max[[#This Row],[ID_DataQualities]],table_DataQualities[],3),table_Units[],2)</f>
        <v>Hz</v>
      </c>
      <c r="I622" s="10"/>
      <c r="J622" s="10"/>
      <c r="K622" s="10"/>
      <c r="L622" s="10">
        <f ca="1">VLOOKUP(dict_DQ_Meth_max[[#This Row],[ID_DataQualities]],table_DataQualities[],8,FALSE)</f>
        <v>0.68</v>
      </c>
      <c r="M622" s="10">
        <f ca="1">VLOOKUP(dict_DQ_Meth_max[[#This Row],[ID_DataQualities]],table_DataQualities[],9,FALSE)</f>
        <v>2528.6999999999998</v>
      </c>
    </row>
    <row r="623" spans="1:13" x14ac:dyDescent="0.45">
      <c r="A623" s="10">
        <v>166</v>
      </c>
      <c r="B623" s="10">
        <v>480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1138.289</v>
      </c>
      <c r="G623" s="12">
        <f ca="1">(RANDBETWEEN(50,100)/100)*(dict_DQ_Meth_max[[#This Row],[Vergleich_ub]]-dict_DQ_Meth_max[[#This Row],[Vergleich_lb]])+dict_DQ_Meth_max[[#This Row],[Vergleich_lb]]</f>
        <v>2377.0187999999998</v>
      </c>
      <c r="H623" s="11" t="str">
        <f ca="1">VLOOKUP(VLOOKUP(dict_DQ_Meth_max[[#This Row],[ID_DataQualities]],table_DataQualities[],3),table_Units[],2)</f>
        <v>Hz</v>
      </c>
      <c r="I623" s="10"/>
      <c r="J623" s="10"/>
      <c r="K623" s="10"/>
      <c r="L623" s="10">
        <f ca="1">VLOOKUP(dict_DQ_Meth_max[[#This Row],[ID_DataQualities]],table_DataQualities[],8,FALSE)</f>
        <v>0.68</v>
      </c>
      <c r="M623" s="10">
        <f ca="1">VLOOKUP(dict_DQ_Meth_max[[#This Row],[ID_DataQualities]],table_DataQualities[],9,FALSE)</f>
        <v>2528.6999999999998</v>
      </c>
    </row>
    <row r="624" spans="1:13" x14ac:dyDescent="0.45">
      <c r="A624" s="10">
        <v>166</v>
      </c>
      <c r="B624" s="10">
        <v>48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405.16320000000002</v>
      </c>
      <c r="G624" s="12">
        <f ca="1">(RANDBETWEEN(50,100)/100)*(dict_DQ_Meth_max[[#This Row],[Vergleich_ub]]-dict_DQ_Meth_max[[#This Row],[Vergleich_lb]])+dict_DQ_Meth_max[[#This Row],[Vergleich_lb]]</f>
        <v>2250.6178</v>
      </c>
      <c r="H624" s="11" t="str">
        <f ca="1">VLOOKUP(VLOOKUP(dict_DQ_Meth_max[[#This Row],[ID_DataQualities]],table_DataQualities[],3),table_Units[],2)</f>
        <v>Hz</v>
      </c>
      <c r="I624" s="10"/>
      <c r="J624" s="10"/>
      <c r="K624" s="10"/>
      <c r="L624" s="10">
        <f ca="1">VLOOKUP(dict_DQ_Meth_max[[#This Row],[ID_DataQualities]],table_DataQualities[],8,FALSE)</f>
        <v>0.68</v>
      </c>
      <c r="M624" s="10">
        <f ca="1">VLOOKUP(dict_DQ_Meth_max[[#This Row],[ID_DataQualities]],table_DataQualities[],9,FALSE)</f>
        <v>2528.6999999999998</v>
      </c>
    </row>
    <row r="625" spans="1:13" x14ac:dyDescent="0.45">
      <c r="A625" s="10">
        <v>166</v>
      </c>
      <c r="B625" s="10">
        <v>383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531.56419999999991</v>
      </c>
      <c r="G625" s="12">
        <f ca="1">(RANDBETWEEN(50,100)/100)*(dict_DQ_Meth_max[[#This Row],[Vergleich_ub]]-dict_DQ_Meth_max[[#This Row],[Vergleich_lb]])+dict_DQ_Meth_max[[#This Row],[Vergleich_lb]]</f>
        <v>1643.893</v>
      </c>
      <c r="H625" s="11" t="str">
        <f ca="1">VLOOKUP(VLOOKUP(dict_DQ_Meth_max[[#This Row],[ID_DataQualities]],table_DataQualities[],3),table_Units[],2)</f>
        <v>Hz</v>
      </c>
      <c r="I625" s="10"/>
      <c r="J625" s="10"/>
      <c r="K625" s="10"/>
      <c r="L625" s="10">
        <f ca="1">VLOOKUP(dict_DQ_Meth_max[[#This Row],[ID_DataQualities]],table_DataQualities[],8,FALSE)</f>
        <v>0.68</v>
      </c>
      <c r="M625" s="10">
        <f ca="1">VLOOKUP(dict_DQ_Meth_max[[#This Row],[ID_DataQualities]],table_DataQualities[],9,FALSE)</f>
        <v>2528.6999999999998</v>
      </c>
    </row>
    <row r="626" spans="1:13" x14ac:dyDescent="0.45">
      <c r="A626" s="10">
        <v>167</v>
      </c>
      <c r="B626" s="10">
        <v>480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0.65800000000000003</v>
      </c>
      <c r="G626" s="12">
        <f ca="1">(RANDBETWEEN(50,100)/100)*(dict_DQ_Meth_max[[#This Row],[Vergleich_ub]]-dict_DQ_Meth_max[[#This Row],[Vergleich_lb]])+dict_DQ_Meth_max[[#This Row],[Vergleich_lb]]</f>
        <v>0.8919999999999999</v>
      </c>
      <c r="H626" s="11" t="str">
        <f ca="1">VLOOKUP(VLOOKUP(dict_DQ_Meth_max[[#This Row],[ID_DataQualities]],table_DataQualities[],3),table_Units[],2)</f>
        <v>+/- °C</v>
      </c>
      <c r="I626" s="10"/>
      <c r="J626" s="10"/>
      <c r="K626" s="10"/>
      <c r="L626" s="10">
        <f ca="1">VLOOKUP(dict_DQ_Meth_max[[#This Row],[ID_DataQualities]],table_DataQualities[],8,FALSE)</f>
        <v>0.4</v>
      </c>
      <c r="M626" s="10">
        <f ca="1">VLOOKUP(dict_DQ_Meth_max[[#This Row],[ID_DataQualities]],table_DataQualities[],9,FALSE)</f>
        <v>1</v>
      </c>
    </row>
    <row r="627" spans="1:13" x14ac:dyDescent="0.45">
      <c r="A627" s="10">
        <v>167</v>
      </c>
      <c r="B627" s="10">
        <v>383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0.46600000000000003</v>
      </c>
      <c r="G627" s="12">
        <f ca="1">(RANDBETWEEN(50,100)/100)*(dict_DQ_Meth_max[[#This Row],[Vergleich_ub]]-dict_DQ_Meth_max[[#This Row],[Vergleich_lb]])+dict_DQ_Meth_max[[#This Row],[Vergleich_lb]]</f>
        <v>0.95800000000000007</v>
      </c>
      <c r="H627" s="11" t="str">
        <f ca="1">VLOOKUP(VLOOKUP(dict_DQ_Meth_max[[#This Row],[ID_DataQualities]],table_DataQualities[],3),table_Units[],2)</f>
        <v>+/- °C</v>
      </c>
      <c r="I627" s="10"/>
      <c r="J627" s="10"/>
      <c r="K627" s="10"/>
      <c r="L627" s="10">
        <f ca="1">VLOOKUP(dict_DQ_Meth_max[[#This Row],[ID_DataQualities]],table_DataQualities[],8,FALSE)</f>
        <v>0.4</v>
      </c>
      <c r="M627" s="10">
        <f ca="1">VLOOKUP(dict_DQ_Meth_max[[#This Row],[ID_DataQualities]],table_DataQualities[],9,FALSE)</f>
        <v>1</v>
      </c>
    </row>
    <row r="628" spans="1:13" x14ac:dyDescent="0.45">
      <c r="A628" s="10">
        <v>167</v>
      </c>
      <c r="B628" s="10">
        <v>217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0.63400000000000001</v>
      </c>
      <c r="G628" s="12">
        <f ca="1">(RANDBETWEEN(50,100)/100)*(dict_DQ_Meth_max[[#This Row],[Vergleich_ub]]-dict_DQ_Meth_max[[#This Row],[Vergleich_lb]])+dict_DQ_Meth_max[[#This Row],[Vergleich_lb]]</f>
        <v>0.85</v>
      </c>
      <c r="H628" s="11" t="str">
        <f ca="1">VLOOKUP(VLOOKUP(dict_DQ_Meth_max[[#This Row],[ID_DataQualities]],table_DataQualities[],3),table_Units[],2)</f>
        <v>+/- °C</v>
      </c>
      <c r="I628" s="10"/>
      <c r="J628" s="10"/>
      <c r="K628" s="10"/>
      <c r="L628" s="10">
        <f ca="1">VLOOKUP(dict_DQ_Meth_max[[#This Row],[ID_DataQualities]],table_DataQualities[],8,FALSE)</f>
        <v>0.4</v>
      </c>
      <c r="M628" s="10">
        <f ca="1">VLOOKUP(dict_DQ_Meth_max[[#This Row],[ID_DataQualities]],table_DataQualities[],9,FALSE)</f>
        <v>1</v>
      </c>
    </row>
    <row r="629" spans="1:13" x14ac:dyDescent="0.45">
      <c r="A629" s="10">
        <v>167</v>
      </c>
      <c r="B629" s="10">
        <v>48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0.54400000000000004</v>
      </c>
      <c r="G629" s="12">
        <f ca="1">(RANDBETWEEN(50,100)/100)*(dict_DQ_Meth_max[[#This Row],[Vergleich_ub]]-dict_DQ_Meth_max[[#This Row],[Vergleich_lb]])+dict_DQ_Meth_max[[#This Row],[Vergleich_lb]]</f>
        <v>0.88</v>
      </c>
      <c r="H629" s="11" t="str">
        <f ca="1">VLOOKUP(VLOOKUP(dict_DQ_Meth_max[[#This Row],[ID_DataQualities]],table_DataQualities[],3),table_Units[],2)</f>
        <v>+/- °C</v>
      </c>
      <c r="I629" s="10"/>
      <c r="J629" s="10"/>
      <c r="K629" s="10"/>
      <c r="L629" s="10">
        <f ca="1">VLOOKUP(dict_DQ_Meth_max[[#This Row],[ID_DataQualities]],table_DataQualities[],8,FALSE)</f>
        <v>0.4</v>
      </c>
      <c r="M629" s="10">
        <f ca="1">VLOOKUP(dict_DQ_Meth_max[[#This Row],[ID_DataQualities]],table_DataQualities[],9,FALSE)</f>
        <v>1</v>
      </c>
    </row>
    <row r="630" spans="1:13" x14ac:dyDescent="0.45">
      <c r="A630" s="10">
        <v>168</v>
      </c>
      <c r="B630" s="10">
        <v>623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629.88828999999998</v>
      </c>
      <c r="G630" s="12">
        <f ca="1">(RANDBETWEEN(50,100)/100)*(dict_DQ_Meth_max[[#This Row],[Vergleich_ub]]-dict_DQ_Meth_max[[#This Row],[Vergleich_lb]])+dict_DQ_Meth_max[[#This Row],[Vergleich_lb]]</f>
        <v>3582.8574199999998</v>
      </c>
      <c r="H630" s="11" t="str">
        <f ca="1">VLOOKUP(VLOOKUP(dict_DQ_Meth_max[[#This Row],[ID_DataQualities]],table_DataQualities[],3),table_Units[],2)</f>
        <v>Hz</v>
      </c>
      <c r="I630" s="10"/>
      <c r="J630" s="10"/>
      <c r="K630" s="10"/>
      <c r="L630" s="10">
        <f ca="1">VLOOKUP(dict_DQ_Meth_max[[#This Row],[ID_DataQualities]],table_DataQualities[],8,FALSE)</f>
        <v>0.56699999999999995</v>
      </c>
      <c r="M630" s="10">
        <f ca="1">VLOOKUP(dict_DQ_Meth_max[[#This Row],[ID_DataQualities]],table_DataQualities[],9,FALSE)</f>
        <v>4841.5</v>
      </c>
    </row>
    <row r="631" spans="1:13" x14ac:dyDescent="0.45">
      <c r="A631" s="10">
        <v>168</v>
      </c>
      <c r="B631" s="10">
        <v>653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1210.80025</v>
      </c>
      <c r="G631" s="12">
        <f ca="1">(RANDBETWEEN(50,100)/100)*(dict_DQ_Meth_max[[#This Row],[Vergleich_ub]]-dict_DQ_Meth_max[[#This Row],[Vergleich_lb]])+dict_DQ_Meth_max[[#This Row],[Vergleich_lb]]</f>
        <v>4454.2253600000004</v>
      </c>
      <c r="H631" s="11" t="str">
        <f ca="1">VLOOKUP(VLOOKUP(dict_DQ_Meth_max[[#This Row],[ID_DataQualities]],table_DataQualities[],3),table_Units[],2)</f>
        <v>Hz</v>
      </c>
      <c r="I631" s="10"/>
      <c r="J631" s="10"/>
      <c r="K631" s="10"/>
      <c r="L631" s="10">
        <f ca="1">VLOOKUP(dict_DQ_Meth_max[[#This Row],[ID_DataQualities]],table_DataQualities[],8,FALSE)</f>
        <v>0.56699999999999995</v>
      </c>
      <c r="M631" s="10">
        <f ca="1">VLOOKUP(dict_DQ_Meth_max[[#This Row],[ID_DataQualities]],table_DataQualities[],9,FALSE)</f>
        <v>4841.5</v>
      </c>
    </row>
    <row r="632" spans="1:13" x14ac:dyDescent="0.45">
      <c r="A632" s="10">
        <v>168</v>
      </c>
      <c r="B632" s="10">
        <v>68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920.34427000000005</v>
      </c>
      <c r="G632" s="12">
        <f ca="1">(RANDBETWEEN(50,100)/100)*(dict_DQ_Meth_max[[#This Row],[Vergleich_ub]]-dict_DQ_Meth_max[[#This Row],[Vergleich_lb]])+dict_DQ_Meth_max[[#This Row],[Vergleich_lb]]</f>
        <v>3728.0854100000001</v>
      </c>
      <c r="H632" s="11" t="str">
        <f ca="1">VLOOKUP(VLOOKUP(dict_DQ_Meth_max[[#This Row],[ID_DataQualities]],table_DataQualities[],3),table_Units[],2)</f>
        <v>Hz</v>
      </c>
      <c r="I632" s="10"/>
      <c r="J632" s="10"/>
      <c r="K632" s="10"/>
      <c r="L632" s="10">
        <f ca="1">VLOOKUP(dict_DQ_Meth_max[[#This Row],[ID_DataQualities]],table_DataQualities[],8,FALSE)</f>
        <v>0.56699999999999995</v>
      </c>
      <c r="M632" s="10">
        <f ca="1">VLOOKUP(dict_DQ_Meth_max[[#This Row],[ID_DataQualities]],table_DataQualities[],9,FALSE)</f>
        <v>4841.5</v>
      </c>
    </row>
    <row r="633" spans="1:13" x14ac:dyDescent="0.45">
      <c r="A633" s="10">
        <v>168</v>
      </c>
      <c r="B633" s="10">
        <v>629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145.79499000000001</v>
      </c>
      <c r="G633" s="12">
        <f ca="1">(RANDBETWEEN(50,100)/100)*(dict_DQ_Meth_max[[#This Row],[Vergleich_ub]]-dict_DQ_Meth_max[[#This Row],[Vergleich_lb]])+dict_DQ_Meth_max[[#This Row],[Vergleich_lb]]</f>
        <v>4405.81603</v>
      </c>
      <c r="H633" s="11" t="str">
        <f ca="1">VLOOKUP(VLOOKUP(dict_DQ_Meth_max[[#This Row],[ID_DataQualities]],table_DataQualities[],3),table_Units[],2)</f>
        <v>Hz</v>
      </c>
      <c r="I633" s="10"/>
      <c r="J633" s="10"/>
      <c r="K633" s="10"/>
      <c r="L633" s="10">
        <f ca="1">VLOOKUP(dict_DQ_Meth_max[[#This Row],[ID_DataQualities]],table_DataQualities[],8,FALSE)</f>
        <v>0.56699999999999995</v>
      </c>
      <c r="M633" s="10">
        <f ca="1">VLOOKUP(dict_DQ_Meth_max[[#This Row],[ID_DataQualities]],table_DataQualities[],9,FALSE)</f>
        <v>4841.5</v>
      </c>
    </row>
    <row r="634" spans="1:13" x14ac:dyDescent="0.45">
      <c r="A634" s="10">
        <v>169</v>
      </c>
      <c r="B634" s="10">
        <v>653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100.4</v>
      </c>
      <c r="G634" s="12">
        <f ca="1">(RANDBETWEEN(50,100)/100)*(dict_DQ_Meth_max[[#This Row],[Vergleich_ub]]-dict_DQ_Meth_max[[#This Row],[Vergleich_lb]])+dict_DQ_Meth_max[[#This Row],[Vergleich_lb]]</f>
        <v>1111.4000000000001</v>
      </c>
      <c r="H634" s="11" t="str">
        <f ca="1">VLOOKUP(VLOOKUP(dict_DQ_Meth_max[[#This Row],[ID_DataQualities]],table_DataQualities[],3),table_Units[],2)</f>
        <v>bit</v>
      </c>
      <c r="I634" s="10"/>
      <c r="J634" s="10"/>
      <c r="K634" s="10"/>
      <c r="L634" s="10">
        <f ca="1">VLOOKUP(dict_DQ_Meth_max[[#This Row],[ID_DataQualities]],table_DataQualities[],8,FALSE)</f>
        <v>33</v>
      </c>
      <c r="M634" s="10">
        <f ca="1">VLOOKUP(dict_DQ_Meth_max[[#This Row],[ID_DataQualities]],table_DataQualities[],9,FALSE)</f>
        <v>1718</v>
      </c>
    </row>
    <row r="635" spans="1:13" x14ac:dyDescent="0.45">
      <c r="A635" s="10">
        <v>169</v>
      </c>
      <c r="B635" s="10">
        <v>629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420.55</v>
      </c>
      <c r="G635" s="12">
        <f ca="1">(RANDBETWEEN(50,100)/100)*(dict_DQ_Meth_max[[#This Row],[Vergleich_ub]]-dict_DQ_Meth_max[[#This Row],[Vergleich_lb]])+dict_DQ_Meth_max[[#This Row],[Vergleich_lb]]</f>
        <v>1161.95</v>
      </c>
      <c r="H635" s="11" t="str">
        <f ca="1">VLOOKUP(VLOOKUP(dict_DQ_Meth_max[[#This Row],[ID_DataQualities]],table_DataQualities[],3),table_Units[],2)</f>
        <v>bit</v>
      </c>
      <c r="I635" s="10"/>
      <c r="J635" s="10"/>
      <c r="K635" s="10"/>
      <c r="L635" s="10">
        <f ca="1">VLOOKUP(dict_DQ_Meth_max[[#This Row],[ID_DataQualities]],table_DataQualities[],8,FALSE)</f>
        <v>33</v>
      </c>
      <c r="M635" s="10">
        <f ca="1">VLOOKUP(dict_DQ_Meth_max[[#This Row],[ID_DataQualities]],table_DataQualities[],9,FALSE)</f>
        <v>1718</v>
      </c>
    </row>
    <row r="636" spans="1:13" x14ac:dyDescent="0.45">
      <c r="A636" s="10">
        <v>169</v>
      </c>
      <c r="B636" s="10">
        <v>623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521.65</v>
      </c>
      <c r="G636" s="12">
        <f ca="1">(RANDBETWEEN(50,100)/100)*(dict_DQ_Meth_max[[#This Row],[Vergleich_ub]]-dict_DQ_Meth_max[[#This Row],[Vergleich_lb]])+dict_DQ_Meth_max[[#This Row],[Vergleich_lb]]</f>
        <v>1566.3500000000001</v>
      </c>
      <c r="H636" s="11" t="str">
        <f ca="1">VLOOKUP(VLOOKUP(dict_DQ_Meth_max[[#This Row],[ID_DataQualities]],table_DataQualities[],3),table_Units[],2)</f>
        <v>bit</v>
      </c>
      <c r="I636" s="10"/>
      <c r="J636" s="10"/>
      <c r="K636" s="10"/>
      <c r="L636" s="10">
        <f ca="1">VLOOKUP(dict_DQ_Meth_max[[#This Row],[ID_DataQualities]],table_DataQualities[],8,FALSE)</f>
        <v>33</v>
      </c>
      <c r="M636" s="10">
        <f ca="1">VLOOKUP(dict_DQ_Meth_max[[#This Row],[ID_DataQualities]],table_DataQualities[],9,FALSE)</f>
        <v>1718</v>
      </c>
    </row>
    <row r="637" spans="1:13" x14ac:dyDescent="0.45">
      <c r="A637" s="10">
        <v>169</v>
      </c>
      <c r="B637" s="10">
        <v>68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33</v>
      </c>
      <c r="G637" s="12">
        <f ca="1">(RANDBETWEEN(50,100)/100)*(dict_DQ_Meth_max[[#This Row],[Vergleich_ub]]-dict_DQ_Meth_max[[#This Row],[Vergleich_lb]])+dict_DQ_Meth_max[[#This Row],[Vergleich_lb]]</f>
        <v>1381</v>
      </c>
      <c r="H637" s="11" t="str">
        <f ca="1">VLOOKUP(VLOOKUP(dict_DQ_Meth_max[[#This Row],[ID_DataQualities]],table_DataQualities[],3),table_Units[],2)</f>
        <v>bit</v>
      </c>
      <c r="I637" s="10"/>
      <c r="J637" s="10"/>
      <c r="K637" s="10"/>
      <c r="L637" s="10">
        <f ca="1">VLOOKUP(dict_DQ_Meth_max[[#This Row],[ID_DataQualities]],table_DataQualities[],8,FALSE)</f>
        <v>33</v>
      </c>
      <c r="M637" s="10">
        <f ca="1">VLOOKUP(dict_DQ_Meth_max[[#This Row],[ID_DataQualities]],table_DataQualities[],9,FALSE)</f>
        <v>1718</v>
      </c>
    </row>
    <row r="638" spans="1:13" x14ac:dyDescent="0.45">
      <c r="A638" s="10">
        <v>170</v>
      </c>
      <c r="B638" s="10">
        <v>382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3107.5329599999995</v>
      </c>
      <c r="G638" s="12">
        <f ca="1">(RANDBETWEEN(50,100)/100)*(dict_DQ_Meth_max[[#This Row],[Vergleich_ub]]-dict_DQ_Meth_max[[#This Row],[Vergleich_lb]])+dict_DQ_Meth_max[[#This Row],[Vergleich_lb]]</f>
        <v>5351.5633199999993</v>
      </c>
      <c r="H638" s="11" t="str">
        <f ca="1">VLOOKUP(VLOOKUP(dict_DQ_Meth_max[[#This Row],[ID_DataQualities]],table_DataQualities[],3),table_Units[],2)</f>
        <v>Hz</v>
      </c>
      <c r="I638" s="10"/>
      <c r="J638" s="10"/>
      <c r="K638" s="10"/>
      <c r="L638" s="10">
        <f ca="1">VLOOKUP(dict_DQ_Meth_max[[#This Row],[ID_DataQualities]],table_DataQualities[],8,FALSE)</f>
        <v>0.41399999999999998</v>
      </c>
      <c r="M638" s="10">
        <f ca="1">VLOOKUP(dict_DQ_Meth_max[[#This Row],[ID_DataQualities]],table_DataQualities[],9,FALSE)</f>
        <v>8631.2999999999993</v>
      </c>
    </row>
    <row r="639" spans="1:13" x14ac:dyDescent="0.45">
      <c r="A639" s="10">
        <v>170</v>
      </c>
      <c r="B639" s="10">
        <v>666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2244.44436</v>
      </c>
      <c r="G639" s="12">
        <f ca="1">(RANDBETWEEN(50,100)/100)*(dict_DQ_Meth_max[[#This Row],[Vergleich_ub]]-dict_DQ_Meth_max[[#This Row],[Vergleich_lb]])+dict_DQ_Meth_max[[#This Row],[Vergleich_lb]]</f>
        <v>8027.1379799999986</v>
      </c>
      <c r="H639" s="11" t="str">
        <f ca="1">VLOOKUP(VLOOKUP(dict_DQ_Meth_max[[#This Row],[ID_DataQualities]],table_DataQualities[],3),table_Units[],2)</f>
        <v>Hz</v>
      </c>
      <c r="I639" s="10"/>
      <c r="J639" s="10"/>
      <c r="K639" s="10"/>
      <c r="L639" s="10">
        <f ca="1">VLOOKUP(dict_DQ_Meth_max[[#This Row],[ID_DataQualities]],table_DataQualities[],8,FALSE)</f>
        <v>0.41399999999999998</v>
      </c>
      <c r="M639" s="10">
        <f ca="1">VLOOKUP(dict_DQ_Meth_max[[#This Row],[ID_DataQualities]],table_DataQualities[],9,FALSE)</f>
        <v>8631.2999999999993</v>
      </c>
    </row>
    <row r="640" spans="1:13" x14ac:dyDescent="0.45">
      <c r="A640" s="10">
        <v>171</v>
      </c>
      <c r="B640" s="10">
        <v>382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0.28554000000000002</v>
      </c>
      <c r="G640" s="12">
        <f ca="1">(RANDBETWEEN(50,100)/100)*(dict_DQ_Meth_max[[#This Row],[Vergleich_ub]]-dict_DQ_Meth_max[[#This Row],[Vergleich_lb]])+dict_DQ_Meth_max[[#This Row],[Vergleich_lb]]</f>
        <v>0.82461000000000018</v>
      </c>
      <c r="H640" s="11" t="str">
        <f ca="1">VLOOKUP(VLOOKUP(dict_DQ_Meth_max[[#This Row],[ID_DataQualities]],table_DataQualities[],3),table_Units[],2)</f>
        <v>+/- mm</v>
      </c>
      <c r="I640" s="10"/>
      <c r="J640" s="10"/>
      <c r="K640" s="10"/>
      <c r="L640" s="10">
        <f ca="1">VLOOKUP(dict_DQ_Meth_max[[#This Row],[ID_DataQualities]],table_DataQualities[],8,FALSE)</f>
        <v>5.2999999999999999E-2</v>
      </c>
      <c r="M640" s="10">
        <f ca="1">VLOOKUP(dict_DQ_Meth_max[[#This Row],[ID_DataQualities]],table_DataQualities[],9,FALSE)</f>
        <v>1.1100000000000001</v>
      </c>
    </row>
    <row r="641" spans="1:13" x14ac:dyDescent="0.45">
      <c r="A641" s="10">
        <v>171</v>
      </c>
      <c r="B641" s="10">
        <v>666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0.28554000000000002</v>
      </c>
      <c r="G641" s="12">
        <f ca="1">(RANDBETWEEN(50,100)/100)*(dict_DQ_Meth_max[[#This Row],[Vergleich_ub]]-dict_DQ_Meth_max[[#This Row],[Vergleich_lb]])+dict_DQ_Meth_max[[#This Row],[Vergleich_lb]]</f>
        <v>0.64492000000000016</v>
      </c>
      <c r="H641" s="11" t="str">
        <f ca="1">VLOOKUP(VLOOKUP(dict_DQ_Meth_max[[#This Row],[ID_DataQualities]],table_DataQualities[],3),table_Units[],2)</f>
        <v>+/- mm</v>
      </c>
      <c r="I641" s="10"/>
      <c r="J641" s="10"/>
      <c r="K641" s="10"/>
      <c r="L641" s="10">
        <f ca="1">VLOOKUP(dict_DQ_Meth_max[[#This Row],[ID_DataQualities]],table_DataQualities[],8,FALSE)</f>
        <v>5.2999999999999999E-2</v>
      </c>
      <c r="M641" s="10">
        <f ca="1">VLOOKUP(dict_DQ_Meth_max[[#This Row],[ID_DataQualities]],table_DataQualities[],9,FALSE)</f>
        <v>1.1100000000000001</v>
      </c>
    </row>
    <row r="642" spans="1:13" x14ac:dyDescent="0.45">
      <c r="A642" s="10">
        <v>172</v>
      </c>
      <c r="B642" s="10">
        <v>684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1433.9456000000002</v>
      </c>
      <c r="G642" s="12">
        <f ca="1">(RANDBETWEEN(50,100)/100)*(dict_DQ_Meth_max[[#This Row],[Vergleich_ub]]-dict_DQ_Meth_max[[#This Row],[Vergleich_lb]])+dict_DQ_Meth_max[[#This Row],[Vergleich_lb]]</f>
        <v>2795.4567200000001</v>
      </c>
      <c r="H642" s="11" t="str">
        <f ca="1">VLOOKUP(VLOOKUP(dict_DQ_Meth_max[[#This Row],[ID_DataQualities]],table_DataQualities[],3),table_Units[],2)</f>
        <v>Hz</v>
      </c>
      <c r="I642" s="10"/>
      <c r="J642" s="10"/>
      <c r="K642" s="10"/>
      <c r="L642" s="10">
        <f ca="1">VLOOKUP(dict_DQ_Meth_max[[#This Row],[ID_DataQualities]],table_DataQualities[],8,FALSE)</f>
        <v>0.77600000000000002</v>
      </c>
      <c r="M642" s="10">
        <f ca="1">VLOOKUP(dict_DQ_Meth_max[[#This Row],[ID_DataQualities]],table_DataQualities[],9,FALSE)</f>
        <v>3583.7</v>
      </c>
    </row>
    <row r="643" spans="1:13" x14ac:dyDescent="0.45">
      <c r="A643" s="10">
        <v>172</v>
      </c>
      <c r="B643" s="10">
        <v>494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609.87307999999996</v>
      </c>
      <c r="G643" s="12">
        <f ca="1">(RANDBETWEEN(50,100)/100)*(dict_DQ_Meth_max[[#This Row],[Vergleich_ub]]-dict_DQ_Meth_max[[#This Row],[Vergleich_lb]])+dict_DQ_Meth_max[[#This Row],[Vergleich_lb]]</f>
        <v>3297.0660800000001</v>
      </c>
      <c r="H643" s="11" t="str">
        <f ca="1">VLOOKUP(VLOOKUP(dict_DQ_Meth_max[[#This Row],[ID_DataQualities]],table_DataQualities[],3),table_Units[],2)</f>
        <v>Hz</v>
      </c>
      <c r="I643" s="10"/>
      <c r="J643" s="10"/>
      <c r="K643" s="10"/>
      <c r="L643" s="10">
        <f ca="1">VLOOKUP(dict_DQ_Meth_max[[#This Row],[ID_DataQualities]],table_DataQualities[],8,FALSE)</f>
        <v>0.77600000000000002</v>
      </c>
      <c r="M643" s="10">
        <f ca="1">VLOOKUP(dict_DQ_Meth_max[[#This Row],[ID_DataQualities]],table_DataQualities[],9,FALSE)</f>
        <v>3583.7</v>
      </c>
    </row>
    <row r="644" spans="1:13" x14ac:dyDescent="0.45">
      <c r="A644" s="10">
        <v>172</v>
      </c>
      <c r="B644" s="10">
        <v>594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108.26371999999999</v>
      </c>
      <c r="G644" s="12">
        <f ca="1">(RANDBETWEEN(50,100)/100)*(dict_DQ_Meth_max[[#This Row],[Vergleich_ub]]-dict_DQ_Meth_max[[#This Row],[Vergleich_lb]])+dict_DQ_Meth_max[[#This Row],[Vergleich_lb]]</f>
        <v>3512.0415199999998</v>
      </c>
      <c r="H644" s="11" t="str">
        <f ca="1">VLOOKUP(VLOOKUP(dict_DQ_Meth_max[[#This Row],[ID_DataQualities]],table_DataQualities[],3),table_Units[],2)</f>
        <v>Hz</v>
      </c>
      <c r="I644" s="10"/>
      <c r="J644" s="10"/>
      <c r="K644" s="10"/>
      <c r="L644" s="10">
        <f ca="1">VLOOKUP(dict_DQ_Meth_max[[#This Row],[ID_DataQualities]],table_DataQualities[],8,FALSE)</f>
        <v>0.77600000000000002</v>
      </c>
      <c r="M644" s="10">
        <f ca="1">VLOOKUP(dict_DQ_Meth_max[[#This Row],[ID_DataQualities]],table_DataQualities[],9,FALSE)</f>
        <v>3583.7</v>
      </c>
    </row>
    <row r="645" spans="1:13" x14ac:dyDescent="0.45">
      <c r="A645" s="10">
        <v>172</v>
      </c>
      <c r="B645" s="10">
        <v>142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1290.6286399999999</v>
      </c>
      <c r="G645" s="12">
        <f ca="1">(RANDBETWEEN(50,100)/100)*(dict_DQ_Meth_max[[#This Row],[Vergleich_ub]]-dict_DQ_Meth_max[[#This Row],[Vergleich_lb]])+dict_DQ_Meth_max[[#This Row],[Vergleich_lb]]</f>
        <v>3117.9198799999999</v>
      </c>
      <c r="H645" s="11" t="str">
        <f ca="1">VLOOKUP(VLOOKUP(dict_DQ_Meth_max[[#This Row],[ID_DataQualities]],table_DataQualities[],3),table_Units[],2)</f>
        <v>Hz</v>
      </c>
      <c r="I645" s="10"/>
      <c r="J645" s="10"/>
      <c r="K645" s="10"/>
      <c r="L645" s="10">
        <f ca="1">VLOOKUP(dict_DQ_Meth_max[[#This Row],[ID_DataQualities]],table_DataQualities[],8,FALSE)</f>
        <v>0.77600000000000002</v>
      </c>
      <c r="M645" s="10">
        <f ca="1">VLOOKUP(dict_DQ_Meth_max[[#This Row],[ID_DataQualities]],table_DataQualities[],9,FALSE)</f>
        <v>3583.7</v>
      </c>
    </row>
    <row r="646" spans="1:13" x14ac:dyDescent="0.45">
      <c r="A646" s="10">
        <v>173</v>
      </c>
      <c r="B646" s="10">
        <v>494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2.3609000000000002E-2</v>
      </c>
      <c r="G646" s="12">
        <f ca="1">(RANDBETWEEN(50,100)/100)*(dict_DQ_Meth_max[[#This Row],[Vergleich_ub]]-dict_DQ_Meth_max[[#This Row],[Vergleich_lb]])+dict_DQ_Meth_max[[#This Row],[Vergleich_lb]]</f>
        <v>3.2816000000000005E-2</v>
      </c>
      <c r="H646" s="11" t="str">
        <f ca="1">VLOOKUP(VLOOKUP(dict_DQ_Meth_max[[#This Row],[ID_DataQualities]],table_DataQualities[],3),table_Units[],2)</f>
        <v>+/- cm³/s</v>
      </c>
      <c r="I646" s="10"/>
      <c r="J646" s="10"/>
      <c r="K646" s="10"/>
      <c r="L646" s="10">
        <f ca="1">VLOOKUP(dict_DQ_Meth_max[[#This Row],[ID_DataQualities]],table_DataQualities[],8,FALSE)</f>
        <v>6.8999999999999999E-3</v>
      </c>
      <c r="M646" s="10">
        <f ca="1">VLOOKUP(dict_DQ_Meth_max[[#This Row],[ID_DataQualities]],table_DataQualities[],9,FALSE)</f>
        <v>4.1000000000000002E-2</v>
      </c>
    </row>
    <row r="647" spans="1:13" x14ac:dyDescent="0.45">
      <c r="A647" s="10">
        <v>173</v>
      </c>
      <c r="B647" s="10">
        <v>142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7.9229999999999995E-3</v>
      </c>
      <c r="G647" s="12">
        <f ca="1">(RANDBETWEEN(50,100)/100)*(dict_DQ_Meth_max[[#This Row],[Vergleich_ub]]-dict_DQ_Meth_max[[#This Row],[Vergleich_lb]])+dict_DQ_Meth_max[[#This Row],[Vergleich_lb]]</f>
        <v>3.9976999999999999E-2</v>
      </c>
      <c r="H647" s="11" t="str">
        <f ca="1">VLOOKUP(VLOOKUP(dict_DQ_Meth_max[[#This Row],[ID_DataQualities]],table_DataQualities[],3),table_Units[],2)</f>
        <v>+/- cm³/s</v>
      </c>
      <c r="I647" s="10"/>
      <c r="J647" s="10"/>
      <c r="K647" s="10"/>
      <c r="L647" s="10">
        <f ca="1">VLOOKUP(dict_DQ_Meth_max[[#This Row],[ID_DataQualities]],table_DataQualities[],8,FALSE)</f>
        <v>6.8999999999999999E-3</v>
      </c>
      <c r="M647" s="10">
        <f ca="1">VLOOKUP(dict_DQ_Meth_max[[#This Row],[ID_DataQualities]],table_DataQualities[],9,FALSE)</f>
        <v>4.1000000000000002E-2</v>
      </c>
    </row>
    <row r="648" spans="1:13" x14ac:dyDescent="0.45">
      <c r="A648" s="10">
        <v>173</v>
      </c>
      <c r="B648" s="10">
        <v>594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2.2927000000000003E-2</v>
      </c>
      <c r="G648" s="12">
        <f ca="1">(RANDBETWEEN(50,100)/100)*(dict_DQ_Meth_max[[#This Row],[Vergleich_ub]]-dict_DQ_Meth_max[[#This Row],[Vergleich_lb]])+dict_DQ_Meth_max[[#This Row],[Vergleich_lb]]</f>
        <v>2.5655000000000004E-2</v>
      </c>
      <c r="H648" s="11" t="str">
        <f ca="1">VLOOKUP(VLOOKUP(dict_DQ_Meth_max[[#This Row],[ID_DataQualities]],table_DataQualities[],3),table_Units[],2)</f>
        <v>+/- cm³/s</v>
      </c>
      <c r="I648" s="10"/>
      <c r="J648" s="10"/>
      <c r="K648" s="10"/>
      <c r="L648" s="10">
        <f ca="1">VLOOKUP(dict_DQ_Meth_max[[#This Row],[ID_DataQualities]],table_DataQualities[],8,FALSE)</f>
        <v>6.8999999999999999E-3</v>
      </c>
      <c r="M648" s="10">
        <f ca="1">VLOOKUP(dict_DQ_Meth_max[[#This Row],[ID_DataQualities]],table_DataQualities[],9,FALSE)</f>
        <v>4.1000000000000002E-2</v>
      </c>
    </row>
    <row r="649" spans="1:13" x14ac:dyDescent="0.45">
      <c r="A649" s="10">
        <v>173</v>
      </c>
      <c r="B649" s="10">
        <v>684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1.5084E-2</v>
      </c>
      <c r="G649" s="12">
        <f ca="1">(RANDBETWEEN(50,100)/100)*(dict_DQ_Meth_max[[#This Row],[Vergleich_ub]]-dict_DQ_Meth_max[[#This Row],[Vergleich_lb]])+dict_DQ_Meth_max[[#This Row],[Vergleich_lb]]</f>
        <v>2.3950000000000003E-2</v>
      </c>
      <c r="H649" s="11" t="str">
        <f ca="1">VLOOKUP(VLOOKUP(dict_DQ_Meth_max[[#This Row],[ID_DataQualities]],table_DataQualities[],3),table_Units[],2)</f>
        <v>+/- cm³/s</v>
      </c>
      <c r="I649" s="10"/>
      <c r="J649" s="10"/>
      <c r="K649" s="10"/>
      <c r="L649" s="10">
        <f ca="1">VLOOKUP(dict_DQ_Meth_max[[#This Row],[ID_DataQualities]],table_DataQualities[],8,FALSE)</f>
        <v>6.8999999999999999E-3</v>
      </c>
      <c r="M649" s="10">
        <f ca="1">VLOOKUP(dict_DQ_Meth_max[[#This Row],[ID_DataQualities]],table_DataQualities[],9,FALSE)</f>
        <v>4.1000000000000002E-2</v>
      </c>
    </row>
    <row r="650" spans="1:13" x14ac:dyDescent="0.45">
      <c r="A650" s="10">
        <v>174</v>
      </c>
      <c r="B650" s="10">
        <v>143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2036.02721</v>
      </c>
      <c r="G650" s="12">
        <f ca="1">(RANDBETWEEN(50,100)/100)*(dict_DQ_Meth_max[[#This Row],[Vergleich_ub]]-dict_DQ_Meth_max[[#This Row],[Vergleich_lb]])+dict_DQ_Meth_max[[#This Row],[Vergleich_lb]]</f>
        <v>5123.8807699999998</v>
      </c>
      <c r="H650" s="11" t="str">
        <f ca="1">VLOOKUP(VLOOKUP(dict_DQ_Meth_max[[#This Row],[ID_DataQualities]],table_DataQualities[],3),table_Units[],2)</f>
        <v>Hz</v>
      </c>
      <c r="I650" s="10"/>
      <c r="J650" s="10"/>
      <c r="K650" s="10"/>
      <c r="L650" s="10">
        <f ca="1">VLOOKUP(dict_DQ_Meth_max[[#This Row],[ID_DataQualities]],table_DataQualities[],8,FALSE)</f>
        <v>0.85099999999999998</v>
      </c>
      <c r="M650" s="10">
        <f ca="1">VLOOKUP(dict_DQ_Meth_max[[#This Row],[ID_DataQualities]],table_DataQualities[],9,FALSE)</f>
        <v>7018.7</v>
      </c>
    </row>
    <row r="651" spans="1:13" x14ac:dyDescent="0.45">
      <c r="A651" s="10">
        <v>174</v>
      </c>
      <c r="B651" s="10">
        <v>340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3299.2400299999999</v>
      </c>
      <c r="G651" s="12">
        <f ca="1">(RANDBETWEEN(50,100)/100)*(dict_DQ_Meth_max[[#This Row],[Vergleich_ub]]-dict_DQ_Meth_max[[#This Row],[Vergleich_lb]])+dict_DQ_Meth_max[[#This Row],[Vergleich_lb]]</f>
        <v>6878.3430199999993</v>
      </c>
      <c r="H651" s="11" t="str">
        <f ca="1">VLOOKUP(VLOOKUP(dict_DQ_Meth_max[[#This Row],[ID_DataQualities]],table_DataQualities[],3),table_Units[],2)</f>
        <v>Hz</v>
      </c>
      <c r="I651" s="10"/>
      <c r="J651" s="10"/>
      <c r="K651" s="10"/>
      <c r="L651" s="10">
        <f ca="1">VLOOKUP(dict_DQ_Meth_max[[#This Row],[ID_DataQualities]],table_DataQualities[],8,FALSE)</f>
        <v>0.85099999999999998</v>
      </c>
      <c r="M651" s="10">
        <f ca="1">VLOOKUP(dict_DQ_Meth_max[[#This Row],[ID_DataQualities]],table_DataQualities[],9,FALSE)</f>
        <v>7018.7</v>
      </c>
    </row>
    <row r="652" spans="1:13" x14ac:dyDescent="0.45">
      <c r="A652" s="10">
        <v>174</v>
      </c>
      <c r="B652" s="10">
        <v>31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1825.4917400000002</v>
      </c>
      <c r="G652" s="12">
        <f ca="1">(RANDBETWEEN(50,100)/100)*(dict_DQ_Meth_max[[#This Row],[Vergleich_ub]]-dict_DQ_Meth_max[[#This Row],[Vergleich_lb]])+dict_DQ_Meth_max[[#This Row],[Vergleich_lb]]</f>
        <v>4562.4528499999997</v>
      </c>
      <c r="H652" s="11" t="str">
        <f ca="1">VLOOKUP(VLOOKUP(dict_DQ_Meth_max[[#This Row],[ID_DataQualities]],table_DataQualities[],3),table_Units[],2)</f>
        <v>Hz</v>
      </c>
      <c r="I652" s="10"/>
      <c r="J652" s="10"/>
      <c r="K652" s="10"/>
      <c r="L652" s="10">
        <f ca="1">VLOOKUP(dict_DQ_Meth_max[[#This Row],[ID_DataQualities]],table_DataQualities[],8,FALSE)</f>
        <v>0.85099999999999998</v>
      </c>
      <c r="M652" s="10">
        <f ca="1">VLOOKUP(dict_DQ_Meth_max[[#This Row],[ID_DataQualities]],table_DataQualities[],9,FALSE)</f>
        <v>7018.7</v>
      </c>
    </row>
    <row r="653" spans="1:13" x14ac:dyDescent="0.45">
      <c r="A653" s="10">
        <v>174</v>
      </c>
      <c r="B653" s="10">
        <v>114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1755.3132500000002</v>
      </c>
      <c r="G653" s="12">
        <f ca="1">(RANDBETWEEN(50,100)/100)*(dict_DQ_Meth_max[[#This Row],[Vergleich_ub]]-dict_DQ_Meth_max[[#This Row],[Vergleich_lb]])+dict_DQ_Meth_max[[#This Row],[Vergleich_lb]]</f>
        <v>6106.3796299999995</v>
      </c>
      <c r="H653" s="11" t="str">
        <f ca="1">VLOOKUP(VLOOKUP(dict_DQ_Meth_max[[#This Row],[ID_DataQualities]],table_DataQualities[],3),table_Units[],2)</f>
        <v>Hz</v>
      </c>
      <c r="I653" s="10"/>
      <c r="J653" s="10"/>
      <c r="K653" s="10"/>
      <c r="L653" s="10">
        <f ca="1">VLOOKUP(dict_DQ_Meth_max[[#This Row],[ID_DataQualities]],table_DataQualities[],8,FALSE)</f>
        <v>0.85099999999999998</v>
      </c>
      <c r="M653" s="10">
        <f ca="1">VLOOKUP(dict_DQ_Meth_max[[#This Row],[ID_DataQualities]],table_DataQualities[],9,FALSE)</f>
        <v>7018.7</v>
      </c>
    </row>
    <row r="654" spans="1:13" x14ac:dyDescent="0.45">
      <c r="A654" s="10">
        <v>174</v>
      </c>
      <c r="B654" s="10">
        <v>116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1825.4917400000002</v>
      </c>
      <c r="G654" s="12">
        <f ca="1">(RANDBETWEEN(50,100)/100)*(dict_DQ_Meth_max[[#This Row],[Vergleich_ub]]-dict_DQ_Meth_max[[#This Row],[Vergleich_lb]])+dict_DQ_Meth_max[[#This Row],[Vergleich_lb]]</f>
        <v>5966.0226499999999</v>
      </c>
      <c r="H654" s="11" t="str">
        <f ca="1">VLOOKUP(VLOOKUP(dict_DQ_Meth_max[[#This Row],[ID_DataQualities]],table_DataQualities[],3),table_Units[],2)</f>
        <v>Hz</v>
      </c>
      <c r="I654" s="10"/>
      <c r="J654" s="10"/>
      <c r="K654" s="10"/>
      <c r="L654" s="10">
        <f ca="1">VLOOKUP(dict_DQ_Meth_max[[#This Row],[ID_DataQualities]],table_DataQualities[],8,FALSE)</f>
        <v>0.85099999999999998</v>
      </c>
      <c r="M654" s="10">
        <f ca="1">VLOOKUP(dict_DQ_Meth_max[[#This Row],[ID_DataQualities]],table_DataQualities[],9,FALSE)</f>
        <v>7018.7</v>
      </c>
    </row>
    <row r="655" spans="1:13" x14ac:dyDescent="0.45">
      <c r="A655" s="10">
        <v>175</v>
      </c>
      <c r="B655" s="10">
        <v>340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1.7725800000000003</v>
      </c>
      <c r="G655" s="12">
        <f ca="1">(RANDBETWEEN(50,100)/100)*(dict_DQ_Meth_max[[#This Row],[Vergleich_ub]]-dict_DQ_Meth_max[[#This Row],[Vergleich_lb]])+dict_DQ_Meth_max[[#This Row],[Vergleich_lb]]</f>
        <v>3.8471400000000004</v>
      </c>
      <c r="H655" s="11" t="str">
        <f ca="1">VLOOKUP(VLOOKUP(dict_DQ_Meth_max[[#This Row],[ID_DataQualities]],table_DataQualities[],3),table_Units[],2)</f>
        <v>+/- W</v>
      </c>
      <c r="I655" s="10"/>
      <c r="J655" s="10"/>
      <c r="K655" s="10"/>
      <c r="L655" s="10">
        <f ca="1">VLOOKUP(dict_DQ_Meth_max[[#This Row],[ID_DataQualities]],table_DataQualities[],8,FALSE)</f>
        <v>8.6999999999999994E-2</v>
      </c>
      <c r="M655" s="10">
        <f ca="1">VLOOKUP(dict_DQ_Meth_max[[#This Row],[ID_DataQualities]],table_DataQualities[],9,FALSE)</f>
        <v>6.57</v>
      </c>
    </row>
    <row r="656" spans="1:13" x14ac:dyDescent="0.45">
      <c r="A656" s="10">
        <v>175</v>
      </c>
      <c r="B656" s="10">
        <v>114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2.8098600000000005</v>
      </c>
      <c r="G656" s="12">
        <f ca="1">(RANDBETWEEN(50,100)/100)*(dict_DQ_Meth_max[[#This Row],[Vergleich_ub]]-dict_DQ_Meth_max[[#This Row],[Vergleich_lb]])+dict_DQ_Meth_max[[#This Row],[Vergleich_lb]]</f>
        <v>3.6526500000000008</v>
      </c>
      <c r="H656" s="11" t="str">
        <f ca="1">VLOOKUP(VLOOKUP(dict_DQ_Meth_max[[#This Row],[ID_DataQualities]],table_DataQualities[],3),table_Units[],2)</f>
        <v>+/- W</v>
      </c>
      <c r="I656" s="10"/>
      <c r="J656" s="10"/>
      <c r="K656" s="10"/>
      <c r="L656" s="10">
        <f ca="1">VLOOKUP(dict_DQ_Meth_max[[#This Row],[ID_DataQualities]],table_DataQualities[],8,FALSE)</f>
        <v>8.6999999999999994E-2</v>
      </c>
      <c r="M656" s="10">
        <f ca="1">VLOOKUP(dict_DQ_Meth_max[[#This Row],[ID_DataQualities]],table_DataQualities[],9,FALSE)</f>
        <v>6.57</v>
      </c>
    </row>
    <row r="657" spans="1:13" x14ac:dyDescent="0.45">
      <c r="A657" s="10">
        <v>175</v>
      </c>
      <c r="B657" s="10">
        <v>31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0.34632000000000007</v>
      </c>
      <c r="G657" s="12">
        <f ca="1">(RANDBETWEEN(50,100)/100)*(dict_DQ_Meth_max[[#This Row],[Vergleich_ub]]-dict_DQ_Meth_max[[#This Row],[Vergleich_lb]])+dict_DQ_Meth_max[[#This Row],[Vergleich_lb]]</f>
        <v>5.4678899999999997</v>
      </c>
      <c r="H657" s="11" t="str">
        <f ca="1">VLOOKUP(VLOOKUP(dict_DQ_Meth_max[[#This Row],[ID_DataQualities]],table_DataQualities[],3),table_Units[],2)</f>
        <v>+/- W</v>
      </c>
      <c r="I657" s="10"/>
      <c r="J657" s="10"/>
      <c r="K657" s="10"/>
      <c r="L657" s="10">
        <f ca="1">VLOOKUP(dict_DQ_Meth_max[[#This Row],[ID_DataQualities]],table_DataQualities[],8,FALSE)</f>
        <v>8.6999999999999994E-2</v>
      </c>
      <c r="M657" s="10">
        <f ca="1">VLOOKUP(dict_DQ_Meth_max[[#This Row],[ID_DataQualities]],table_DataQualities[],9,FALSE)</f>
        <v>6.57</v>
      </c>
    </row>
    <row r="658" spans="1:13" x14ac:dyDescent="0.45">
      <c r="A658" s="10">
        <v>175</v>
      </c>
      <c r="B658" s="10">
        <v>143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2.4208800000000004</v>
      </c>
      <c r="G658" s="12">
        <f ca="1">(RANDBETWEEN(50,100)/100)*(dict_DQ_Meth_max[[#This Row],[Vergleich_ub]]-dict_DQ_Meth_max[[#This Row],[Vergleich_lb]])+dict_DQ_Meth_max[[#This Row],[Vergleich_lb]]</f>
        <v>6.44034</v>
      </c>
      <c r="H658" s="11" t="str">
        <f ca="1">VLOOKUP(VLOOKUP(dict_DQ_Meth_max[[#This Row],[ID_DataQualities]],table_DataQualities[],3),table_Units[],2)</f>
        <v>+/- W</v>
      </c>
      <c r="I658" s="10"/>
      <c r="J658" s="10"/>
      <c r="K658" s="10"/>
      <c r="L658" s="10">
        <f ca="1">VLOOKUP(dict_DQ_Meth_max[[#This Row],[ID_DataQualities]],table_DataQualities[],8,FALSE)</f>
        <v>8.6999999999999994E-2</v>
      </c>
      <c r="M658" s="10">
        <f ca="1">VLOOKUP(dict_DQ_Meth_max[[#This Row],[ID_DataQualities]],table_DataQualities[],9,FALSE)</f>
        <v>6.57</v>
      </c>
    </row>
    <row r="659" spans="1:13" x14ac:dyDescent="0.45">
      <c r="A659" s="10">
        <v>175</v>
      </c>
      <c r="B659" s="10">
        <v>116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1.5780900000000002</v>
      </c>
      <c r="G659" s="12">
        <f ca="1">(RANDBETWEEN(50,100)/100)*(dict_DQ_Meth_max[[#This Row],[Vergleich_ub]]-dict_DQ_Meth_max[[#This Row],[Vergleich_lb]])+dict_DQ_Meth_max[[#This Row],[Vergleich_lb]]</f>
        <v>6.5051700000000006</v>
      </c>
      <c r="H659" s="11" t="str">
        <f ca="1">VLOOKUP(VLOOKUP(dict_DQ_Meth_max[[#This Row],[ID_DataQualities]],table_DataQualities[],3),table_Units[],2)</f>
        <v>+/- W</v>
      </c>
      <c r="I659" s="10"/>
      <c r="J659" s="10"/>
      <c r="K659" s="10"/>
      <c r="L659" s="10">
        <f ca="1">VLOOKUP(dict_DQ_Meth_max[[#This Row],[ID_DataQualities]],table_DataQualities[],8,FALSE)</f>
        <v>8.6999999999999994E-2</v>
      </c>
      <c r="M659" s="10">
        <f ca="1">VLOOKUP(dict_DQ_Meth_max[[#This Row],[ID_DataQualities]],table_DataQualities[],9,FALSE)</f>
        <v>6.57</v>
      </c>
    </row>
    <row r="660" spans="1:13" x14ac:dyDescent="0.45">
      <c r="A660" s="10">
        <v>176</v>
      </c>
      <c r="B660" s="10">
        <v>600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321.94288</v>
      </c>
      <c r="G660" s="12">
        <f ca="1">(RANDBETWEEN(50,100)/100)*(dict_DQ_Meth_max[[#This Row],[Vergleich_ub]]-dict_DQ_Meth_max[[#This Row],[Vergleich_lb]])+dict_DQ_Meth_max[[#This Row],[Vergleich_lb]]</f>
        <v>2489.9003200000002</v>
      </c>
      <c r="H660" s="11" t="str">
        <f ca="1">VLOOKUP(VLOOKUP(dict_DQ_Meth_max[[#This Row],[ID_DataQualities]],table_DataQualities[],3),table_Units[],2)</f>
        <v>Hz</v>
      </c>
      <c r="I660" s="10"/>
      <c r="J660" s="10"/>
      <c r="K660" s="10"/>
      <c r="L660" s="10">
        <f ca="1">VLOOKUP(dict_DQ_Meth_max[[#This Row],[ID_DataQualities]],table_DataQualities[],8,FALSE)</f>
        <v>0.76400000000000001</v>
      </c>
      <c r="M660" s="10">
        <f ca="1">VLOOKUP(dict_DQ_Meth_max[[#This Row],[ID_DataQualities]],table_DataQualities[],9,FALSE)</f>
        <v>4015.5</v>
      </c>
    </row>
    <row r="661" spans="1:13" x14ac:dyDescent="0.45">
      <c r="A661" s="10">
        <v>176</v>
      </c>
      <c r="B661" s="10">
        <v>592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40.911360000000002</v>
      </c>
      <c r="G661" s="12">
        <f ca="1">(RANDBETWEEN(50,100)/100)*(dict_DQ_Meth_max[[#This Row],[Vergleich_ub]]-dict_DQ_Meth_max[[#This Row],[Vergleich_lb]])+dict_DQ_Meth_max[[#This Row],[Vergleich_lb]]</f>
        <v>2971.6686399999999</v>
      </c>
      <c r="H661" s="11" t="str">
        <f ca="1">VLOOKUP(VLOOKUP(dict_DQ_Meth_max[[#This Row],[ID_DataQualities]],table_DataQualities[],3),table_Units[],2)</f>
        <v>Hz</v>
      </c>
      <c r="I661" s="10"/>
      <c r="J661" s="10"/>
      <c r="K661" s="10"/>
      <c r="L661" s="10">
        <f ca="1">VLOOKUP(dict_DQ_Meth_max[[#This Row],[ID_DataQualities]],table_DataQualities[],8,FALSE)</f>
        <v>0.76400000000000001</v>
      </c>
      <c r="M661" s="10">
        <f ca="1">VLOOKUP(dict_DQ_Meth_max[[#This Row],[ID_DataQualities]],table_DataQualities[],9,FALSE)</f>
        <v>4015.5</v>
      </c>
    </row>
    <row r="662" spans="1:13" x14ac:dyDescent="0.45">
      <c r="A662" s="10">
        <v>176</v>
      </c>
      <c r="B662" s="10">
        <v>344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1405.9215999999997</v>
      </c>
      <c r="G662" s="12">
        <f ca="1">(RANDBETWEEN(50,100)/100)*(dict_DQ_Meth_max[[#This Row],[Vergleich_ub]]-dict_DQ_Meth_max[[#This Row],[Vergleich_lb]])+dict_DQ_Meth_max[[#This Row],[Vergleich_lb]]</f>
        <v>3212.5528000000004</v>
      </c>
      <c r="H662" s="11" t="str">
        <f ca="1">VLOOKUP(VLOOKUP(dict_DQ_Meth_max[[#This Row],[ID_DataQualities]],table_DataQualities[],3),table_Units[],2)</f>
        <v>Hz</v>
      </c>
      <c r="I662" s="10"/>
      <c r="J662" s="10"/>
      <c r="K662" s="10"/>
      <c r="L662" s="10">
        <f ca="1">VLOOKUP(dict_DQ_Meth_max[[#This Row],[ID_DataQualities]],table_DataQualities[],8,FALSE)</f>
        <v>0.76400000000000001</v>
      </c>
      <c r="M662" s="10">
        <f ca="1">VLOOKUP(dict_DQ_Meth_max[[#This Row],[ID_DataQualities]],table_DataQualities[],9,FALSE)</f>
        <v>4015.5</v>
      </c>
    </row>
    <row r="663" spans="1:13" x14ac:dyDescent="0.45">
      <c r="A663" s="10">
        <v>176</v>
      </c>
      <c r="B663" s="10">
        <v>231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602.97439999999995</v>
      </c>
      <c r="G663" s="12">
        <f ca="1">(RANDBETWEEN(50,100)/100)*(dict_DQ_Meth_max[[#This Row],[Vergleich_ub]]-dict_DQ_Meth_max[[#This Row],[Vergleich_lb]])+dict_DQ_Meth_max[[#This Row],[Vergleich_lb]]</f>
        <v>3493.5843199999999</v>
      </c>
      <c r="H663" s="11" t="str">
        <f ca="1">VLOOKUP(VLOOKUP(dict_DQ_Meth_max[[#This Row],[ID_DataQualities]],table_DataQualities[],3),table_Units[],2)</f>
        <v>Hz</v>
      </c>
      <c r="I663" s="10"/>
      <c r="J663" s="10"/>
      <c r="K663" s="10"/>
      <c r="L663" s="10">
        <f ca="1">VLOOKUP(dict_DQ_Meth_max[[#This Row],[ID_DataQualities]],table_DataQualities[],8,FALSE)</f>
        <v>0.76400000000000001</v>
      </c>
      <c r="M663" s="10">
        <f ca="1">VLOOKUP(dict_DQ_Meth_max[[#This Row],[ID_DataQualities]],table_DataQualities[],9,FALSE)</f>
        <v>4015.5</v>
      </c>
    </row>
    <row r="664" spans="1:13" x14ac:dyDescent="0.45">
      <c r="A664" s="10">
        <v>177</v>
      </c>
      <c r="B664" s="10">
        <v>231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647.76</v>
      </c>
      <c r="G664" s="12">
        <f ca="1">(RANDBETWEEN(50,100)/100)*(dict_DQ_Meth_max[[#This Row],[Vergleich_ub]]-dict_DQ_Meth_max[[#This Row],[Vergleich_lb]])+dict_DQ_Meth_max[[#This Row],[Vergleich_lb]]</f>
        <v>1473.92</v>
      </c>
      <c r="H664" s="11" t="str">
        <f ca="1">VLOOKUP(VLOOKUP(dict_DQ_Meth_max[[#This Row],[ID_DataQualities]],table_DataQualities[],3),table_Units[],2)</f>
        <v>bit</v>
      </c>
      <c r="I664" s="10"/>
      <c r="J664" s="10"/>
      <c r="K664" s="10"/>
      <c r="L664" s="10">
        <f ca="1">VLOOKUP(dict_DQ_Meth_max[[#This Row],[ID_DataQualities]],table_DataQualities[],8,FALSE)</f>
        <v>91</v>
      </c>
      <c r="M664" s="10">
        <f ca="1">VLOOKUP(dict_DQ_Meth_max[[#This Row],[ID_DataQualities]],table_DataQualities[],9,FALSE)</f>
        <v>1887</v>
      </c>
    </row>
    <row r="665" spans="1:13" x14ac:dyDescent="0.45">
      <c r="A665" s="10">
        <v>177</v>
      </c>
      <c r="B665" s="10">
        <v>344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252.64</v>
      </c>
      <c r="G665" s="12">
        <f ca="1">(RANDBETWEEN(50,100)/100)*(dict_DQ_Meth_max[[#This Row],[Vergleich_ub]]-dict_DQ_Meth_max[[#This Row],[Vergleich_lb]])+dict_DQ_Meth_max[[#This Row],[Vergleich_lb]]</f>
        <v>1420.04</v>
      </c>
      <c r="H665" s="11" t="str">
        <f ca="1">VLOOKUP(VLOOKUP(dict_DQ_Meth_max[[#This Row],[ID_DataQualities]],table_DataQualities[],3),table_Units[],2)</f>
        <v>bit</v>
      </c>
      <c r="I665" s="10"/>
      <c r="J665" s="10"/>
      <c r="K665" s="10"/>
      <c r="L665" s="10">
        <f ca="1">VLOOKUP(dict_DQ_Meth_max[[#This Row],[ID_DataQualities]],table_DataQualities[],8,FALSE)</f>
        <v>91</v>
      </c>
      <c r="M665" s="10">
        <f ca="1">VLOOKUP(dict_DQ_Meth_max[[#This Row],[ID_DataQualities]],table_DataQualities[],9,FALSE)</f>
        <v>1887</v>
      </c>
    </row>
    <row r="666" spans="1:13" x14ac:dyDescent="0.45">
      <c r="A666" s="10">
        <v>177</v>
      </c>
      <c r="B666" s="10">
        <v>592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809.40000000000009</v>
      </c>
      <c r="G666" s="12">
        <f ca="1">(RANDBETWEEN(50,100)/100)*(dict_DQ_Meth_max[[#This Row],[Vergleich_ub]]-dict_DQ_Meth_max[[#This Row],[Vergleich_lb]])+dict_DQ_Meth_max[[#This Row],[Vergleich_lb]]</f>
        <v>1833.12</v>
      </c>
      <c r="H666" s="11" t="str">
        <f ca="1">VLOOKUP(VLOOKUP(dict_DQ_Meth_max[[#This Row],[ID_DataQualities]],table_DataQualities[],3),table_Units[],2)</f>
        <v>bit</v>
      </c>
      <c r="I666" s="10"/>
      <c r="J666" s="10"/>
      <c r="K666" s="10"/>
      <c r="L666" s="10">
        <f ca="1">VLOOKUP(dict_DQ_Meth_max[[#This Row],[ID_DataQualities]],table_DataQualities[],8,FALSE)</f>
        <v>91</v>
      </c>
      <c r="M666" s="10">
        <f ca="1">VLOOKUP(dict_DQ_Meth_max[[#This Row],[ID_DataQualities]],table_DataQualities[],9,FALSE)</f>
        <v>1887</v>
      </c>
    </row>
    <row r="667" spans="1:13" x14ac:dyDescent="0.45">
      <c r="A667" s="10">
        <v>177</v>
      </c>
      <c r="B667" s="10">
        <v>600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486.12</v>
      </c>
      <c r="G667" s="12">
        <f ca="1">(RANDBETWEEN(50,100)/100)*(dict_DQ_Meth_max[[#This Row],[Vergleich_ub]]-dict_DQ_Meth_max[[#This Row],[Vergleich_lb]])+dict_DQ_Meth_max[[#This Row],[Vergleich_lb]]</f>
        <v>1060.8400000000001</v>
      </c>
      <c r="H667" s="11" t="str">
        <f ca="1">VLOOKUP(VLOOKUP(dict_DQ_Meth_max[[#This Row],[ID_DataQualities]],table_DataQualities[],3),table_Units[],2)</f>
        <v>bit</v>
      </c>
      <c r="I667" s="10"/>
      <c r="J667" s="10"/>
      <c r="K667" s="10"/>
      <c r="L667" s="10">
        <f ca="1">VLOOKUP(dict_DQ_Meth_max[[#This Row],[ID_DataQualities]],table_DataQualities[],8,FALSE)</f>
        <v>91</v>
      </c>
      <c r="M667" s="10">
        <f ca="1">VLOOKUP(dict_DQ_Meth_max[[#This Row],[ID_DataQualities]],table_DataQualities[],9,FALSE)</f>
        <v>1887</v>
      </c>
    </row>
    <row r="668" spans="1:13" x14ac:dyDescent="0.45">
      <c r="A668" s="10">
        <v>178</v>
      </c>
      <c r="B668" s="10">
        <v>285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3909.2525600000008</v>
      </c>
      <c r="G668" s="12">
        <f ca="1">(RANDBETWEEN(50,100)/100)*(dict_DQ_Meth_max[[#This Row],[Vergleich_ub]]-dict_DQ_Meth_max[[#This Row],[Vergleich_lb]])+dict_DQ_Meth_max[[#This Row],[Vergleich_lb]]</f>
        <v>8283.8565200000012</v>
      </c>
      <c r="H668" s="11" t="str">
        <f ca="1">VLOOKUP(VLOOKUP(dict_DQ_Meth_max[[#This Row],[ID_DataQualities]],table_DataQualities[],3),table_Units[],2)</f>
        <v>Hz</v>
      </c>
      <c r="I668" s="10"/>
      <c r="J668" s="10"/>
      <c r="K668" s="10"/>
      <c r="L668" s="10">
        <f ca="1">VLOOKUP(dict_DQ_Meth_max[[#This Row],[ID_DataQualities]],table_DataQualities[],8,FALSE)</f>
        <v>3.2000000000000001E-2</v>
      </c>
      <c r="M668" s="10">
        <f ca="1">VLOOKUP(dict_DQ_Meth_max[[#This Row],[ID_DataQualities]],table_DataQualities[],9,FALSE)</f>
        <v>9307.7000000000007</v>
      </c>
    </row>
    <row r="669" spans="1:13" x14ac:dyDescent="0.45">
      <c r="A669" s="10">
        <v>178</v>
      </c>
      <c r="B669" s="10">
        <v>558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1675.4122400000001</v>
      </c>
      <c r="G669" s="12">
        <f ca="1">(RANDBETWEEN(50,100)/100)*(dict_DQ_Meth_max[[#This Row],[Vergleich_ub]]-dict_DQ_Meth_max[[#This Row],[Vergleich_lb]])+dict_DQ_Meth_max[[#This Row],[Vergleich_lb]]</f>
        <v>8190.7798400000011</v>
      </c>
      <c r="H669" s="11" t="str">
        <f ca="1">VLOOKUP(VLOOKUP(dict_DQ_Meth_max[[#This Row],[ID_DataQualities]],table_DataQualities[],3),table_Units[],2)</f>
        <v>Hz</v>
      </c>
      <c r="I669" s="10"/>
      <c r="J669" s="10"/>
      <c r="K669" s="10"/>
      <c r="L669" s="10">
        <f ca="1">VLOOKUP(dict_DQ_Meth_max[[#This Row],[ID_DataQualities]],table_DataQualities[],8,FALSE)</f>
        <v>3.2000000000000001E-2</v>
      </c>
      <c r="M669" s="10">
        <f ca="1">VLOOKUP(dict_DQ_Meth_max[[#This Row],[ID_DataQualities]],table_DataQualities[],9,FALSE)</f>
        <v>9307.7000000000007</v>
      </c>
    </row>
    <row r="670" spans="1:13" x14ac:dyDescent="0.45">
      <c r="A670" s="10">
        <v>179</v>
      </c>
      <c r="B670" s="10">
        <v>558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2.7187999999999999</v>
      </c>
      <c r="G670" s="12">
        <f ca="1">(RANDBETWEEN(50,100)/100)*(dict_DQ_Meth_max[[#This Row],[Vergleich_ub]]-dict_DQ_Meth_max[[#This Row],[Vergleich_lb]])+dict_DQ_Meth_max[[#This Row],[Vergleich_lb]]</f>
        <v>7.4154499999999999</v>
      </c>
      <c r="H670" s="11" t="str">
        <f ca="1">VLOOKUP(VLOOKUP(dict_DQ_Meth_max[[#This Row],[ID_DataQualities]],table_DataQualities[],3),table_Units[],2)</f>
        <v>+/- W</v>
      </c>
      <c r="I670" s="10"/>
      <c r="J670" s="10"/>
      <c r="K670" s="10"/>
      <c r="L670" s="10">
        <f ca="1">VLOOKUP(dict_DQ_Meth_max[[#This Row],[ID_DataQualities]],table_DataQualities[],8,FALSE)</f>
        <v>3.5000000000000003E-2</v>
      </c>
      <c r="M670" s="10">
        <f ca="1">VLOOKUP(dict_DQ_Meth_max[[#This Row],[ID_DataQualities]],table_DataQualities[],9,FALSE)</f>
        <v>7.49</v>
      </c>
    </row>
    <row r="671" spans="1:13" x14ac:dyDescent="0.45">
      <c r="A671" s="10">
        <v>179</v>
      </c>
      <c r="B671" s="10">
        <v>285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3.6879500000000003</v>
      </c>
      <c r="G671" s="12">
        <f ca="1">(RANDBETWEEN(50,100)/100)*(dict_DQ_Meth_max[[#This Row],[Vergleich_ub]]-dict_DQ_Meth_max[[#This Row],[Vergleich_lb]])+dict_DQ_Meth_max[[#This Row],[Vergleich_lb]]</f>
        <v>5.2534999999999998</v>
      </c>
      <c r="H671" s="11" t="str">
        <f ca="1">VLOOKUP(VLOOKUP(dict_DQ_Meth_max[[#This Row],[ID_DataQualities]],table_DataQualities[],3),table_Units[],2)</f>
        <v>+/- W</v>
      </c>
      <c r="I671" s="10"/>
      <c r="J671" s="10"/>
      <c r="K671" s="10"/>
      <c r="L671" s="10">
        <f ca="1">VLOOKUP(dict_DQ_Meth_max[[#This Row],[ID_DataQualities]],table_DataQualities[],8,FALSE)</f>
        <v>3.5000000000000003E-2</v>
      </c>
      <c r="M671" s="10">
        <f ca="1">VLOOKUP(dict_DQ_Meth_max[[#This Row],[ID_DataQualities]],table_DataQualities[],9,FALSE)</f>
        <v>7.49</v>
      </c>
    </row>
    <row r="672" spans="1:13" x14ac:dyDescent="0.45">
      <c r="A672" s="10">
        <v>180</v>
      </c>
      <c r="B672" s="10">
        <v>13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1075.4892399999999</v>
      </c>
      <c r="G672" s="12">
        <f ca="1">(RANDBETWEEN(50,100)/100)*(dict_DQ_Meth_max[[#This Row],[Vergleich_ub]]-dict_DQ_Meth_max[[#This Row],[Vergleich_lb]])+dict_DQ_Meth_max[[#This Row],[Vergleich_lb]]</f>
        <v>4771.7581899999996</v>
      </c>
      <c r="H672" s="11" t="str">
        <f ca="1">VLOOKUP(VLOOKUP(dict_DQ_Meth_max[[#This Row],[ID_DataQualities]],table_DataQualities[],3),table_Units[],2)</f>
        <v>Hz</v>
      </c>
      <c r="I672" s="10"/>
      <c r="J672" s="10"/>
      <c r="K672" s="10"/>
      <c r="L672" s="10">
        <f ca="1">VLOOKUP(dict_DQ_Meth_max[[#This Row],[ID_DataQualities]],table_DataQualities[],8,FALSE)</f>
        <v>0.21099999999999999</v>
      </c>
      <c r="M672" s="10">
        <f ca="1">VLOOKUP(dict_DQ_Meth_max[[#This Row],[ID_DataQualities]],table_DataQualities[],9,FALSE)</f>
        <v>6720.7</v>
      </c>
    </row>
    <row r="673" spans="1:13" x14ac:dyDescent="0.45">
      <c r="A673" s="10">
        <v>180</v>
      </c>
      <c r="B673" s="10">
        <v>450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1680.3332499999999</v>
      </c>
      <c r="G673" s="12">
        <f ca="1">(RANDBETWEEN(50,100)/100)*(dict_DQ_Meth_max[[#This Row],[Vergleich_ub]]-dict_DQ_Meth_max[[#This Row],[Vergleich_lb]])+dict_DQ_Meth_max[[#This Row],[Vergleich_lb]]</f>
        <v>5107.7826400000004</v>
      </c>
      <c r="H673" s="11" t="str">
        <f ca="1">VLOOKUP(VLOOKUP(dict_DQ_Meth_max[[#This Row],[ID_DataQualities]],table_DataQualities[],3),table_Units[],2)</f>
        <v>Hz</v>
      </c>
      <c r="I673" s="10"/>
      <c r="J673" s="10"/>
      <c r="K673" s="10"/>
      <c r="L673" s="10">
        <f ca="1">VLOOKUP(dict_DQ_Meth_max[[#This Row],[ID_DataQualities]],table_DataQualities[],8,FALSE)</f>
        <v>0.21099999999999999</v>
      </c>
      <c r="M673" s="10">
        <f ca="1">VLOOKUP(dict_DQ_Meth_max[[#This Row],[ID_DataQualities]],table_DataQualities[],9,FALSE)</f>
        <v>6720.7</v>
      </c>
    </row>
    <row r="674" spans="1:13" x14ac:dyDescent="0.45">
      <c r="A674" s="10">
        <v>180</v>
      </c>
      <c r="B674" s="10">
        <v>619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67.41588999999999</v>
      </c>
      <c r="G674" s="12">
        <f ca="1">(RANDBETWEEN(50,100)/100)*(dict_DQ_Meth_max[[#This Row],[Vergleich_ub]]-dict_DQ_Meth_max[[#This Row],[Vergleich_lb]])+dict_DQ_Meth_max[[#This Row],[Vergleich_lb]]</f>
        <v>5981.4462100000001</v>
      </c>
      <c r="H674" s="11" t="str">
        <f ca="1">VLOOKUP(VLOOKUP(dict_DQ_Meth_max[[#This Row],[ID_DataQualities]],table_DataQualities[],3),table_Units[],2)</f>
        <v>Hz</v>
      </c>
      <c r="I674" s="10"/>
      <c r="J674" s="10"/>
      <c r="K674" s="10"/>
      <c r="L674" s="10">
        <f ca="1">VLOOKUP(dict_DQ_Meth_max[[#This Row],[ID_DataQualities]],table_DataQualities[],8,FALSE)</f>
        <v>0.21099999999999999</v>
      </c>
      <c r="M674" s="10">
        <f ca="1">VLOOKUP(dict_DQ_Meth_max[[#This Row],[ID_DataQualities]],table_DataQualities[],9,FALSE)</f>
        <v>6720.7</v>
      </c>
    </row>
    <row r="675" spans="1:13" x14ac:dyDescent="0.45">
      <c r="A675" s="10">
        <v>180</v>
      </c>
      <c r="B675" s="10">
        <v>228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1814.7430300000001</v>
      </c>
      <c r="G675" s="12">
        <f ca="1">(RANDBETWEEN(50,100)/100)*(dict_DQ_Meth_max[[#This Row],[Vergleich_ub]]-dict_DQ_Meth_max[[#This Row],[Vergleich_lb]])+dict_DQ_Meth_max[[#This Row],[Vergleich_lb]]</f>
        <v>3898.0946199999994</v>
      </c>
      <c r="H675" s="11" t="str">
        <f ca="1">VLOOKUP(VLOOKUP(dict_DQ_Meth_max[[#This Row],[ID_DataQualities]],table_DataQualities[],3),table_Units[],2)</f>
        <v>Hz</v>
      </c>
      <c r="I675" s="10"/>
      <c r="J675" s="10"/>
      <c r="K675" s="10"/>
      <c r="L675" s="10">
        <f ca="1">VLOOKUP(dict_DQ_Meth_max[[#This Row],[ID_DataQualities]],table_DataQualities[],8,FALSE)</f>
        <v>0.21099999999999999</v>
      </c>
      <c r="M675" s="10">
        <f ca="1">VLOOKUP(dict_DQ_Meth_max[[#This Row],[ID_DataQualities]],table_DataQualities[],9,FALSE)</f>
        <v>6720.7</v>
      </c>
    </row>
    <row r="676" spans="1:13" x14ac:dyDescent="0.45">
      <c r="A676" s="10">
        <v>180</v>
      </c>
      <c r="B676" s="10">
        <v>184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3091.6359399999997</v>
      </c>
      <c r="G676" s="12">
        <f ca="1">(RANDBETWEEN(50,100)/100)*(dict_DQ_Meth_max[[#This Row],[Vergleich_ub]]-dict_DQ_Meth_max[[#This Row],[Vergleich_lb]])+dict_DQ_Meth_max[[#This Row],[Vergleich_lb]]</f>
        <v>6384.6755499999999</v>
      </c>
      <c r="H676" s="11" t="str">
        <f ca="1">VLOOKUP(VLOOKUP(dict_DQ_Meth_max[[#This Row],[ID_DataQualities]],table_DataQualities[],3),table_Units[],2)</f>
        <v>Hz</v>
      </c>
      <c r="I676" s="10"/>
      <c r="J676" s="10"/>
      <c r="K676" s="10"/>
      <c r="L676" s="10">
        <f ca="1">VLOOKUP(dict_DQ_Meth_max[[#This Row],[ID_DataQualities]],table_DataQualities[],8,FALSE)</f>
        <v>0.21099999999999999</v>
      </c>
      <c r="M676" s="10">
        <f ca="1">VLOOKUP(dict_DQ_Meth_max[[#This Row],[ID_DataQualities]],table_DataQualities[],9,FALSE)</f>
        <v>6720.7</v>
      </c>
    </row>
    <row r="677" spans="1:13" x14ac:dyDescent="0.45">
      <c r="A677" s="10">
        <v>180</v>
      </c>
      <c r="B677" s="10">
        <v>543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3024.4310499999997</v>
      </c>
      <c r="G677" s="12">
        <f ca="1">(RANDBETWEEN(50,100)/100)*(dict_DQ_Meth_max[[#This Row],[Vergleich_ub]]-dict_DQ_Meth_max[[#This Row],[Vergleich_lb]])+dict_DQ_Meth_max[[#This Row],[Vergleich_lb]]</f>
        <v>6183.06088</v>
      </c>
      <c r="H677" s="11" t="str">
        <f ca="1">VLOOKUP(VLOOKUP(dict_DQ_Meth_max[[#This Row],[ID_DataQualities]],table_DataQualities[],3),table_Units[],2)</f>
        <v>Hz</v>
      </c>
      <c r="I677" s="10"/>
      <c r="J677" s="10"/>
      <c r="K677" s="10"/>
      <c r="L677" s="10">
        <f ca="1">VLOOKUP(dict_DQ_Meth_max[[#This Row],[ID_DataQualities]],table_DataQualities[],8,FALSE)</f>
        <v>0.21099999999999999</v>
      </c>
      <c r="M677" s="10">
        <f ca="1">VLOOKUP(dict_DQ_Meth_max[[#This Row],[ID_DataQualities]],table_DataQualities[],9,FALSE)</f>
        <v>6720.7</v>
      </c>
    </row>
    <row r="678" spans="1:13" x14ac:dyDescent="0.45">
      <c r="A678" s="10">
        <v>181</v>
      </c>
      <c r="B678" s="10">
        <v>450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2.5379999999999998</v>
      </c>
      <c r="G678" s="12">
        <f ca="1">(RANDBETWEEN(50,100)/100)*(dict_DQ_Meth_max[[#This Row],[Vergleich_ub]]-dict_DQ_Meth_max[[#This Row],[Vergleich_lb]])+dict_DQ_Meth_max[[#This Row],[Vergleich_lb]]</f>
        <v>6.7240000000000002</v>
      </c>
      <c r="H678" s="11" t="str">
        <f ca="1">VLOOKUP(VLOOKUP(dict_DQ_Meth_max[[#This Row],[ID_DataQualities]],table_DataQualities[],3),table_Units[],2)</f>
        <v>+/- °C</v>
      </c>
      <c r="I678" s="10"/>
      <c r="J678" s="10"/>
      <c r="K678" s="10"/>
      <c r="L678" s="10">
        <f ca="1">VLOOKUP(dict_DQ_Meth_max[[#This Row],[ID_DataQualities]],table_DataQualities[],8,FALSE)</f>
        <v>0.9</v>
      </c>
      <c r="M678" s="10">
        <f ca="1">VLOOKUP(dict_DQ_Meth_max[[#This Row],[ID_DataQualities]],table_DataQualities[],9,FALSE)</f>
        <v>10</v>
      </c>
    </row>
    <row r="679" spans="1:13" x14ac:dyDescent="0.45">
      <c r="A679" s="10">
        <v>181</v>
      </c>
      <c r="B679" s="10">
        <v>184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4.7219999999999995</v>
      </c>
      <c r="G679" s="12">
        <f ca="1">(RANDBETWEEN(50,100)/100)*(dict_DQ_Meth_max[[#This Row],[Vergleich_ub]]-dict_DQ_Meth_max[[#This Row],[Vergleich_lb]])+dict_DQ_Meth_max[[#This Row],[Vergleich_lb]]</f>
        <v>7.8159999999999998</v>
      </c>
      <c r="H679" s="11" t="str">
        <f ca="1">VLOOKUP(VLOOKUP(dict_DQ_Meth_max[[#This Row],[ID_DataQualities]],table_DataQualities[],3),table_Units[],2)</f>
        <v>+/- °C</v>
      </c>
      <c r="I679" s="10"/>
      <c r="J679" s="10"/>
      <c r="K679" s="10"/>
      <c r="L679" s="10">
        <f ca="1">VLOOKUP(dict_DQ_Meth_max[[#This Row],[ID_DataQualities]],table_DataQualities[],8,FALSE)</f>
        <v>0.9</v>
      </c>
      <c r="M679" s="10">
        <f ca="1">VLOOKUP(dict_DQ_Meth_max[[#This Row],[ID_DataQualities]],table_DataQualities[],9,FALSE)</f>
        <v>10</v>
      </c>
    </row>
    <row r="680" spans="1:13" x14ac:dyDescent="0.45">
      <c r="A680" s="10">
        <v>181</v>
      </c>
      <c r="B680" s="10">
        <v>228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1.992</v>
      </c>
      <c r="G680" s="12">
        <f ca="1">(RANDBETWEEN(50,100)/100)*(dict_DQ_Meth_max[[#This Row],[Vergleich_ub]]-dict_DQ_Meth_max[[#This Row],[Vergleich_lb]])+dict_DQ_Meth_max[[#This Row],[Vergleich_lb]]</f>
        <v>9.09</v>
      </c>
      <c r="H680" s="11" t="str">
        <f ca="1">VLOOKUP(VLOOKUP(dict_DQ_Meth_max[[#This Row],[ID_DataQualities]],table_DataQualities[],3),table_Units[],2)</f>
        <v>+/- °C</v>
      </c>
      <c r="I680" s="10"/>
      <c r="J680" s="10"/>
      <c r="K680" s="10"/>
      <c r="L680" s="10">
        <f ca="1">VLOOKUP(dict_DQ_Meth_max[[#This Row],[ID_DataQualities]],table_DataQualities[],8,FALSE)</f>
        <v>0.9</v>
      </c>
      <c r="M680" s="10">
        <f ca="1">VLOOKUP(dict_DQ_Meth_max[[#This Row],[ID_DataQualities]],table_DataQualities[],9,FALSE)</f>
        <v>10</v>
      </c>
    </row>
    <row r="681" spans="1:13" x14ac:dyDescent="0.45">
      <c r="A681" s="10">
        <v>181</v>
      </c>
      <c r="B681" s="10">
        <v>13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4.9950000000000001</v>
      </c>
      <c r="G681" s="12">
        <f ca="1">(RANDBETWEEN(50,100)/100)*(dict_DQ_Meth_max[[#This Row],[Vergleich_ub]]-dict_DQ_Meth_max[[#This Row],[Vergleich_lb]])+dict_DQ_Meth_max[[#This Row],[Vergleich_lb]]</f>
        <v>9.1810000000000009</v>
      </c>
      <c r="H681" s="11" t="str">
        <f ca="1">VLOOKUP(VLOOKUP(dict_DQ_Meth_max[[#This Row],[ID_DataQualities]],table_DataQualities[],3),table_Units[],2)</f>
        <v>+/- °C</v>
      </c>
      <c r="I681" s="10"/>
      <c r="J681" s="10"/>
      <c r="K681" s="10"/>
      <c r="L681" s="10">
        <f ca="1">VLOOKUP(dict_DQ_Meth_max[[#This Row],[ID_DataQualities]],table_DataQualities[],8,FALSE)</f>
        <v>0.9</v>
      </c>
      <c r="M681" s="10">
        <f ca="1">VLOOKUP(dict_DQ_Meth_max[[#This Row],[ID_DataQualities]],table_DataQualities[],9,FALSE)</f>
        <v>10</v>
      </c>
    </row>
    <row r="682" spans="1:13" x14ac:dyDescent="0.45">
      <c r="A682" s="10">
        <v>181</v>
      </c>
      <c r="B682" s="10">
        <v>543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4.1760000000000002</v>
      </c>
      <c r="G682" s="12">
        <f ca="1">(RANDBETWEEN(50,100)/100)*(dict_DQ_Meth_max[[#This Row],[Vergleich_ub]]-dict_DQ_Meth_max[[#This Row],[Vergleich_lb]])+dict_DQ_Meth_max[[#This Row],[Vergleich_lb]]</f>
        <v>8.3619999999999983</v>
      </c>
      <c r="H682" s="11" t="str">
        <f ca="1">VLOOKUP(VLOOKUP(dict_DQ_Meth_max[[#This Row],[ID_DataQualities]],table_DataQualities[],3),table_Units[],2)</f>
        <v>+/- °C</v>
      </c>
      <c r="I682" s="10"/>
      <c r="J682" s="10"/>
      <c r="K682" s="10"/>
      <c r="L682" s="10">
        <f ca="1">VLOOKUP(dict_DQ_Meth_max[[#This Row],[ID_DataQualities]],table_DataQualities[],8,FALSE)</f>
        <v>0.9</v>
      </c>
      <c r="M682" s="10">
        <f ca="1">VLOOKUP(dict_DQ_Meth_max[[#This Row],[ID_DataQualities]],table_DataQualities[],9,FALSE)</f>
        <v>10</v>
      </c>
    </row>
    <row r="683" spans="1:13" x14ac:dyDescent="0.45">
      <c r="A683" s="10">
        <v>181</v>
      </c>
      <c r="B683" s="10">
        <v>619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4.2670000000000003</v>
      </c>
      <c r="G683" s="12">
        <f ca="1">(RANDBETWEEN(50,100)/100)*(dict_DQ_Meth_max[[#This Row],[Vergleich_ub]]-dict_DQ_Meth_max[[#This Row],[Vergleich_lb]])+dict_DQ_Meth_max[[#This Row],[Vergleich_lb]]</f>
        <v>6.5419999999999998</v>
      </c>
      <c r="H683" s="11" t="str">
        <f ca="1">VLOOKUP(VLOOKUP(dict_DQ_Meth_max[[#This Row],[ID_DataQualities]],table_DataQualities[],3),table_Units[],2)</f>
        <v>+/- °C</v>
      </c>
      <c r="I683" s="10"/>
      <c r="J683" s="10"/>
      <c r="K683" s="10"/>
      <c r="L683" s="10">
        <f ca="1">VLOOKUP(dict_DQ_Meth_max[[#This Row],[ID_DataQualities]],table_DataQualities[],8,FALSE)</f>
        <v>0.9</v>
      </c>
      <c r="M683" s="10">
        <f ca="1">VLOOKUP(dict_DQ_Meth_max[[#This Row],[ID_DataQualities]],table_DataQualities[],9,FALSE)</f>
        <v>10</v>
      </c>
    </row>
    <row r="684" spans="1:13" x14ac:dyDescent="0.45">
      <c r="A684" s="10">
        <v>182</v>
      </c>
      <c r="B684" s="10">
        <v>159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1632.3199200000001</v>
      </c>
      <c r="G684" s="12">
        <f ca="1">(RANDBETWEEN(50,100)/100)*(dict_DQ_Meth_max[[#This Row],[Vergleich_ub]]-dict_DQ_Meth_max[[#This Row],[Vergleich_lb]])+dict_DQ_Meth_max[[#This Row],[Vergleich_lb]]</f>
        <v>3671.9173200000005</v>
      </c>
      <c r="H684" s="11" t="str">
        <f ca="1">VLOOKUP(VLOOKUP(dict_DQ_Meth_max[[#This Row],[ID_DataQualities]],table_DataQualities[],3),table_Units[],2)</f>
        <v>Hz</v>
      </c>
      <c r="I684" s="10"/>
      <c r="J684" s="10"/>
      <c r="K684" s="10"/>
      <c r="L684" s="10">
        <f ca="1">VLOOKUP(dict_DQ_Meth_max[[#This Row],[ID_DataQualities]],table_DataQualities[],8,FALSE)</f>
        <v>0.64200000000000002</v>
      </c>
      <c r="M684" s="10">
        <f ca="1">VLOOKUP(dict_DQ_Meth_max[[#This Row],[ID_DataQualities]],table_DataQualities[],9,FALSE)</f>
        <v>6799.3</v>
      </c>
    </row>
    <row r="685" spans="1:13" x14ac:dyDescent="0.45">
      <c r="A685" s="10">
        <v>182</v>
      </c>
      <c r="B685" s="10">
        <v>212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68.628579999999999</v>
      </c>
      <c r="G685" s="12">
        <f ca="1">(RANDBETWEEN(50,100)/100)*(dict_DQ_Meth_max[[#This Row],[Vergleich_ub]]-dict_DQ_Meth_max[[#This Row],[Vergleich_lb]])+dict_DQ_Meth_max[[#This Row],[Vergleich_lb]]</f>
        <v>6799.3</v>
      </c>
      <c r="H685" s="11" t="str">
        <f ca="1">VLOOKUP(VLOOKUP(dict_DQ_Meth_max[[#This Row],[ID_DataQualities]],table_DataQualities[],3),table_Units[],2)</f>
        <v>Hz</v>
      </c>
      <c r="I685" s="10"/>
      <c r="J685" s="10"/>
      <c r="K685" s="10"/>
      <c r="L685" s="10">
        <f ca="1">VLOOKUP(dict_DQ_Meth_max[[#This Row],[ID_DataQualities]],table_DataQualities[],8,FALSE)</f>
        <v>0.64200000000000002</v>
      </c>
      <c r="M685" s="10">
        <f ca="1">VLOOKUP(dict_DQ_Meth_max[[#This Row],[ID_DataQualities]],table_DataQualities[],9,FALSE)</f>
        <v>6799.3</v>
      </c>
    </row>
    <row r="686" spans="1:13" x14ac:dyDescent="0.45">
      <c r="A686" s="10">
        <v>182</v>
      </c>
      <c r="B686" s="10">
        <v>404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2584.13204</v>
      </c>
      <c r="G686" s="12">
        <f ca="1">(RANDBETWEEN(50,100)/100)*(dict_DQ_Meth_max[[#This Row],[Vergleich_ub]]-dict_DQ_Meth_max[[#This Row],[Vergleich_lb]])+dict_DQ_Meth_max[[#This Row],[Vergleich_lb]]</f>
        <v>5847.4878799999997</v>
      </c>
      <c r="H686" s="11" t="str">
        <f ca="1">VLOOKUP(VLOOKUP(dict_DQ_Meth_max[[#This Row],[ID_DataQualities]],table_DataQualities[],3),table_Units[],2)</f>
        <v>Hz</v>
      </c>
      <c r="I686" s="10"/>
      <c r="J686" s="10"/>
      <c r="K686" s="10"/>
      <c r="L686" s="10">
        <f ca="1">VLOOKUP(dict_DQ_Meth_max[[#This Row],[ID_DataQualities]],table_DataQualities[],8,FALSE)</f>
        <v>0.64200000000000002</v>
      </c>
      <c r="M686" s="10">
        <f ca="1">VLOOKUP(dict_DQ_Meth_max[[#This Row],[ID_DataQualities]],table_DataQualities[],9,FALSE)</f>
        <v>6799.3</v>
      </c>
    </row>
    <row r="687" spans="1:13" x14ac:dyDescent="0.45">
      <c r="A687" s="10">
        <v>183</v>
      </c>
      <c r="B687" s="10">
        <v>404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1.5507300000000002</v>
      </c>
      <c r="G687" s="12">
        <f ca="1">(RANDBETWEEN(50,100)/100)*(dict_DQ_Meth_max[[#This Row],[Vergleich_ub]]-dict_DQ_Meth_max[[#This Row],[Vergleich_lb]])+dict_DQ_Meth_max[[#This Row],[Vergleich_lb]]</f>
        <v>2.8792200000000006</v>
      </c>
      <c r="H687" s="11" t="str">
        <f ca="1">VLOOKUP(VLOOKUP(dict_DQ_Meth_max[[#This Row],[ID_DataQualities]],table_DataQualities[],3),table_Units[],2)</f>
        <v>+/- mm</v>
      </c>
      <c r="I687" s="10"/>
      <c r="J687" s="10"/>
      <c r="K687" s="10"/>
      <c r="L687" s="10">
        <f ca="1">VLOOKUP(dict_DQ_Meth_max[[#This Row],[ID_DataQualities]],table_DataQualities[],8,FALSE)</f>
        <v>3.9E-2</v>
      </c>
      <c r="M687" s="10">
        <f ca="1">VLOOKUP(dict_DQ_Meth_max[[#This Row],[ID_DataQualities]],table_DataQualities[],9,FALSE)</f>
        <v>4.62</v>
      </c>
    </row>
    <row r="688" spans="1:13" x14ac:dyDescent="0.45">
      <c r="A688" s="10">
        <v>183</v>
      </c>
      <c r="B688" s="10">
        <v>212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1.5507300000000002</v>
      </c>
      <c r="G688" s="12">
        <f ca="1">(RANDBETWEEN(50,100)/100)*(dict_DQ_Meth_max[[#This Row],[Vergleich_ub]]-dict_DQ_Meth_max[[#This Row],[Vergleich_lb]])+dict_DQ_Meth_max[[#This Row],[Vergleich_lb]]</f>
        <v>4.25352</v>
      </c>
      <c r="H688" s="11" t="str">
        <f ca="1">VLOOKUP(VLOOKUP(dict_DQ_Meth_max[[#This Row],[ID_DataQualities]],table_DataQualities[],3),table_Units[],2)</f>
        <v>+/- mm</v>
      </c>
      <c r="I688" s="10"/>
      <c r="J688" s="10"/>
      <c r="K688" s="10"/>
      <c r="L688" s="10">
        <f ca="1">VLOOKUP(dict_DQ_Meth_max[[#This Row],[ID_DataQualities]],table_DataQualities[],8,FALSE)</f>
        <v>3.9E-2</v>
      </c>
      <c r="M688" s="10">
        <f ca="1">VLOOKUP(dict_DQ_Meth_max[[#This Row],[ID_DataQualities]],table_DataQualities[],9,FALSE)</f>
        <v>4.62</v>
      </c>
    </row>
    <row r="689" spans="1:13" x14ac:dyDescent="0.45">
      <c r="A689" s="10">
        <v>183</v>
      </c>
      <c r="B689" s="10">
        <v>159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1.82559</v>
      </c>
      <c r="G689" s="12">
        <f ca="1">(RANDBETWEEN(50,100)/100)*(dict_DQ_Meth_max[[#This Row],[Vergleich_ub]]-dict_DQ_Meth_max[[#This Row],[Vergleich_lb]])+dict_DQ_Meth_max[[#This Row],[Vergleich_lb]]</f>
        <v>3.8870400000000003</v>
      </c>
      <c r="H689" s="11" t="str">
        <f ca="1">VLOOKUP(VLOOKUP(dict_DQ_Meth_max[[#This Row],[ID_DataQualities]],table_DataQualities[],3),table_Units[],2)</f>
        <v>+/- mm</v>
      </c>
      <c r="I689" s="10"/>
      <c r="J689" s="10"/>
      <c r="K689" s="10"/>
      <c r="L689" s="10">
        <f ca="1">VLOOKUP(dict_DQ_Meth_max[[#This Row],[ID_DataQualities]],table_DataQualities[],8,FALSE)</f>
        <v>3.9E-2</v>
      </c>
      <c r="M689" s="10">
        <f ca="1">VLOOKUP(dict_DQ_Meth_max[[#This Row],[ID_DataQualities]],table_DataQualities[],9,FALSE)</f>
        <v>4.62</v>
      </c>
    </row>
    <row r="690" spans="1:13" x14ac:dyDescent="0.45">
      <c r="A690" s="10">
        <v>184</v>
      </c>
      <c r="B690" s="10">
        <v>546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1174.8227199999999</v>
      </c>
      <c r="G690" s="12">
        <f ca="1">(RANDBETWEEN(50,100)/100)*(dict_DQ_Meth_max[[#This Row],[Vergleich_ub]]-dict_DQ_Meth_max[[#This Row],[Vergleich_lb]])+dict_DQ_Meth_max[[#This Row],[Vergleich_lb]]</f>
        <v>3104.1887599999995</v>
      </c>
      <c r="H690" s="11" t="str">
        <f ca="1">VLOOKUP(VLOOKUP(dict_DQ_Meth_max[[#This Row],[ID_DataQualities]],table_DataQualities[],3),table_Units[],2)</f>
        <v>Hz</v>
      </c>
      <c r="I690" s="10"/>
      <c r="J690" s="10"/>
      <c r="K690" s="10"/>
      <c r="L690" s="10">
        <f ca="1">VLOOKUP(dict_DQ_Meth_max[[#This Row],[ID_DataQualities]],table_DataQualities[],8,FALSE)</f>
        <v>0.42599999999999999</v>
      </c>
      <c r="M690" s="10">
        <f ca="1">VLOOKUP(dict_DQ_Meth_max[[#This Row],[ID_DataQualities]],table_DataQualities[],9,FALSE)</f>
        <v>4194.7</v>
      </c>
    </row>
    <row r="691" spans="1:13" x14ac:dyDescent="0.45">
      <c r="A691" s="10">
        <v>184</v>
      </c>
      <c r="B691" s="10">
        <v>38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2097.5629999999996</v>
      </c>
      <c r="G691" s="12">
        <f ca="1">(RANDBETWEEN(50,100)/100)*(dict_DQ_Meth_max[[#This Row],[Vergleich_ub]]-dict_DQ_Meth_max[[#This Row],[Vergleich_lb]])+dict_DQ_Meth_max[[#This Row],[Vergleich_lb]]</f>
        <v>3775.2725999999993</v>
      </c>
      <c r="H691" s="11" t="str">
        <f ca="1">VLOOKUP(VLOOKUP(dict_DQ_Meth_max[[#This Row],[ID_DataQualities]],table_DataQualities[],3),table_Units[],2)</f>
        <v>Hz</v>
      </c>
      <c r="I691" s="10"/>
      <c r="J691" s="10"/>
      <c r="K691" s="10"/>
      <c r="L691" s="10">
        <f ca="1">VLOOKUP(dict_DQ_Meth_max[[#This Row],[ID_DataQualities]],table_DataQualities[],8,FALSE)</f>
        <v>0.42599999999999999</v>
      </c>
      <c r="M691" s="10">
        <f ca="1">VLOOKUP(dict_DQ_Meth_max[[#This Row],[ID_DataQualities]],table_DataQualities[],9,FALSE)</f>
        <v>4194.7</v>
      </c>
    </row>
    <row r="692" spans="1:13" x14ac:dyDescent="0.45">
      <c r="A692" s="10">
        <v>184</v>
      </c>
      <c r="B692" s="10">
        <v>189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755.39531999999997</v>
      </c>
      <c r="G692" s="12">
        <f ca="1">(RANDBETWEEN(50,100)/100)*(dict_DQ_Meth_max[[#This Row],[Vergleich_ub]]-dict_DQ_Meth_max[[#This Row],[Vergleich_lb]])+dict_DQ_Meth_max[[#This Row],[Vergleich_lb]]</f>
        <v>3523.6161599999991</v>
      </c>
      <c r="H692" s="11" t="str">
        <f ca="1">VLOOKUP(VLOOKUP(dict_DQ_Meth_max[[#This Row],[ID_DataQualities]],table_DataQualities[],3),table_Units[],2)</f>
        <v>Hz</v>
      </c>
      <c r="I692" s="10"/>
      <c r="J692" s="10"/>
      <c r="K692" s="10"/>
      <c r="L692" s="10">
        <f ca="1">VLOOKUP(dict_DQ_Meth_max[[#This Row],[ID_DataQualities]],table_DataQualities[],8,FALSE)</f>
        <v>0.42599999999999999</v>
      </c>
      <c r="M692" s="10">
        <f ca="1">VLOOKUP(dict_DQ_Meth_max[[#This Row],[ID_DataQualities]],table_DataQualities[],9,FALSE)</f>
        <v>4194.7</v>
      </c>
    </row>
    <row r="693" spans="1:13" x14ac:dyDescent="0.45">
      <c r="A693" s="10">
        <v>184</v>
      </c>
      <c r="B693" s="10">
        <v>544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126.25421999999998</v>
      </c>
      <c r="G693" s="12">
        <f ca="1">(RANDBETWEEN(50,100)/100)*(dict_DQ_Meth_max[[#This Row],[Vergleich_ub]]-dict_DQ_Meth_max[[#This Row],[Vergleich_lb]])+dict_DQ_Meth_max[[#This Row],[Vergleich_lb]]</f>
        <v>2349.2194399999998</v>
      </c>
      <c r="H693" s="11" t="str">
        <f ca="1">VLOOKUP(VLOOKUP(dict_DQ_Meth_max[[#This Row],[ID_DataQualities]],table_DataQualities[],3),table_Units[],2)</f>
        <v>Hz</v>
      </c>
      <c r="I693" s="10"/>
      <c r="J693" s="10"/>
      <c r="K693" s="10"/>
      <c r="L693" s="10">
        <f ca="1">VLOOKUP(dict_DQ_Meth_max[[#This Row],[ID_DataQualities]],table_DataQualities[],8,FALSE)</f>
        <v>0.42599999999999999</v>
      </c>
      <c r="M693" s="10">
        <f ca="1">VLOOKUP(dict_DQ_Meth_max[[#This Row],[ID_DataQualities]],table_DataQualities[],9,FALSE)</f>
        <v>4194.7</v>
      </c>
    </row>
    <row r="694" spans="1:13" x14ac:dyDescent="0.45">
      <c r="A694" s="10">
        <v>185</v>
      </c>
      <c r="B694" s="10">
        <v>189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0.67579999999999996</v>
      </c>
      <c r="G694" s="12">
        <f ca="1">(RANDBETWEEN(50,100)/100)*(dict_DQ_Meth_max[[#This Row],[Vergleich_ub]]-dict_DQ_Meth_max[[#This Row],[Vergleich_lb]])+dict_DQ_Meth_max[[#This Row],[Vergleich_lb]]</f>
        <v>3.2695199999999995</v>
      </c>
      <c r="H694" s="11" t="str">
        <f ca="1">VLOOKUP(VLOOKUP(dict_DQ_Meth_max[[#This Row],[ID_DataQualities]],table_DataQualities[],3),table_Units[],2)</f>
        <v>+/- W</v>
      </c>
      <c r="I694" s="10"/>
      <c r="J694" s="10"/>
      <c r="K694" s="10"/>
      <c r="L694" s="10">
        <f ca="1">VLOOKUP(dict_DQ_Meth_max[[#This Row],[ID_DataQualities]],table_DataQualities[],8,FALSE)</f>
        <v>3.7999999999999999E-2</v>
      </c>
      <c r="M694" s="10">
        <f ca="1">VLOOKUP(dict_DQ_Meth_max[[#This Row],[ID_DataQualities]],table_DataQualities[],9,FALSE)</f>
        <v>4.29</v>
      </c>
    </row>
    <row r="695" spans="1:13" x14ac:dyDescent="0.45">
      <c r="A695" s="10">
        <v>185</v>
      </c>
      <c r="B695" s="10">
        <v>546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1.61124</v>
      </c>
      <c r="G695" s="12">
        <f ca="1">(RANDBETWEEN(50,100)/100)*(dict_DQ_Meth_max[[#This Row],[Vergleich_ub]]-dict_DQ_Meth_max[[#This Row],[Vergleich_lb]])+dict_DQ_Meth_max[[#This Row],[Vergleich_lb]]</f>
        <v>2.3340799999999997</v>
      </c>
      <c r="H695" s="11" t="str">
        <f ca="1">VLOOKUP(VLOOKUP(dict_DQ_Meth_max[[#This Row],[ID_DataQualities]],table_DataQualities[],3),table_Units[],2)</f>
        <v>+/- W</v>
      </c>
      <c r="I695" s="10"/>
      <c r="J695" s="10"/>
      <c r="K695" s="10"/>
      <c r="L695" s="10">
        <f ca="1">VLOOKUP(dict_DQ_Meth_max[[#This Row],[ID_DataQualities]],table_DataQualities[],8,FALSE)</f>
        <v>3.7999999999999999E-2</v>
      </c>
      <c r="M695" s="10">
        <f ca="1">VLOOKUP(dict_DQ_Meth_max[[#This Row],[ID_DataQualities]],table_DataQualities[],9,FALSE)</f>
        <v>4.29</v>
      </c>
    </row>
    <row r="696" spans="1:13" x14ac:dyDescent="0.45">
      <c r="A696" s="10">
        <v>185</v>
      </c>
      <c r="B696" s="10">
        <v>38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0.80335999999999996</v>
      </c>
      <c r="G696" s="12">
        <f ca="1">(RANDBETWEEN(50,100)/100)*(dict_DQ_Meth_max[[#This Row],[Vergleich_ub]]-dict_DQ_Meth_max[[#This Row],[Vergleich_lb]])+dict_DQ_Meth_max[[#This Row],[Vergleich_lb]]</f>
        <v>2.8443199999999997</v>
      </c>
      <c r="H696" s="11" t="str">
        <f ca="1">VLOOKUP(VLOOKUP(dict_DQ_Meth_max[[#This Row],[ID_DataQualities]],table_DataQualities[],3),table_Units[],2)</f>
        <v>+/- W</v>
      </c>
      <c r="I696" s="10"/>
      <c r="J696" s="10"/>
      <c r="K696" s="10"/>
      <c r="L696" s="10">
        <f ca="1">VLOOKUP(dict_DQ_Meth_max[[#This Row],[ID_DataQualities]],table_DataQualities[],8,FALSE)</f>
        <v>3.7999999999999999E-2</v>
      </c>
      <c r="M696" s="10">
        <f ca="1">VLOOKUP(dict_DQ_Meth_max[[#This Row],[ID_DataQualities]],table_DataQualities[],9,FALSE)</f>
        <v>4.29</v>
      </c>
    </row>
    <row r="697" spans="1:13" x14ac:dyDescent="0.45">
      <c r="A697" s="10">
        <v>185</v>
      </c>
      <c r="B697" s="10">
        <v>544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1.61124</v>
      </c>
      <c r="G697" s="12">
        <f ca="1">(RANDBETWEEN(50,100)/100)*(dict_DQ_Meth_max[[#This Row],[Vergleich_ub]]-dict_DQ_Meth_max[[#This Row],[Vergleich_lb]])+dict_DQ_Meth_max[[#This Row],[Vergleich_lb]]</f>
        <v>3.6947199999999998</v>
      </c>
      <c r="H697" s="11" t="str">
        <f ca="1">VLOOKUP(VLOOKUP(dict_DQ_Meth_max[[#This Row],[ID_DataQualities]],table_DataQualities[],3),table_Units[],2)</f>
        <v>+/- W</v>
      </c>
      <c r="I697" s="10"/>
      <c r="J697" s="10"/>
      <c r="K697" s="10"/>
      <c r="L697" s="10">
        <f ca="1">VLOOKUP(dict_DQ_Meth_max[[#This Row],[ID_DataQualities]],table_DataQualities[],8,FALSE)</f>
        <v>3.7999999999999999E-2</v>
      </c>
      <c r="M697" s="10">
        <f ca="1">VLOOKUP(dict_DQ_Meth_max[[#This Row],[ID_DataQualities]],table_DataQualities[],9,FALSE)</f>
        <v>4.29</v>
      </c>
    </row>
    <row r="698" spans="1:13" x14ac:dyDescent="0.45">
      <c r="A698" s="10">
        <v>186</v>
      </c>
      <c r="B698" s="10">
        <v>542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3492.0416099999998</v>
      </c>
      <c r="G698" s="12">
        <f ca="1">(RANDBETWEEN(50,100)/100)*(dict_DQ_Meth_max[[#This Row],[Vergleich_ub]]-dict_DQ_Meth_max[[#This Row],[Vergleich_lb]])+dict_DQ_Meth_max[[#This Row],[Vergleich_lb]]</f>
        <v>4385.2335800000001</v>
      </c>
      <c r="H698" s="11" t="str">
        <f ca="1">VLOOKUP(VLOOKUP(dict_DQ_Meth_max[[#This Row],[ID_DataQualities]],table_DataQualities[],3),table_Units[],2)</f>
        <v>Hz</v>
      </c>
      <c r="I698" s="10"/>
      <c r="J698" s="10"/>
      <c r="K698" s="10"/>
      <c r="L698" s="10">
        <f ca="1">VLOOKUP(dict_DQ_Meth_max[[#This Row],[ID_DataQualities]],table_DataQualities[],8,FALSE)</f>
        <v>0.47299999999999998</v>
      </c>
      <c r="M698" s="10">
        <f ca="1">VLOOKUP(dict_DQ_Meth_max[[#This Row],[ID_DataQualities]],table_DataQualities[],9,FALSE)</f>
        <v>8120.4</v>
      </c>
    </row>
    <row r="699" spans="1:13" x14ac:dyDescent="0.45">
      <c r="A699" s="10">
        <v>186</v>
      </c>
      <c r="B699" s="10">
        <v>391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1056.06351</v>
      </c>
      <c r="G699" s="12">
        <f ca="1">(RANDBETWEEN(50,100)/100)*(dict_DQ_Meth_max[[#This Row],[Vergleich_ub]]-dict_DQ_Meth_max[[#This Row],[Vergleich_lb]])+dict_DQ_Meth_max[[#This Row],[Vergleich_lb]]</f>
        <v>6658.8131399999993</v>
      </c>
      <c r="H699" s="11" t="str">
        <f ca="1">VLOOKUP(VLOOKUP(dict_DQ_Meth_max[[#This Row],[ID_DataQualities]],table_DataQualities[],3),table_Units[],2)</f>
        <v>Hz</v>
      </c>
      <c r="I699" s="10"/>
      <c r="J699" s="10"/>
      <c r="K699" s="10"/>
      <c r="L699" s="10">
        <f ca="1">VLOOKUP(dict_DQ_Meth_max[[#This Row],[ID_DataQualities]],table_DataQualities[],8,FALSE)</f>
        <v>0.47299999999999998</v>
      </c>
      <c r="M699" s="10">
        <f ca="1">VLOOKUP(dict_DQ_Meth_max[[#This Row],[ID_DataQualities]],table_DataQualities[],9,FALSE)</f>
        <v>8120.4</v>
      </c>
    </row>
    <row r="700" spans="1:13" x14ac:dyDescent="0.45">
      <c r="A700" s="10">
        <v>187</v>
      </c>
      <c r="B700" s="10">
        <v>542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1.0149999999999999</v>
      </c>
      <c r="G700" s="12">
        <f ca="1">(RANDBETWEEN(50,100)/100)*(dict_DQ_Meth_max[[#This Row],[Vergleich_ub]]-dict_DQ_Meth_max[[#This Row],[Vergleich_lb]])+dict_DQ_Meth_max[[#This Row],[Vergleich_lb]]</f>
        <v>6.37</v>
      </c>
      <c r="H700" s="11" t="str">
        <f ca="1">VLOOKUP(VLOOKUP(dict_DQ_Meth_max[[#This Row],[ID_DataQualities]],table_DataQualities[],3),table_Units[],2)</f>
        <v>+/- °C</v>
      </c>
      <c r="I700" s="10"/>
      <c r="J700" s="10"/>
      <c r="K700" s="10"/>
      <c r="L700" s="10">
        <f ca="1">VLOOKUP(dict_DQ_Meth_max[[#This Row],[ID_DataQualities]],table_DataQualities[],8,FALSE)</f>
        <v>0.7</v>
      </c>
      <c r="M700" s="10">
        <f ca="1">VLOOKUP(dict_DQ_Meth_max[[#This Row],[ID_DataQualities]],table_DataQualities[],9,FALSE)</f>
        <v>7</v>
      </c>
    </row>
    <row r="701" spans="1:13" x14ac:dyDescent="0.45">
      <c r="A701" s="10">
        <v>187</v>
      </c>
      <c r="B701" s="10">
        <v>391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0.95199999999999996</v>
      </c>
      <c r="G701" s="12">
        <f ca="1">(RANDBETWEEN(50,100)/100)*(dict_DQ_Meth_max[[#This Row],[Vergleich_ub]]-dict_DQ_Meth_max[[#This Row],[Vergleich_lb]])+dict_DQ_Meth_max[[#This Row],[Vergleich_lb]]</f>
        <v>4.165</v>
      </c>
      <c r="H701" s="11" t="str">
        <f ca="1">VLOOKUP(VLOOKUP(dict_DQ_Meth_max[[#This Row],[ID_DataQualities]],table_DataQualities[],3),table_Units[],2)</f>
        <v>+/- °C</v>
      </c>
      <c r="I701" s="10"/>
      <c r="J701" s="10"/>
      <c r="K701" s="10"/>
      <c r="L701" s="10">
        <f ca="1">VLOOKUP(dict_DQ_Meth_max[[#This Row],[ID_DataQualities]],table_DataQualities[],8,FALSE)</f>
        <v>0.7</v>
      </c>
      <c r="M701" s="10">
        <f ca="1">VLOOKUP(dict_DQ_Meth_max[[#This Row],[ID_DataQualities]],table_DataQualities[],9,FALSE)</f>
        <v>7</v>
      </c>
    </row>
    <row r="702" spans="1:13" x14ac:dyDescent="0.45">
      <c r="A702" s="10">
        <v>188</v>
      </c>
      <c r="B702" s="10">
        <v>255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404.81301999999999</v>
      </c>
      <c r="G702" s="12">
        <f ca="1">(RANDBETWEEN(50,100)/100)*(dict_DQ_Meth_max[[#This Row],[Vergleich_ub]]-dict_DQ_Meth_max[[#This Row],[Vergleich_lb]])+dict_DQ_Meth_max[[#This Row],[Vergleich_lb]]</f>
        <v>501.12112000000002</v>
      </c>
      <c r="H702" s="11" t="str">
        <f ca="1">VLOOKUP(VLOOKUP(dict_DQ_Meth_max[[#This Row],[ID_DataQualities]],table_DataQualities[],3),table_Units[],2)</f>
        <v>Hz</v>
      </c>
      <c r="I702" s="10"/>
      <c r="J702" s="10"/>
      <c r="K702" s="10"/>
      <c r="L702" s="10">
        <f ca="1">VLOOKUP(dict_DQ_Meth_max[[#This Row],[ID_DataQualities]],table_DataQualities[],8,FALSE)</f>
        <v>0.31900000000000001</v>
      </c>
      <c r="M702" s="10">
        <f ca="1">VLOOKUP(dict_DQ_Meth_max[[#This Row],[ID_DataQualities]],table_DataQualities[],9,FALSE)</f>
        <v>963.4</v>
      </c>
    </row>
    <row r="703" spans="1:13" x14ac:dyDescent="0.45">
      <c r="A703" s="10">
        <v>188</v>
      </c>
      <c r="B703" s="10">
        <v>239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385.55140000000006</v>
      </c>
      <c r="G703" s="12">
        <f ca="1">(RANDBETWEEN(50,100)/100)*(dict_DQ_Meth_max[[#This Row],[Vergleich_ub]]-dict_DQ_Meth_max[[#This Row],[Vergleich_lb]])+dict_DQ_Meth_max[[#This Row],[Vergleich_lb]]</f>
        <v>886.35352</v>
      </c>
      <c r="H703" s="11" t="str">
        <f ca="1">VLOOKUP(VLOOKUP(dict_DQ_Meth_max[[#This Row],[ID_DataQualities]],table_DataQualities[],3),table_Units[],2)</f>
        <v>Hz</v>
      </c>
      <c r="I703" s="10"/>
      <c r="J703" s="10"/>
      <c r="K703" s="10"/>
      <c r="L703" s="10">
        <f ca="1">VLOOKUP(dict_DQ_Meth_max[[#This Row],[ID_DataQualities]],table_DataQualities[],8,FALSE)</f>
        <v>0.31900000000000001</v>
      </c>
      <c r="M703" s="10">
        <f ca="1">VLOOKUP(dict_DQ_Meth_max[[#This Row],[ID_DataQualities]],table_DataQualities[],9,FALSE)</f>
        <v>963.4</v>
      </c>
    </row>
    <row r="704" spans="1:13" x14ac:dyDescent="0.45">
      <c r="A704" s="10">
        <v>188</v>
      </c>
      <c r="B704" s="10">
        <v>397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347.02816000000001</v>
      </c>
      <c r="G704" s="12">
        <f ca="1">(RANDBETWEEN(50,100)/100)*(dict_DQ_Meth_max[[#This Row],[Vergleich_ub]]-dict_DQ_Meth_max[[#This Row],[Vergleich_lb]])+dict_DQ_Meth_max[[#This Row],[Vergleich_lb]]</f>
        <v>568.53679</v>
      </c>
      <c r="H704" s="11" t="str">
        <f ca="1">VLOOKUP(VLOOKUP(dict_DQ_Meth_max[[#This Row],[ID_DataQualities]],table_DataQualities[],3),table_Units[],2)</f>
        <v>Hz</v>
      </c>
      <c r="I704" s="10"/>
      <c r="J704" s="10"/>
      <c r="K704" s="10"/>
      <c r="L704" s="10">
        <f ca="1">VLOOKUP(dict_DQ_Meth_max[[#This Row],[ID_DataQualities]],table_DataQualities[],8,FALSE)</f>
        <v>0.31900000000000001</v>
      </c>
      <c r="M704" s="10">
        <f ca="1">VLOOKUP(dict_DQ_Meth_max[[#This Row],[ID_DataQualities]],table_DataQualities[],9,FALSE)</f>
        <v>963.4</v>
      </c>
    </row>
    <row r="705" spans="1:13" x14ac:dyDescent="0.45">
      <c r="A705" s="10">
        <v>188</v>
      </c>
      <c r="B705" s="10">
        <v>385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38.842240000000004</v>
      </c>
      <c r="G705" s="12">
        <f ca="1">(RANDBETWEEN(50,100)/100)*(dict_DQ_Meth_max[[#This Row],[Vergleich_ub]]-dict_DQ_Meth_max[[#This Row],[Vergleich_lb]])+dict_DQ_Meth_max[[#This Row],[Vergleich_lb]]</f>
        <v>491.49031000000002</v>
      </c>
      <c r="H705" s="11" t="str">
        <f ca="1">VLOOKUP(VLOOKUP(dict_DQ_Meth_max[[#This Row],[ID_DataQualities]],table_DataQualities[],3),table_Units[],2)</f>
        <v>Hz</v>
      </c>
      <c r="I705" s="10"/>
      <c r="J705" s="10"/>
      <c r="K705" s="10"/>
      <c r="L705" s="10">
        <f ca="1">VLOOKUP(dict_DQ_Meth_max[[#This Row],[ID_DataQualities]],table_DataQualities[],8,FALSE)</f>
        <v>0.31900000000000001</v>
      </c>
      <c r="M705" s="10">
        <f ca="1">VLOOKUP(dict_DQ_Meth_max[[#This Row],[ID_DataQualities]],table_DataQualities[],9,FALSE)</f>
        <v>963.4</v>
      </c>
    </row>
    <row r="706" spans="1:13" x14ac:dyDescent="0.45">
      <c r="A706" s="10">
        <v>189</v>
      </c>
      <c r="B706" s="10">
        <v>239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0.43578000000000006</v>
      </c>
      <c r="G706" s="12">
        <f ca="1">(RANDBETWEEN(50,100)/100)*(dict_DQ_Meth_max[[#This Row],[Vergleich_ub]]-dict_DQ_Meth_max[[#This Row],[Vergleich_lb]])+dict_DQ_Meth_max[[#This Row],[Vergleich_lb]]</f>
        <v>1.5057</v>
      </c>
      <c r="H706" s="11" t="str">
        <f ca="1">VLOOKUP(VLOOKUP(dict_DQ_Meth_max[[#This Row],[ID_DataQualities]],table_DataQualities[],3),table_Units[],2)</f>
        <v>+/- mm</v>
      </c>
      <c r="I706" s="10"/>
      <c r="J706" s="10"/>
      <c r="K706" s="10"/>
      <c r="L706" s="10">
        <f ca="1">VLOOKUP(dict_DQ_Meth_max[[#This Row],[ID_DataQualities]],table_DataQualities[],8,FALSE)</f>
        <v>9.4E-2</v>
      </c>
      <c r="M706" s="10">
        <f ca="1">VLOOKUP(dict_DQ_Meth_max[[#This Row],[ID_DataQualities]],table_DataQualities[],9,FALSE)</f>
        <v>1.58</v>
      </c>
    </row>
    <row r="707" spans="1:13" x14ac:dyDescent="0.45">
      <c r="A707" s="10">
        <v>189</v>
      </c>
      <c r="B707" s="10">
        <v>255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0.39119999999999999</v>
      </c>
      <c r="G707" s="12">
        <f ca="1">(RANDBETWEEN(50,100)/100)*(dict_DQ_Meth_max[[#This Row],[Vergleich_ub]]-dict_DQ_Meth_max[[#This Row],[Vergleich_lb]])+dict_DQ_Meth_max[[#This Row],[Vergleich_lb]]</f>
        <v>1.22336</v>
      </c>
      <c r="H707" s="11" t="str">
        <f ca="1">VLOOKUP(VLOOKUP(dict_DQ_Meth_max[[#This Row],[ID_DataQualities]],table_DataQualities[],3),table_Units[],2)</f>
        <v>+/- mm</v>
      </c>
      <c r="I707" s="10"/>
      <c r="J707" s="10"/>
      <c r="K707" s="10"/>
      <c r="L707" s="10">
        <f ca="1">VLOOKUP(dict_DQ_Meth_max[[#This Row],[ID_DataQualities]],table_DataQualities[],8,FALSE)</f>
        <v>9.4E-2</v>
      </c>
      <c r="M707" s="10">
        <f ca="1">VLOOKUP(dict_DQ_Meth_max[[#This Row],[ID_DataQualities]],table_DataQualities[],9,FALSE)</f>
        <v>1.58</v>
      </c>
    </row>
    <row r="708" spans="1:13" x14ac:dyDescent="0.45">
      <c r="A708" s="10">
        <v>189</v>
      </c>
      <c r="B708" s="10">
        <v>397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0.46550000000000002</v>
      </c>
      <c r="G708" s="12">
        <f ca="1">(RANDBETWEEN(50,100)/100)*(dict_DQ_Meth_max[[#This Row],[Vergleich_ub]]-dict_DQ_Meth_max[[#This Row],[Vergleich_lb]])+dict_DQ_Meth_max[[#This Row],[Vergleich_lb]]</f>
        <v>1.5057</v>
      </c>
      <c r="H708" s="11" t="str">
        <f ca="1">VLOOKUP(VLOOKUP(dict_DQ_Meth_max[[#This Row],[ID_DataQualities]],table_DataQualities[],3),table_Units[],2)</f>
        <v>+/- mm</v>
      </c>
      <c r="I708" s="10"/>
      <c r="J708" s="10"/>
      <c r="K708" s="10"/>
      <c r="L708" s="10">
        <f ca="1">VLOOKUP(dict_DQ_Meth_max[[#This Row],[ID_DataQualities]],table_DataQualities[],8,FALSE)</f>
        <v>9.4E-2</v>
      </c>
      <c r="M708" s="10">
        <f ca="1">VLOOKUP(dict_DQ_Meth_max[[#This Row],[ID_DataQualities]],table_DataQualities[],9,FALSE)</f>
        <v>1.58</v>
      </c>
    </row>
    <row r="709" spans="1:13" x14ac:dyDescent="0.45">
      <c r="A709" s="10">
        <v>189</v>
      </c>
      <c r="B709" s="10">
        <v>385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0.39119999999999999</v>
      </c>
      <c r="G709" s="12">
        <f ca="1">(RANDBETWEEN(50,100)/100)*(dict_DQ_Meth_max[[#This Row],[Vergleich_ub]]-dict_DQ_Meth_max[[#This Row],[Vergleich_lb]])+dict_DQ_Meth_max[[#This Row],[Vergleich_lb]]</f>
        <v>1.22336</v>
      </c>
      <c r="H709" s="11" t="str">
        <f ca="1">VLOOKUP(VLOOKUP(dict_DQ_Meth_max[[#This Row],[ID_DataQualities]],table_DataQualities[],3),table_Units[],2)</f>
        <v>+/- mm</v>
      </c>
      <c r="I709" s="10"/>
      <c r="J709" s="10"/>
      <c r="K709" s="10"/>
      <c r="L709" s="10">
        <f ca="1">VLOOKUP(dict_DQ_Meth_max[[#This Row],[ID_DataQualities]],table_DataQualities[],8,FALSE)</f>
        <v>9.4E-2</v>
      </c>
      <c r="M709" s="10">
        <f ca="1">VLOOKUP(dict_DQ_Meth_max[[#This Row],[ID_DataQualities]],table_DataQualities[],9,FALSE)</f>
        <v>1.58</v>
      </c>
    </row>
    <row r="710" spans="1:13" x14ac:dyDescent="0.45">
      <c r="A710" s="10">
        <v>190</v>
      </c>
      <c r="B710" s="10">
        <v>89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197.48427999999998</v>
      </c>
      <c r="G710" s="12">
        <f ca="1">(RANDBETWEEN(50,100)/100)*(dict_DQ_Meth_max[[#This Row],[Vergleich_ub]]-dict_DQ_Meth_max[[#This Row],[Vergleich_lb]])+dict_DQ_Meth_max[[#This Row],[Vergleich_lb]]</f>
        <v>2142.3941599999998</v>
      </c>
      <c r="H710" s="11" t="str">
        <f ca="1">VLOOKUP(VLOOKUP(dict_DQ_Meth_max[[#This Row],[ID_DataQualities]],table_DataQualities[],3),table_Units[],2)</f>
        <v>Hz</v>
      </c>
      <c r="I710" s="10"/>
      <c r="J710" s="10"/>
      <c r="K710" s="10"/>
      <c r="L710" s="10">
        <f ca="1">VLOOKUP(dict_DQ_Meth_max[[#This Row],[ID_DataQualities]],table_DataQualities[],8,FALSE)</f>
        <v>0.80800000000000005</v>
      </c>
      <c r="M710" s="10">
        <f ca="1">VLOOKUP(dict_DQ_Meth_max[[#This Row],[ID_DataQualities]],table_DataQualities[],9,FALSE)</f>
        <v>2186.1</v>
      </c>
    </row>
    <row r="711" spans="1:13" x14ac:dyDescent="0.45">
      <c r="A711" s="10">
        <v>190</v>
      </c>
      <c r="B711" s="10">
        <v>432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590.83684000000005</v>
      </c>
      <c r="G711" s="12">
        <f ca="1">(RANDBETWEEN(50,100)/100)*(dict_DQ_Meth_max[[#This Row],[Vergleich_ub]]-dict_DQ_Meth_max[[#This Row],[Vergleich_lb]])+dict_DQ_Meth_max[[#This Row],[Vergleich_lb]]</f>
        <v>1333.8361199999999</v>
      </c>
      <c r="H711" s="11" t="str">
        <f ca="1">VLOOKUP(VLOOKUP(dict_DQ_Meth_max[[#This Row],[ID_DataQualities]],table_DataQualities[],3),table_Units[],2)</f>
        <v>Hz</v>
      </c>
      <c r="I711" s="10"/>
      <c r="J711" s="10"/>
      <c r="K711" s="10"/>
      <c r="L711" s="10">
        <f ca="1">VLOOKUP(dict_DQ_Meth_max[[#This Row],[ID_DataQualities]],table_DataQualities[],8,FALSE)</f>
        <v>0.80800000000000005</v>
      </c>
      <c r="M711" s="10">
        <f ca="1">VLOOKUP(dict_DQ_Meth_max[[#This Row],[ID_DataQualities]],table_DataQualities[],9,FALSE)</f>
        <v>2186.1</v>
      </c>
    </row>
    <row r="712" spans="1:13" x14ac:dyDescent="0.45">
      <c r="A712" s="10">
        <v>190</v>
      </c>
      <c r="B712" s="10">
        <v>188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700.10144000000003</v>
      </c>
      <c r="G712" s="12">
        <f ca="1">(RANDBETWEEN(50,100)/100)*(dict_DQ_Meth_max[[#This Row],[Vergleich_ub]]-dict_DQ_Meth_max[[#This Row],[Vergleich_lb]])+dict_DQ_Meth_max[[#This Row],[Vergleich_lb]]</f>
        <v>2011.27664</v>
      </c>
      <c r="H712" s="11" t="str">
        <f ca="1">VLOOKUP(VLOOKUP(dict_DQ_Meth_max[[#This Row],[ID_DataQualities]],table_DataQualities[],3),table_Units[],2)</f>
        <v>Hz</v>
      </c>
      <c r="I712" s="10"/>
      <c r="J712" s="10"/>
      <c r="K712" s="10"/>
      <c r="L712" s="10">
        <f ca="1">VLOOKUP(dict_DQ_Meth_max[[#This Row],[ID_DataQualities]],table_DataQualities[],8,FALSE)</f>
        <v>0.80800000000000005</v>
      </c>
      <c r="M712" s="10">
        <f ca="1">VLOOKUP(dict_DQ_Meth_max[[#This Row],[ID_DataQualities]],table_DataQualities[],9,FALSE)</f>
        <v>2186.1</v>
      </c>
    </row>
    <row r="713" spans="1:13" x14ac:dyDescent="0.45">
      <c r="A713" s="10">
        <v>190</v>
      </c>
      <c r="B713" s="10">
        <v>644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918.63063999999997</v>
      </c>
      <c r="G713" s="12">
        <f ca="1">(RANDBETWEEN(50,100)/100)*(dict_DQ_Meth_max[[#This Row],[Vergleich_ub]]-dict_DQ_Meth_max[[#This Row],[Vergleich_lb]])+dict_DQ_Meth_max[[#This Row],[Vergleich_lb]]</f>
        <v>1770.8945200000001</v>
      </c>
      <c r="H713" s="11" t="str">
        <f ca="1">VLOOKUP(VLOOKUP(dict_DQ_Meth_max[[#This Row],[ID_DataQualities]],table_DataQualities[],3),table_Units[],2)</f>
        <v>Hz</v>
      </c>
      <c r="I713" s="10"/>
      <c r="J713" s="10"/>
      <c r="K713" s="10"/>
      <c r="L713" s="10">
        <f ca="1">VLOOKUP(dict_DQ_Meth_max[[#This Row],[ID_DataQualities]],table_DataQualities[],8,FALSE)</f>
        <v>0.80800000000000005</v>
      </c>
      <c r="M713" s="10">
        <f ca="1">VLOOKUP(dict_DQ_Meth_max[[#This Row],[ID_DataQualities]],table_DataQualities[],9,FALSE)</f>
        <v>2186.1</v>
      </c>
    </row>
    <row r="714" spans="1:13" x14ac:dyDescent="0.45">
      <c r="A714" s="10">
        <v>190</v>
      </c>
      <c r="B714" s="10">
        <v>180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263.04303999999996</v>
      </c>
      <c r="G714" s="12">
        <f ca="1">(RANDBETWEEN(50,100)/100)*(dict_DQ_Meth_max[[#This Row],[Vergleich_ub]]-dict_DQ_Meth_max[[#This Row],[Vergleich_lb]])+dict_DQ_Meth_max[[#This Row],[Vergleich_lb]]</f>
        <v>1574.2182399999999</v>
      </c>
      <c r="H714" s="11" t="str">
        <f ca="1">VLOOKUP(VLOOKUP(dict_DQ_Meth_max[[#This Row],[ID_DataQualities]],table_DataQualities[],3),table_Units[],2)</f>
        <v>Hz</v>
      </c>
      <c r="I714" s="10"/>
      <c r="J714" s="10"/>
      <c r="K714" s="10"/>
      <c r="L714" s="10">
        <f ca="1">VLOOKUP(dict_DQ_Meth_max[[#This Row],[ID_DataQualities]],table_DataQualities[],8,FALSE)</f>
        <v>0.80800000000000005</v>
      </c>
      <c r="M714" s="10">
        <f ca="1">VLOOKUP(dict_DQ_Meth_max[[#This Row],[ID_DataQualities]],table_DataQualities[],9,FALSE)</f>
        <v>2186.1</v>
      </c>
    </row>
    <row r="715" spans="1:13" x14ac:dyDescent="0.45">
      <c r="A715" s="10">
        <v>190</v>
      </c>
      <c r="B715" s="10">
        <v>568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66.366759999999999</v>
      </c>
      <c r="G715" s="12">
        <f ca="1">(RANDBETWEEN(50,100)/100)*(dict_DQ_Meth_max[[#This Row],[Vergleich_ub]]-dict_DQ_Meth_max[[#This Row],[Vergleich_lb]])+dict_DQ_Meth_max[[#This Row],[Vergleich_lb]]</f>
        <v>1814.6003599999999</v>
      </c>
      <c r="H715" s="11" t="str">
        <f ca="1">VLOOKUP(VLOOKUP(dict_DQ_Meth_max[[#This Row],[ID_DataQualities]],table_DataQualities[],3),table_Units[],2)</f>
        <v>Hz</v>
      </c>
      <c r="I715" s="10"/>
      <c r="J715" s="10"/>
      <c r="K715" s="10"/>
      <c r="L715" s="10">
        <f ca="1">VLOOKUP(dict_DQ_Meth_max[[#This Row],[ID_DataQualities]],table_DataQualities[],8,FALSE)</f>
        <v>0.80800000000000005</v>
      </c>
      <c r="M715" s="10">
        <f ca="1">VLOOKUP(dict_DQ_Meth_max[[#This Row],[ID_DataQualities]],table_DataQualities[],9,FALSE)</f>
        <v>2186.1</v>
      </c>
    </row>
    <row r="716" spans="1:13" x14ac:dyDescent="0.45">
      <c r="A716" s="10">
        <v>191</v>
      </c>
      <c r="B716" s="10">
        <v>180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0.48699999999999999</v>
      </c>
      <c r="G716" s="12">
        <f ca="1">(RANDBETWEEN(50,100)/100)*(dict_DQ_Meth_max[[#This Row],[Vergleich_ub]]-dict_DQ_Meth_max[[#This Row],[Vergleich_lb]])+dict_DQ_Meth_max[[#This Row],[Vergleich_lb]]</f>
        <v>1.966</v>
      </c>
      <c r="H716" s="11" t="str">
        <f ca="1">VLOOKUP(VLOOKUP(dict_DQ_Meth_max[[#This Row],[ID_DataQualities]],table_DataQualities[],3),table_Units[],2)</f>
        <v>+/- °C</v>
      </c>
      <c r="I716" s="10"/>
      <c r="J716" s="10"/>
      <c r="K716" s="10"/>
      <c r="L716" s="10">
        <f ca="1">VLOOKUP(dict_DQ_Meth_max[[#This Row],[ID_DataQualities]],table_DataQualities[],8,FALSE)</f>
        <v>0.3</v>
      </c>
      <c r="M716" s="10">
        <f ca="1">VLOOKUP(dict_DQ_Meth_max[[#This Row],[ID_DataQualities]],table_DataQualities[],9,FALSE)</f>
        <v>2</v>
      </c>
    </row>
    <row r="717" spans="1:13" x14ac:dyDescent="0.45">
      <c r="A717" s="10">
        <v>191</v>
      </c>
      <c r="B717" s="10">
        <v>89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1.1499999999999999</v>
      </c>
      <c r="G717" s="12">
        <f ca="1">(RANDBETWEEN(50,100)/100)*(dict_DQ_Meth_max[[#This Row],[Vergleich_ub]]-dict_DQ_Meth_max[[#This Row],[Vergleich_lb]])+dict_DQ_Meth_max[[#This Row],[Vergleich_lb]]</f>
        <v>1.3540000000000001</v>
      </c>
      <c r="H717" s="11" t="str">
        <f ca="1">VLOOKUP(VLOOKUP(dict_DQ_Meth_max[[#This Row],[ID_DataQualities]],table_DataQualities[],3),table_Units[],2)</f>
        <v>+/- °C</v>
      </c>
      <c r="I717" s="10"/>
      <c r="J717" s="10"/>
      <c r="K717" s="10"/>
      <c r="L717" s="10">
        <f ca="1">VLOOKUP(dict_DQ_Meth_max[[#This Row],[ID_DataQualities]],table_DataQualities[],8,FALSE)</f>
        <v>0.3</v>
      </c>
      <c r="M717" s="10">
        <f ca="1">VLOOKUP(dict_DQ_Meth_max[[#This Row],[ID_DataQualities]],table_DataQualities[],9,FALSE)</f>
        <v>2</v>
      </c>
    </row>
    <row r="718" spans="1:13" x14ac:dyDescent="0.45">
      <c r="A718" s="10">
        <v>191</v>
      </c>
      <c r="B718" s="10">
        <v>188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1.099</v>
      </c>
      <c r="G718" s="12">
        <f ca="1">(RANDBETWEEN(50,100)/100)*(dict_DQ_Meth_max[[#This Row],[Vergleich_ub]]-dict_DQ_Meth_max[[#This Row],[Vergleich_lb]])+dict_DQ_Meth_max[[#This Row],[Vergleich_lb]]</f>
        <v>1.4220000000000002</v>
      </c>
      <c r="H718" s="11" t="str">
        <f ca="1">VLOOKUP(VLOOKUP(dict_DQ_Meth_max[[#This Row],[ID_DataQualities]],table_DataQualities[],3),table_Units[],2)</f>
        <v>+/- °C</v>
      </c>
      <c r="I718" s="10"/>
      <c r="J718" s="10"/>
      <c r="K718" s="10"/>
      <c r="L718" s="10">
        <f ca="1">VLOOKUP(dict_DQ_Meth_max[[#This Row],[ID_DataQualities]],table_DataQualities[],8,FALSE)</f>
        <v>0.3</v>
      </c>
      <c r="M718" s="10">
        <f ca="1">VLOOKUP(dict_DQ_Meth_max[[#This Row],[ID_DataQualities]],table_DataQualities[],9,FALSE)</f>
        <v>2</v>
      </c>
    </row>
    <row r="719" spans="1:13" x14ac:dyDescent="0.45">
      <c r="A719" s="10">
        <v>191</v>
      </c>
      <c r="B719" s="10">
        <v>432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0.504</v>
      </c>
      <c r="G719" s="12">
        <f ca="1">(RANDBETWEEN(50,100)/100)*(dict_DQ_Meth_max[[#This Row],[Vergleich_ub]]-dict_DQ_Meth_max[[#This Row],[Vergleich_lb]])+dict_DQ_Meth_max[[#This Row],[Vergleich_lb]]</f>
        <v>1.405</v>
      </c>
      <c r="H719" s="11" t="str">
        <f ca="1">VLOOKUP(VLOOKUP(dict_DQ_Meth_max[[#This Row],[ID_DataQualities]],table_DataQualities[],3),table_Units[],2)</f>
        <v>+/- °C</v>
      </c>
      <c r="I719" s="10"/>
      <c r="J719" s="10"/>
      <c r="K719" s="10"/>
      <c r="L719" s="10">
        <f ca="1">VLOOKUP(dict_DQ_Meth_max[[#This Row],[ID_DataQualities]],table_DataQualities[],8,FALSE)</f>
        <v>0.3</v>
      </c>
      <c r="M719" s="10">
        <f ca="1">VLOOKUP(dict_DQ_Meth_max[[#This Row],[ID_DataQualities]],table_DataQualities[],9,FALSE)</f>
        <v>2</v>
      </c>
    </row>
    <row r="720" spans="1:13" x14ac:dyDescent="0.45">
      <c r="A720" s="10">
        <v>191</v>
      </c>
      <c r="B720" s="10">
        <v>644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0.317</v>
      </c>
      <c r="G720" s="12">
        <f ca="1">(RANDBETWEEN(50,100)/100)*(dict_DQ_Meth_max[[#This Row],[Vergleich_ub]]-dict_DQ_Meth_max[[#This Row],[Vergleich_lb]])+dict_DQ_Meth_max[[#This Row],[Vergleich_lb]]</f>
        <v>1.218</v>
      </c>
      <c r="H720" s="11" t="str">
        <f ca="1">VLOOKUP(VLOOKUP(dict_DQ_Meth_max[[#This Row],[ID_DataQualities]],table_DataQualities[],3),table_Units[],2)</f>
        <v>+/- °C</v>
      </c>
      <c r="I720" s="10"/>
      <c r="J720" s="10"/>
      <c r="K720" s="10"/>
      <c r="L720" s="10">
        <f ca="1">VLOOKUP(dict_DQ_Meth_max[[#This Row],[ID_DataQualities]],table_DataQualities[],8,FALSE)</f>
        <v>0.3</v>
      </c>
      <c r="M720" s="10">
        <f ca="1">VLOOKUP(dict_DQ_Meth_max[[#This Row],[ID_DataQualities]],table_DataQualities[],9,FALSE)</f>
        <v>2</v>
      </c>
    </row>
    <row r="721" spans="1:13" x14ac:dyDescent="0.45">
      <c r="A721" s="10">
        <v>191</v>
      </c>
      <c r="B721" s="10">
        <v>568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0.35099999999999998</v>
      </c>
      <c r="G721" s="12">
        <f ca="1">(RANDBETWEEN(50,100)/100)*(dict_DQ_Meth_max[[#This Row],[Vergleich_ub]]-dict_DQ_Meth_max[[#This Row],[Vergleich_lb]])+dict_DQ_Meth_max[[#This Row],[Vergleich_lb]]</f>
        <v>1.5580000000000001</v>
      </c>
      <c r="H721" s="11" t="str">
        <f ca="1">VLOOKUP(VLOOKUP(dict_DQ_Meth_max[[#This Row],[ID_DataQualities]],table_DataQualities[],3),table_Units[],2)</f>
        <v>+/- °C</v>
      </c>
      <c r="I721" s="10"/>
      <c r="J721" s="10"/>
      <c r="K721" s="10"/>
      <c r="L721" s="10">
        <f ca="1">VLOOKUP(dict_DQ_Meth_max[[#This Row],[ID_DataQualities]],table_DataQualities[],8,FALSE)</f>
        <v>0.3</v>
      </c>
      <c r="M721" s="10">
        <f ca="1">VLOOKUP(dict_DQ_Meth_max[[#This Row],[ID_DataQualities]],table_DataQualities[],9,FALSE)</f>
        <v>2</v>
      </c>
    </row>
    <row r="722" spans="1:13" x14ac:dyDescent="0.45">
      <c r="A722" s="10">
        <v>192</v>
      </c>
      <c r="B722" s="10">
        <v>418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308.26923999999997</v>
      </c>
      <c r="G722" s="12">
        <f ca="1">(RANDBETWEEN(50,100)/100)*(dict_DQ_Meth_max[[#This Row],[Vergleich_ub]]-dict_DQ_Meth_max[[#This Row],[Vergleich_lb]])+dict_DQ_Meth_max[[#This Row],[Vergleich_lb]]</f>
        <v>1175.7372799999998</v>
      </c>
      <c r="H722" s="11" t="str">
        <f ca="1">VLOOKUP(VLOOKUP(dict_DQ_Meth_max[[#This Row],[ID_DataQualities]],table_DataQualities[],3),table_Units[],2)</f>
        <v>Hz</v>
      </c>
      <c r="I722" s="10"/>
      <c r="J722" s="10"/>
      <c r="K722" s="10"/>
      <c r="L722" s="10">
        <f ca="1">VLOOKUP(dict_DQ_Meth_max[[#This Row],[ID_DataQualities]],table_DataQualities[],8,FALSE)</f>
        <v>0.45800000000000002</v>
      </c>
      <c r="M722" s="10">
        <f ca="1">VLOOKUP(dict_DQ_Meth_max[[#This Row],[ID_DataQualities]],table_DataQualities[],9,FALSE)</f>
        <v>1399.6</v>
      </c>
    </row>
    <row r="723" spans="1:13" x14ac:dyDescent="0.45">
      <c r="A723" s="10">
        <v>192</v>
      </c>
      <c r="B723" s="10">
        <v>353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672.04615999999987</v>
      </c>
      <c r="G723" s="12">
        <f ca="1">(RANDBETWEEN(50,100)/100)*(dict_DQ_Meth_max[[#This Row],[Vergleich_ub]]-dict_DQ_Meth_max[[#This Row],[Vergleich_lb]])+dict_DQ_Meth_max[[#This Row],[Vergleich_lb]]</f>
        <v>895.90887999999984</v>
      </c>
      <c r="H723" s="11" t="str">
        <f ca="1">VLOOKUP(VLOOKUP(dict_DQ_Meth_max[[#This Row],[ID_DataQualities]],table_DataQualities[],3),table_Units[],2)</f>
        <v>Hz</v>
      </c>
      <c r="I723" s="10"/>
      <c r="J723" s="10"/>
      <c r="K723" s="10"/>
      <c r="L723" s="10">
        <f ca="1">VLOOKUP(dict_DQ_Meth_max[[#This Row],[ID_DataQualities]],table_DataQualities[],8,FALSE)</f>
        <v>0.45800000000000002</v>
      </c>
      <c r="M723" s="10">
        <f ca="1">VLOOKUP(dict_DQ_Meth_max[[#This Row],[ID_DataQualities]],table_DataQualities[],9,FALSE)</f>
        <v>1399.6</v>
      </c>
    </row>
    <row r="724" spans="1:13" x14ac:dyDescent="0.45">
      <c r="A724" s="10">
        <v>193</v>
      </c>
      <c r="B724" s="10">
        <v>418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3.2216000000000002E-2</v>
      </c>
      <c r="G724" s="12">
        <f ca="1">(RANDBETWEEN(50,100)/100)*(dict_DQ_Meth_max[[#This Row],[Vergleich_ub]]-dict_DQ_Meth_max[[#This Row],[Vergleich_lb]])+dict_DQ_Meth_max[[#This Row],[Vergleich_lb]]</f>
        <v>4.8190999999999998E-2</v>
      </c>
      <c r="H724" s="11" t="str">
        <f ca="1">VLOOKUP(VLOOKUP(dict_DQ_Meth_max[[#This Row],[ID_DataQualities]],table_DataQualities[],3),table_Units[],2)</f>
        <v>+/- cm³/s</v>
      </c>
      <c r="I724" s="10"/>
      <c r="J724" s="10"/>
      <c r="K724" s="10"/>
      <c r="L724" s="10">
        <f ca="1">VLOOKUP(dict_DQ_Meth_max[[#This Row],[ID_DataQualities]],table_DataQualities[],8,FALSE)</f>
        <v>4.1000000000000003E-3</v>
      </c>
      <c r="M724" s="10">
        <f ca="1">VLOOKUP(dict_DQ_Meth_max[[#This Row],[ID_DataQualities]],table_DataQualities[],9,FALSE)</f>
        <v>6.8000000000000005E-2</v>
      </c>
    </row>
    <row r="725" spans="1:13" x14ac:dyDescent="0.45">
      <c r="A725" s="10">
        <v>193</v>
      </c>
      <c r="B725" s="10">
        <v>353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3.0937999999999997E-2</v>
      </c>
      <c r="G725" s="12">
        <f ca="1">(RANDBETWEEN(50,100)/100)*(dict_DQ_Meth_max[[#This Row],[Vergleich_ub]]-dict_DQ_Meth_max[[#This Row],[Vergleich_lb]])+dict_DQ_Meth_max[[#This Row],[Vergleich_lb]]</f>
        <v>6.0970999999999997E-2</v>
      </c>
      <c r="H725" s="11" t="str">
        <f ca="1">VLOOKUP(VLOOKUP(dict_DQ_Meth_max[[#This Row],[ID_DataQualities]],table_DataQualities[],3),table_Units[],2)</f>
        <v>+/- cm³/s</v>
      </c>
      <c r="I725" s="10"/>
      <c r="J725" s="10"/>
      <c r="K725" s="10"/>
      <c r="L725" s="10">
        <f ca="1">VLOOKUP(dict_DQ_Meth_max[[#This Row],[ID_DataQualities]],table_DataQualities[],8,FALSE)</f>
        <v>4.1000000000000003E-3</v>
      </c>
      <c r="M725" s="10">
        <f ca="1">VLOOKUP(dict_DQ_Meth_max[[#This Row],[ID_DataQualities]],table_DataQualities[],9,FALSE)</f>
        <v>6.8000000000000005E-2</v>
      </c>
    </row>
    <row r="726" spans="1:13" x14ac:dyDescent="0.45">
      <c r="A726" s="10">
        <v>194</v>
      </c>
      <c r="B726" s="10">
        <v>627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948.30174999999997</v>
      </c>
      <c r="G726" s="12">
        <f ca="1">(RANDBETWEEN(50,100)/100)*(dict_DQ_Meth_max[[#This Row],[Vergleich_ub]]-dict_DQ_Meth_max[[#This Row],[Vergleich_lb]])+dict_DQ_Meth_max[[#This Row],[Vergleich_lb]]</f>
        <v>1558.9881</v>
      </c>
      <c r="H726" s="11" t="str">
        <f ca="1">VLOOKUP(VLOOKUP(dict_DQ_Meth_max[[#This Row],[ID_DataQualities]],table_DataQualities[],3),table_Units[],2)</f>
        <v>Hz</v>
      </c>
      <c r="I726" s="10"/>
      <c r="J726" s="10"/>
      <c r="K726" s="10"/>
      <c r="L726" s="10">
        <f ca="1">VLOOKUP(dict_DQ_Meth_max[[#This Row],[ID_DataQualities]],table_DataQualities[],8,FALSE)</f>
        <v>0.68500000000000005</v>
      </c>
      <c r="M726" s="10">
        <f ca="1">VLOOKUP(dict_DQ_Meth_max[[#This Row],[ID_DataQualities]],table_DataQualities[],9,FALSE)</f>
        <v>2106.5</v>
      </c>
    </row>
    <row r="727" spans="1:13" x14ac:dyDescent="0.45">
      <c r="A727" s="10">
        <v>194</v>
      </c>
      <c r="B727" s="10">
        <v>87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611.37134999999989</v>
      </c>
      <c r="G727" s="12">
        <f ca="1">(RANDBETWEEN(50,100)/100)*(dict_DQ_Meth_max[[#This Row],[Vergleich_ub]]-dict_DQ_Meth_max[[#This Row],[Vergleich_lb]])+dict_DQ_Meth_max[[#This Row],[Vergleich_lb]]</f>
        <v>1601.1043999999999</v>
      </c>
      <c r="H727" s="11" t="str">
        <f ca="1">VLOOKUP(VLOOKUP(dict_DQ_Meth_max[[#This Row],[ID_DataQualities]],table_DataQualities[],3),table_Units[],2)</f>
        <v>Hz</v>
      </c>
      <c r="I727" s="10"/>
      <c r="J727" s="10"/>
      <c r="K727" s="10"/>
      <c r="L727" s="10">
        <f ca="1">VLOOKUP(dict_DQ_Meth_max[[#This Row],[ID_DataQualities]],table_DataQualities[],8,FALSE)</f>
        <v>0.68500000000000005</v>
      </c>
      <c r="M727" s="10">
        <f ca="1">VLOOKUP(dict_DQ_Meth_max[[#This Row],[ID_DataQualities]],table_DataQualities[],9,FALSE)</f>
        <v>2106.5</v>
      </c>
    </row>
    <row r="728" spans="1:13" x14ac:dyDescent="0.45">
      <c r="A728" s="10">
        <v>194</v>
      </c>
      <c r="B728" s="10">
        <v>552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295.49910000000006</v>
      </c>
      <c r="G728" s="12">
        <f ca="1">(RANDBETWEEN(50,100)/100)*(dict_DQ_Meth_max[[#This Row],[Vergleich_ub]]-dict_DQ_Meth_max[[#This Row],[Vergleich_lb]])+dict_DQ_Meth_max[[#This Row],[Vergleich_lb]]</f>
        <v>1116.76695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0.68500000000000005</v>
      </c>
      <c r="M728" s="10">
        <f ca="1">VLOOKUP(dict_DQ_Meth_max[[#This Row],[ID_DataQualities]],table_DataQualities[],9,FALSE)</f>
        <v>2106.5</v>
      </c>
    </row>
    <row r="729" spans="1:13" x14ac:dyDescent="0.45">
      <c r="A729" s="10">
        <v>194</v>
      </c>
      <c r="B729" s="10">
        <v>198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758.77839999999992</v>
      </c>
      <c r="G729" s="12">
        <f ca="1">(RANDBETWEEN(50,100)/100)*(dict_DQ_Meth_max[[#This Row],[Vergleich_ub]]-dict_DQ_Meth_max[[#This Row],[Vergleich_lb]])+dict_DQ_Meth_max[[#This Row],[Vergleich_lb]]</f>
        <v>1369.4647500000001</v>
      </c>
      <c r="H729" s="11" t="str">
        <f ca="1">VLOOKUP(VLOOKUP(dict_DQ_Meth_max[[#This Row],[ID_DataQualities]],table_DataQualities[],3),table_Units[],2)</f>
        <v>Hz</v>
      </c>
      <c r="I729" s="10"/>
      <c r="J729" s="10"/>
      <c r="K729" s="10"/>
      <c r="L729" s="10">
        <f ca="1">VLOOKUP(dict_DQ_Meth_max[[#This Row],[ID_DataQualities]],table_DataQualities[],8,FALSE)</f>
        <v>0.68500000000000005</v>
      </c>
      <c r="M729" s="10">
        <f ca="1">VLOOKUP(dict_DQ_Meth_max[[#This Row],[ID_DataQualities]],table_DataQualities[],9,FALSE)</f>
        <v>2106.5</v>
      </c>
    </row>
    <row r="730" spans="1:13" x14ac:dyDescent="0.45">
      <c r="A730" s="10">
        <v>195</v>
      </c>
      <c r="B730" s="10">
        <v>87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0.37591999999999998</v>
      </c>
      <c r="G730" s="12">
        <f ca="1">(RANDBETWEEN(50,100)/100)*(dict_DQ_Meth_max[[#This Row],[Vergleich_ub]]-dict_DQ_Meth_max[[#This Row],[Vergleich_lb]])+dict_DQ_Meth_max[[#This Row],[Vergleich_lb]]</f>
        <v>1.9599200000000001</v>
      </c>
      <c r="H730" s="11" t="str">
        <f ca="1">VLOOKUP(VLOOKUP(dict_DQ_Meth_max[[#This Row],[ID_DataQualities]],table_DataQualities[],3),table_Units[],2)</f>
        <v>+/- mm</v>
      </c>
      <c r="I730" s="10"/>
      <c r="J730" s="10"/>
      <c r="K730" s="10"/>
      <c r="L730" s="10">
        <f ca="1">VLOOKUP(dict_DQ_Meth_max[[#This Row],[ID_DataQualities]],table_DataQualities[],8,FALSE)</f>
        <v>3.7999999999999999E-2</v>
      </c>
      <c r="M730" s="10">
        <f ca="1">VLOOKUP(dict_DQ_Meth_max[[#This Row],[ID_DataQualities]],table_DataQualities[],9,FALSE)</f>
        <v>2.15</v>
      </c>
    </row>
    <row r="731" spans="1:13" x14ac:dyDescent="0.45">
      <c r="A731" s="10">
        <v>195</v>
      </c>
      <c r="B731" s="10">
        <v>627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0.46040000000000003</v>
      </c>
      <c r="G731" s="12">
        <f ca="1">(RANDBETWEEN(50,100)/100)*(dict_DQ_Meth_max[[#This Row],[Vergleich_ub]]-dict_DQ_Meth_max[[#This Row],[Vergleich_lb]])+dict_DQ_Meth_max[[#This Row],[Vergleich_lb]]</f>
        <v>1.6008800000000001</v>
      </c>
      <c r="H731" s="11" t="str">
        <f ca="1">VLOOKUP(VLOOKUP(dict_DQ_Meth_max[[#This Row],[ID_DataQualities]],table_DataQualities[],3),table_Units[],2)</f>
        <v>+/- mm</v>
      </c>
      <c r="I731" s="10"/>
      <c r="J731" s="10"/>
      <c r="K731" s="10"/>
      <c r="L731" s="10">
        <f ca="1">VLOOKUP(dict_DQ_Meth_max[[#This Row],[ID_DataQualities]],table_DataQualities[],8,FALSE)</f>
        <v>3.7999999999999999E-2</v>
      </c>
      <c r="M731" s="10">
        <f ca="1">VLOOKUP(dict_DQ_Meth_max[[#This Row],[ID_DataQualities]],table_DataQualities[],9,FALSE)</f>
        <v>2.15</v>
      </c>
    </row>
    <row r="732" spans="1:13" x14ac:dyDescent="0.45">
      <c r="A732" s="10">
        <v>195</v>
      </c>
      <c r="B732" s="10">
        <v>552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8.0240000000000006E-2</v>
      </c>
      <c r="G732" s="12">
        <f ca="1">(RANDBETWEEN(50,100)/100)*(dict_DQ_Meth_max[[#This Row],[Vergleich_ub]]-dict_DQ_Meth_max[[#This Row],[Vergleich_lb]])+dict_DQ_Meth_max[[#This Row],[Vergleich_lb]]</f>
        <v>1.3474400000000002</v>
      </c>
      <c r="H732" s="11" t="str">
        <f ca="1">VLOOKUP(VLOOKUP(dict_DQ_Meth_max[[#This Row],[ID_DataQualities]],table_DataQualities[],3),table_Units[],2)</f>
        <v>+/- mm</v>
      </c>
      <c r="I732" s="10"/>
      <c r="J732" s="10"/>
      <c r="K732" s="10"/>
      <c r="L732" s="10">
        <f ca="1">VLOOKUP(dict_DQ_Meth_max[[#This Row],[ID_DataQualities]],table_DataQualities[],8,FALSE)</f>
        <v>3.7999999999999999E-2</v>
      </c>
      <c r="M732" s="10">
        <f ca="1">VLOOKUP(dict_DQ_Meth_max[[#This Row],[ID_DataQualities]],table_DataQualities[],9,FALSE)</f>
        <v>2.15</v>
      </c>
    </row>
    <row r="733" spans="1:13" x14ac:dyDescent="0.45">
      <c r="A733" s="10">
        <v>195</v>
      </c>
      <c r="B733" s="10">
        <v>198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0.46040000000000003</v>
      </c>
      <c r="G733" s="12">
        <f ca="1">(RANDBETWEEN(50,100)/100)*(dict_DQ_Meth_max[[#This Row],[Vergleich_ub]]-dict_DQ_Meth_max[[#This Row],[Vergleich_lb]])+dict_DQ_Meth_max[[#This Row],[Vergleich_lb]]</f>
        <v>2.0866400000000001</v>
      </c>
      <c r="H733" s="11" t="str">
        <f ca="1">VLOOKUP(VLOOKUP(dict_DQ_Meth_max[[#This Row],[ID_DataQualities]],table_DataQualities[],3),table_Units[],2)</f>
        <v>+/- mm</v>
      </c>
      <c r="I733" s="10"/>
      <c r="J733" s="10"/>
      <c r="K733" s="10"/>
      <c r="L733" s="10">
        <f ca="1">VLOOKUP(dict_DQ_Meth_max[[#This Row],[ID_DataQualities]],table_DataQualities[],8,FALSE)</f>
        <v>3.7999999999999999E-2</v>
      </c>
      <c r="M733" s="10">
        <f ca="1">VLOOKUP(dict_DQ_Meth_max[[#This Row],[ID_DataQualities]],table_DataQualities[],9,FALSE)</f>
        <v>2.15</v>
      </c>
    </row>
    <row r="734" spans="1:13" x14ac:dyDescent="0.45">
      <c r="A734" s="10">
        <v>196</v>
      </c>
      <c r="B734" s="10">
        <v>302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872.75543000000005</v>
      </c>
      <c r="G734" s="12">
        <f ca="1">(RANDBETWEEN(50,100)/100)*(dict_DQ_Meth_max[[#This Row],[Vergleich_ub]]-dict_DQ_Meth_max[[#This Row],[Vergleich_lb]])+dict_DQ_Meth_max[[#This Row],[Vergleich_lb]]</f>
        <v>1192.99469</v>
      </c>
      <c r="H734" s="11" t="str">
        <f ca="1">VLOOKUP(VLOOKUP(dict_DQ_Meth_max[[#This Row],[ID_DataQualities]],table_DataQualities[],3),table_Units[],2)</f>
        <v>Hz</v>
      </c>
      <c r="I734" s="10"/>
      <c r="J734" s="10"/>
      <c r="K734" s="10"/>
      <c r="L734" s="10">
        <f ca="1">VLOOKUP(dict_DQ_Meth_max[[#This Row],[ID_DataQualities]],table_DataQualities[],8,FALSE)</f>
        <v>0.99299999999999999</v>
      </c>
      <c r="M734" s="10">
        <f ca="1">VLOOKUP(dict_DQ_Meth_max[[#This Row],[ID_DataQualities]],table_DataQualities[],9,FALSE)</f>
        <v>1780.1</v>
      </c>
    </row>
    <row r="735" spans="1:13" x14ac:dyDescent="0.45">
      <c r="A735" s="10">
        <v>196</v>
      </c>
      <c r="B735" s="10">
        <v>528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854.96436000000006</v>
      </c>
      <c r="G735" s="12">
        <f ca="1">(RANDBETWEEN(50,100)/100)*(dict_DQ_Meth_max[[#This Row],[Vergleich_ub]]-dict_DQ_Meth_max[[#This Row],[Vergleich_lb]])+dict_DQ_Meth_max[[#This Row],[Vergleich_lb]]</f>
        <v>1726.7267899999999</v>
      </c>
      <c r="H735" s="11" t="str">
        <f ca="1">VLOOKUP(VLOOKUP(dict_DQ_Meth_max[[#This Row],[ID_DataQualities]],table_DataQualities[],3),table_Units[],2)</f>
        <v>Hz</v>
      </c>
      <c r="I735" s="10"/>
      <c r="J735" s="10"/>
      <c r="K735" s="10"/>
      <c r="L735" s="10">
        <f ca="1">VLOOKUP(dict_DQ_Meth_max[[#This Row],[ID_DataQualities]],table_DataQualities[],8,FALSE)</f>
        <v>0.99299999999999999</v>
      </c>
      <c r="M735" s="10">
        <f ca="1">VLOOKUP(dict_DQ_Meth_max[[#This Row],[ID_DataQualities]],table_DataQualities[],9,FALSE)</f>
        <v>1780.1</v>
      </c>
    </row>
    <row r="736" spans="1:13" x14ac:dyDescent="0.45">
      <c r="A736" s="10">
        <v>196</v>
      </c>
      <c r="B736" s="10">
        <v>348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445.76974999999999</v>
      </c>
      <c r="G736" s="12">
        <f ca="1">(RANDBETWEEN(50,100)/100)*(dict_DQ_Meth_max[[#This Row],[Vergleich_ub]]-dict_DQ_Meth_max[[#This Row],[Vergleich_lb]])+dict_DQ_Meth_max[[#This Row],[Vergleich_lb]]</f>
        <v>979.5018500000001</v>
      </c>
      <c r="H736" s="11" t="str">
        <f ca="1">VLOOKUP(VLOOKUP(dict_DQ_Meth_max[[#This Row],[ID_DataQualities]],table_DataQualities[],3),table_Units[],2)</f>
        <v>Hz</v>
      </c>
      <c r="I736" s="10"/>
      <c r="J736" s="10"/>
      <c r="K736" s="10"/>
      <c r="L736" s="10">
        <f ca="1">VLOOKUP(dict_DQ_Meth_max[[#This Row],[ID_DataQualities]],table_DataQualities[],8,FALSE)</f>
        <v>0.99299999999999999</v>
      </c>
      <c r="M736" s="10">
        <f ca="1">VLOOKUP(dict_DQ_Meth_max[[#This Row],[ID_DataQualities]],table_DataQualities[],9,FALSE)</f>
        <v>1780.1</v>
      </c>
    </row>
    <row r="737" spans="1:13" x14ac:dyDescent="0.45">
      <c r="A737" s="10">
        <v>197</v>
      </c>
      <c r="B737" s="10">
        <v>348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0.27500000000000002</v>
      </c>
      <c r="G737" s="12">
        <f ca="1">(RANDBETWEEN(50,100)/100)*(dict_DQ_Meth_max[[#This Row],[Vergleich_ub]]-dict_DQ_Meth_max[[#This Row],[Vergleich_lb]])+dict_DQ_Meth_max[[#This Row],[Vergleich_lb]]</f>
        <v>1.675</v>
      </c>
      <c r="H737" s="11" t="str">
        <f ca="1">VLOOKUP(VLOOKUP(dict_DQ_Meth_max[[#This Row],[ID_DataQualities]],table_DataQualities[],3),table_Units[],2)</f>
        <v>+/- mm/s</v>
      </c>
      <c r="I737" s="10"/>
      <c r="J737" s="10"/>
      <c r="K737" s="10"/>
      <c r="L737" s="10">
        <f ca="1">VLOOKUP(dict_DQ_Meth_max[[#This Row],[ID_DataQualities]],table_DataQualities[],8,FALSE)</f>
        <v>0.1</v>
      </c>
      <c r="M737" s="10">
        <f ca="1">VLOOKUP(dict_DQ_Meth_max[[#This Row],[ID_DataQualities]],table_DataQualities[],9,FALSE)</f>
        <v>2.6</v>
      </c>
    </row>
    <row r="738" spans="1:13" x14ac:dyDescent="0.45">
      <c r="A738" s="10">
        <v>197</v>
      </c>
      <c r="B738" s="10">
        <v>302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0.95000000000000007</v>
      </c>
      <c r="G738" s="12">
        <f ca="1">(RANDBETWEEN(50,100)/100)*(dict_DQ_Meth_max[[#This Row],[Vergleich_ub]]-dict_DQ_Meth_max[[#This Row],[Vergleich_lb]])+dict_DQ_Meth_max[[#This Row],[Vergleich_lb]]</f>
        <v>1.7500000000000002</v>
      </c>
      <c r="H738" s="11" t="str">
        <f ca="1">VLOOKUP(VLOOKUP(dict_DQ_Meth_max[[#This Row],[ID_DataQualities]],table_DataQualities[],3),table_Units[],2)</f>
        <v>+/- mm/s</v>
      </c>
      <c r="I738" s="10"/>
      <c r="J738" s="10"/>
      <c r="K738" s="10"/>
      <c r="L738" s="10">
        <f ca="1">VLOOKUP(dict_DQ_Meth_max[[#This Row],[ID_DataQualities]],table_DataQualities[],8,FALSE)</f>
        <v>0.1</v>
      </c>
      <c r="M738" s="10">
        <f ca="1">VLOOKUP(dict_DQ_Meth_max[[#This Row],[ID_DataQualities]],table_DataQualities[],9,FALSE)</f>
        <v>2.6</v>
      </c>
    </row>
    <row r="739" spans="1:13" x14ac:dyDescent="0.45">
      <c r="A739" s="10">
        <v>197</v>
      </c>
      <c r="B739" s="10">
        <v>528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0.25</v>
      </c>
      <c r="G739" s="12">
        <f ca="1">(RANDBETWEEN(50,100)/100)*(dict_DQ_Meth_max[[#This Row],[Vergleich_ub]]-dict_DQ_Meth_max[[#This Row],[Vergleich_lb]])+dict_DQ_Meth_max[[#This Row],[Vergleich_lb]]</f>
        <v>1.875</v>
      </c>
      <c r="H739" s="11" t="str">
        <f ca="1">VLOOKUP(VLOOKUP(dict_DQ_Meth_max[[#This Row],[ID_DataQualities]],table_DataQualities[],3),table_Units[],2)</f>
        <v>+/- mm/s</v>
      </c>
      <c r="I739" s="10"/>
      <c r="J739" s="10"/>
      <c r="K739" s="10"/>
      <c r="L739" s="10">
        <f ca="1">VLOOKUP(dict_DQ_Meth_max[[#This Row],[ID_DataQualities]],table_DataQualities[],8,FALSE)</f>
        <v>0.1</v>
      </c>
      <c r="M739" s="10">
        <f ca="1">VLOOKUP(dict_DQ_Meth_max[[#This Row],[ID_DataQualities]],table_DataQualities[],9,FALSE)</f>
        <v>2.6</v>
      </c>
    </row>
    <row r="740" spans="1:13" x14ac:dyDescent="0.45">
      <c r="A740" s="10">
        <v>198</v>
      </c>
      <c r="B740" s="10">
        <v>476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154.56545000000003</v>
      </c>
      <c r="G740" s="12">
        <f ca="1">(RANDBETWEEN(50,100)/100)*(dict_DQ_Meth_max[[#This Row],[Vergleich_ub]]-dict_DQ_Meth_max[[#This Row],[Vergleich_lb]])+dict_DQ_Meth_max[[#This Row],[Vergleich_lb]]</f>
        <v>1148.1083500000002</v>
      </c>
      <c r="H740" s="11" t="str">
        <f ca="1">VLOOKUP(VLOOKUP(dict_DQ_Meth_max[[#This Row],[ID_DataQualities]],table_DataQualities[],3),table_Units[],2)</f>
        <v>Hz</v>
      </c>
      <c r="I740" s="10"/>
      <c r="J740" s="10"/>
      <c r="K740" s="10"/>
      <c r="L740" s="10">
        <f ca="1">VLOOKUP(dict_DQ_Meth_max[[#This Row],[ID_DataQualities]],table_DataQualities[],8,FALSE)</f>
        <v>0.39500000000000002</v>
      </c>
      <c r="M740" s="10">
        <f ca="1">VLOOKUP(dict_DQ_Meth_max[[#This Row],[ID_DataQualities]],table_DataQualities[],9,FALSE)</f>
        <v>1713.4</v>
      </c>
    </row>
    <row r="741" spans="1:13" x14ac:dyDescent="0.45">
      <c r="A741" s="10">
        <v>198</v>
      </c>
      <c r="B741" s="10">
        <v>117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805.50734999999997</v>
      </c>
      <c r="G741" s="12">
        <f ca="1">(RANDBETWEEN(50,100)/100)*(dict_DQ_Meth_max[[#This Row],[Vergleich_ub]]-dict_DQ_Meth_max[[#This Row],[Vergleich_lb]])+dict_DQ_Meth_max[[#This Row],[Vergleich_lb]]</f>
        <v>1473.5793000000001</v>
      </c>
      <c r="H741" s="11" t="str">
        <f ca="1">VLOOKUP(VLOOKUP(dict_DQ_Meth_max[[#This Row],[ID_DataQualities]],table_DataQualities[],3),table_Units[],2)</f>
        <v>Hz</v>
      </c>
      <c r="I741" s="10"/>
      <c r="J741" s="10"/>
      <c r="K741" s="10"/>
      <c r="L741" s="10">
        <f ca="1">VLOOKUP(dict_DQ_Meth_max[[#This Row],[ID_DataQualities]],table_DataQualities[],8,FALSE)</f>
        <v>0.39500000000000002</v>
      </c>
      <c r="M741" s="10">
        <f ca="1">VLOOKUP(dict_DQ_Meth_max[[#This Row],[ID_DataQualities]],table_DataQualities[],9,FALSE)</f>
        <v>1713.4</v>
      </c>
    </row>
    <row r="742" spans="1:13" x14ac:dyDescent="0.45">
      <c r="A742" s="10">
        <v>198</v>
      </c>
      <c r="B742" s="10">
        <v>488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462.90635000000003</v>
      </c>
      <c r="G742" s="12">
        <f ca="1">(RANDBETWEEN(50,100)/100)*(dict_DQ_Meth_max[[#This Row],[Vergleich_ub]]-dict_DQ_Meth_max[[#This Row],[Vergleich_lb]])+dict_DQ_Meth_max[[#This Row],[Vergleich_lb]]</f>
        <v>1319.40885</v>
      </c>
      <c r="H742" s="11" t="str">
        <f ca="1">VLOOKUP(VLOOKUP(dict_DQ_Meth_max[[#This Row],[ID_DataQualities]],table_DataQualities[],3),table_Units[],2)</f>
        <v>Hz</v>
      </c>
      <c r="I742" s="10"/>
      <c r="J742" s="10"/>
      <c r="K742" s="10"/>
      <c r="L742" s="10">
        <f ca="1">VLOOKUP(dict_DQ_Meth_max[[#This Row],[ID_DataQualities]],table_DataQualities[],8,FALSE)</f>
        <v>0.39500000000000002</v>
      </c>
      <c r="M742" s="10">
        <f ca="1">VLOOKUP(dict_DQ_Meth_max[[#This Row],[ID_DataQualities]],table_DataQualities[],9,FALSE)</f>
        <v>1713.4</v>
      </c>
    </row>
    <row r="743" spans="1:13" x14ac:dyDescent="0.45">
      <c r="A743" s="10">
        <v>198</v>
      </c>
      <c r="B743" s="10">
        <v>22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188.82555000000002</v>
      </c>
      <c r="G743" s="12">
        <f ca="1">(RANDBETWEEN(50,100)/100)*(dict_DQ_Meth_max[[#This Row],[Vergleich_ub]]-dict_DQ_Meth_max[[#This Row],[Vergleich_lb]])+dict_DQ_Meth_max[[#This Row],[Vergleich_lb]]</f>
        <v>1559.2295500000002</v>
      </c>
      <c r="H743" s="11" t="str">
        <f ca="1">VLOOKUP(VLOOKUP(dict_DQ_Meth_max[[#This Row],[ID_DataQualities]],table_DataQualities[],3),table_Units[],2)</f>
        <v>Hz</v>
      </c>
      <c r="I743" s="10"/>
      <c r="J743" s="10"/>
      <c r="K743" s="10"/>
      <c r="L743" s="10">
        <f ca="1">VLOOKUP(dict_DQ_Meth_max[[#This Row],[ID_DataQualities]],table_DataQualities[],8,FALSE)</f>
        <v>0.39500000000000002</v>
      </c>
      <c r="M743" s="10">
        <f ca="1">VLOOKUP(dict_DQ_Meth_max[[#This Row],[ID_DataQualities]],table_DataQualities[],9,FALSE)</f>
        <v>1713.4</v>
      </c>
    </row>
    <row r="744" spans="1:13" x14ac:dyDescent="0.45">
      <c r="A744" s="10">
        <v>198</v>
      </c>
      <c r="B744" s="10">
        <v>504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582.81670000000008</v>
      </c>
      <c r="G744" s="12">
        <f ca="1">(RANDBETWEEN(50,100)/100)*(dict_DQ_Meth_max[[#This Row],[Vergleich_ub]]-dict_DQ_Meth_max[[#This Row],[Vergleich_lb]])+dict_DQ_Meth_max[[#This Row],[Vergleich_lb]]</f>
        <v>1576.3596000000002</v>
      </c>
      <c r="H744" s="11" t="str">
        <f ca="1">VLOOKUP(VLOOKUP(dict_DQ_Meth_max[[#This Row],[ID_DataQualities]],table_DataQualities[],3),table_Units[],2)</f>
        <v>Hz</v>
      </c>
      <c r="I744" s="10"/>
      <c r="J744" s="10"/>
      <c r="K744" s="10"/>
      <c r="L744" s="10">
        <f ca="1">VLOOKUP(dict_DQ_Meth_max[[#This Row],[ID_DataQualities]],table_DataQualities[],8,FALSE)</f>
        <v>0.39500000000000002</v>
      </c>
      <c r="M744" s="10">
        <f ca="1">VLOOKUP(dict_DQ_Meth_max[[#This Row],[ID_DataQualities]],table_DataQualities[],9,FALSE)</f>
        <v>1713.4</v>
      </c>
    </row>
    <row r="745" spans="1:13" x14ac:dyDescent="0.45">
      <c r="A745" s="10">
        <v>199</v>
      </c>
      <c r="B745" s="10">
        <v>476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0.40255999999999997</v>
      </c>
      <c r="G745" s="12">
        <f ca="1">(RANDBETWEEN(50,100)/100)*(dict_DQ_Meth_max[[#This Row],[Vergleich_ub]]-dict_DQ_Meth_max[[#This Row],[Vergleich_lb]])+dict_DQ_Meth_max[[#This Row],[Vergleich_lb]]</f>
        <v>0.78067999999999993</v>
      </c>
      <c r="H745" s="11" t="str">
        <f ca="1">VLOOKUP(VLOOKUP(dict_DQ_Meth_max[[#This Row],[ID_DataQualities]],table_DataQualities[],3),table_Units[],2)</f>
        <v>+/- W</v>
      </c>
      <c r="I745" s="10"/>
      <c r="J745" s="10"/>
      <c r="K745" s="10"/>
      <c r="L745" s="10">
        <f ca="1">VLOOKUP(dict_DQ_Meth_max[[#This Row],[ID_DataQualities]],table_DataQualities[],8,FALSE)</f>
        <v>8.0000000000000002E-3</v>
      </c>
      <c r="M745" s="10">
        <f ca="1">VLOOKUP(dict_DQ_Meth_max[[#This Row],[ID_DataQualities]],table_DataQualities[],9,FALSE)</f>
        <v>0.83</v>
      </c>
    </row>
    <row r="746" spans="1:13" x14ac:dyDescent="0.45">
      <c r="A746" s="10">
        <v>199</v>
      </c>
      <c r="B746" s="10">
        <v>117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9.0200000000000002E-2</v>
      </c>
      <c r="G746" s="12">
        <f ca="1">(RANDBETWEEN(50,100)/100)*(dict_DQ_Meth_max[[#This Row],[Vergleich_ub]]-dict_DQ_Meth_max[[#This Row],[Vergleich_lb]])+dict_DQ_Meth_max[[#This Row],[Vergleich_lb]]</f>
        <v>0.50941999999999998</v>
      </c>
      <c r="H746" s="11" t="str">
        <f ca="1">VLOOKUP(VLOOKUP(dict_DQ_Meth_max[[#This Row],[ID_DataQualities]],table_DataQualities[],3),table_Units[],2)</f>
        <v>+/- W</v>
      </c>
      <c r="I746" s="10"/>
      <c r="J746" s="10"/>
      <c r="K746" s="10"/>
      <c r="L746" s="10">
        <f ca="1">VLOOKUP(dict_DQ_Meth_max[[#This Row],[ID_DataQualities]],table_DataQualities[],8,FALSE)</f>
        <v>8.0000000000000002E-3</v>
      </c>
      <c r="M746" s="10">
        <f ca="1">VLOOKUP(dict_DQ_Meth_max[[#This Row],[ID_DataQualities]],table_DataQualities[],9,FALSE)</f>
        <v>0.83</v>
      </c>
    </row>
    <row r="747" spans="1:13" x14ac:dyDescent="0.45">
      <c r="A747" s="10">
        <v>199</v>
      </c>
      <c r="B747" s="10">
        <v>22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0.14774000000000001</v>
      </c>
      <c r="G747" s="12">
        <f ca="1">(RANDBETWEEN(50,100)/100)*(dict_DQ_Meth_max[[#This Row],[Vergleich_ub]]-dict_DQ_Meth_max[[#This Row],[Vergleich_lb]])+dict_DQ_Meth_max[[#This Row],[Vergleich_lb]]</f>
        <v>0.73958000000000002</v>
      </c>
      <c r="H747" s="11" t="str">
        <f ca="1">VLOOKUP(VLOOKUP(dict_DQ_Meth_max[[#This Row],[ID_DataQualities]],table_DataQualities[],3),table_Units[],2)</f>
        <v>+/- W</v>
      </c>
      <c r="I747" s="10"/>
      <c r="J747" s="10"/>
      <c r="K747" s="10"/>
      <c r="L747" s="10">
        <f ca="1">VLOOKUP(dict_DQ_Meth_max[[#This Row],[ID_DataQualities]],table_DataQualities[],8,FALSE)</f>
        <v>8.0000000000000002E-3</v>
      </c>
      <c r="M747" s="10">
        <f ca="1">VLOOKUP(dict_DQ_Meth_max[[#This Row],[ID_DataQualities]],table_DataQualities[],9,FALSE)</f>
        <v>0.83</v>
      </c>
    </row>
    <row r="748" spans="1:13" x14ac:dyDescent="0.45">
      <c r="A748" s="10">
        <v>199</v>
      </c>
      <c r="B748" s="10">
        <v>488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0.32857999999999998</v>
      </c>
      <c r="G748" s="12">
        <f ca="1">(RANDBETWEEN(50,100)/100)*(dict_DQ_Meth_max[[#This Row],[Vergleich_ub]]-dict_DQ_Meth_max[[#This Row],[Vergleich_lb]])+dict_DQ_Meth_max[[#This Row],[Vergleich_lb]]</f>
        <v>0.50941999999999998</v>
      </c>
      <c r="H748" s="11" t="str">
        <f ca="1">VLOOKUP(VLOOKUP(dict_DQ_Meth_max[[#This Row],[ID_DataQualities]],table_DataQualities[],3),table_Units[],2)</f>
        <v>+/- W</v>
      </c>
      <c r="I748" s="10"/>
      <c r="J748" s="10"/>
      <c r="K748" s="10"/>
      <c r="L748" s="10">
        <f ca="1">VLOOKUP(dict_DQ_Meth_max[[#This Row],[ID_DataQualities]],table_DataQualities[],8,FALSE)</f>
        <v>8.0000000000000002E-3</v>
      </c>
      <c r="M748" s="10">
        <f ca="1">VLOOKUP(dict_DQ_Meth_max[[#This Row],[ID_DataQualities]],table_DataQualities[],9,FALSE)</f>
        <v>0.83</v>
      </c>
    </row>
    <row r="749" spans="1:13" x14ac:dyDescent="0.45">
      <c r="A749" s="10">
        <v>199</v>
      </c>
      <c r="B749" s="10">
        <v>504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0.1313</v>
      </c>
      <c r="G749" s="12">
        <f ca="1">(RANDBETWEEN(50,100)/100)*(dict_DQ_Meth_max[[#This Row],[Vergleich_ub]]-dict_DQ_Meth_max[[#This Row],[Vergleich_lb]])+dict_DQ_Meth_max[[#This Row],[Vergleich_lb]]</f>
        <v>0.68203999999999998</v>
      </c>
      <c r="H749" s="11" t="str">
        <f ca="1">VLOOKUP(VLOOKUP(dict_DQ_Meth_max[[#This Row],[ID_DataQualities]],table_DataQualities[],3),table_Units[],2)</f>
        <v>+/- W</v>
      </c>
      <c r="I749" s="10"/>
      <c r="J749" s="10"/>
      <c r="K749" s="10"/>
      <c r="L749" s="10">
        <f ca="1">VLOOKUP(dict_DQ_Meth_max[[#This Row],[ID_DataQualities]],table_DataQualities[],8,FALSE)</f>
        <v>8.0000000000000002E-3</v>
      </c>
      <c r="M749" s="10">
        <f ca="1">VLOOKUP(dict_DQ_Meth_max[[#This Row],[ID_DataQualities]],table_DataQualities[],9,FALSE)</f>
        <v>0.83</v>
      </c>
    </row>
    <row r="750" spans="1:13" x14ac:dyDescent="0.45">
      <c r="A750" s="10">
        <v>200</v>
      </c>
      <c r="B750" s="10">
        <v>628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2258.4625599999999</v>
      </c>
      <c r="G750" s="12">
        <f ca="1">(RANDBETWEEN(50,100)/100)*(dict_DQ_Meth_max[[#This Row],[Vergleich_ub]]-dict_DQ_Meth_max[[#This Row],[Vergleich_lb]])+dict_DQ_Meth_max[[#This Row],[Vergleich_lb]]</f>
        <v>5322.7073200000004</v>
      </c>
      <c r="H750" s="11" t="str">
        <f ca="1">VLOOKUP(VLOOKUP(dict_DQ_Meth_max[[#This Row],[ID_DataQualities]],table_DataQualities[],3),table_Units[],2)</f>
        <v>Hz</v>
      </c>
      <c r="I750" s="10"/>
      <c r="J750" s="10"/>
      <c r="K750" s="10"/>
      <c r="L750" s="10">
        <f ca="1">VLOOKUP(dict_DQ_Meth_max[[#This Row],[ID_DataQualities]],table_DataQualities[],8,FALSE)</f>
        <v>0.59799999999999998</v>
      </c>
      <c r="M750" s="10">
        <f ca="1">VLOOKUP(dict_DQ_Meth_max[[#This Row],[ID_DataQualities]],table_DataQualities[],9,FALSE)</f>
        <v>8064.4</v>
      </c>
    </row>
    <row r="751" spans="1:13" x14ac:dyDescent="0.45">
      <c r="A751" s="10">
        <v>200</v>
      </c>
      <c r="B751" s="10">
        <v>362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4032.4989999999998</v>
      </c>
      <c r="G751" s="12">
        <f ca="1">(RANDBETWEEN(50,100)/100)*(dict_DQ_Meth_max[[#This Row],[Vergleich_ub]]-dict_DQ_Meth_max[[#This Row],[Vergleich_lb]])+dict_DQ_Meth_max[[#This Row],[Vergleich_lb]]</f>
        <v>6935.4677199999996</v>
      </c>
      <c r="H751" s="11" t="str">
        <f ca="1">VLOOKUP(VLOOKUP(dict_DQ_Meth_max[[#This Row],[ID_DataQualities]],table_DataQualities[],3),table_Units[],2)</f>
        <v>Hz</v>
      </c>
      <c r="I751" s="10"/>
      <c r="J751" s="10"/>
      <c r="K751" s="10"/>
      <c r="L751" s="10">
        <f ca="1">VLOOKUP(dict_DQ_Meth_max[[#This Row],[ID_DataQualities]],table_DataQualities[],8,FALSE)</f>
        <v>0.59799999999999998</v>
      </c>
      <c r="M751" s="10">
        <f ca="1">VLOOKUP(dict_DQ_Meth_max[[#This Row],[ID_DataQualities]],table_DataQualities[],9,FALSE)</f>
        <v>8064.4</v>
      </c>
    </row>
    <row r="752" spans="1:13" x14ac:dyDescent="0.45">
      <c r="A752" s="10">
        <v>200</v>
      </c>
      <c r="B752" s="10">
        <v>170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726.34017999999992</v>
      </c>
      <c r="G752" s="12">
        <f ca="1">(RANDBETWEEN(50,100)/100)*(dict_DQ_Meth_max[[#This Row],[Vergleich_ub]]-dict_DQ_Meth_max[[#This Row],[Vergleich_lb]])+dict_DQ_Meth_max[[#This Row],[Vergleich_lb]]</f>
        <v>7661.2098999999989</v>
      </c>
      <c r="H752" s="11" t="str">
        <f ca="1">VLOOKUP(VLOOKUP(dict_DQ_Meth_max[[#This Row],[ID_DataQualities]],table_DataQualities[],3),table_Units[],2)</f>
        <v>Hz</v>
      </c>
      <c r="I752" s="10"/>
      <c r="J752" s="10"/>
      <c r="K752" s="10"/>
      <c r="L752" s="10">
        <f ca="1">VLOOKUP(dict_DQ_Meth_max[[#This Row],[ID_DataQualities]],table_DataQualities[],8,FALSE)</f>
        <v>0.59799999999999998</v>
      </c>
      <c r="M752" s="10">
        <f ca="1">VLOOKUP(dict_DQ_Meth_max[[#This Row],[ID_DataQualities]],table_DataQualities[],9,FALSE)</f>
        <v>8064.4</v>
      </c>
    </row>
    <row r="753" spans="1:13" x14ac:dyDescent="0.45">
      <c r="A753" s="10">
        <v>201</v>
      </c>
      <c r="B753" s="10">
        <v>628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3167.83</v>
      </c>
      <c r="G753" s="12">
        <f ca="1">(RANDBETWEEN(50,100)/100)*(dict_DQ_Meth_max[[#This Row],[Vergleich_ub]]-dict_DQ_Meth_max[[#This Row],[Vergleich_lb]])+dict_DQ_Meth_max[[#This Row],[Vergleich_lb]]</f>
        <v>7806.09</v>
      </c>
      <c r="H753" s="11" t="str">
        <f ca="1">VLOOKUP(VLOOKUP(dict_DQ_Meth_max[[#This Row],[ID_DataQualities]],table_DataQualities[],3),table_Units[],2)</f>
        <v>bit</v>
      </c>
      <c r="I753" s="10"/>
      <c r="J753" s="10"/>
      <c r="K753" s="10"/>
      <c r="L753" s="10">
        <f ca="1">VLOOKUP(dict_DQ_Meth_max[[#This Row],[ID_DataQualities]],table_DataQualities[],8,FALSE)</f>
        <v>49</v>
      </c>
      <c r="M753" s="10">
        <f ca="1">VLOOKUP(dict_DQ_Meth_max[[#This Row],[ID_DataQualities]],table_DataQualities[],9,FALSE)</f>
        <v>8046</v>
      </c>
    </row>
    <row r="754" spans="1:13" x14ac:dyDescent="0.45">
      <c r="A754" s="10">
        <v>201</v>
      </c>
      <c r="B754" s="10">
        <v>362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848.7</v>
      </c>
      <c r="G754" s="12">
        <f ca="1">(RANDBETWEEN(50,100)/100)*(dict_DQ_Meth_max[[#This Row],[Vergleich_ub]]-dict_DQ_Meth_max[[#This Row],[Vergleich_lb]])+dict_DQ_Meth_max[[#This Row],[Vergleich_lb]]</f>
        <v>6206.6900000000005</v>
      </c>
      <c r="H754" s="11" t="str">
        <f ca="1">VLOOKUP(VLOOKUP(dict_DQ_Meth_max[[#This Row],[ID_DataQualities]],table_DataQualities[],3),table_Units[],2)</f>
        <v>bit</v>
      </c>
      <c r="I754" s="10"/>
      <c r="J754" s="10"/>
      <c r="K754" s="10"/>
      <c r="L754" s="10">
        <f ca="1">VLOOKUP(dict_DQ_Meth_max[[#This Row],[ID_DataQualities]],table_DataQualities[],8,FALSE)</f>
        <v>49</v>
      </c>
      <c r="M754" s="10">
        <f ca="1">VLOOKUP(dict_DQ_Meth_max[[#This Row],[ID_DataQualities]],table_DataQualities[],9,FALSE)</f>
        <v>8046</v>
      </c>
    </row>
    <row r="755" spans="1:13" x14ac:dyDescent="0.45">
      <c r="A755" s="10">
        <v>201</v>
      </c>
      <c r="B755" s="10">
        <v>170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1328.52</v>
      </c>
      <c r="G755" s="12">
        <f ca="1">(RANDBETWEEN(50,100)/100)*(dict_DQ_Meth_max[[#This Row],[Vergleich_ub]]-dict_DQ_Meth_max[[#This Row],[Vergleich_lb]])+dict_DQ_Meth_max[[#This Row],[Vergleich_lb]]</f>
        <v>5406.9900000000007</v>
      </c>
      <c r="H755" s="11" t="str">
        <f ca="1">VLOOKUP(VLOOKUP(dict_DQ_Meth_max[[#This Row],[ID_DataQualities]],table_DataQualities[],3),table_Units[],2)</f>
        <v>bit</v>
      </c>
      <c r="I755" s="10"/>
      <c r="J755" s="10"/>
      <c r="K755" s="10"/>
      <c r="L755" s="10">
        <f ca="1">VLOOKUP(dict_DQ_Meth_max[[#This Row],[ID_DataQualities]],table_DataQualities[],8,FALSE)</f>
        <v>49</v>
      </c>
      <c r="M755" s="10">
        <f ca="1">VLOOKUP(dict_DQ_Meth_max[[#This Row],[ID_DataQualities]],table_DataQualities[],9,FALSE)</f>
        <v>8046</v>
      </c>
    </row>
    <row r="756" spans="1:13" x14ac:dyDescent="0.45">
      <c r="A756" s="10">
        <v>202</v>
      </c>
      <c r="B756" s="10">
        <v>586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699.65018000000009</v>
      </c>
      <c r="G756" s="12">
        <f ca="1">(RANDBETWEEN(50,100)/100)*(dict_DQ_Meth_max[[#This Row],[Vergleich_ub]]-dict_DQ_Meth_max[[#This Row],[Vergleich_lb]])+dict_DQ_Meth_max[[#This Row],[Vergleich_lb]]</f>
        <v>1254.5614699999999</v>
      </c>
      <c r="H756" s="11" t="str">
        <f ca="1">VLOOKUP(VLOOKUP(dict_DQ_Meth_max[[#This Row],[ID_DataQualities]],table_DataQualities[],3),table_Units[],2)</f>
        <v>Hz</v>
      </c>
      <c r="I756" s="10"/>
      <c r="J756" s="10"/>
      <c r="K756" s="10"/>
      <c r="L756" s="10">
        <f ca="1">VLOOKUP(dict_DQ_Meth_max[[#This Row],[ID_DataQualities]],table_DataQualities[],8,FALSE)</f>
        <v>0.873</v>
      </c>
      <c r="M756" s="10">
        <f ca="1">VLOOKUP(dict_DQ_Meth_max[[#This Row],[ID_DataQualities]],table_DataQualities[],9,FALSE)</f>
        <v>2056.1</v>
      </c>
    </row>
    <row r="757" spans="1:13" x14ac:dyDescent="0.45">
      <c r="A757" s="10">
        <v>202</v>
      </c>
      <c r="B757" s="10">
        <v>370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822.96379999999999</v>
      </c>
      <c r="G757" s="12">
        <f ca="1">(RANDBETWEEN(50,100)/100)*(dict_DQ_Meth_max[[#This Row],[Vergleich_ub]]-dict_DQ_Meth_max[[#This Row],[Vergleich_lb]])+dict_DQ_Meth_max[[#This Row],[Vergleich_lb]]</f>
        <v>1275.11374</v>
      </c>
      <c r="H757" s="11" t="str">
        <f ca="1">VLOOKUP(VLOOKUP(dict_DQ_Meth_max[[#This Row],[ID_DataQualities]],table_DataQualities[],3),table_Units[],2)</f>
        <v>Hz</v>
      </c>
      <c r="I757" s="10"/>
      <c r="J757" s="10"/>
      <c r="K757" s="10"/>
      <c r="L757" s="10">
        <f ca="1">VLOOKUP(dict_DQ_Meth_max[[#This Row],[ID_DataQualities]],table_DataQualities[],8,FALSE)</f>
        <v>0.873</v>
      </c>
      <c r="M757" s="10">
        <f ca="1">VLOOKUP(dict_DQ_Meth_max[[#This Row],[ID_DataQualities]],table_DataQualities[],9,FALSE)</f>
        <v>2056.1</v>
      </c>
    </row>
    <row r="758" spans="1:13" x14ac:dyDescent="0.45">
      <c r="A758" s="10">
        <v>202</v>
      </c>
      <c r="B758" s="10">
        <v>410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288.60478000000001</v>
      </c>
      <c r="G758" s="12">
        <f ca="1">(RANDBETWEEN(50,100)/100)*(dict_DQ_Meth_max[[#This Row],[Vergleich_ub]]-dict_DQ_Meth_max[[#This Row],[Vergleich_lb]])+dict_DQ_Meth_max[[#This Row],[Vergleich_lb]]</f>
        <v>1501.1887099999999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0.873</v>
      </c>
      <c r="M758" s="10">
        <f ca="1">VLOOKUP(dict_DQ_Meth_max[[#This Row],[ID_DataQualities]],table_DataQualities[],9,FALSE)</f>
        <v>2056.1</v>
      </c>
    </row>
    <row r="759" spans="1:13" x14ac:dyDescent="0.45">
      <c r="A759" s="10">
        <v>202</v>
      </c>
      <c r="B759" s="10">
        <v>462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83.082080000000005</v>
      </c>
      <c r="G759" s="12">
        <f ca="1">(RANDBETWEEN(50,100)/100)*(dict_DQ_Meth_max[[#This Row],[Vergleich_ub]]-dict_DQ_Meth_max[[#This Row],[Vergleich_lb]])+dict_DQ_Meth_max[[#This Row],[Vergleich_lb]]</f>
        <v>1521.74098</v>
      </c>
      <c r="H759" s="11" t="str">
        <f ca="1">VLOOKUP(VLOOKUP(dict_DQ_Meth_max[[#This Row],[ID_DataQualities]],table_DataQualities[],3),table_Units[],2)</f>
        <v>Hz</v>
      </c>
      <c r="I759" s="10"/>
      <c r="J759" s="10"/>
      <c r="K759" s="10"/>
      <c r="L759" s="10">
        <f ca="1">VLOOKUP(dict_DQ_Meth_max[[#This Row],[ID_DataQualities]],table_DataQualities[],8,FALSE)</f>
        <v>0.873</v>
      </c>
      <c r="M759" s="10">
        <f ca="1">VLOOKUP(dict_DQ_Meth_max[[#This Row],[ID_DataQualities]],table_DataQualities[],9,FALSE)</f>
        <v>2056.1</v>
      </c>
    </row>
    <row r="760" spans="1:13" x14ac:dyDescent="0.45">
      <c r="A760" s="10">
        <v>203</v>
      </c>
      <c r="B760" s="10">
        <v>462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3.5077999999999996</v>
      </c>
      <c r="G760" s="12">
        <f ca="1">(RANDBETWEEN(50,100)/100)*(dict_DQ_Meth_max[[#This Row],[Vergleich_ub]]-dict_DQ_Meth_max[[#This Row],[Vergleich_lb]])+dict_DQ_Meth_max[[#This Row],[Vergleich_lb]]</f>
        <v>7.7027599999999996</v>
      </c>
      <c r="H760" s="11" t="str">
        <f ca="1">VLOOKUP(VLOOKUP(dict_DQ_Meth_max[[#This Row],[ID_DataQualities]],table_DataQualities[],3),table_Units[],2)</f>
        <v>+/- W</v>
      </c>
      <c r="I760" s="10"/>
      <c r="J760" s="10"/>
      <c r="K760" s="10"/>
      <c r="L760" s="10">
        <f ca="1">VLOOKUP(dict_DQ_Meth_max[[#This Row],[ID_DataQualities]],table_DataQualities[],8,FALSE)</f>
        <v>1.2E-2</v>
      </c>
      <c r="M760" s="10">
        <f ca="1">VLOOKUP(dict_DQ_Meth_max[[#This Row],[ID_DataQualities]],table_DataQualities[],9,FALSE)</f>
        <v>10</v>
      </c>
    </row>
    <row r="761" spans="1:13" x14ac:dyDescent="0.45">
      <c r="A761" s="10">
        <v>203</v>
      </c>
      <c r="B761" s="10">
        <v>410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0.11187999999999999</v>
      </c>
      <c r="G761" s="12">
        <f ca="1">(RANDBETWEEN(50,100)/100)*(dict_DQ_Meth_max[[#This Row],[Vergleich_ub]]-dict_DQ_Meth_max[[#This Row],[Vergleich_lb]])+dict_DQ_Meth_max[[#This Row],[Vergleich_lb]]</f>
        <v>7.602879999999999</v>
      </c>
      <c r="H761" s="11" t="str">
        <f ca="1">VLOOKUP(VLOOKUP(dict_DQ_Meth_max[[#This Row],[ID_DataQualities]],table_DataQualities[],3),table_Units[],2)</f>
        <v>+/- W</v>
      </c>
      <c r="I761" s="10"/>
      <c r="J761" s="10"/>
      <c r="K761" s="10"/>
      <c r="L761" s="10">
        <f ca="1">VLOOKUP(dict_DQ_Meth_max[[#This Row],[ID_DataQualities]],table_DataQualities[],8,FALSE)</f>
        <v>1.2E-2</v>
      </c>
      <c r="M761" s="10">
        <f ca="1">VLOOKUP(dict_DQ_Meth_max[[#This Row],[ID_DataQualities]],table_DataQualities[],9,FALSE)</f>
        <v>10</v>
      </c>
    </row>
    <row r="762" spans="1:13" x14ac:dyDescent="0.45">
      <c r="A762" s="10">
        <v>203</v>
      </c>
      <c r="B762" s="10">
        <v>370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1.5102</v>
      </c>
      <c r="G762" s="12">
        <f ca="1">(RANDBETWEEN(50,100)/100)*(dict_DQ_Meth_max[[#This Row],[Vergleich_ub]]-dict_DQ_Meth_max[[#This Row],[Vergleich_lb]])+dict_DQ_Meth_max[[#This Row],[Vergleich_lb]]</f>
        <v>5.1058799999999991</v>
      </c>
      <c r="H762" s="11" t="str">
        <f ca="1">VLOOKUP(VLOOKUP(dict_DQ_Meth_max[[#This Row],[ID_DataQualities]],table_DataQualities[],3),table_Units[],2)</f>
        <v>+/- W</v>
      </c>
      <c r="I762" s="10"/>
      <c r="J762" s="10"/>
      <c r="K762" s="10"/>
      <c r="L762" s="10">
        <f ca="1">VLOOKUP(dict_DQ_Meth_max[[#This Row],[ID_DataQualities]],table_DataQualities[],8,FALSE)</f>
        <v>1.2E-2</v>
      </c>
      <c r="M762" s="10">
        <f ca="1">VLOOKUP(dict_DQ_Meth_max[[#This Row],[ID_DataQualities]],table_DataQualities[],9,FALSE)</f>
        <v>10</v>
      </c>
    </row>
    <row r="763" spans="1:13" x14ac:dyDescent="0.45">
      <c r="A763" s="10">
        <v>203</v>
      </c>
      <c r="B763" s="10">
        <v>586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4.9061199999999996</v>
      </c>
      <c r="G763" s="12">
        <f ca="1">(RANDBETWEEN(50,100)/100)*(dict_DQ_Meth_max[[#This Row],[Vergleich_ub]]-dict_DQ_Meth_max[[#This Row],[Vergleich_lb]])+dict_DQ_Meth_max[[#This Row],[Vergleich_lb]]</f>
        <v>8.5017999999999994</v>
      </c>
      <c r="H763" s="11" t="str">
        <f ca="1">VLOOKUP(VLOOKUP(dict_DQ_Meth_max[[#This Row],[ID_DataQualities]],table_DataQualities[],3),table_Units[],2)</f>
        <v>+/- W</v>
      </c>
      <c r="I763" s="10"/>
      <c r="J763" s="10"/>
      <c r="K763" s="10"/>
      <c r="L763" s="10">
        <f ca="1">VLOOKUP(dict_DQ_Meth_max[[#This Row],[ID_DataQualities]],table_DataQualities[],8,FALSE)</f>
        <v>1.2E-2</v>
      </c>
      <c r="M763" s="10">
        <f ca="1">VLOOKUP(dict_DQ_Meth_max[[#This Row],[ID_DataQualities]],table_DataQualities[],9,FALSE)</f>
        <v>10</v>
      </c>
    </row>
    <row r="764" spans="1:13" x14ac:dyDescent="0.45">
      <c r="A764" s="10">
        <v>204</v>
      </c>
      <c r="B764" s="10">
        <v>71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1224.7650000000001</v>
      </c>
      <c r="G764" s="12">
        <f ca="1">(RANDBETWEEN(50,100)/100)*(dict_DQ_Meth_max[[#This Row],[Vergleich_ub]]-dict_DQ_Meth_max[[#This Row],[Vergleich_lb]])+dict_DQ_Meth_max[[#This Row],[Vergleich_lb]]</f>
        <v>1795.902</v>
      </c>
      <c r="H764" s="11" t="str">
        <f ca="1">VLOOKUP(VLOOKUP(dict_DQ_Meth_max[[#This Row],[ID_DataQualities]],table_DataQualities[],3),table_Units[],2)</f>
        <v>Hz</v>
      </c>
      <c r="I764" s="10"/>
      <c r="J764" s="10"/>
      <c r="K764" s="10"/>
      <c r="L764" s="10">
        <f ca="1">VLOOKUP(dict_DQ_Meth_max[[#This Row],[ID_DataQualities]],table_DataQualities[],8,FALSE)</f>
        <v>0.9</v>
      </c>
      <c r="M764" s="10">
        <f ca="1">VLOOKUP(dict_DQ_Meth_max[[#This Row],[ID_DataQualities]],table_DataQualities[],9,FALSE)</f>
        <v>2720.6</v>
      </c>
    </row>
    <row r="765" spans="1:13" x14ac:dyDescent="0.45">
      <c r="A765" s="10">
        <v>204</v>
      </c>
      <c r="B765" s="10">
        <v>49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82.491</v>
      </c>
      <c r="G765" s="12">
        <f ca="1">(RANDBETWEEN(50,100)/100)*(dict_DQ_Meth_max[[#This Row],[Vergleich_ub]]-dict_DQ_Meth_max[[#This Row],[Vergleich_lb]])+dict_DQ_Meth_max[[#This Row],[Vergleich_lb]]</f>
        <v>2285.4479999999999</v>
      </c>
      <c r="H765" s="11" t="str">
        <f ca="1">VLOOKUP(VLOOKUP(dict_DQ_Meth_max[[#This Row],[ID_DataQualities]],table_DataQualities[],3),table_Units[],2)</f>
        <v>Hz</v>
      </c>
      <c r="I765" s="10"/>
      <c r="J765" s="10"/>
      <c r="K765" s="10"/>
      <c r="L765" s="10">
        <f ca="1">VLOOKUP(dict_DQ_Meth_max[[#This Row],[ID_DataQualities]],table_DataQualities[],8,FALSE)</f>
        <v>0.9</v>
      </c>
      <c r="M765" s="10">
        <f ca="1">VLOOKUP(dict_DQ_Meth_max[[#This Row],[ID_DataQualities]],table_DataQualities[],9,FALSE)</f>
        <v>2720.6</v>
      </c>
    </row>
    <row r="766" spans="1:13" x14ac:dyDescent="0.45">
      <c r="A766" s="10">
        <v>204</v>
      </c>
      <c r="B766" s="10">
        <v>66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272.86999999999995</v>
      </c>
      <c r="G766" s="12">
        <f ca="1">(RANDBETWEEN(50,100)/100)*(dict_DQ_Meth_max[[#This Row],[Vergleich_ub]]-dict_DQ_Meth_max[[#This Row],[Vergleich_lb]])+dict_DQ_Meth_max[[#This Row],[Vergleich_lb]]</f>
        <v>2203.857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0.9</v>
      </c>
      <c r="M766" s="10">
        <f ca="1">VLOOKUP(dict_DQ_Meth_max[[#This Row],[ID_DataQualities]],table_DataQualities[],9,FALSE)</f>
        <v>2720.6</v>
      </c>
    </row>
    <row r="767" spans="1:13" x14ac:dyDescent="0.45">
      <c r="A767" s="10">
        <v>204</v>
      </c>
      <c r="B767" s="10">
        <v>361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735.21899999999994</v>
      </c>
      <c r="G767" s="12">
        <f ca="1">(RANDBETWEEN(50,100)/100)*(dict_DQ_Meth_max[[#This Row],[Vergleich_ub]]-dict_DQ_Meth_max[[#This Row],[Vergleich_lb]])+dict_DQ_Meth_max[[#This Row],[Vergleich_lb]]</f>
        <v>2557.4179999999997</v>
      </c>
      <c r="H767" s="11" t="str">
        <f ca="1">VLOOKUP(VLOOKUP(dict_DQ_Meth_max[[#This Row],[ID_DataQualities]],table_DataQualities[],3),table_Units[],2)</f>
        <v>Hz</v>
      </c>
      <c r="I767" s="10"/>
      <c r="J767" s="10"/>
      <c r="K767" s="10"/>
      <c r="L767" s="10">
        <f ca="1">VLOOKUP(dict_DQ_Meth_max[[#This Row],[ID_DataQualities]],table_DataQualities[],8,FALSE)</f>
        <v>0.9</v>
      </c>
      <c r="M767" s="10">
        <f ca="1">VLOOKUP(dict_DQ_Meth_max[[#This Row],[ID_DataQualities]],table_DataQualities[],9,FALSE)</f>
        <v>2720.6</v>
      </c>
    </row>
    <row r="768" spans="1:13" x14ac:dyDescent="0.45">
      <c r="A768" s="10">
        <v>205</v>
      </c>
      <c r="B768" s="10">
        <v>361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1347.3</v>
      </c>
      <c r="G768" s="12">
        <f ca="1">(RANDBETWEEN(50,100)/100)*(dict_DQ_Meth_max[[#This Row],[Vergleich_ub]]-dict_DQ_Meth_max[[#This Row],[Vergleich_lb]])+dict_DQ_Meth_max[[#This Row],[Vergleich_lb]]</f>
        <v>2710.82</v>
      </c>
      <c r="H768" s="11" t="str">
        <f ca="1">VLOOKUP(VLOOKUP(dict_DQ_Meth_max[[#This Row],[ID_DataQualities]],table_DataQualities[],3),table_Units[],2)</f>
        <v>bit</v>
      </c>
      <c r="I768" s="10"/>
      <c r="J768" s="10"/>
      <c r="K768" s="10"/>
      <c r="L768" s="10">
        <f ca="1">VLOOKUP(dict_DQ_Meth_max[[#This Row],[ID_DataQualities]],table_DataQualities[],8,FALSE)</f>
        <v>69</v>
      </c>
      <c r="M768" s="10">
        <f ca="1">VLOOKUP(dict_DQ_Meth_max[[#This Row],[ID_DataQualities]],table_DataQualities[],9,FALSE)</f>
        <v>4330</v>
      </c>
    </row>
    <row r="769" spans="1:13" x14ac:dyDescent="0.45">
      <c r="A769" s="10">
        <v>205</v>
      </c>
      <c r="B769" s="10">
        <v>71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1219.47</v>
      </c>
      <c r="G769" s="12">
        <f ca="1">(RANDBETWEEN(50,100)/100)*(dict_DQ_Meth_max[[#This Row],[Vergleich_ub]]-dict_DQ_Meth_max[[#This Row],[Vergleich_lb]])+dict_DQ_Meth_max[[#This Row],[Vergleich_lb]]</f>
        <v>3094.31</v>
      </c>
      <c r="H769" s="11" t="str">
        <f ca="1">VLOOKUP(VLOOKUP(dict_DQ_Meth_max[[#This Row],[ID_DataQualities]],table_DataQualities[],3),table_Units[],2)</f>
        <v>bit</v>
      </c>
      <c r="I769" s="10"/>
      <c r="J769" s="10"/>
      <c r="K769" s="10"/>
      <c r="L769" s="10">
        <f ca="1">VLOOKUP(dict_DQ_Meth_max[[#This Row],[ID_DataQualities]],table_DataQualities[],8,FALSE)</f>
        <v>69</v>
      </c>
      <c r="M769" s="10">
        <f ca="1">VLOOKUP(dict_DQ_Meth_max[[#This Row],[ID_DataQualities]],table_DataQualities[],9,FALSE)</f>
        <v>4330</v>
      </c>
    </row>
    <row r="770" spans="1:13" x14ac:dyDescent="0.45">
      <c r="A770" s="10">
        <v>205</v>
      </c>
      <c r="B770" s="10">
        <v>49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1858.62</v>
      </c>
      <c r="G770" s="12">
        <f ca="1">(RANDBETWEEN(50,100)/100)*(dict_DQ_Meth_max[[#This Row],[Vergleich_ub]]-dict_DQ_Meth_max[[#This Row],[Vergleich_lb]])+dict_DQ_Meth_max[[#This Row],[Vergleich_lb]]</f>
        <v>3861.29</v>
      </c>
      <c r="H770" s="11" t="str">
        <f ca="1">VLOOKUP(VLOOKUP(dict_DQ_Meth_max[[#This Row],[ID_DataQualities]],table_DataQualities[],3),table_Units[],2)</f>
        <v>bit</v>
      </c>
      <c r="I770" s="10"/>
      <c r="J770" s="10"/>
      <c r="K770" s="10"/>
      <c r="L770" s="10">
        <f ca="1">VLOOKUP(dict_DQ_Meth_max[[#This Row],[ID_DataQualities]],table_DataQualities[],8,FALSE)</f>
        <v>69</v>
      </c>
      <c r="M770" s="10">
        <f ca="1">VLOOKUP(dict_DQ_Meth_max[[#This Row],[ID_DataQualities]],table_DataQualities[],9,FALSE)</f>
        <v>4330</v>
      </c>
    </row>
    <row r="771" spans="1:13" x14ac:dyDescent="0.45">
      <c r="A771" s="10">
        <v>205</v>
      </c>
      <c r="B771" s="10">
        <v>66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1006.42</v>
      </c>
      <c r="G771" s="12">
        <f ca="1">(RANDBETWEEN(50,100)/100)*(dict_DQ_Meth_max[[#This Row],[Vergleich_ub]]-dict_DQ_Meth_max[[#This Row],[Vergleich_lb]])+dict_DQ_Meth_max[[#This Row],[Vergleich_lb]]</f>
        <v>4202.17</v>
      </c>
      <c r="H771" s="11" t="str">
        <f ca="1">VLOOKUP(VLOOKUP(dict_DQ_Meth_max[[#This Row],[ID_DataQualities]],table_DataQualities[],3),table_Units[],2)</f>
        <v>bit</v>
      </c>
      <c r="I771" s="10"/>
      <c r="J771" s="10"/>
      <c r="K771" s="10"/>
      <c r="L771" s="10">
        <f ca="1">VLOOKUP(dict_DQ_Meth_max[[#This Row],[ID_DataQualities]],table_DataQualities[],8,FALSE)</f>
        <v>69</v>
      </c>
      <c r="M771" s="10">
        <f ca="1">VLOOKUP(dict_DQ_Meth_max[[#This Row],[ID_DataQualities]],table_DataQualities[],9,FALSE)</f>
        <v>4330</v>
      </c>
    </row>
    <row r="772" spans="1:13" x14ac:dyDescent="0.45">
      <c r="A772" s="10">
        <v>206</v>
      </c>
      <c r="B772" s="10">
        <v>21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3326.9466800000005</v>
      </c>
      <c r="G772" s="12">
        <f ca="1">(RANDBETWEEN(50,100)/100)*(dict_DQ_Meth_max[[#This Row],[Vergleich_ub]]-dict_DQ_Meth_max[[#This Row],[Vergleich_lb]])+dict_DQ_Meth_max[[#This Row],[Vergleich_lb]]</f>
        <v>5940.8615</v>
      </c>
      <c r="H772" s="11" t="str">
        <f ca="1">VLOOKUP(VLOOKUP(dict_DQ_Meth_max[[#This Row],[ID_DataQualities]],table_DataQualities[],3),table_Units[],2)</f>
        <v>Hz</v>
      </c>
      <c r="I772" s="10"/>
      <c r="J772" s="10"/>
      <c r="K772" s="10"/>
      <c r="L772" s="10">
        <f ca="1">VLOOKUP(dict_DQ_Meth_max[[#This Row],[ID_DataQualities]],table_DataQualities[],8,FALSE)</f>
        <v>0.14599999999999999</v>
      </c>
      <c r="M772" s="10">
        <f ca="1">VLOOKUP(dict_DQ_Meth_max[[#This Row],[ID_DataQualities]],table_DataQualities[],9,FALSE)</f>
        <v>7921.1</v>
      </c>
    </row>
    <row r="773" spans="1:13" x14ac:dyDescent="0.45">
      <c r="A773" s="10">
        <v>206</v>
      </c>
      <c r="B773" s="10">
        <v>472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2138.8035800000007</v>
      </c>
      <c r="G773" s="12">
        <f ca="1">(RANDBETWEEN(50,100)/100)*(dict_DQ_Meth_max[[#This Row],[Vergleich_ub]]-dict_DQ_Meth_max[[#This Row],[Vergleich_lb]])+dict_DQ_Meth_max[[#This Row],[Vergleich_lb]]</f>
        <v>5069.55656</v>
      </c>
      <c r="H773" s="11" t="str">
        <f ca="1">VLOOKUP(VLOOKUP(dict_DQ_Meth_max[[#This Row],[ID_DataQualities]],table_DataQualities[],3),table_Units[],2)</f>
        <v>Hz</v>
      </c>
      <c r="I773" s="10"/>
      <c r="J773" s="10"/>
      <c r="K773" s="10"/>
      <c r="L773" s="10">
        <f ca="1">VLOOKUP(dict_DQ_Meth_max[[#This Row],[ID_DataQualities]],table_DataQualities[],8,FALSE)</f>
        <v>0.14599999999999999</v>
      </c>
      <c r="M773" s="10">
        <f ca="1">VLOOKUP(dict_DQ_Meth_max[[#This Row],[ID_DataQualities]],table_DataQualities[],9,FALSE)</f>
        <v>7921.1</v>
      </c>
    </row>
    <row r="774" spans="1:13" x14ac:dyDescent="0.45">
      <c r="A774" s="10">
        <v>206</v>
      </c>
      <c r="B774" s="10">
        <v>105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1346.7081800000001</v>
      </c>
      <c r="G774" s="12">
        <f ca="1">(RANDBETWEEN(50,100)/100)*(dict_DQ_Meth_max[[#This Row],[Vergleich_ub]]-dict_DQ_Meth_max[[#This Row],[Vergleich_lb]])+dict_DQ_Meth_max[[#This Row],[Vergleich_lb]]</f>
        <v>6099.2805800000006</v>
      </c>
      <c r="H774" s="11" t="str">
        <f ca="1">VLOOKUP(VLOOKUP(dict_DQ_Meth_max[[#This Row],[ID_DataQualities]],table_DataQualities[],3),table_Units[],2)</f>
        <v>Hz</v>
      </c>
      <c r="I774" s="10"/>
      <c r="J774" s="10"/>
      <c r="K774" s="10"/>
      <c r="L774" s="10">
        <f ca="1">VLOOKUP(dict_DQ_Meth_max[[#This Row],[ID_DataQualities]],table_DataQualities[],8,FALSE)</f>
        <v>0.14599999999999999</v>
      </c>
      <c r="M774" s="10">
        <f ca="1">VLOOKUP(dict_DQ_Meth_max[[#This Row],[ID_DataQualities]],table_DataQualities[],9,FALSE)</f>
        <v>7921.1</v>
      </c>
    </row>
    <row r="775" spans="1:13" x14ac:dyDescent="0.45">
      <c r="A775" s="10">
        <v>207</v>
      </c>
      <c r="B775" s="10">
        <v>21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3.5464000000000002</v>
      </c>
      <c r="G775" s="12">
        <f ca="1">(RANDBETWEEN(50,100)/100)*(dict_DQ_Meth_max[[#This Row],[Vergleich_ub]]-dict_DQ_Meth_max[[#This Row],[Vergleich_lb]])+dict_DQ_Meth_max[[#This Row],[Vergleich_lb]]</f>
        <v>8.8505000000000003</v>
      </c>
      <c r="H775" s="11" t="str">
        <f ca="1">VLOOKUP(VLOOKUP(dict_DQ_Meth_max[[#This Row],[ID_DataQualities]],table_DataQualities[],3),table_Units[],2)</f>
        <v>+/- mm/s</v>
      </c>
      <c r="I775" s="10"/>
      <c r="J775" s="10"/>
      <c r="K775" s="10"/>
      <c r="L775" s="10">
        <f ca="1">VLOOKUP(dict_DQ_Meth_max[[#This Row],[ID_DataQualities]],table_DataQualities[],8,FALSE)</f>
        <v>0.31</v>
      </c>
      <c r="M775" s="10">
        <f ca="1">VLOOKUP(dict_DQ_Meth_max[[#This Row],[ID_DataQualities]],table_DataQualities[],9,FALSE)</f>
        <v>9.3000000000000007</v>
      </c>
    </row>
    <row r="776" spans="1:13" x14ac:dyDescent="0.45">
      <c r="A776" s="10">
        <v>207</v>
      </c>
      <c r="B776" s="10">
        <v>105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3.9060000000000001</v>
      </c>
      <c r="G776" s="12">
        <f ca="1">(RANDBETWEEN(50,100)/100)*(dict_DQ_Meth_max[[#This Row],[Vergleich_ub]]-dict_DQ_Meth_max[[#This Row],[Vergleich_lb]])+dict_DQ_Meth_max[[#This Row],[Vergleich_lb]]</f>
        <v>5.2545000000000002</v>
      </c>
      <c r="H776" s="11" t="str">
        <f ca="1">VLOOKUP(VLOOKUP(dict_DQ_Meth_max[[#This Row],[ID_DataQualities]],table_DataQualities[],3),table_Units[],2)</f>
        <v>+/- mm/s</v>
      </c>
      <c r="I776" s="10"/>
      <c r="J776" s="10"/>
      <c r="K776" s="10"/>
      <c r="L776" s="10">
        <f ca="1">VLOOKUP(dict_DQ_Meth_max[[#This Row],[ID_DataQualities]],table_DataQualities[],8,FALSE)</f>
        <v>0.31</v>
      </c>
      <c r="M776" s="10">
        <f ca="1">VLOOKUP(dict_DQ_Meth_max[[#This Row],[ID_DataQualities]],table_DataQualities[],9,FALSE)</f>
        <v>9.3000000000000007</v>
      </c>
    </row>
    <row r="777" spans="1:13" x14ac:dyDescent="0.45">
      <c r="A777" s="10">
        <v>207</v>
      </c>
      <c r="B777" s="10">
        <v>472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2.1978999999999997</v>
      </c>
      <c r="G777" s="12">
        <f ca="1">(RANDBETWEEN(50,100)/100)*(dict_DQ_Meth_max[[#This Row],[Vergleich_ub]]-dict_DQ_Meth_max[[#This Row],[Vergleich_lb]])+dict_DQ_Meth_max[[#This Row],[Vergleich_lb]]</f>
        <v>8.1312999999999995</v>
      </c>
      <c r="H777" s="11" t="str">
        <f ca="1">VLOOKUP(VLOOKUP(dict_DQ_Meth_max[[#This Row],[ID_DataQualities]],table_DataQualities[],3),table_Units[],2)</f>
        <v>+/- mm/s</v>
      </c>
      <c r="I777" s="10"/>
      <c r="J777" s="10"/>
      <c r="K777" s="10"/>
      <c r="L777" s="10">
        <f ca="1">VLOOKUP(dict_DQ_Meth_max[[#This Row],[ID_DataQualities]],table_DataQualities[],8,FALSE)</f>
        <v>0.31</v>
      </c>
      <c r="M777" s="10">
        <f ca="1">VLOOKUP(dict_DQ_Meth_max[[#This Row],[ID_DataQualities]],table_DataQualities[],9,FALSE)</f>
        <v>9.3000000000000007</v>
      </c>
    </row>
    <row r="778" spans="1:13" x14ac:dyDescent="0.45">
      <c r="A778" s="10">
        <v>208</v>
      </c>
      <c r="B778" s="10">
        <v>53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466.35081000000014</v>
      </c>
      <c r="G778" s="12">
        <f ca="1">(RANDBETWEEN(50,100)/100)*(dict_DQ_Meth_max[[#This Row],[Vergleich_ub]]-dict_DQ_Meth_max[[#This Row],[Vergleich_lb]])+dict_DQ_Meth_max[[#This Row],[Vergleich_lb]]</f>
        <v>1589.1329400000002</v>
      </c>
      <c r="H778" s="11" t="str">
        <f ca="1">VLOOKUP(VLOOKUP(dict_DQ_Meth_max[[#This Row],[ID_DataQualities]],table_DataQualities[],3),table_Units[],2)</f>
        <v>Hz</v>
      </c>
      <c r="I778" s="10"/>
      <c r="J778" s="10"/>
      <c r="K778" s="10"/>
      <c r="L778" s="10">
        <f ca="1">VLOOKUP(dict_DQ_Meth_max[[#This Row],[ID_DataQualities]],table_DataQualities[],8,FALSE)</f>
        <v>0.80700000000000005</v>
      </c>
      <c r="M778" s="10">
        <f ca="1">VLOOKUP(dict_DQ_Meth_max[[#This Row],[ID_DataQualities]],table_DataQualities[],9,FALSE)</f>
        <v>2739.3</v>
      </c>
    </row>
    <row r="779" spans="1:13" x14ac:dyDescent="0.45">
      <c r="A779" s="10">
        <v>208</v>
      </c>
      <c r="B779" s="10">
        <v>489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55.576860000000011</v>
      </c>
      <c r="G779" s="12">
        <f ca="1">(RANDBETWEEN(50,100)/100)*(dict_DQ_Meth_max[[#This Row],[Vergleich_ub]]-dict_DQ_Meth_max[[#This Row],[Vergleich_lb]])+dict_DQ_Meth_max[[#This Row],[Vergleich_lb]]</f>
        <v>2383.2959100000003</v>
      </c>
      <c r="H779" s="11" t="str">
        <f ca="1">VLOOKUP(VLOOKUP(dict_DQ_Meth_max[[#This Row],[ID_DataQualities]],table_DataQualities[],3),table_Units[],2)</f>
        <v>Hz</v>
      </c>
      <c r="I779" s="10"/>
      <c r="J779" s="10"/>
      <c r="K779" s="10"/>
      <c r="L779" s="10">
        <f ca="1">VLOOKUP(dict_DQ_Meth_max[[#This Row],[ID_DataQualities]],table_DataQualities[],8,FALSE)</f>
        <v>0.80700000000000005</v>
      </c>
      <c r="M779" s="10">
        <f ca="1">VLOOKUP(dict_DQ_Meth_max[[#This Row],[ID_DataQualities]],table_DataQualities[],9,FALSE)</f>
        <v>2739.3</v>
      </c>
    </row>
    <row r="780" spans="1:13" x14ac:dyDescent="0.45">
      <c r="A780" s="10">
        <v>208</v>
      </c>
      <c r="B780" s="10">
        <v>454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521.12067000000013</v>
      </c>
      <c r="G780" s="12">
        <f ca="1">(RANDBETWEEN(50,100)/100)*(dict_DQ_Meth_max[[#This Row],[Vergleich_ub]]-dict_DQ_Meth_max[[#This Row],[Vergleich_lb]])+dict_DQ_Meth_max[[#This Row],[Vergleich_lb]]</f>
        <v>1835.5973100000003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0.80700000000000005</v>
      </c>
      <c r="M780" s="10">
        <f ca="1">VLOOKUP(dict_DQ_Meth_max[[#This Row],[ID_DataQualities]],table_DataQualities[],9,FALSE)</f>
        <v>2739.3</v>
      </c>
    </row>
    <row r="781" spans="1:13" x14ac:dyDescent="0.45">
      <c r="A781" s="10">
        <v>208</v>
      </c>
      <c r="B781" s="10">
        <v>630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1041.4343400000002</v>
      </c>
      <c r="G781" s="12">
        <f ca="1">(RANDBETWEEN(50,100)/100)*(dict_DQ_Meth_max[[#This Row],[Vergleich_ub]]-dict_DQ_Meth_max[[#This Row],[Vergleich_lb]])+dict_DQ_Meth_max[[#This Row],[Vergleich_lb]]</f>
        <v>1397.4384300000002</v>
      </c>
      <c r="H781" s="11" t="str">
        <f ca="1">VLOOKUP(VLOOKUP(dict_DQ_Meth_max[[#This Row],[ID_DataQualities]],table_DataQualities[],3),table_Units[],2)</f>
        <v>Hz</v>
      </c>
      <c r="I781" s="10"/>
      <c r="J781" s="10"/>
      <c r="K781" s="10"/>
      <c r="L781" s="10">
        <f ca="1">VLOOKUP(dict_DQ_Meth_max[[#This Row],[ID_DataQualities]],table_DataQualities[],8,FALSE)</f>
        <v>0.80700000000000005</v>
      </c>
      <c r="M781" s="10">
        <f ca="1">VLOOKUP(dict_DQ_Meth_max[[#This Row],[ID_DataQualities]],table_DataQualities[],9,FALSE)</f>
        <v>2739.3</v>
      </c>
    </row>
    <row r="782" spans="1:13" x14ac:dyDescent="0.45">
      <c r="A782" s="10">
        <v>209</v>
      </c>
      <c r="B782" s="10">
        <v>489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1.635</v>
      </c>
      <c r="G782" s="12">
        <f ca="1">(RANDBETWEEN(50,100)/100)*(dict_DQ_Meth_max[[#This Row],[Vergleich_ub]]-dict_DQ_Meth_max[[#This Row],[Vergleich_lb]])+dict_DQ_Meth_max[[#This Row],[Vergleich_lb]]</f>
        <v>2.9159999999999999</v>
      </c>
      <c r="H782" s="11" t="str">
        <f ca="1">VLOOKUP(VLOOKUP(dict_DQ_Meth_max[[#This Row],[ID_DataQualities]],table_DataQualities[],3),table_Units[],2)</f>
        <v>+/- °C</v>
      </c>
      <c r="I782" s="10"/>
      <c r="J782" s="10"/>
      <c r="K782" s="10"/>
      <c r="L782" s="10">
        <f ca="1">VLOOKUP(dict_DQ_Meth_max[[#This Row],[ID_DataQualities]],table_DataQualities[],8,FALSE)</f>
        <v>0.9</v>
      </c>
      <c r="M782" s="10">
        <f ca="1">VLOOKUP(dict_DQ_Meth_max[[#This Row],[ID_DataQualities]],table_DataQualities[],9,FALSE)</f>
        <v>3</v>
      </c>
    </row>
    <row r="783" spans="1:13" x14ac:dyDescent="0.45">
      <c r="A783" s="10">
        <v>209</v>
      </c>
      <c r="B783" s="10">
        <v>454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1.7610000000000001</v>
      </c>
      <c r="G783" s="12">
        <f ca="1">(RANDBETWEEN(50,100)/100)*(dict_DQ_Meth_max[[#This Row],[Vergleich_ub]]-dict_DQ_Meth_max[[#This Row],[Vergleich_lb]])+dict_DQ_Meth_max[[#This Row],[Vergleich_lb]]</f>
        <v>2.0340000000000003</v>
      </c>
      <c r="H783" s="11" t="str">
        <f ca="1">VLOOKUP(VLOOKUP(dict_DQ_Meth_max[[#This Row],[ID_DataQualities]],table_DataQualities[],3),table_Units[],2)</f>
        <v>+/- °C</v>
      </c>
      <c r="I783" s="10"/>
      <c r="J783" s="10"/>
      <c r="K783" s="10"/>
      <c r="L783" s="10">
        <f ca="1">VLOOKUP(dict_DQ_Meth_max[[#This Row],[ID_DataQualities]],table_DataQualities[],8,FALSE)</f>
        <v>0.9</v>
      </c>
      <c r="M783" s="10">
        <f ca="1">VLOOKUP(dict_DQ_Meth_max[[#This Row],[ID_DataQualities]],table_DataQualities[],9,FALSE)</f>
        <v>3</v>
      </c>
    </row>
    <row r="784" spans="1:13" x14ac:dyDescent="0.45">
      <c r="A784" s="10">
        <v>209</v>
      </c>
      <c r="B784" s="10">
        <v>630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1.4039999999999999</v>
      </c>
      <c r="G784" s="12">
        <f ca="1">(RANDBETWEEN(50,100)/100)*(dict_DQ_Meth_max[[#This Row],[Vergleich_ub]]-dict_DQ_Meth_max[[#This Row],[Vergleich_lb]])+dict_DQ_Meth_max[[#This Row],[Vergleich_lb]]</f>
        <v>2.6850000000000001</v>
      </c>
      <c r="H784" s="11" t="str">
        <f ca="1">VLOOKUP(VLOOKUP(dict_DQ_Meth_max[[#This Row],[ID_DataQualities]],table_DataQualities[],3),table_Units[],2)</f>
        <v>+/- °C</v>
      </c>
      <c r="I784" s="10"/>
      <c r="J784" s="10"/>
      <c r="K784" s="10"/>
      <c r="L784" s="10">
        <f ca="1">VLOOKUP(dict_DQ_Meth_max[[#This Row],[ID_DataQualities]],table_DataQualities[],8,FALSE)</f>
        <v>0.9</v>
      </c>
      <c r="M784" s="10">
        <f ca="1">VLOOKUP(dict_DQ_Meth_max[[#This Row],[ID_DataQualities]],table_DataQualities[],9,FALSE)</f>
        <v>3</v>
      </c>
    </row>
    <row r="785" spans="1:13" x14ac:dyDescent="0.45">
      <c r="A785" s="10">
        <v>209</v>
      </c>
      <c r="B785" s="10">
        <v>53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1.2570000000000001</v>
      </c>
      <c r="G785" s="12">
        <f ca="1">(RANDBETWEEN(50,100)/100)*(dict_DQ_Meth_max[[#This Row],[Vergleich_ub]]-dict_DQ_Meth_max[[#This Row],[Vergleich_lb]])+dict_DQ_Meth_max[[#This Row],[Vergleich_lb]]</f>
        <v>2.8110000000000004</v>
      </c>
      <c r="H785" s="11" t="str">
        <f ca="1">VLOOKUP(VLOOKUP(dict_DQ_Meth_max[[#This Row],[ID_DataQualities]],table_DataQualities[],3),table_Units[],2)</f>
        <v>+/- °C</v>
      </c>
      <c r="I785" s="10"/>
      <c r="J785" s="10"/>
      <c r="K785" s="10"/>
      <c r="L785" s="10">
        <f ca="1">VLOOKUP(dict_DQ_Meth_max[[#This Row],[ID_DataQualities]],table_DataQualities[],8,FALSE)</f>
        <v>0.9</v>
      </c>
      <c r="M785" s="10">
        <f ca="1">VLOOKUP(dict_DQ_Meth_max[[#This Row],[ID_DataQualities]],table_DataQualities[],9,FALSE)</f>
        <v>3</v>
      </c>
    </row>
    <row r="786" spans="1:13" x14ac:dyDescent="0.45">
      <c r="A786" s="10">
        <v>210</v>
      </c>
      <c r="B786" s="10">
        <v>10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368.55200000000002</v>
      </c>
      <c r="G786" s="12">
        <f ca="1">(RANDBETWEEN(50,100)/100)*(dict_DQ_Meth_max[[#This Row],[Vergleich_ub]]-dict_DQ_Meth_max[[#This Row],[Vergleich_lb]])+dict_DQ_Meth_max[[#This Row],[Vergleich_lb]]</f>
        <v>1676.0596</v>
      </c>
      <c r="H786" s="11" t="str">
        <f ca="1">VLOOKUP(VLOOKUP(dict_DQ_Meth_max[[#This Row],[ID_DataQualities]],table_DataQualities[],3),table_Units[],2)</f>
        <v>Hz</v>
      </c>
      <c r="I786" s="10"/>
      <c r="J786" s="10"/>
      <c r="K786" s="10"/>
      <c r="L786" s="10">
        <f ca="1">VLOOKUP(dict_DQ_Meth_max[[#This Row],[ID_DataQualities]],table_DataQualities[],8,FALSE)</f>
        <v>0.24</v>
      </c>
      <c r="M786" s="10">
        <f ca="1">VLOOKUP(dict_DQ_Meth_max[[#This Row],[ID_DataQualities]],table_DataQualities[],9,FALSE)</f>
        <v>1841.8</v>
      </c>
    </row>
    <row r="787" spans="1:13" x14ac:dyDescent="0.45">
      <c r="A787" s="10">
        <v>210</v>
      </c>
      <c r="B787" s="10">
        <v>557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350.13639999999998</v>
      </c>
      <c r="G787" s="12">
        <f ca="1">(RANDBETWEEN(50,100)/100)*(dict_DQ_Meth_max[[#This Row],[Vergleich_ub]]-dict_DQ_Meth_max[[#This Row],[Vergleich_lb]])+dict_DQ_Meth_max[[#This Row],[Vergleich_lb]]</f>
        <v>1841.8</v>
      </c>
      <c r="H787" s="11" t="str">
        <f ca="1">VLOOKUP(VLOOKUP(dict_DQ_Meth_max[[#This Row],[ID_DataQualities]],table_DataQualities[],3),table_Units[],2)</f>
        <v>Hz</v>
      </c>
      <c r="I787" s="10"/>
      <c r="J787" s="10"/>
      <c r="K787" s="10"/>
      <c r="L787" s="10">
        <f ca="1">VLOOKUP(dict_DQ_Meth_max[[#This Row],[ID_DataQualities]],table_DataQualities[],8,FALSE)</f>
        <v>0.24</v>
      </c>
      <c r="M787" s="10">
        <f ca="1">VLOOKUP(dict_DQ_Meth_max[[#This Row],[ID_DataQualities]],table_DataQualities[],9,FALSE)</f>
        <v>1841.8</v>
      </c>
    </row>
    <row r="788" spans="1:13" x14ac:dyDescent="0.45">
      <c r="A788" s="10">
        <v>210</v>
      </c>
      <c r="B788" s="10">
        <v>187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18.6556</v>
      </c>
      <c r="G788" s="12">
        <f ca="1">(RANDBETWEEN(50,100)/100)*(dict_DQ_Meth_max[[#This Row],[Vergleich_ub]]-dict_DQ_Meth_max[[#This Row],[Vergleich_lb]])+dict_DQ_Meth_max[[#This Row],[Vergleich_lb]]</f>
        <v>1547.1504</v>
      </c>
      <c r="H788" s="11" t="str">
        <f ca="1">VLOOKUP(VLOOKUP(dict_DQ_Meth_max[[#This Row],[ID_DataQualities]],table_DataQualities[],3),table_Units[],2)</f>
        <v>Hz</v>
      </c>
      <c r="I788" s="10"/>
      <c r="J788" s="10"/>
      <c r="K788" s="10"/>
      <c r="L788" s="10">
        <f ca="1">VLOOKUP(dict_DQ_Meth_max[[#This Row],[ID_DataQualities]],table_DataQualities[],8,FALSE)</f>
        <v>0.24</v>
      </c>
      <c r="M788" s="10">
        <f ca="1">VLOOKUP(dict_DQ_Meth_max[[#This Row],[ID_DataQualities]],table_DataQualities[],9,FALSE)</f>
        <v>1841.8</v>
      </c>
    </row>
    <row r="789" spans="1:13" x14ac:dyDescent="0.45">
      <c r="A789" s="10">
        <v>210</v>
      </c>
      <c r="B789" s="10">
        <v>215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110.73359999999998</v>
      </c>
      <c r="G789" s="12">
        <f ca="1">(RANDBETWEEN(50,100)/100)*(dict_DQ_Meth_max[[#This Row],[Vergleich_ub]]-dict_DQ_Meth_max[[#This Row],[Vergleich_lb]])+dict_DQ_Meth_max[[#This Row],[Vergleich_lb]]</f>
        <v>1731.3063999999999</v>
      </c>
      <c r="H789" s="11" t="str">
        <f ca="1">VLOOKUP(VLOOKUP(dict_DQ_Meth_max[[#This Row],[ID_DataQualities]],table_DataQualities[],3),table_Units[],2)</f>
        <v>Hz</v>
      </c>
      <c r="I789" s="10"/>
      <c r="J789" s="10"/>
      <c r="K789" s="10"/>
      <c r="L789" s="10">
        <f ca="1">VLOOKUP(dict_DQ_Meth_max[[#This Row],[ID_DataQualities]],table_DataQualities[],8,FALSE)</f>
        <v>0.24</v>
      </c>
      <c r="M789" s="10">
        <f ca="1">VLOOKUP(dict_DQ_Meth_max[[#This Row],[ID_DataQualities]],table_DataQualities[],9,FALSE)</f>
        <v>1841.8</v>
      </c>
    </row>
    <row r="790" spans="1:13" x14ac:dyDescent="0.45">
      <c r="A790" s="10">
        <v>211</v>
      </c>
      <c r="B790" s="10">
        <v>187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1.0283599999999999</v>
      </c>
      <c r="G790" s="12">
        <f ca="1">(RANDBETWEEN(50,100)/100)*(dict_DQ_Meth_max[[#This Row],[Vergleich_ub]]-dict_DQ_Meth_max[[#This Row],[Vergleich_lb]])+dict_DQ_Meth_max[[#This Row],[Vergleich_lb]]</f>
        <v>3.0627499999999999</v>
      </c>
      <c r="H790" s="11" t="str">
        <f ca="1">VLOOKUP(VLOOKUP(dict_DQ_Meth_max[[#This Row],[ID_DataQualities]],table_DataQualities[],3),table_Units[],2)</f>
        <v>+/- W</v>
      </c>
      <c r="I790" s="10"/>
      <c r="J790" s="10"/>
      <c r="K790" s="10"/>
      <c r="L790" s="10">
        <f ca="1">VLOOKUP(dict_DQ_Meth_max[[#This Row],[ID_DataQualities]],table_DataQualities[],8,FALSE)</f>
        <v>7.0999999999999994E-2</v>
      </c>
      <c r="M790" s="10">
        <f ca="1">VLOOKUP(dict_DQ_Meth_max[[#This Row],[ID_DataQualities]],table_DataQualities[],9,FALSE)</f>
        <v>4.0599999999999996</v>
      </c>
    </row>
    <row r="791" spans="1:13" x14ac:dyDescent="0.45">
      <c r="A791" s="10">
        <v>211</v>
      </c>
      <c r="B791" s="10">
        <v>215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1.8660499999999998</v>
      </c>
      <c r="G791" s="12">
        <f ca="1">(RANDBETWEEN(50,100)/100)*(dict_DQ_Meth_max[[#This Row],[Vergleich_ub]]-dict_DQ_Meth_max[[#This Row],[Vergleich_lb]])+dict_DQ_Meth_max[[#This Row],[Vergleich_lb]]</f>
        <v>3.2223099999999998</v>
      </c>
      <c r="H791" s="11" t="str">
        <f ca="1">VLOOKUP(VLOOKUP(dict_DQ_Meth_max[[#This Row],[ID_DataQualities]],table_DataQualities[],3),table_Units[],2)</f>
        <v>+/- W</v>
      </c>
      <c r="I791" s="10"/>
      <c r="J791" s="10"/>
      <c r="K791" s="10"/>
      <c r="L791" s="10">
        <f ca="1">VLOOKUP(dict_DQ_Meth_max[[#This Row],[ID_DataQualities]],table_DataQualities[],8,FALSE)</f>
        <v>7.0999999999999994E-2</v>
      </c>
      <c r="M791" s="10">
        <f ca="1">VLOOKUP(dict_DQ_Meth_max[[#This Row],[ID_DataQualities]],table_DataQualities[],9,FALSE)</f>
        <v>4.0599999999999996</v>
      </c>
    </row>
    <row r="792" spans="1:13" x14ac:dyDescent="0.45">
      <c r="A792" s="10">
        <v>211</v>
      </c>
      <c r="B792" s="10">
        <v>557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1.0682499999999999</v>
      </c>
      <c r="G792" s="12">
        <f ca="1">(RANDBETWEEN(50,100)/100)*(dict_DQ_Meth_max[[#This Row],[Vergleich_ub]]-dict_DQ_Meth_max[[#This Row],[Vergleich_lb]])+dict_DQ_Meth_max[[#This Row],[Vergleich_lb]]</f>
        <v>2.9829699999999999</v>
      </c>
      <c r="H792" s="11" t="str">
        <f ca="1">VLOOKUP(VLOOKUP(dict_DQ_Meth_max[[#This Row],[ID_DataQualities]],table_DataQualities[],3),table_Units[],2)</f>
        <v>+/- W</v>
      </c>
      <c r="I792" s="10"/>
      <c r="J792" s="10"/>
      <c r="K792" s="10"/>
      <c r="L792" s="10">
        <f ca="1">VLOOKUP(dict_DQ_Meth_max[[#This Row],[ID_DataQualities]],table_DataQualities[],8,FALSE)</f>
        <v>7.0999999999999994E-2</v>
      </c>
      <c r="M792" s="10">
        <f ca="1">VLOOKUP(dict_DQ_Meth_max[[#This Row],[ID_DataQualities]],table_DataQualities[],9,FALSE)</f>
        <v>4.0599999999999996</v>
      </c>
    </row>
    <row r="793" spans="1:13" x14ac:dyDescent="0.45">
      <c r="A793" s="10">
        <v>211</v>
      </c>
      <c r="B793" s="10">
        <v>10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1.8660499999999998</v>
      </c>
      <c r="G793" s="12">
        <f ca="1">(RANDBETWEEN(50,100)/100)*(dict_DQ_Meth_max[[#This Row],[Vergleich_ub]]-dict_DQ_Meth_max[[#This Row],[Vergleich_lb]])+dict_DQ_Meth_max[[#This Row],[Vergleich_lb]]</f>
        <v>3.5813199999999998</v>
      </c>
      <c r="H793" s="11" t="str">
        <f ca="1">VLOOKUP(VLOOKUP(dict_DQ_Meth_max[[#This Row],[ID_DataQualities]],table_DataQualities[],3),table_Units[],2)</f>
        <v>+/- W</v>
      </c>
      <c r="I793" s="10"/>
      <c r="J793" s="10"/>
      <c r="K793" s="10"/>
      <c r="L793" s="10">
        <f ca="1">VLOOKUP(dict_DQ_Meth_max[[#This Row],[ID_DataQualities]],table_DataQualities[],8,FALSE)</f>
        <v>7.0999999999999994E-2</v>
      </c>
      <c r="M793" s="10">
        <f ca="1">VLOOKUP(dict_DQ_Meth_max[[#This Row],[ID_DataQualities]],table_DataQualities[],9,FALSE)</f>
        <v>4.0599999999999996</v>
      </c>
    </row>
    <row r="794" spans="1:13" x14ac:dyDescent="0.45">
      <c r="A794" s="10">
        <v>212</v>
      </c>
      <c r="B794" s="10">
        <v>380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436.76455999999996</v>
      </c>
      <c r="G794" s="12">
        <f ca="1">(RANDBETWEEN(50,100)/100)*(dict_DQ_Meth_max[[#This Row],[Vergleich_ub]]-dict_DQ_Meth_max[[#This Row],[Vergleich_lb]])+dict_DQ_Meth_max[[#This Row],[Vergleich_lb]]</f>
        <v>4845.7</v>
      </c>
      <c r="H794" s="11" t="str">
        <f ca="1">VLOOKUP(VLOOKUP(dict_DQ_Meth_max[[#This Row],[ID_DataQualities]],table_DataQualities[],3),table_Units[],2)</f>
        <v>Hz</v>
      </c>
      <c r="I794" s="10"/>
      <c r="J794" s="10"/>
      <c r="K794" s="10"/>
      <c r="L794" s="10">
        <f ca="1">VLOOKUP(dict_DQ_Meth_max[[#This Row],[ID_DataQualities]],table_DataQualities[],8,FALSE)</f>
        <v>0.71599999999999997</v>
      </c>
      <c r="M794" s="10">
        <f ca="1">VLOOKUP(dict_DQ_Meth_max[[#This Row],[ID_DataQualities]],table_DataQualities[],9,FALSE)</f>
        <v>4845.7</v>
      </c>
    </row>
    <row r="795" spans="1:13" x14ac:dyDescent="0.45">
      <c r="A795" s="10">
        <v>212</v>
      </c>
      <c r="B795" s="10">
        <v>635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1115.0623199999998</v>
      </c>
      <c r="G795" s="12">
        <f ca="1">(RANDBETWEEN(50,100)/100)*(dict_DQ_Meth_max[[#This Row],[Vergleich_ub]]-dict_DQ_Meth_max[[#This Row],[Vergleich_lb]])+dict_DQ_Meth_max[[#This Row],[Vergleich_lb]]</f>
        <v>4748.8003199999994</v>
      </c>
      <c r="H795" s="11" t="str">
        <f ca="1">VLOOKUP(VLOOKUP(dict_DQ_Meth_max[[#This Row],[ID_DataQualities]],table_DataQualities[],3),table_Units[],2)</f>
        <v>Hz</v>
      </c>
      <c r="I795" s="10"/>
      <c r="J795" s="10"/>
      <c r="K795" s="10"/>
      <c r="L795" s="10">
        <f ca="1">VLOOKUP(dict_DQ_Meth_max[[#This Row],[ID_DataQualities]],table_DataQualities[],8,FALSE)</f>
        <v>0.71599999999999997</v>
      </c>
      <c r="M795" s="10">
        <f ca="1">VLOOKUP(dict_DQ_Meth_max[[#This Row],[ID_DataQualities]],table_DataQualities[],9,FALSE)</f>
        <v>4845.7</v>
      </c>
    </row>
    <row r="796" spans="1:13" x14ac:dyDescent="0.45">
      <c r="A796" s="10">
        <v>212</v>
      </c>
      <c r="B796" s="10">
        <v>470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679.01376000000005</v>
      </c>
      <c r="G796" s="12">
        <f ca="1">(RANDBETWEEN(50,100)/100)*(dict_DQ_Meth_max[[#This Row],[Vergleich_ub]]-dict_DQ_Meth_max[[#This Row],[Vergleich_lb]])+dict_DQ_Meth_max[[#This Row],[Vergleich_lb]]</f>
        <v>3537.5543199999993</v>
      </c>
      <c r="H796" s="11" t="str">
        <f ca="1">VLOOKUP(VLOOKUP(dict_DQ_Meth_max[[#This Row],[ID_DataQualities]],table_DataQualities[],3),table_Units[],2)</f>
        <v>Hz</v>
      </c>
      <c r="I796" s="10"/>
      <c r="J796" s="10"/>
      <c r="K796" s="10"/>
      <c r="L796" s="10">
        <f ca="1">VLOOKUP(dict_DQ_Meth_max[[#This Row],[ID_DataQualities]],table_DataQualities[],8,FALSE)</f>
        <v>0.71599999999999997</v>
      </c>
      <c r="M796" s="10">
        <f ca="1">VLOOKUP(dict_DQ_Meth_max[[#This Row],[ID_DataQualities]],table_DataQualities[],9,FALSE)</f>
        <v>4845.7</v>
      </c>
    </row>
    <row r="797" spans="1:13" x14ac:dyDescent="0.45">
      <c r="A797" s="10">
        <v>212</v>
      </c>
      <c r="B797" s="10">
        <v>88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242.96519999999998</v>
      </c>
      <c r="G797" s="12">
        <f ca="1">(RANDBETWEEN(50,100)/100)*(dict_DQ_Meth_max[[#This Row],[Vergleich_ub]]-dict_DQ_Meth_max[[#This Row],[Vergleich_lb]])+dict_DQ_Meth_max[[#This Row],[Vergleich_lb]]</f>
        <v>4361.2016000000003</v>
      </c>
      <c r="H797" s="11" t="str">
        <f ca="1">VLOOKUP(VLOOKUP(dict_DQ_Meth_max[[#This Row],[ID_DataQualities]],table_DataQualities[],3),table_Units[],2)</f>
        <v>Hz</v>
      </c>
      <c r="I797" s="10"/>
      <c r="J797" s="10"/>
      <c r="K797" s="10"/>
      <c r="L797" s="10">
        <f ca="1">VLOOKUP(dict_DQ_Meth_max[[#This Row],[ID_DataQualities]],table_DataQualities[],8,FALSE)</f>
        <v>0.71599999999999997</v>
      </c>
      <c r="M797" s="10">
        <f ca="1">VLOOKUP(dict_DQ_Meth_max[[#This Row],[ID_DataQualities]],table_DataQualities[],9,FALSE)</f>
        <v>4845.7</v>
      </c>
    </row>
    <row r="798" spans="1:13" x14ac:dyDescent="0.45">
      <c r="A798" s="10">
        <v>213</v>
      </c>
      <c r="B798" s="10">
        <v>380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1.8340000000000001</v>
      </c>
      <c r="G798" s="12">
        <f ca="1">(RANDBETWEEN(50,100)/100)*(dict_DQ_Meth_max[[#This Row],[Vergleich_ub]]-dict_DQ_Meth_max[[#This Row],[Vergleich_lb]])+dict_DQ_Meth_max[[#This Row],[Vergleich_lb]]</f>
        <v>2.6040000000000001</v>
      </c>
      <c r="H798" s="11" t="str">
        <f ca="1">VLOOKUP(VLOOKUP(dict_DQ_Meth_max[[#This Row],[ID_DataQualities]],table_DataQualities[],3),table_Units[],2)</f>
        <v>+/- °C</v>
      </c>
      <c r="I798" s="10"/>
      <c r="J798" s="10"/>
      <c r="K798" s="10"/>
      <c r="L798" s="10">
        <f ca="1">VLOOKUP(dict_DQ_Meth_max[[#This Row],[ID_DataQualities]],table_DataQualities[],8,FALSE)</f>
        <v>0.8</v>
      </c>
      <c r="M798" s="10">
        <f ca="1">VLOOKUP(dict_DQ_Meth_max[[#This Row],[ID_DataQualities]],table_DataQualities[],9,FALSE)</f>
        <v>3</v>
      </c>
    </row>
    <row r="799" spans="1:13" x14ac:dyDescent="0.45">
      <c r="A799" s="10">
        <v>213</v>
      </c>
      <c r="B799" s="10">
        <v>635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1.6800000000000002</v>
      </c>
      <c r="G799" s="12">
        <f ca="1">(RANDBETWEEN(50,100)/100)*(dict_DQ_Meth_max[[#This Row],[Vergleich_ub]]-dict_DQ_Meth_max[[#This Row],[Vergleich_lb]])+dict_DQ_Meth_max[[#This Row],[Vergleich_lb]]</f>
        <v>2.1420000000000003</v>
      </c>
      <c r="H799" s="11" t="str">
        <f ca="1">VLOOKUP(VLOOKUP(dict_DQ_Meth_max[[#This Row],[ID_DataQualities]],table_DataQualities[],3),table_Units[],2)</f>
        <v>+/- °C</v>
      </c>
      <c r="I799" s="10"/>
      <c r="J799" s="10"/>
      <c r="K799" s="10"/>
      <c r="L799" s="10">
        <f ca="1">VLOOKUP(dict_DQ_Meth_max[[#This Row],[ID_DataQualities]],table_DataQualities[],8,FALSE)</f>
        <v>0.8</v>
      </c>
      <c r="M799" s="10">
        <f ca="1">VLOOKUP(dict_DQ_Meth_max[[#This Row],[ID_DataQualities]],table_DataQualities[],9,FALSE)</f>
        <v>3</v>
      </c>
    </row>
    <row r="800" spans="1:13" x14ac:dyDescent="0.45">
      <c r="A800" s="10">
        <v>213</v>
      </c>
      <c r="B800" s="10">
        <v>470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1.504</v>
      </c>
      <c r="G800" s="12">
        <f ca="1">(RANDBETWEEN(50,100)/100)*(dict_DQ_Meth_max[[#This Row],[Vergleich_ub]]-dict_DQ_Meth_max[[#This Row],[Vergleich_lb]])+dict_DQ_Meth_max[[#This Row],[Vergleich_lb]]</f>
        <v>2.4060000000000001</v>
      </c>
      <c r="H800" s="11" t="str">
        <f ca="1">VLOOKUP(VLOOKUP(dict_DQ_Meth_max[[#This Row],[ID_DataQualities]],table_DataQualities[],3),table_Units[],2)</f>
        <v>+/- °C</v>
      </c>
      <c r="I800" s="10"/>
      <c r="J800" s="10"/>
      <c r="K800" s="10"/>
      <c r="L800" s="10">
        <f ca="1">VLOOKUP(dict_DQ_Meth_max[[#This Row],[ID_DataQualities]],table_DataQualities[],8,FALSE)</f>
        <v>0.8</v>
      </c>
      <c r="M800" s="10">
        <f ca="1">VLOOKUP(dict_DQ_Meth_max[[#This Row],[ID_DataQualities]],table_DataQualities[],9,FALSE)</f>
        <v>3</v>
      </c>
    </row>
    <row r="801" spans="1:13" x14ac:dyDescent="0.45">
      <c r="A801" s="10">
        <v>213</v>
      </c>
      <c r="B801" s="10">
        <v>88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1.4160000000000001</v>
      </c>
      <c r="G801" s="12">
        <f ca="1">(RANDBETWEEN(50,100)/100)*(dict_DQ_Meth_max[[#This Row],[Vergleich_ub]]-dict_DQ_Meth_max[[#This Row],[Vergleich_lb]])+dict_DQ_Meth_max[[#This Row],[Vergleich_lb]]</f>
        <v>2.6920000000000002</v>
      </c>
      <c r="H801" s="11" t="str">
        <f ca="1">VLOOKUP(VLOOKUP(dict_DQ_Meth_max[[#This Row],[ID_DataQualities]],table_DataQualities[],3),table_Units[],2)</f>
        <v>+/- °C</v>
      </c>
      <c r="I801" s="10"/>
      <c r="J801" s="10"/>
      <c r="K801" s="10"/>
      <c r="L801" s="10">
        <f ca="1">VLOOKUP(dict_DQ_Meth_max[[#This Row],[ID_DataQualities]],table_DataQualities[],8,FALSE)</f>
        <v>0.8</v>
      </c>
      <c r="M801" s="10">
        <f ca="1">VLOOKUP(dict_DQ_Meth_max[[#This Row],[ID_DataQualities]],table_DataQualities[],9,FALSE)</f>
        <v>3</v>
      </c>
    </row>
    <row r="802" spans="1:13" x14ac:dyDescent="0.45">
      <c r="A802" s="10">
        <v>214</v>
      </c>
      <c r="B802" s="10">
        <v>427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1143.8513999999998</v>
      </c>
      <c r="G802" s="12">
        <f ca="1">(RANDBETWEEN(50,100)/100)*(dict_DQ_Meth_max[[#This Row],[Vergleich_ub]]-dict_DQ_Meth_max[[#This Row],[Vergleich_lb]])+dict_DQ_Meth_max[[#This Row],[Vergleich_lb]]</f>
        <v>4066.3371999999999</v>
      </c>
      <c r="H802" s="11" t="str">
        <f ca="1">VLOOKUP(VLOOKUP(dict_DQ_Meth_max[[#This Row],[ID_DataQualities]],table_DataQualities[],3),table_Units[],2)</f>
        <v>Hz</v>
      </c>
      <c r="I802" s="10"/>
      <c r="J802" s="10"/>
      <c r="K802" s="10"/>
      <c r="L802" s="10">
        <f ca="1">VLOOKUP(dict_DQ_Meth_max[[#This Row],[ID_DataQualities]],table_DataQualities[],8,FALSE)</f>
        <v>0.27</v>
      </c>
      <c r="M802" s="10">
        <f ca="1">VLOOKUP(dict_DQ_Meth_max[[#This Row],[ID_DataQualities]],table_DataQualities[],9,FALSE)</f>
        <v>6353.5</v>
      </c>
    </row>
    <row r="803" spans="1:13" x14ac:dyDescent="0.45">
      <c r="A803" s="10">
        <v>214</v>
      </c>
      <c r="B803" s="10">
        <v>491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1207.3836999999999</v>
      </c>
      <c r="G803" s="12">
        <f ca="1">(RANDBETWEEN(50,100)/100)*(dict_DQ_Meth_max[[#This Row],[Vergleich_ub]]-dict_DQ_Meth_max[[#This Row],[Vergleich_lb]])+dict_DQ_Meth_max[[#This Row],[Vergleich_lb]]</f>
        <v>5209.9186</v>
      </c>
      <c r="H803" s="11" t="str">
        <f ca="1">VLOOKUP(VLOOKUP(dict_DQ_Meth_max[[#This Row],[ID_DataQualities]],table_DataQualities[],3),table_Units[],2)</f>
        <v>Hz</v>
      </c>
      <c r="I803" s="10"/>
      <c r="J803" s="10"/>
      <c r="K803" s="10"/>
      <c r="L803" s="10">
        <f ca="1">VLOOKUP(dict_DQ_Meth_max[[#This Row],[ID_DataQualities]],table_DataQualities[],8,FALSE)</f>
        <v>0.27</v>
      </c>
      <c r="M803" s="10">
        <f ca="1">VLOOKUP(dict_DQ_Meth_max[[#This Row],[ID_DataQualities]],table_DataQualities[],9,FALSE)</f>
        <v>6353.5</v>
      </c>
    </row>
    <row r="804" spans="1:13" x14ac:dyDescent="0.45">
      <c r="A804" s="10">
        <v>214</v>
      </c>
      <c r="B804" s="10">
        <v>355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1906.2389999999998</v>
      </c>
      <c r="G804" s="12">
        <f ca="1">(RANDBETWEEN(50,100)/100)*(dict_DQ_Meth_max[[#This Row],[Vergleich_ub]]-dict_DQ_Meth_max[[#This Row],[Vergleich_lb]])+dict_DQ_Meth_max[[#This Row],[Vergleich_lb]]</f>
        <v>4129.8695000000007</v>
      </c>
      <c r="H804" s="11" t="str">
        <f ca="1">VLOOKUP(VLOOKUP(dict_DQ_Meth_max[[#This Row],[ID_DataQualities]],table_DataQualities[],3),table_Units[],2)</f>
        <v>Hz</v>
      </c>
      <c r="I804" s="10"/>
      <c r="J804" s="10"/>
      <c r="K804" s="10"/>
      <c r="L804" s="10">
        <f ca="1">VLOOKUP(dict_DQ_Meth_max[[#This Row],[ID_DataQualities]],table_DataQualities[],8,FALSE)</f>
        <v>0.27</v>
      </c>
      <c r="M804" s="10">
        <f ca="1">VLOOKUP(dict_DQ_Meth_max[[#This Row],[ID_DataQualities]],table_DataQualities[],9,FALSE)</f>
        <v>6353.5</v>
      </c>
    </row>
    <row r="805" spans="1:13" x14ac:dyDescent="0.45">
      <c r="A805" s="10">
        <v>215</v>
      </c>
      <c r="B805" s="10">
        <v>427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7.5170000000000001E-2</v>
      </c>
      <c r="G805" s="12">
        <f ca="1">(RANDBETWEEN(50,100)/100)*(dict_DQ_Meth_max[[#This Row],[Vergleich_ub]]-dict_DQ_Meth_max[[#This Row],[Vergleich_lb]])+dict_DQ_Meth_max[[#This Row],[Vergleich_lb]]</f>
        <v>0.16992999999999997</v>
      </c>
      <c r="H805" s="11" t="str">
        <f ca="1">VLOOKUP(VLOOKUP(dict_DQ_Meth_max[[#This Row],[ID_DataQualities]],table_DataQualities[],3),table_Units[],2)</f>
        <v>+/- cm³/s</v>
      </c>
      <c r="I805" s="10"/>
      <c r="J805" s="10"/>
      <c r="K805" s="10"/>
      <c r="L805" s="10">
        <f ca="1">VLOOKUP(dict_DQ_Meth_max[[#This Row],[ID_DataQualities]],table_DataQualities[],8,FALSE)</f>
        <v>4.1000000000000003E-3</v>
      </c>
      <c r="M805" s="10">
        <f ca="1">VLOOKUP(dict_DQ_Meth_max[[#This Row],[ID_DataQualities]],table_DataQualities[],9,FALSE)</f>
        <v>0.24099999999999999</v>
      </c>
    </row>
    <row r="806" spans="1:13" x14ac:dyDescent="0.45">
      <c r="A806" s="10">
        <v>215</v>
      </c>
      <c r="B806" s="10">
        <v>491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4.2004E-2</v>
      </c>
      <c r="G806" s="12">
        <f ca="1">(RANDBETWEEN(50,100)/100)*(dict_DQ_Meth_max[[#This Row],[Vergleich_ub]]-dict_DQ_Meth_max[[#This Row],[Vergleich_lb]])+dict_DQ_Meth_max[[#This Row],[Vergleich_lb]]</f>
        <v>0.21967900000000001</v>
      </c>
      <c r="H806" s="11" t="str">
        <f ca="1">VLOOKUP(VLOOKUP(dict_DQ_Meth_max[[#This Row],[ID_DataQualities]],table_DataQualities[],3),table_Units[],2)</f>
        <v>+/- cm³/s</v>
      </c>
      <c r="I806" s="10"/>
      <c r="J806" s="10"/>
      <c r="K806" s="10"/>
      <c r="L806" s="10">
        <f ca="1">VLOOKUP(dict_DQ_Meth_max[[#This Row],[ID_DataQualities]],table_DataQualities[],8,FALSE)</f>
        <v>4.1000000000000003E-3</v>
      </c>
      <c r="M806" s="10">
        <f ca="1">VLOOKUP(dict_DQ_Meth_max[[#This Row],[ID_DataQualities]],table_DataQualities[],9,FALSE)</f>
        <v>0.24099999999999999</v>
      </c>
    </row>
    <row r="807" spans="1:13" x14ac:dyDescent="0.45">
      <c r="A807" s="10">
        <v>215</v>
      </c>
      <c r="B807" s="10">
        <v>355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0.12018100000000001</v>
      </c>
      <c r="G807" s="12">
        <f ca="1">(RANDBETWEEN(50,100)/100)*(dict_DQ_Meth_max[[#This Row],[Vergleich_ub]]-dict_DQ_Meth_max[[#This Row],[Vergleich_lb]])+dict_DQ_Meth_max[[#This Row],[Vergleich_lb]]</f>
        <v>0.20546499999999998</v>
      </c>
      <c r="H807" s="11" t="str">
        <f ca="1">VLOOKUP(VLOOKUP(dict_DQ_Meth_max[[#This Row],[ID_DataQualities]],table_DataQualities[],3),table_Units[],2)</f>
        <v>+/- cm³/s</v>
      </c>
      <c r="I807" s="10"/>
      <c r="J807" s="10"/>
      <c r="K807" s="10"/>
      <c r="L807" s="10">
        <f ca="1">VLOOKUP(dict_DQ_Meth_max[[#This Row],[ID_DataQualities]],table_DataQualities[],8,FALSE)</f>
        <v>4.1000000000000003E-3</v>
      </c>
      <c r="M807" s="10">
        <f ca="1">VLOOKUP(dict_DQ_Meth_max[[#This Row],[ID_DataQualities]],table_DataQualities[],9,FALSE)</f>
        <v>0.24099999999999999</v>
      </c>
    </row>
    <row r="808" spans="1:13" x14ac:dyDescent="0.45">
      <c r="A808" s="10">
        <v>216</v>
      </c>
      <c r="B808" s="10">
        <v>679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1206.9304999999999</v>
      </c>
      <c r="G808" s="12">
        <f ca="1">(RANDBETWEEN(50,100)/100)*(dict_DQ_Meth_max[[#This Row],[Vergleich_ub]]-dict_DQ_Meth_max[[#This Row],[Vergleich_lb]])+dict_DQ_Meth_max[[#This Row],[Vergleich_lb]]</f>
        <v>3335.1754999999998</v>
      </c>
      <c r="H808" s="11" t="str">
        <f ca="1">VLOOKUP(VLOOKUP(dict_DQ_Meth_max[[#This Row],[ID_DataQualities]],table_DataQualities[],3),table_Units[],2)</f>
        <v>Hz</v>
      </c>
      <c r="I808" s="10"/>
      <c r="J808" s="10"/>
      <c r="K808" s="10"/>
      <c r="L808" s="10">
        <f ca="1">VLOOKUP(dict_DQ_Meth_max[[#This Row],[ID_DataQualities]],table_DataQualities[],8,FALSE)</f>
        <v>0.92500000000000004</v>
      </c>
      <c r="M808" s="10">
        <f ca="1">VLOOKUP(dict_DQ_Meth_max[[#This Row],[ID_DataQualities]],table_DataQualities[],9,FALSE)</f>
        <v>3548</v>
      </c>
    </row>
    <row r="809" spans="1:13" x14ac:dyDescent="0.45">
      <c r="A809" s="10">
        <v>216</v>
      </c>
      <c r="B809" s="10">
        <v>675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1277.8719999999998</v>
      </c>
      <c r="G809" s="12">
        <f ca="1">(RANDBETWEEN(50,100)/100)*(dict_DQ_Meth_max[[#This Row],[Vergleich_ub]]-dict_DQ_Meth_max[[#This Row],[Vergleich_lb]])+dict_DQ_Meth_max[[#This Row],[Vergleich_lb]]</f>
        <v>2732.1727500000002</v>
      </c>
      <c r="H809" s="11" t="str">
        <f ca="1">VLOOKUP(VLOOKUP(dict_DQ_Meth_max[[#This Row],[ID_DataQualities]],table_DataQualities[],3),table_Units[],2)</f>
        <v>Hz</v>
      </c>
      <c r="I809" s="10"/>
      <c r="J809" s="10"/>
      <c r="K809" s="10"/>
      <c r="L809" s="10">
        <f ca="1">VLOOKUP(dict_DQ_Meth_max[[#This Row],[ID_DataQualities]],table_DataQualities[],8,FALSE)</f>
        <v>0.92500000000000004</v>
      </c>
      <c r="M809" s="10">
        <f ca="1">VLOOKUP(dict_DQ_Meth_max[[#This Row],[ID_DataQualities]],table_DataQualities[],9,FALSE)</f>
        <v>3548</v>
      </c>
    </row>
    <row r="810" spans="1:13" x14ac:dyDescent="0.45">
      <c r="A810" s="10">
        <v>216</v>
      </c>
      <c r="B810" s="10">
        <v>305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1100.5182499999999</v>
      </c>
      <c r="G810" s="12">
        <f ca="1">(RANDBETWEEN(50,100)/100)*(dict_DQ_Meth_max[[#This Row],[Vergleich_ub]]-dict_DQ_Meth_max[[#This Row],[Vergleich_lb]])+dict_DQ_Meth_max[[#This Row],[Vergleich_lb]]</f>
        <v>3299.7047500000003</v>
      </c>
      <c r="H810" s="11" t="str">
        <f ca="1">VLOOKUP(VLOOKUP(dict_DQ_Meth_max[[#This Row],[ID_DataQualities]],table_DataQualities[],3),table_Units[],2)</f>
        <v>Hz</v>
      </c>
      <c r="I810" s="10"/>
      <c r="J810" s="10"/>
      <c r="K810" s="10"/>
      <c r="L810" s="10">
        <f ca="1">VLOOKUP(dict_DQ_Meth_max[[#This Row],[ID_DataQualities]],table_DataQualities[],8,FALSE)</f>
        <v>0.92500000000000004</v>
      </c>
      <c r="M810" s="10">
        <f ca="1">VLOOKUP(dict_DQ_Meth_max[[#This Row],[ID_DataQualities]],table_DataQualities[],9,FALSE)</f>
        <v>3548</v>
      </c>
    </row>
    <row r="811" spans="1:13" x14ac:dyDescent="0.45">
      <c r="A811" s="10">
        <v>216</v>
      </c>
      <c r="B811" s="10">
        <v>687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1419.7549999999999</v>
      </c>
      <c r="G811" s="12">
        <f ca="1">(RANDBETWEEN(50,100)/100)*(dict_DQ_Meth_max[[#This Row],[Vergleich_ub]]-dict_DQ_Meth_max[[#This Row],[Vergleich_lb]])+dict_DQ_Meth_max[[#This Row],[Vergleich_lb]]</f>
        <v>1987.287</v>
      </c>
      <c r="H811" s="11" t="str">
        <f ca="1">VLOOKUP(VLOOKUP(dict_DQ_Meth_max[[#This Row],[ID_DataQualities]],table_DataQualities[],3),table_Units[],2)</f>
        <v>Hz</v>
      </c>
      <c r="I811" s="10"/>
      <c r="J811" s="10"/>
      <c r="K811" s="10"/>
      <c r="L811" s="10">
        <f ca="1">VLOOKUP(dict_DQ_Meth_max[[#This Row],[ID_DataQualities]],table_DataQualities[],8,FALSE)</f>
        <v>0.92500000000000004</v>
      </c>
      <c r="M811" s="10">
        <f ca="1">VLOOKUP(dict_DQ_Meth_max[[#This Row],[ID_DataQualities]],table_DataQualities[],9,FALSE)</f>
        <v>3548</v>
      </c>
    </row>
    <row r="812" spans="1:13" x14ac:dyDescent="0.45">
      <c r="A812" s="10">
        <v>217</v>
      </c>
      <c r="B812" s="10">
        <v>679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3.0500000000000003</v>
      </c>
      <c r="G812" s="12">
        <f ca="1">(RANDBETWEEN(50,100)/100)*(dict_DQ_Meth_max[[#This Row],[Vergleich_ub]]-dict_DQ_Meth_max[[#This Row],[Vergleich_lb]])+dict_DQ_Meth_max[[#This Row],[Vergleich_lb]]</f>
        <v>6.2</v>
      </c>
      <c r="H812" s="11" t="str">
        <f ca="1">VLOOKUP(VLOOKUP(dict_DQ_Meth_max[[#This Row],[ID_DataQualities]],table_DataQualities[],3),table_Units[],2)</f>
        <v>+/- °C</v>
      </c>
      <c r="I812" s="10"/>
      <c r="J812" s="10"/>
      <c r="K812" s="10"/>
      <c r="L812" s="10">
        <f ca="1">VLOOKUP(dict_DQ_Meth_max[[#This Row],[ID_DataQualities]],table_DataQualities[],8,FALSE)</f>
        <v>0.5</v>
      </c>
      <c r="M812" s="10">
        <f ca="1">VLOOKUP(dict_DQ_Meth_max[[#This Row],[ID_DataQualities]],table_DataQualities[],9,FALSE)</f>
        <v>8</v>
      </c>
    </row>
    <row r="813" spans="1:13" x14ac:dyDescent="0.45">
      <c r="A813" s="10">
        <v>217</v>
      </c>
      <c r="B813" s="10">
        <v>675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2.15</v>
      </c>
      <c r="G813" s="12">
        <f ca="1">(RANDBETWEEN(50,100)/100)*(dict_DQ_Meth_max[[#This Row],[Vergleich_ub]]-dict_DQ_Meth_max[[#This Row],[Vergleich_lb]])+dict_DQ_Meth_max[[#This Row],[Vergleich_lb]]</f>
        <v>7.0250000000000004</v>
      </c>
      <c r="H813" s="11" t="str">
        <f ca="1">VLOOKUP(VLOOKUP(dict_DQ_Meth_max[[#This Row],[ID_DataQualities]],table_DataQualities[],3),table_Units[],2)</f>
        <v>+/- °C</v>
      </c>
      <c r="I813" s="10"/>
      <c r="J813" s="10"/>
      <c r="K813" s="10"/>
      <c r="L813" s="10">
        <f ca="1">VLOOKUP(dict_DQ_Meth_max[[#This Row],[ID_DataQualities]],table_DataQualities[],8,FALSE)</f>
        <v>0.5</v>
      </c>
      <c r="M813" s="10">
        <f ca="1">VLOOKUP(dict_DQ_Meth_max[[#This Row],[ID_DataQualities]],table_DataQualities[],9,FALSE)</f>
        <v>8</v>
      </c>
    </row>
    <row r="814" spans="1:13" x14ac:dyDescent="0.45">
      <c r="A814" s="10">
        <v>217</v>
      </c>
      <c r="B814" s="10">
        <v>687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0.72499999999999998</v>
      </c>
      <c r="G814" s="12">
        <f ca="1">(RANDBETWEEN(50,100)/100)*(dict_DQ_Meth_max[[#This Row],[Vergleich_ub]]-dict_DQ_Meth_max[[#This Row],[Vergleich_lb]])+dict_DQ_Meth_max[[#This Row],[Vergleich_lb]]</f>
        <v>6.4250000000000007</v>
      </c>
      <c r="H814" s="11" t="str">
        <f ca="1">VLOOKUP(VLOOKUP(dict_DQ_Meth_max[[#This Row],[ID_DataQualities]],table_DataQualities[],3),table_Units[],2)</f>
        <v>+/- °C</v>
      </c>
      <c r="I814" s="10"/>
      <c r="J814" s="10"/>
      <c r="K814" s="10"/>
      <c r="L814" s="10">
        <f ca="1">VLOOKUP(dict_DQ_Meth_max[[#This Row],[ID_DataQualities]],table_DataQualities[],8,FALSE)</f>
        <v>0.5</v>
      </c>
      <c r="M814" s="10">
        <f ca="1">VLOOKUP(dict_DQ_Meth_max[[#This Row],[ID_DataQualities]],table_DataQualities[],9,FALSE)</f>
        <v>8</v>
      </c>
    </row>
    <row r="815" spans="1:13" x14ac:dyDescent="0.45">
      <c r="A815" s="10">
        <v>217</v>
      </c>
      <c r="B815" s="10">
        <v>305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2.5250000000000004</v>
      </c>
      <c r="G815" s="12">
        <f ca="1">(RANDBETWEEN(50,100)/100)*(dict_DQ_Meth_max[[#This Row],[Vergleich_ub]]-dict_DQ_Meth_max[[#This Row],[Vergleich_lb]])+dict_DQ_Meth_max[[#This Row],[Vergleich_lb]]</f>
        <v>5.375</v>
      </c>
      <c r="H815" s="11" t="str">
        <f ca="1">VLOOKUP(VLOOKUP(dict_DQ_Meth_max[[#This Row],[ID_DataQualities]],table_DataQualities[],3),table_Units[],2)</f>
        <v>+/- °C</v>
      </c>
      <c r="I815" s="10"/>
      <c r="J815" s="10"/>
      <c r="K815" s="10"/>
      <c r="L815" s="10">
        <f ca="1">VLOOKUP(dict_DQ_Meth_max[[#This Row],[ID_DataQualities]],table_DataQualities[],8,FALSE)</f>
        <v>0.5</v>
      </c>
      <c r="M815" s="10">
        <f ca="1">VLOOKUP(dict_DQ_Meth_max[[#This Row],[ID_DataQualities]],table_DataQualities[],9,FALSE)</f>
        <v>8</v>
      </c>
    </row>
    <row r="816" spans="1:13" x14ac:dyDescent="0.45">
      <c r="A816" s="10">
        <v>218</v>
      </c>
      <c r="B816" s="10">
        <v>107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3515.3344399999996</v>
      </c>
      <c r="G816" s="12">
        <f ca="1">(RANDBETWEEN(50,100)/100)*(dict_DQ_Meth_max[[#This Row],[Vergleich_ub]]-dict_DQ_Meth_max[[#This Row],[Vergleich_lb]])+dict_DQ_Meth_max[[#This Row],[Vergleich_lb]]</f>
        <v>6591.0797000000002</v>
      </c>
      <c r="H816" s="11" t="str">
        <f ca="1">VLOOKUP(VLOOKUP(dict_DQ_Meth_max[[#This Row],[ID_DataQualities]],table_DataQualities[],3),table_Units[],2)</f>
        <v>Hz</v>
      </c>
      <c r="I816" s="10"/>
      <c r="J816" s="10"/>
      <c r="K816" s="10"/>
      <c r="L816" s="10">
        <f ca="1">VLOOKUP(dict_DQ_Meth_max[[#This Row],[ID_DataQualities]],table_DataQualities[],8,FALSE)</f>
        <v>0.19700000000000001</v>
      </c>
      <c r="M816" s="10">
        <f ca="1">VLOOKUP(dict_DQ_Meth_max[[#This Row],[ID_DataQualities]],table_DataQualities[],9,FALSE)</f>
        <v>7323.4</v>
      </c>
    </row>
    <row r="817" spans="1:13" x14ac:dyDescent="0.45">
      <c r="A817" s="10">
        <v>218</v>
      </c>
      <c r="B817" s="10">
        <v>243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1611.3016599999999</v>
      </c>
      <c r="G817" s="12">
        <f ca="1">(RANDBETWEEN(50,100)/100)*(dict_DQ_Meth_max[[#This Row],[Vergleich_ub]]-dict_DQ_Meth_max[[#This Row],[Vergleich_lb]])+dict_DQ_Meth_max[[#This Row],[Vergleich_lb]]</f>
        <v>7323.4</v>
      </c>
      <c r="H817" s="11" t="str">
        <f ca="1">VLOOKUP(VLOOKUP(dict_DQ_Meth_max[[#This Row],[ID_DataQualities]],table_DataQualities[],3),table_Units[],2)</f>
        <v>Hz</v>
      </c>
      <c r="I817" s="10"/>
      <c r="J817" s="10"/>
      <c r="K817" s="10"/>
      <c r="L817" s="10">
        <f ca="1">VLOOKUP(dict_DQ_Meth_max[[#This Row],[ID_DataQualities]],table_DataQualities[],8,FALSE)</f>
        <v>0.19700000000000001</v>
      </c>
      <c r="M817" s="10">
        <f ca="1">VLOOKUP(dict_DQ_Meth_max[[#This Row],[ID_DataQualities]],table_DataQualities[],9,FALSE)</f>
        <v>7323.4</v>
      </c>
    </row>
    <row r="818" spans="1:13" x14ac:dyDescent="0.45">
      <c r="A818" s="10">
        <v>218</v>
      </c>
      <c r="B818" s="10">
        <v>656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732.51729999999998</v>
      </c>
      <c r="G818" s="12">
        <f ca="1">(RANDBETWEEN(50,100)/100)*(dict_DQ_Meth_max[[#This Row],[Vergleich_ub]]-dict_DQ_Meth_max[[#This Row],[Vergleich_lb]])+dict_DQ_Meth_max[[#This Row],[Vergleich_lb]]</f>
        <v>6810.7757899999997</v>
      </c>
      <c r="H818" s="11" t="str">
        <f ca="1">VLOOKUP(VLOOKUP(dict_DQ_Meth_max[[#This Row],[ID_DataQualities]],table_DataQualities[],3),table_Units[],2)</f>
        <v>Hz</v>
      </c>
      <c r="I818" s="10"/>
      <c r="J818" s="10"/>
      <c r="K818" s="10"/>
      <c r="L818" s="10">
        <f ca="1">VLOOKUP(dict_DQ_Meth_max[[#This Row],[ID_DataQualities]],table_DataQualities[],8,FALSE)</f>
        <v>0.19700000000000001</v>
      </c>
      <c r="M818" s="10">
        <f ca="1">VLOOKUP(dict_DQ_Meth_max[[#This Row],[ID_DataQualities]],table_DataQualities[],9,FALSE)</f>
        <v>7323.4</v>
      </c>
    </row>
    <row r="819" spans="1:13" x14ac:dyDescent="0.45">
      <c r="A819" s="10">
        <v>218</v>
      </c>
      <c r="B819" s="10">
        <v>337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366.35714999999999</v>
      </c>
      <c r="G819" s="12">
        <f ca="1">(RANDBETWEEN(50,100)/100)*(dict_DQ_Meth_max[[#This Row],[Vergleich_ub]]-dict_DQ_Meth_max[[#This Row],[Vergleich_lb]])+dict_DQ_Meth_max[[#This Row],[Vergleich_lb]]</f>
        <v>7176.9359399999994</v>
      </c>
      <c r="H819" s="11" t="str">
        <f ca="1">VLOOKUP(VLOOKUP(dict_DQ_Meth_max[[#This Row],[ID_DataQualities]],table_DataQualities[],3),table_Units[],2)</f>
        <v>Hz</v>
      </c>
      <c r="I819" s="10"/>
      <c r="J819" s="10"/>
      <c r="K819" s="10"/>
      <c r="L819" s="10">
        <f ca="1">VLOOKUP(dict_DQ_Meth_max[[#This Row],[ID_DataQualities]],table_DataQualities[],8,FALSE)</f>
        <v>0.19700000000000001</v>
      </c>
      <c r="M819" s="10">
        <f ca="1">VLOOKUP(dict_DQ_Meth_max[[#This Row],[ID_DataQualities]],table_DataQualities[],9,FALSE)</f>
        <v>7323.4</v>
      </c>
    </row>
    <row r="820" spans="1:13" x14ac:dyDescent="0.45">
      <c r="A820" s="10">
        <v>219</v>
      </c>
      <c r="B820" s="10">
        <v>243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1.6241099999999999</v>
      </c>
      <c r="G820" s="12">
        <f ca="1">(RANDBETWEEN(50,100)/100)*(dict_DQ_Meth_max[[#This Row],[Vergleich_ub]]-dict_DQ_Meth_max[[#This Row],[Vergleich_lb]])+dict_DQ_Meth_max[[#This Row],[Vergleich_lb]]</f>
        <v>3.55464</v>
      </c>
      <c r="H820" s="11" t="str">
        <f ca="1">VLOOKUP(VLOOKUP(dict_DQ_Meth_max[[#This Row],[ID_DataQualities]],table_DataQualities[],3),table_Units[],2)</f>
        <v>+/- W</v>
      </c>
      <c r="I820" s="10"/>
      <c r="J820" s="10"/>
      <c r="K820" s="10"/>
      <c r="L820" s="10">
        <f ca="1">VLOOKUP(dict_DQ_Meth_max[[#This Row],[ID_DataQualities]],table_DataQualities[],8,FALSE)</f>
        <v>9.2999999999999999E-2</v>
      </c>
      <c r="M820" s="10">
        <f ca="1">VLOOKUP(dict_DQ_Meth_max[[#This Row],[ID_DataQualities]],table_DataQualities[],9,FALSE)</f>
        <v>6.75</v>
      </c>
    </row>
    <row r="821" spans="1:13" x14ac:dyDescent="0.45">
      <c r="A821" s="10">
        <v>219</v>
      </c>
      <c r="B821" s="10">
        <v>656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2.2898100000000001</v>
      </c>
      <c r="G821" s="12">
        <f ca="1">(RANDBETWEEN(50,100)/100)*(dict_DQ_Meth_max[[#This Row],[Vergleich_ub]]-dict_DQ_Meth_max[[#This Row],[Vergleich_lb]])+dict_DQ_Meth_max[[#This Row],[Vergleich_lb]]</f>
        <v>4.6863299999999999</v>
      </c>
      <c r="H821" s="11" t="str">
        <f ca="1">VLOOKUP(VLOOKUP(dict_DQ_Meth_max[[#This Row],[ID_DataQualities]],table_DataQualities[],3),table_Units[],2)</f>
        <v>+/- W</v>
      </c>
      <c r="I821" s="10"/>
      <c r="J821" s="10"/>
      <c r="K821" s="10"/>
      <c r="L821" s="10">
        <f ca="1">VLOOKUP(dict_DQ_Meth_max[[#This Row],[ID_DataQualities]],table_DataQualities[],8,FALSE)</f>
        <v>9.2999999999999999E-2</v>
      </c>
      <c r="M821" s="10">
        <f ca="1">VLOOKUP(dict_DQ_Meth_max[[#This Row],[ID_DataQualities]],table_DataQualities[],9,FALSE)</f>
        <v>6.75</v>
      </c>
    </row>
    <row r="822" spans="1:13" x14ac:dyDescent="0.45">
      <c r="A822" s="10">
        <v>219</v>
      </c>
      <c r="B822" s="10">
        <v>107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0.89183999999999997</v>
      </c>
      <c r="G822" s="12">
        <f ca="1">(RANDBETWEEN(50,100)/100)*(dict_DQ_Meth_max[[#This Row],[Vergleich_ub]]-dict_DQ_Meth_max[[#This Row],[Vergleich_lb]])+dict_DQ_Meth_max[[#This Row],[Vergleich_lb]]</f>
        <v>4.4200499999999998</v>
      </c>
      <c r="H822" s="11" t="str">
        <f ca="1">VLOOKUP(VLOOKUP(dict_DQ_Meth_max[[#This Row],[ID_DataQualities]],table_DataQualities[],3),table_Units[],2)</f>
        <v>+/- W</v>
      </c>
      <c r="I822" s="10"/>
      <c r="J822" s="10"/>
      <c r="K822" s="10"/>
      <c r="L822" s="10">
        <f ca="1">VLOOKUP(dict_DQ_Meth_max[[#This Row],[ID_DataQualities]],table_DataQualities[],8,FALSE)</f>
        <v>9.2999999999999999E-2</v>
      </c>
      <c r="M822" s="10">
        <f ca="1">VLOOKUP(dict_DQ_Meth_max[[#This Row],[ID_DataQualities]],table_DataQualities[],9,FALSE)</f>
        <v>6.75</v>
      </c>
    </row>
    <row r="823" spans="1:13" x14ac:dyDescent="0.45">
      <c r="A823" s="10">
        <v>219</v>
      </c>
      <c r="B823" s="10">
        <v>337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1.6241099999999999</v>
      </c>
      <c r="G823" s="12">
        <f ca="1">(RANDBETWEEN(50,100)/100)*(dict_DQ_Meth_max[[#This Row],[Vergleich_ub]]-dict_DQ_Meth_max[[#This Row],[Vergleich_lb]])+dict_DQ_Meth_max[[#This Row],[Vergleich_lb]]</f>
        <v>5.0191799999999995</v>
      </c>
      <c r="H823" s="11" t="str">
        <f ca="1">VLOOKUP(VLOOKUP(dict_DQ_Meth_max[[#This Row],[ID_DataQualities]],table_DataQualities[],3),table_Units[],2)</f>
        <v>+/- W</v>
      </c>
      <c r="I823" s="10"/>
      <c r="J823" s="10"/>
      <c r="K823" s="10"/>
      <c r="L823" s="10">
        <f ca="1">VLOOKUP(dict_DQ_Meth_max[[#This Row],[ID_DataQualities]],table_DataQualities[],8,FALSE)</f>
        <v>9.2999999999999999E-2</v>
      </c>
      <c r="M823" s="10">
        <f ca="1">VLOOKUP(dict_DQ_Meth_max[[#This Row],[ID_DataQualities]],table_DataQualities[],9,FALSE)</f>
        <v>6.75</v>
      </c>
    </row>
    <row r="824" spans="1:13" x14ac:dyDescent="0.45">
      <c r="A824" s="10">
        <v>220</v>
      </c>
      <c r="B824" s="10">
        <v>109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1750.7238199999999</v>
      </c>
      <c r="G824" s="12">
        <f ca="1">(RANDBETWEEN(50,100)/100)*(dict_DQ_Meth_max[[#This Row],[Vergleich_ub]]-dict_DQ_Meth_max[[#This Row],[Vergleich_lb]])+dict_DQ_Meth_max[[#This Row],[Vergleich_lb]]</f>
        <v>4210.0565400000005</v>
      </c>
      <c r="H824" s="11" t="str">
        <f ca="1">VLOOKUP(VLOOKUP(dict_DQ_Meth_max[[#This Row],[ID_DataQualities]],table_DataQualities[],3),table_Units[],2)</f>
        <v>Hz</v>
      </c>
      <c r="I824" s="10"/>
      <c r="J824" s="10"/>
      <c r="K824" s="10"/>
      <c r="L824" s="10">
        <f ca="1">VLOOKUP(dict_DQ_Meth_max[[#This Row],[ID_DataQualities]],table_DataQualities[],8,FALSE)</f>
        <v>0.81399999999999995</v>
      </c>
      <c r="M824" s="10">
        <f ca="1">VLOOKUP(dict_DQ_Meth_max[[#This Row],[ID_DataQualities]],table_DataQualities[],9,FALSE)</f>
        <v>4730.3</v>
      </c>
    </row>
    <row r="825" spans="1:13" x14ac:dyDescent="0.45">
      <c r="A825" s="10">
        <v>220</v>
      </c>
      <c r="B825" s="10">
        <v>501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946.71119999999996</v>
      </c>
      <c r="G825" s="12">
        <f ca="1">(RANDBETWEEN(50,100)/100)*(dict_DQ_Meth_max[[#This Row],[Vergleich_ub]]-dict_DQ_Meth_max[[#This Row],[Vergleich_lb]])+dict_DQ_Meth_max[[#This Row],[Vergleich_lb]]</f>
        <v>3642.5182199999999</v>
      </c>
      <c r="H825" s="11" t="str">
        <f ca="1">VLOOKUP(VLOOKUP(dict_DQ_Meth_max[[#This Row],[ID_DataQualities]],table_DataQualities[],3),table_Units[],2)</f>
        <v>Hz</v>
      </c>
      <c r="I825" s="10"/>
      <c r="J825" s="10"/>
      <c r="K825" s="10"/>
      <c r="L825" s="10">
        <f ca="1">VLOOKUP(dict_DQ_Meth_max[[#This Row],[ID_DataQualities]],table_DataQualities[],8,FALSE)</f>
        <v>0.81399999999999995</v>
      </c>
      <c r="M825" s="10">
        <f ca="1">VLOOKUP(dict_DQ_Meth_max[[#This Row],[ID_DataQualities]],table_DataQualities[],9,FALSE)</f>
        <v>4730.3</v>
      </c>
    </row>
    <row r="826" spans="1:13" x14ac:dyDescent="0.45">
      <c r="A826" s="10">
        <v>220</v>
      </c>
      <c r="B826" s="10">
        <v>102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1088.5957800000001</v>
      </c>
      <c r="G826" s="12">
        <f ca="1">(RANDBETWEEN(50,100)/100)*(dict_DQ_Meth_max[[#This Row],[Vergleich_ub]]-dict_DQ_Meth_max[[#This Row],[Vergleich_lb]])+dict_DQ_Meth_max[[#This Row],[Vergleich_lb]]</f>
        <v>4493.8257000000003</v>
      </c>
      <c r="H826" s="11" t="str">
        <f ca="1">VLOOKUP(VLOOKUP(dict_DQ_Meth_max[[#This Row],[ID_DataQualities]],table_DataQualities[],3),table_Units[],2)</f>
        <v>Hz</v>
      </c>
      <c r="I826" s="10"/>
      <c r="J826" s="10"/>
      <c r="K826" s="10"/>
      <c r="L826" s="10">
        <f ca="1">VLOOKUP(dict_DQ_Meth_max[[#This Row],[ID_DataQualities]],table_DataQualities[],8,FALSE)</f>
        <v>0.81399999999999995</v>
      </c>
      <c r="M826" s="10">
        <f ca="1">VLOOKUP(dict_DQ_Meth_max[[#This Row],[ID_DataQualities]],table_DataQualities[],9,FALSE)</f>
        <v>4730.3</v>
      </c>
    </row>
    <row r="827" spans="1:13" x14ac:dyDescent="0.45">
      <c r="A827" s="10">
        <v>221</v>
      </c>
      <c r="B827" s="10">
        <v>102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0.38262999999999997</v>
      </c>
      <c r="G827" s="12">
        <f ca="1">(RANDBETWEEN(50,100)/100)*(dict_DQ_Meth_max[[#This Row],[Vergleich_ub]]-dict_DQ_Meth_max[[#This Row],[Vergleich_lb]])+dict_DQ_Meth_max[[#This Row],[Vergleich_lb]]</f>
        <v>0.60181000000000007</v>
      </c>
      <c r="H827" s="11" t="str">
        <f ca="1">VLOOKUP(VLOOKUP(dict_DQ_Meth_max[[#This Row],[ID_DataQualities]],table_DataQualities[],3),table_Units[],2)</f>
        <v>+/- W</v>
      </c>
      <c r="I827" s="10"/>
      <c r="J827" s="10"/>
      <c r="K827" s="10"/>
      <c r="L827" s="10">
        <f ca="1">VLOOKUP(dict_DQ_Meth_max[[#This Row],[ID_DataQualities]],table_DataQualities[],8,FALSE)</f>
        <v>3.6999999999999998E-2</v>
      </c>
      <c r="M827" s="10">
        <f ca="1">VLOOKUP(dict_DQ_Meth_max[[#This Row],[ID_DataQualities]],table_DataQualities[],9,FALSE)</f>
        <v>0.88</v>
      </c>
    </row>
    <row r="828" spans="1:13" x14ac:dyDescent="0.45">
      <c r="A828" s="10">
        <v>221</v>
      </c>
      <c r="B828" s="10">
        <v>109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0.40791999999999995</v>
      </c>
      <c r="G828" s="12">
        <f ca="1">(RANDBETWEEN(50,100)/100)*(dict_DQ_Meth_max[[#This Row],[Vergleich_ub]]-dict_DQ_Meth_max[[#This Row],[Vergleich_lb]])+dict_DQ_Meth_max[[#This Row],[Vergleich_lb]]</f>
        <v>0.68611</v>
      </c>
      <c r="H828" s="11" t="str">
        <f ca="1">VLOOKUP(VLOOKUP(dict_DQ_Meth_max[[#This Row],[ID_DataQualities]],table_DataQualities[],3),table_Units[],2)</f>
        <v>+/- W</v>
      </c>
      <c r="I828" s="10"/>
      <c r="J828" s="10"/>
      <c r="K828" s="10"/>
      <c r="L828" s="10">
        <f ca="1">VLOOKUP(dict_DQ_Meth_max[[#This Row],[ID_DataQualities]],table_DataQualities[],8,FALSE)</f>
        <v>3.6999999999999998E-2</v>
      </c>
      <c r="M828" s="10">
        <f ca="1">VLOOKUP(dict_DQ_Meth_max[[#This Row],[ID_DataQualities]],table_DataQualities[],9,FALSE)</f>
        <v>0.88</v>
      </c>
    </row>
    <row r="829" spans="1:13" x14ac:dyDescent="0.45">
      <c r="A829" s="10">
        <v>221</v>
      </c>
      <c r="B829" s="10">
        <v>501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0.32361999999999996</v>
      </c>
      <c r="G829" s="12">
        <f ca="1">(RANDBETWEEN(50,100)/100)*(dict_DQ_Meth_max[[#This Row],[Vergleich_ub]]-dict_DQ_Meth_max[[#This Row],[Vergleich_lb]])+dict_DQ_Meth_max[[#This Row],[Vergleich_lb]]</f>
        <v>0.54279999999999995</v>
      </c>
      <c r="H829" s="11" t="str">
        <f ca="1">VLOOKUP(VLOOKUP(dict_DQ_Meth_max[[#This Row],[ID_DataQualities]],table_DataQualities[],3),table_Units[],2)</f>
        <v>+/- W</v>
      </c>
      <c r="I829" s="10"/>
      <c r="J829" s="10"/>
      <c r="K829" s="10"/>
      <c r="L829" s="10">
        <f ca="1">VLOOKUP(dict_DQ_Meth_max[[#This Row],[ID_DataQualities]],table_DataQualities[],8,FALSE)</f>
        <v>3.6999999999999998E-2</v>
      </c>
      <c r="M829" s="10">
        <f ca="1">VLOOKUP(dict_DQ_Meth_max[[#This Row],[ID_DataQualities]],table_DataQualities[],9,FALSE)</f>
        <v>0.88</v>
      </c>
    </row>
    <row r="830" spans="1:13" x14ac:dyDescent="0.45">
      <c r="A830" s="10">
        <v>222</v>
      </c>
      <c r="B830" s="10">
        <v>420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1919.7384</v>
      </c>
      <c r="G830" s="12">
        <f ca="1">(RANDBETWEEN(50,100)/100)*(dict_DQ_Meth_max[[#This Row],[Vergleich_ub]]-dict_DQ_Meth_max[[#This Row],[Vergleich_lb]])+dict_DQ_Meth_max[[#This Row],[Vergleich_lb]]</f>
        <v>3919.0284000000001</v>
      </c>
      <c r="H830" s="11" t="str">
        <f ca="1">VLOOKUP(VLOOKUP(dict_DQ_Meth_max[[#This Row],[ID_DataQualities]],table_DataQualities[],3),table_Units[],2)</f>
        <v>Hz</v>
      </c>
      <c r="I830" s="10"/>
      <c r="J830" s="10"/>
      <c r="K830" s="10"/>
      <c r="L830" s="10">
        <f ca="1">VLOOKUP(dict_DQ_Meth_max[[#This Row],[ID_DataQualities]],table_DataQualities[],8,FALSE)</f>
        <v>0.42</v>
      </c>
      <c r="M830" s="10">
        <f ca="1">VLOOKUP(dict_DQ_Meth_max[[#This Row],[ID_DataQualities]],table_DataQualities[],9,FALSE)</f>
        <v>3999</v>
      </c>
    </row>
    <row r="831" spans="1:13" x14ac:dyDescent="0.45">
      <c r="A831" s="10">
        <v>222</v>
      </c>
      <c r="B831" s="10">
        <v>442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1399.923</v>
      </c>
      <c r="G831" s="12">
        <f ca="1">(RANDBETWEEN(50,100)/100)*(dict_DQ_Meth_max[[#This Row],[Vergleich_ub]]-dict_DQ_Meth_max[[#This Row],[Vergleich_lb]])+dict_DQ_Meth_max[[#This Row],[Vergleich_lb]]</f>
        <v>2079.6815999999999</v>
      </c>
      <c r="H831" s="11" t="str">
        <f ca="1">VLOOKUP(VLOOKUP(dict_DQ_Meth_max[[#This Row],[ID_DataQualities]],table_DataQualities[],3),table_Units[],2)</f>
        <v>Hz</v>
      </c>
      <c r="I831" s="10"/>
      <c r="J831" s="10"/>
      <c r="K831" s="10"/>
      <c r="L831" s="10">
        <f ca="1">VLOOKUP(dict_DQ_Meth_max[[#This Row],[ID_DataQualities]],table_DataQualities[],8,FALSE)</f>
        <v>0.42</v>
      </c>
      <c r="M831" s="10">
        <f ca="1">VLOOKUP(dict_DQ_Meth_max[[#This Row],[ID_DataQualities]],table_DataQualities[],9,FALSE)</f>
        <v>3999</v>
      </c>
    </row>
    <row r="832" spans="1:13" x14ac:dyDescent="0.45">
      <c r="A832" s="10">
        <v>222</v>
      </c>
      <c r="B832" s="10">
        <v>155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840.12179999999989</v>
      </c>
      <c r="G832" s="12">
        <f ca="1">(RANDBETWEEN(50,100)/100)*(dict_DQ_Meth_max[[#This Row],[Vergleich_ub]]-dict_DQ_Meth_max[[#This Row],[Vergleich_lb]])+dict_DQ_Meth_max[[#This Row],[Vergleich_lb]]</f>
        <v>2319.5963999999999</v>
      </c>
      <c r="H832" s="11" t="str">
        <f ca="1">VLOOKUP(VLOOKUP(dict_DQ_Meth_max[[#This Row],[ID_DataQualities]],table_DataQualities[],3),table_Units[],2)</f>
        <v>Hz</v>
      </c>
      <c r="I832" s="10"/>
      <c r="J832" s="10"/>
      <c r="K832" s="10"/>
      <c r="L832" s="10">
        <f ca="1">VLOOKUP(dict_DQ_Meth_max[[#This Row],[ID_DataQualities]],table_DataQualities[],8,FALSE)</f>
        <v>0.42</v>
      </c>
      <c r="M832" s="10">
        <f ca="1">VLOOKUP(dict_DQ_Meth_max[[#This Row],[ID_DataQualities]],table_DataQualities[],9,FALSE)</f>
        <v>3999</v>
      </c>
    </row>
    <row r="833" spans="1:13" x14ac:dyDescent="0.45">
      <c r="A833" s="10">
        <v>222</v>
      </c>
      <c r="B833" s="10">
        <v>342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1239.9798000000001</v>
      </c>
      <c r="G833" s="12">
        <f ca="1">(RANDBETWEEN(50,100)/100)*(dict_DQ_Meth_max[[#This Row],[Vergleich_ub]]-dict_DQ_Meth_max[[#This Row],[Vergleich_lb]])+dict_DQ_Meth_max[[#This Row],[Vergleich_lb]]</f>
        <v>2839.4117999999999</v>
      </c>
      <c r="H833" s="11" t="str">
        <f ca="1">VLOOKUP(VLOOKUP(dict_DQ_Meth_max[[#This Row],[ID_DataQualities]],table_DataQualities[],3),table_Units[],2)</f>
        <v>Hz</v>
      </c>
      <c r="I833" s="10"/>
      <c r="J833" s="10"/>
      <c r="K833" s="10"/>
      <c r="L833" s="10">
        <f ca="1">VLOOKUP(dict_DQ_Meth_max[[#This Row],[ID_DataQualities]],table_DataQualities[],8,FALSE)</f>
        <v>0.42</v>
      </c>
      <c r="M833" s="10">
        <f ca="1">VLOOKUP(dict_DQ_Meth_max[[#This Row],[ID_DataQualities]],table_DataQualities[],9,FALSE)</f>
        <v>3999</v>
      </c>
    </row>
    <row r="834" spans="1:13" x14ac:dyDescent="0.45">
      <c r="A834" s="10">
        <v>223</v>
      </c>
      <c r="B834" s="10">
        <v>420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585.38</v>
      </c>
      <c r="G834" s="12">
        <f ca="1">(RANDBETWEEN(50,100)/100)*(dict_DQ_Meth_max[[#This Row],[Vergleich_ub]]-dict_DQ_Meth_max[[#This Row],[Vergleich_lb]])+dict_DQ_Meth_max[[#This Row],[Vergleich_lb]]</f>
        <v>1095.76</v>
      </c>
      <c r="H834" s="11" t="str">
        <f ca="1">VLOOKUP(VLOOKUP(dict_DQ_Meth_max[[#This Row],[ID_DataQualities]],table_DataQualities[],3),table_Units[],2)</f>
        <v>bit</v>
      </c>
      <c r="I834" s="10"/>
      <c r="J834" s="10"/>
      <c r="K834" s="10"/>
      <c r="L834" s="10">
        <f ca="1">VLOOKUP(dict_DQ_Meth_max[[#This Row],[ID_DataQualities]],table_DataQualities[],8,FALSE)</f>
        <v>75</v>
      </c>
      <c r="M834" s="10">
        <f ca="1">VLOOKUP(dict_DQ_Meth_max[[#This Row],[ID_DataQualities]],table_DataQualities[],9,FALSE)</f>
        <v>2038</v>
      </c>
    </row>
    <row r="835" spans="1:13" x14ac:dyDescent="0.45">
      <c r="A835" s="10">
        <v>223</v>
      </c>
      <c r="B835" s="10">
        <v>442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801.31</v>
      </c>
      <c r="G835" s="12">
        <f ca="1">(RANDBETWEEN(50,100)/100)*(dict_DQ_Meth_max[[#This Row],[Vergleich_ub]]-dict_DQ_Meth_max[[#This Row],[Vergleich_lb]])+dict_DQ_Meth_max[[#This Row],[Vergleich_lb]]</f>
        <v>1527.62</v>
      </c>
      <c r="H835" s="11" t="str">
        <f ca="1">VLOOKUP(VLOOKUP(dict_DQ_Meth_max[[#This Row],[ID_DataQualities]],table_DataQualities[],3),table_Units[],2)</f>
        <v>bit</v>
      </c>
      <c r="I835" s="10"/>
      <c r="J835" s="10"/>
      <c r="K835" s="10"/>
      <c r="L835" s="10">
        <f ca="1">VLOOKUP(dict_DQ_Meth_max[[#This Row],[ID_DataQualities]],table_DataQualities[],8,FALSE)</f>
        <v>75</v>
      </c>
      <c r="M835" s="10">
        <f ca="1">VLOOKUP(dict_DQ_Meth_max[[#This Row],[ID_DataQualities]],table_DataQualities[],9,FALSE)</f>
        <v>2038</v>
      </c>
    </row>
    <row r="836" spans="1:13" x14ac:dyDescent="0.45">
      <c r="A836" s="10">
        <v>223</v>
      </c>
      <c r="B836" s="10">
        <v>155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153.51999999999998</v>
      </c>
      <c r="G836" s="12">
        <f ca="1">(RANDBETWEEN(50,100)/100)*(dict_DQ_Meth_max[[#This Row],[Vergleich_ub]]-dict_DQ_Meth_max[[#This Row],[Vergleich_lb]])+dict_DQ_Meth_max[[#This Row],[Vergleich_lb]]</f>
        <v>1507.99</v>
      </c>
      <c r="H836" s="11" t="str">
        <f ca="1">VLOOKUP(VLOOKUP(dict_DQ_Meth_max[[#This Row],[ID_DataQualities]],table_DataQualities[],3),table_Units[],2)</f>
        <v>bit</v>
      </c>
      <c r="I836" s="10"/>
      <c r="J836" s="10"/>
      <c r="K836" s="10"/>
      <c r="L836" s="10">
        <f ca="1">VLOOKUP(dict_DQ_Meth_max[[#This Row],[ID_DataQualities]],table_DataQualities[],8,FALSE)</f>
        <v>75</v>
      </c>
      <c r="M836" s="10">
        <f ca="1">VLOOKUP(dict_DQ_Meth_max[[#This Row],[ID_DataQualities]],table_DataQualities[],9,FALSE)</f>
        <v>2038</v>
      </c>
    </row>
    <row r="837" spans="1:13" x14ac:dyDescent="0.45">
      <c r="A837" s="10">
        <v>223</v>
      </c>
      <c r="B837" s="10">
        <v>342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565.75</v>
      </c>
      <c r="G837" s="12">
        <f ca="1">(RANDBETWEEN(50,100)/100)*(dict_DQ_Meth_max[[#This Row],[Vergleich_ub]]-dict_DQ_Meth_max[[#This Row],[Vergleich_lb]])+dict_DQ_Meth_max[[#This Row],[Vergleich_lb]]</f>
        <v>1684.6599999999999</v>
      </c>
      <c r="H837" s="11" t="str">
        <f ca="1">VLOOKUP(VLOOKUP(dict_DQ_Meth_max[[#This Row],[ID_DataQualities]],table_DataQualities[],3),table_Units[],2)</f>
        <v>bit</v>
      </c>
      <c r="I837" s="10"/>
      <c r="J837" s="10"/>
      <c r="K837" s="10"/>
      <c r="L837" s="10">
        <f ca="1">VLOOKUP(dict_DQ_Meth_max[[#This Row],[ID_DataQualities]],table_DataQualities[],8,FALSE)</f>
        <v>75</v>
      </c>
      <c r="M837" s="10">
        <f ca="1">VLOOKUP(dict_DQ_Meth_max[[#This Row],[ID_DataQualities]],table_DataQualities[],9,FALSE)</f>
        <v>2038</v>
      </c>
    </row>
    <row r="838" spans="1:13" x14ac:dyDescent="0.45">
      <c r="A838" s="10">
        <v>224</v>
      </c>
      <c r="B838" s="10">
        <v>308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75.950400000000016</v>
      </c>
      <c r="G838" s="12">
        <f ca="1">(RANDBETWEEN(50,100)/100)*(dict_DQ_Meth_max[[#This Row],[Vergleich_ub]]-dict_DQ_Meth_max[[#This Row],[Vergleich_lb]])+dict_DQ_Meth_max[[#This Row],[Vergleich_lb]]</f>
        <v>130.7216</v>
      </c>
      <c r="H838" s="11" t="str">
        <f ca="1">VLOOKUP(VLOOKUP(dict_DQ_Meth_max[[#This Row],[ID_DataQualities]],table_DataQualities[],3),table_Units[],2)</f>
        <v>Hz</v>
      </c>
      <c r="I838" s="10"/>
      <c r="J838" s="10"/>
      <c r="K838" s="10"/>
      <c r="L838" s="10">
        <f ca="1">VLOOKUP(dict_DQ_Meth_max[[#This Row],[ID_DataQualities]],table_DataQualities[],8,FALSE)</f>
        <v>0.64</v>
      </c>
      <c r="M838" s="10">
        <f ca="1">VLOOKUP(dict_DQ_Meth_max[[#This Row],[ID_DataQualities]],table_DataQualities[],9,FALSE)</f>
        <v>171.8</v>
      </c>
    </row>
    <row r="839" spans="1:13" x14ac:dyDescent="0.45">
      <c r="A839" s="10">
        <v>224</v>
      </c>
      <c r="B839" s="10">
        <v>673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0.64</v>
      </c>
      <c r="G839" s="12">
        <f ca="1">(RANDBETWEEN(50,100)/100)*(dict_DQ_Meth_max[[#This Row],[Vergleich_ub]]-dict_DQ_Meth_max[[#This Row],[Vergleich_lb]])+dict_DQ_Meth_max[[#This Row],[Vergleich_lb]]</f>
        <v>130.7216</v>
      </c>
      <c r="H839" s="11" t="str">
        <f ca="1">VLOOKUP(VLOOKUP(dict_DQ_Meth_max[[#This Row],[ID_DataQualities]],table_DataQualities[],3),table_Units[],2)</f>
        <v>Hz</v>
      </c>
      <c r="I839" s="10"/>
      <c r="J839" s="10"/>
      <c r="K839" s="10"/>
      <c r="L839" s="10">
        <f ca="1">VLOOKUP(dict_DQ_Meth_max[[#This Row],[ID_DataQualities]],table_DataQualities[],8,FALSE)</f>
        <v>0.64</v>
      </c>
      <c r="M839" s="10">
        <f ca="1">VLOOKUP(dict_DQ_Meth_max[[#This Row],[ID_DataQualities]],table_DataQualities[],9,FALSE)</f>
        <v>171.8</v>
      </c>
    </row>
    <row r="840" spans="1:13" x14ac:dyDescent="0.45">
      <c r="A840" s="10">
        <v>224</v>
      </c>
      <c r="B840" s="10">
        <v>465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38.295200000000008</v>
      </c>
      <c r="G840" s="12">
        <f ca="1">(RANDBETWEEN(50,100)/100)*(dict_DQ_Meth_max[[#This Row],[Vergleich_ub]]-dict_DQ_Meth_max[[#This Row],[Vergleich_lb]])+dict_DQ_Meth_max[[#This Row],[Vergleich_lb]]</f>
        <v>108.47080000000001</v>
      </c>
      <c r="H840" s="11" t="str">
        <f ca="1">VLOOKUP(VLOOKUP(dict_DQ_Meth_max[[#This Row],[ID_DataQualities]],table_DataQualities[],3),table_Units[],2)</f>
        <v>Hz</v>
      </c>
      <c r="I840" s="10"/>
      <c r="J840" s="10"/>
      <c r="K840" s="10"/>
      <c r="L840" s="10">
        <f ca="1">VLOOKUP(dict_DQ_Meth_max[[#This Row],[ID_DataQualities]],table_DataQualities[],8,FALSE)</f>
        <v>0.64</v>
      </c>
      <c r="M840" s="10">
        <f ca="1">VLOOKUP(dict_DQ_Meth_max[[#This Row],[ID_DataQualities]],table_DataQualities[],9,FALSE)</f>
        <v>171.8</v>
      </c>
    </row>
    <row r="841" spans="1:13" x14ac:dyDescent="0.45">
      <c r="A841" s="10">
        <v>224</v>
      </c>
      <c r="B841" s="10">
        <v>48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5.7747999999999999</v>
      </c>
      <c r="G841" s="12">
        <f ca="1">(RANDBETWEEN(50,100)/100)*(dict_DQ_Meth_max[[#This Row],[Vergleich_ub]]-dict_DQ_Meth_max[[#This Row],[Vergleich_lb]])+dict_DQ_Meth_max[[#This Row],[Vergleich_lb]]</f>
        <v>156.3956</v>
      </c>
      <c r="H841" s="11" t="str">
        <f ca="1">VLOOKUP(VLOOKUP(dict_DQ_Meth_max[[#This Row],[ID_DataQualities]],table_DataQualities[],3),table_Units[],2)</f>
        <v>Hz</v>
      </c>
      <c r="I841" s="10"/>
      <c r="J841" s="10"/>
      <c r="K841" s="10"/>
      <c r="L841" s="10">
        <f ca="1">VLOOKUP(dict_DQ_Meth_max[[#This Row],[ID_DataQualities]],table_DataQualities[],8,FALSE)</f>
        <v>0.64</v>
      </c>
      <c r="M841" s="10">
        <f ca="1">VLOOKUP(dict_DQ_Meth_max[[#This Row],[ID_DataQualities]],table_DataQualities[],9,FALSE)</f>
        <v>171.8</v>
      </c>
    </row>
    <row r="842" spans="1:13" x14ac:dyDescent="0.45">
      <c r="A842" s="10">
        <v>225</v>
      </c>
      <c r="B842" s="10">
        <v>465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2.2702</v>
      </c>
      <c r="G842" s="12">
        <f ca="1">(RANDBETWEEN(50,100)/100)*(dict_DQ_Meth_max[[#This Row],[Vergleich_ub]]-dict_DQ_Meth_max[[#This Row],[Vergleich_lb]])+dict_DQ_Meth_max[[#This Row],[Vergleich_lb]]</f>
        <v>6.3533999999999997</v>
      </c>
      <c r="H842" s="11" t="str">
        <f ca="1">VLOOKUP(VLOOKUP(dict_DQ_Meth_max[[#This Row],[ID_DataQualities]],table_DataQualities[],3),table_Units[],2)</f>
        <v>+/- mm/s</v>
      </c>
      <c r="I842" s="10"/>
      <c r="J842" s="10"/>
      <c r="K842" s="10"/>
      <c r="L842" s="10">
        <f ca="1">VLOOKUP(dict_DQ_Meth_max[[#This Row],[ID_DataQualities]],table_DataQualities[],8,FALSE)</f>
        <v>0.42</v>
      </c>
      <c r="M842" s="10">
        <f ca="1">VLOOKUP(dict_DQ_Meth_max[[#This Row],[ID_DataQualities]],table_DataQualities[],9,FALSE)</f>
        <v>6.8</v>
      </c>
    </row>
    <row r="843" spans="1:13" x14ac:dyDescent="0.45">
      <c r="A843" s="10">
        <v>225</v>
      </c>
      <c r="B843" s="10">
        <v>308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1.7597999999999998</v>
      </c>
      <c r="G843" s="12">
        <f ca="1">(RANDBETWEEN(50,100)/100)*(dict_DQ_Meth_max[[#This Row],[Vergleich_ub]]-dict_DQ_Meth_max[[#This Row],[Vergleich_lb]])+dict_DQ_Meth_max[[#This Row],[Vergleich_lb]]</f>
        <v>6.5447999999999995</v>
      </c>
      <c r="H843" s="11" t="str">
        <f ca="1">VLOOKUP(VLOOKUP(dict_DQ_Meth_max[[#This Row],[ID_DataQualities]],table_DataQualities[],3),table_Units[],2)</f>
        <v>+/- mm/s</v>
      </c>
      <c r="I843" s="10"/>
      <c r="J843" s="10"/>
      <c r="K843" s="10"/>
      <c r="L843" s="10">
        <f ca="1">VLOOKUP(dict_DQ_Meth_max[[#This Row],[ID_DataQualities]],table_DataQualities[],8,FALSE)</f>
        <v>0.42</v>
      </c>
      <c r="M843" s="10">
        <f ca="1">VLOOKUP(dict_DQ_Meth_max[[#This Row],[ID_DataQualities]],table_DataQualities[],9,FALSE)</f>
        <v>6.8</v>
      </c>
    </row>
    <row r="844" spans="1:13" x14ac:dyDescent="0.45">
      <c r="A844" s="10">
        <v>225</v>
      </c>
      <c r="B844" s="10">
        <v>673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0.80279999999999996</v>
      </c>
      <c r="G844" s="12">
        <f ca="1">(RANDBETWEEN(50,100)/100)*(dict_DQ_Meth_max[[#This Row],[Vergleich_ub]]-dict_DQ_Meth_max[[#This Row],[Vergleich_lb]])+dict_DQ_Meth_max[[#This Row],[Vergleich_lb]]</f>
        <v>4.5031999999999996</v>
      </c>
      <c r="H844" s="11" t="str">
        <f ca="1">VLOOKUP(VLOOKUP(dict_DQ_Meth_max[[#This Row],[ID_DataQualities]],table_DataQualities[],3),table_Units[],2)</f>
        <v>+/- mm/s</v>
      </c>
      <c r="I844" s="10"/>
      <c r="J844" s="10"/>
      <c r="K844" s="10"/>
      <c r="L844" s="10">
        <f ca="1">VLOOKUP(dict_DQ_Meth_max[[#This Row],[ID_DataQualities]],table_DataQualities[],8,FALSE)</f>
        <v>0.42</v>
      </c>
      <c r="M844" s="10">
        <f ca="1">VLOOKUP(dict_DQ_Meth_max[[#This Row],[ID_DataQualities]],table_DataQualities[],9,FALSE)</f>
        <v>6.8</v>
      </c>
    </row>
    <row r="845" spans="1:13" x14ac:dyDescent="0.45">
      <c r="A845" s="10">
        <v>225</v>
      </c>
      <c r="B845" s="10">
        <v>48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0.67520000000000002</v>
      </c>
      <c r="G845" s="12">
        <f ca="1">(RANDBETWEEN(50,100)/100)*(dict_DQ_Meth_max[[#This Row],[Vergleich_ub]]-dict_DQ_Meth_max[[#This Row],[Vergleich_lb]])+dict_DQ_Meth_max[[#This Row],[Vergleich_lb]]</f>
        <v>4.5031999999999996</v>
      </c>
      <c r="H845" s="11" t="str">
        <f ca="1">VLOOKUP(VLOOKUP(dict_DQ_Meth_max[[#This Row],[ID_DataQualities]],table_DataQualities[],3),table_Units[],2)</f>
        <v>+/- mm/s</v>
      </c>
      <c r="I845" s="10"/>
      <c r="J845" s="10"/>
      <c r="K845" s="10"/>
      <c r="L845" s="10">
        <f ca="1">VLOOKUP(dict_DQ_Meth_max[[#This Row],[ID_DataQualities]],table_DataQualities[],8,FALSE)</f>
        <v>0.42</v>
      </c>
      <c r="M845" s="10">
        <f ca="1">VLOOKUP(dict_DQ_Meth_max[[#This Row],[ID_DataQualities]],table_DataQualities[],9,FALSE)</f>
        <v>6.8</v>
      </c>
    </row>
    <row r="846" spans="1:13" x14ac:dyDescent="0.45">
      <c r="A846" s="10">
        <v>226</v>
      </c>
      <c r="B846" s="10">
        <v>695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623.85320000000002</v>
      </c>
      <c r="G846" s="12">
        <f ca="1">(RANDBETWEEN(50,100)/100)*(dict_DQ_Meth_max[[#This Row],[Vergleich_ub]]-dict_DQ_Meth_max[[#This Row],[Vergleich_lb]])+dict_DQ_Meth_max[[#This Row],[Vergleich_lb]]</f>
        <v>873.22568000000012</v>
      </c>
      <c r="H846" s="11" t="str">
        <f ca="1">VLOOKUP(VLOOKUP(dict_DQ_Meth_max[[#This Row],[ID_DataQualities]],table_DataQualities[],3),table_Units[],2)</f>
        <v>Hz</v>
      </c>
      <c r="I846" s="10"/>
      <c r="J846" s="10"/>
      <c r="K846" s="10"/>
      <c r="L846" s="10">
        <f ca="1">VLOOKUP(dict_DQ_Meth_max[[#This Row],[ID_DataQualities]],table_DataQualities[],8,FALSE)</f>
        <v>0.42199999999999999</v>
      </c>
      <c r="M846" s="10">
        <f ca="1">VLOOKUP(dict_DQ_Meth_max[[#This Row],[ID_DataQualities]],table_DataQualities[],9,FALSE)</f>
        <v>1559</v>
      </c>
    </row>
    <row r="847" spans="1:13" x14ac:dyDescent="0.45">
      <c r="A847" s="10">
        <v>226</v>
      </c>
      <c r="B847" s="10">
        <v>34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530.33852000000002</v>
      </c>
      <c r="G847" s="12">
        <f ca="1">(RANDBETWEEN(50,100)/100)*(dict_DQ_Meth_max[[#This Row],[Vergleich_ub]]-dict_DQ_Meth_max[[#This Row],[Vergleich_lb]])+dict_DQ_Meth_max[[#This Row],[Vergleich_lb]]</f>
        <v>1356.3848599999999</v>
      </c>
      <c r="H847" s="11" t="str">
        <f ca="1">VLOOKUP(VLOOKUP(dict_DQ_Meth_max[[#This Row],[ID_DataQualities]],table_DataQualities[],3),table_Units[],2)</f>
        <v>Hz</v>
      </c>
      <c r="I847" s="10"/>
      <c r="J847" s="10"/>
      <c r="K847" s="10"/>
      <c r="L847" s="10">
        <f ca="1">VLOOKUP(dict_DQ_Meth_max[[#This Row],[ID_DataQualities]],table_DataQualities[],8,FALSE)</f>
        <v>0.42199999999999999</v>
      </c>
      <c r="M847" s="10">
        <f ca="1">VLOOKUP(dict_DQ_Meth_max[[#This Row],[ID_DataQualities]],table_DataQualities[],9,FALSE)</f>
        <v>1559</v>
      </c>
    </row>
    <row r="848" spans="1:13" x14ac:dyDescent="0.45">
      <c r="A848" s="10">
        <v>226</v>
      </c>
      <c r="B848" s="10">
        <v>177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561.51008000000002</v>
      </c>
      <c r="G848" s="12">
        <f ca="1">(RANDBETWEEN(50,100)/100)*(dict_DQ_Meth_max[[#This Row],[Vergleich_ub]]-dict_DQ_Meth_max[[#This Row],[Vergleich_lb]])+dict_DQ_Meth_max[[#This Row],[Vergleich_lb]]</f>
        <v>1044.6692600000001</v>
      </c>
      <c r="H848" s="11" t="str">
        <f ca="1">VLOOKUP(VLOOKUP(dict_DQ_Meth_max[[#This Row],[ID_DataQualities]],table_DataQualities[],3),table_Units[],2)</f>
        <v>Hz</v>
      </c>
      <c r="I848" s="10"/>
      <c r="J848" s="10"/>
      <c r="K848" s="10"/>
      <c r="L848" s="10">
        <f ca="1">VLOOKUP(dict_DQ_Meth_max[[#This Row],[ID_DataQualities]],table_DataQualities[],8,FALSE)</f>
        <v>0.42199999999999999</v>
      </c>
      <c r="M848" s="10">
        <f ca="1">VLOOKUP(dict_DQ_Meth_max[[#This Row],[ID_DataQualities]],table_DataQualities[],9,FALSE)</f>
        <v>1559</v>
      </c>
    </row>
    <row r="849" spans="1:13" x14ac:dyDescent="0.45">
      <c r="A849" s="10">
        <v>227</v>
      </c>
      <c r="B849" s="10">
        <v>34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0.39800000000000002</v>
      </c>
      <c r="G849" s="12">
        <f ca="1">(RANDBETWEEN(50,100)/100)*(dict_DQ_Meth_max[[#This Row],[Vergleich_ub]]-dict_DQ_Meth_max[[#This Row],[Vergleich_lb]])+dict_DQ_Meth_max[[#This Row],[Vergleich_lb]]</f>
        <v>0.67100000000000004</v>
      </c>
      <c r="H849" s="11" t="str">
        <f ca="1">VLOOKUP(VLOOKUP(dict_DQ_Meth_max[[#This Row],[ID_DataQualities]],table_DataQualities[],3),table_Units[],2)</f>
        <v>+/- °C</v>
      </c>
      <c r="I849" s="10"/>
      <c r="J849" s="10"/>
      <c r="K849" s="10"/>
      <c r="L849" s="10">
        <f ca="1">VLOOKUP(dict_DQ_Meth_max[[#This Row],[ID_DataQualities]],table_DataQualities[],8,FALSE)</f>
        <v>0.3</v>
      </c>
      <c r="M849" s="10">
        <f ca="1">VLOOKUP(dict_DQ_Meth_max[[#This Row],[ID_DataQualities]],table_DataQualities[],9,FALSE)</f>
        <v>1</v>
      </c>
    </row>
    <row r="850" spans="1:13" x14ac:dyDescent="0.45">
      <c r="A850" s="10">
        <v>227</v>
      </c>
      <c r="B850" s="10">
        <v>695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0.51</v>
      </c>
      <c r="G850" s="12">
        <f ca="1">(RANDBETWEEN(50,100)/100)*(dict_DQ_Meth_max[[#This Row],[Vergleich_ub]]-dict_DQ_Meth_max[[#This Row],[Vergleich_lb]])+dict_DQ_Meth_max[[#This Row],[Vergleich_lb]]</f>
        <v>0.67799999999999994</v>
      </c>
      <c r="H850" s="11" t="str">
        <f ca="1">VLOOKUP(VLOOKUP(dict_DQ_Meth_max[[#This Row],[ID_DataQualities]],table_DataQualities[],3),table_Units[],2)</f>
        <v>+/- °C</v>
      </c>
      <c r="I850" s="10"/>
      <c r="J850" s="10"/>
      <c r="K850" s="10"/>
      <c r="L850" s="10">
        <f ca="1">VLOOKUP(dict_DQ_Meth_max[[#This Row],[ID_DataQualities]],table_DataQualities[],8,FALSE)</f>
        <v>0.3</v>
      </c>
      <c r="M850" s="10">
        <f ca="1">VLOOKUP(dict_DQ_Meth_max[[#This Row],[ID_DataQualities]],table_DataQualities[],9,FALSE)</f>
        <v>1</v>
      </c>
    </row>
    <row r="851" spans="1:13" x14ac:dyDescent="0.45">
      <c r="A851" s="10">
        <v>227</v>
      </c>
      <c r="B851" s="10">
        <v>177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0.46799999999999997</v>
      </c>
      <c r="G851" s="12">
        <f ca="1">(RANDBETWEEN(50,100)/100)*(dict_DQ_Meth_max[[#This Row],[Vergleich_ub]]-dict_DQ_Meth_max[[#This Row],[Vergleich_lb]])+dict_DQ_Meth_max[[#This Row],[Vergleich_lb]]</f>
        <v>0.69899999999999995</v>
      </c>
      <c r="H851" s="11" t="str">
        <f ca="1">VLOOKUP(VLOOKUP(dict_DQ_Meth_max[[#This Row],[ID_DataQualities]],table_DataQualities[],3),table_Units[],2)</f>
        <v>+/- °C</v>
      </c>
      <c r="I851" s="10"/>
      <c r="J851" s="10"/>
      <c r="K851" s="10"/>
      <c r="L851" s="10">
        <f ca="1">VLOOKUP(dict_DQ_Meth_max[[#This Row],[ID_DataQualities]],table_DataQualities[],8,FALSE)</f>
        <v>0.3</v>
      </c>
      <c r="M851" s="10">
        <f ca="1">VLOOKUP(dict_DQ_Meth_max[[#This Row],[ID_DataQualities]],table_DataQualities[],9,FALSE)</f>
        <v>1</v>
      </c>
    </row>
    <row r="852" spans="1:13" x14ac:dyDescent="0.45">
      <c r="A852" s="10">
        <v>228</v>
      </c>
      <c r="B852" s="10">
        <v>694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481.84025000000008</v>
      </c>
      <c r="G852" s="12">
        <f ca="1">(RANDBETWEEN(50,100)/100)*(dict_DQ_Meth_max[[#This Row],[Vergleich_ub]]-dict_DQ_Meth_max[[#This Row],[Vergleich_lb]])+dict_DQ_Meth_max[[#This Row],[Vergleich_lb]]</f>
        <v>3854.5470000000009</v>
      </c>
      <c r="H852" s="11" t="str">
        <f ca="1">VLOOKUP(VLOOKUP(dict_DQ_Meth_max[[#This Row],[ID_DataQualities]],table_DataQualities[],3),table_Units[],2)</f>
        <v>Hz</v>
      </c>
      <c r="I852" s="10"/>
      <c r="J852" s="10"/>
      <c r="K852" s="10"/>
      <c r="L852" s="10">
        <f ca="1">VLOOKUP(dict_DQ_Meth_max[[#This Row],[ID_DataQualities]],table_DataQualities[],8,FALSE)</f>
        <v>2.5000000000000001E-2</v>
      </c>
      <c r="M852" s="10">
        <f ca="1">VLOOKUP(dict_DQ_Meth_max[[#This Row],[ID_DataQualities]],table_DataQualities[],9,FALSE)</f>
        <v>6883.1</v>
      </c>
    </row>
    <row r="853" spans="1:13" x14ac:dyDescent="0.45">
      <c r="A853" s="10">
        <v>228</v>
      </c>
      <c r="B853" s="10">
        <v>449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1927.2860000000005</v>
      </c>
      <c r="G853" s="12">
        <f ca="1">(RANDBETWEEN(50,100)/100)*(dict_DQ_Meth_max[[#This Row],[Vergleich_ub]]-dict_DQ_Meth_max[[#This Row],[Vergleich_lb]])+dict_DQ_Meth_max[[#This Row],[Vergleich_lb]]</f>
        <v>5781.808</v>
      </c>
      <c r="H853" s="11" t="str">
        <f ca="1">VLOOKUP(VLOOKUP(dict_DQ_Meth_max[[#This Row],[ID_DataQualities]],table_DataQualities[],3),table_Units[],2)</f>
        <v>Hz</v>
      </c>
      <c r="I853" s="10"/>
      <c r="J853" s="10"/>
      <c r="K853" s="10"/>
      <c r="L853" s="10">
        <f ca="1">VLOOKUP(dict_DQ_Meth_max[[#This Row],[ID_DataQualities]],table_DataQualities[],8,FALSE)</f>
        <v>2.5000000000000001E-2</v>
      </c>
      <c r="M853" s="10">
        <f ca="1">VLOOKUP(dict_DQ_Meth_max[[#This Row],[ID_DataQualities]],table_DataQualities[],9,FALSE)</f>
        <v>6883.1</v>
      </c>
    </row>
    <row r="854" spans="1:13" x14ac:dyDescent="0.45">
      <c r="A854" s="10">
        <v>228</v>
      </c>
      <c r="B854" s="10">
        <v>26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550.67100000000005</v>
      </c>
      <c r="G854" s="12">
        <f ca="1">(RANDBETWEEN(50,100)/100)*(dict_DQ_Meth_max[[#This Row],[Vergleich_ub]]-dict_DQ_Meth_max[[#This Row],[Vergleich_lb]])+dict_DQ_Meth_max[[#This Row],[Vergleich_lb]]</f>
        <v>5231.1620000000003</v>
      </c>
      <c r="H854" s="11" t="str">
        <f ca="1">VLOOKUP(VLOOKUP(dict_DQ_Meth_max[[#This Row],[ID_DataQualities]],table_DataQualities[],3),table_Units[],2)</f>
        <v>Hz</v>
      </c>
      <c r="I854" s="10"/>
      <c r="J854" s="10"/>
      <c r="K854" s="10"/>
      <c r="L854" s="10">
        <f ca="1">VLOOKUP(dict_DQ_Meth_max[[#This Row],[ID_DataQualities]],table_DataQualities[],8,FALSE)</f>
        <v>2.5000000000000001E-2</v>
      </c>
      <c r="M854" s="10">
        <f ca="1">VLOOKUP(dict_DQ_Meth_max[[#This Row],[ID_DataQualities]],table_DataQualities[],9,FALSE)</f>
        <v>6883.1</v>
      </c>
    </row>
    <row r="855" spans="1:13" x14ac:dyDescent="0.45">
      <c r="A855" s="10">
        <v>228</v>
      </c>
      <c r="B855" s="10">
        <v>148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1927.2860000000005</v>
      </c>
      <c r="G855" s="12">
        <f ca="1">(RANDBETWEEN(50,100)/100)*(dict_DQ_Meth_max[[#This Row],[Vergleich_ub]]-dict_DQ_Meth_max[[#This Row],[Vergleich_lb]])+dict_DQ_Meth_max[[#This Row],[Vergleich_lb]]</f>
        <v>4611.6852500000005</v>
      </c>
      <c r="H855" s="11" t="str">
        <f ca="1">VLOOKUP(VLOOKUP(dict_DQ_Meth_max[[#This Row],[ID_DataQualities]],table_DataQualities[],3),table_Units[],2)</f>
        <v>Hz</v>
      </c>
      <c r="I855" s="10"/>
      <c r="J855" s="10"/>
      <c r="K855" s="10"/>
      <c r="L855" s="10">
        <f ca="1">VLOOKUP(dict_DQ_Meth_max[[#This Row],[ID_DataQualities]],table_DataQualities[],8,FALSE)</f>
        <v>2.5000000000000001E-2</v>
      </c>
      <c r="M855" s="10">
        <f ca="1">VLOOKUP(dict_DQ_Meth_max[[#This Row],[ID_DataQualities]],table_DataQualities[],9,FALSE)</f>
        <v>6883.1</v>
      </c>
    </row>
    <row r="856" spans="1:13" x14ac:dyDescent="0.45">
      <c r="A856" s="10">
        <v>228</v>
      </c>
      <c r="B856" s="10">
        <v>388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206.51725000000002</v>
      </c>
      <c r="G856" s="12">
        <f ca="1">(RANDBETWEEN(50,100)/100)*(dict_DQ_Meth_max[[#This Row],[Vergleich_ub]]-dict_DQ_Meth_max[[#This Row],[Vergleich_lb]])+dict_DQ_Meth_max[[#This Row],[Vergleich_lb]]</f>
        <v>6883.1</v>
      </c>
      <c r="H856" s="11" t="str">
        <f ca="1">VLOOKUP(VLOOKUP(dict_DQ_Meth_max[[#This Row],[ID_DataQualities]],table_DataQualities[],3),table_Units[],2)</f>
        <v>Hz</v>
      </c>
      <c r="I856" s="10"/>
      <c r="J856" s="10"/>
      <c r="K856" s="10"/>
      <c r="L856" s="10">
        <f ca="1">VLOOKUP(dict_DQ_Meth_max[[#This Row],[ID_DataQualities]],table_DataQualities[],8,FALSE)</f>
        <v>2.5000000000000001E-2</v>
      </c>
      <c r="M856" s="10">
        <f ca="1">VLOOKUP(dict_DQ_Meth_max[[#This Row],[ID_DataQualities]],table_DataQualities[],9,FALSE)</f>
        <v>6883.1</v>
      </c>
    </row>
    <row r="857" spans="1:13" x14ac:dyDescent="0.45">
      <c r="A857" s="10">
        <v>228</v>
      </c>
      <c r="B857" s="10">
        <v>550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2477.9320000000002</v>
      </c>
      <c r="G857" s="12">
        <f ca="1">(RANDBETWEEN(50,100)/100)*(dict_DQ_Meth_max[[#This Row],[Vergleich_ub]]-dict_DQ_Meth_max[[#This Row],[Vergleich_lb]])+dict_DQ_Meth_max[[#This Row],[Vergleich_lb]]</f>
        <v>5437.6542500000005</v>
      </c>
      <c r="H857" s="11" t="str">
        <f ca="1">VLOOKUP(VLOOKUP(dict_DQ_Meth_max[[#This Row],[ID_DataQualities]],table_DataQualities[],3),table_Units[],2)</f>
        <v>Hz</v>
      </c>
      <c r="I857" s="10"/>
      <c r="J857" s="10"/>
      <c r="K857" s="10"/>
      <c r="L857" s="10">
        <f ca="1">VLOOKUP(dict_DQ_Meth_max[[#This Row],[ID_DataQualities]],table_DataQualities[],8,FALSE)</f>
        <v>2.5000000000000001E-2</v>
      </c>
      <c r="M857" s="10">
        <f ca="1">VLOOKUP(dict_DQ_Meth_max[[#This Row],[ID_DataQualities]],table_DataQualities[],9,FALSE)</f>
        <v>6883.1</v>
      </c>
    </row>
    <row r="858" spans="1:13" x14ac:dyDescent="0.45">
      <c r="A858" s="10">
        <v>229</v>
      </c>
      <c r="B858" s="10">
        <v>550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0.56080000000000008</v>
      </c>
      <c r="G858" s="12">
        <f ca="1">(RANDBETWEEN(50,100)/100)*(dict_DQ_Meth_max[[#This Row],[Vergleich_ub]]-dict_DQ_Meth_max[[#This Row],[Vergleich_lb]])+dict_DQ_Meth_max[[#This Row],[Vergleich_lb]]</f>
        <v>2.2168000000000001</v>
      </c>
      <c r="H858" s="11" t="str">
        <f ca="1">VLOOKUP(VLOOKUP(dict_DQ_Meth_max[[#This Row],[ID_DataQualities]],table_DataQualities[],3),table_Units[],2)</f>
        <v>+/- mm/s</v>
      </c>
      <c r="I858" s="10"/>
      <c r="J858" s="10"/>
      <c r="K858" s="10"/>
      <c r="L858" s="10">
        <f ca="1">VLOOKUP(dict_DQ_Meth_max[[#This Row],[ID_DataQualities]],table_DataQualities[],8,FALSE)</f>
        <v>0.34</v>
      </c>
      <c r="M858" s="10">
        <f ca="1">VLOOKUP(dict_DQ_Meth_max[[#This Row],[ID_DataQualities]],table_DataQualities[],9,FALSE)</f>
        <v>3.1</v>
      </c>
    </row>
    <row r="859" spans="1:13" x14ac:dyDescent="0.45">
      <c r="A859" s="10">
        <v>229</v>
      </c>
      <c r="B859" s="10">
        <v>449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1.6924000000000001</v>
      </c>
      <c r="G859" s="12">
        <f ca="1">(RANDBETWEEN(50,100)/100)*(dict_DQ_Meth_max[[#This Row],[Vergleich_ub]]-dict_DQ_Meth_max[[#This Row],[Vergleich_lb]])+dict_DQ_Meth_max[[#This Row],[Vergleich_lb]]</f>
        <v>2.1340000000000003</v>
      </c>
      <c r="H859" s="11" t="str">
        <f ca="1">VLOOKUP(VLOOKUP(dict_DQ_Meth_max[[#This Row],[ID_DataQualities]],table_DataQualities[],3),table_Units[],2)</f>
        <v>+/- mm/s</v>
      </c>
      <c r="I859" s="10"/>
      <c r="J859" s="10"/>
      <c r="K859" s="10"/>
      <c r="L859" s="10">
        <f ca="1">VLOOKUP(dict_DQ_Meth_max[[#This Row],[ID_DataQualities]],table_DataQualities[],8,FALSE)</f>
        <v>0.34</v>
      </c>
      <c r="M859" s="10">
        <f ca="1">VLOOKUP(dict_DQ_Meth_max[[#This Row],[ID_DataQualities]],table_DataQualities[],9,FALSE)</f>
        <v>3.1</v>
      </c>
    </row>
    <row r="860" spans="1:13" x14ac:dyDescent="0.45">
      <c r="A860" s="10">
        <v>229</v>
      </c>
      <c r="B860" s="10">
        <v>26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1.3888000000000003</v>
      </c>
      <c r="G860" s="12">
        <f ca="1">(RANDBETWEEN(50,100)/100)*(dict_DQ_Meth_max[[#This Row],[Vergleich_ub]]-dict_DQ_Meth_max[[#This Row],[Vergleich_lb]])+dict_DQ_Meth_max[[#This Row],[Vergleich_lb]]</f>
        <v>2.3271999999999999</v>
      </c>
      <c r="H860" s="11" t="str">
        <f ca="1">VLOOKUP(VLOOKUP(dict_DQ_Meth_max[[#This Row],[ID_DataQualities]],table_DataQualities[],3),table_Units[],2)</f>
        <v>+/- mm/s</v>
      </c>
      <c r="I860" s="10"/>
      <c r="J860" s="10"/>
      <c r="K860" s="10"/>
      <c r="L860" s="10">
        <f ca="1">VLOOKUP(dict_DQ_Meth_max[[#This Row],[ID_DataQualities]],table_DataQualities[],8,FALSE)</f>
        <v>0.34</v>
      </c>
      <c r="M860" s="10">
        <f ca="1">VLOOKUP(dict_DQ_Meth_max[[#This Row],[ID_DataQualities]],table_DataQualities[],9,FALSE)</f>
        <v>3.1</v>
      </c>
    </row>
    <row r="861" spans="1:13" x14ac:dyDescent="0.45">
      <c r="A861" s="10">
        <v>229</v>
      </c>
      <c r="B861" s="10">
        <v>694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0.83679999999999999</v>
      </c>
      <c r="G861" s="12">
        <f ca="1">(RANDBETWEEN(50,100)/100)*(dict_DQ_Meth_max[[#This Row],[Vergleich_ub]]-dict_DQ_Meth_max[[#This Row],[Vergleich_lb]])+dict_DQ_Meth_max[[#This Row],[Vergleich_lb]]</f>
        <v>2.3548</v>
      </c>
      <c r="H861" s="11" t="str">
        <f ca="1">VLOOKUP(VLOOKUP(dict_DQ_Meth_max[[#This Row],[ID_DataQualities]],table_DataQualities[],3),table_Units[],2)</f>
        <v>+/- mm/s</v>
      </c>
      <c r="I861" s="10"/>
      <c r="J861" s="10"/>
      <c r="K861" s="10"/>
      <c r="L861" s="10">
        <f ca="1">VLOOKUP(dict_DQ_Meth_max[[#This Row],[ID_DataQualities]],table_DataQualities[],8,FALSE)</f>
        <v>0.34</v>
      </c>
      <c r="M861" s="10">
        <f ca="1">VLOOKUP(dict_DQ_Meth_max[[#This Row],[ID_DataQualities]],table_DataQualities[],9,FALSE)</f>
        <v>3.1</v>
      </c>
    </row>
    <row r="862" spans="1:13" x14ac:dyDescent="0.45">
      <c r="A862" s="10">
        <v>229</v>
      </c>
      <c r="B862" s="10">
        <v>388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1.2508000000000001</v>
      </c>
      <c r="G862" s="12">
        <f ca="1">(RANDBETWEEN(50,100)/100)*(dict_DQ_Meth_max[[#This Row],[Vergleich_ub]]-dict_DQ_Meth_max[[#This Row],[Vergleich_lb]])+dict_DQ_Meth_max[[#This Row],[Vergleich_lb]]</f>
        <v>2.0512000000000001</v>
      </c>
      <c r="H862" s="11" t="str">
        <f ca="1">VLOOKUP(VLOOKUP(dict_DQ_Meth_max[[#This Row],[ID_DataQualities]],table_DataQualities[],3),table_Units[],2)</f>
        <v>+/- mm/s</v>
      </c>
      <c r="I862" s="10"/>
      <c r="J862" s="10"/>
      <c r="K862" s="10"/>
      <c r="L862" s="10">
        <f ca="1">VLOOKUP(dict_DQ_Meth_max[[#This Row],[ID_DataQualities]],table_DataQualities[],8,FALSE)</f>
        <v>0.34</v>
      </c>
      <c r="M862" s="10">
        <f ca="1">VLOOKUP(dict_DQ_Meth_max[[#This Row],[ID_DataQualities]],table_DataQualities[],9,FALSE)</f>
        <v>3.1</v>
      </c>
    </row>
    <row r="863" spans="1:13" x14ac:dyDescent="0.45">
      <c r="A863" s="10">
        <v>229</v>
      </c>
      <c r="B863" s="10">
        <v>148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1.1956</v>
      </c>
      <c r="G863" s="12">
        <f ca="1">(RANDBETWEEN(50,100)/100)*(dict_DQ_Meth_max[[#This Row],[Vergleich_ub]]-dict_DQ_Meth_max[[#This Row],[Vergleich_lb]])+dict_DQ_Meth_max[[#This Row],[Vergleich_lb]]</f>
        <v>2.4652000000000003</v>
      </c>
      <c r="H863" s="11" t="str">
        <f ca="1">VLOOKUP(VLOOKUP(dict_DQ_Meth_max[[#This Row],[ID_DataQualities]],table_DataQualities[],3),table_Units[],2)</f>
        <v>+/- mm/s</v>
      </c>
      <c r="I863" s="10"/>
      <c r="J863" s="10"/>
      <c r="K863" s="10"/>
      <c r="L863" s="10">
        <f ca="1">VLOOKUP(dict_DQ_Meth_max[[#This Row],[ID_DataQualities]],table_DataQualities[],8,FALSE)</f>
        <v>0.34</v>
      </c>
      <c r="M863" s="10">
        <f ca="1">VLOOKUP(dict_DQ_Meth_max[[#This Row],[ID_DataQualities]],table_DataQualities[],9,FALSE)</f>
        <v>3.1</v>
      </c>
    </row>
    <row r="864" spans="1:13" x14ac:dyDescent="0.45">
      <c r="A864" s="10">
        <v>230</v>
      </c>
      <c r="B864" s="10">
        <v>379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1684.2607</v>
      </c>
      <c r="G864" s="12">
        <f ca="1">(RANDBETWEEN(50,100)/100)*(dict_DQ_Meth_max[[#This Row],[Vergleich_ub]]-dict_DQ_Meth_max[[#This Row],[Vergleich_lb]])+dict_DQ_Meth_max[[#This Row],[Vergleich_lb]]</f>
        <v>3555.0236999999997</v>
      </c>
      <c r="H864" s="11" t="str">
        <f ca="1">VLOOKUP(VLOOKUP(dict_DQ_Meth_max[[#This Row],[ID_DataQualities]],table_DataQualities[],3),table_Units[],2)</f>
        <v>Hz</v>
      </c>
      <c r="I864" s="10"/>
      <c r="J864" s="10"/>
      <c r="K864" s="10"/>
      <c r="L864" s="10">
        <f ca="1">VLOOKUP(dict_DQ_Meth_max[[#This Row],[ID_DataQualities]],table_DataQualities[],8,FALSE)</f>
        <v>0.57399999999999995</v>
      </c>
      <c r="M864" s="10">
        <f ca="1">VLOOKUP(dict_DQ_Meth_max[[#This Row],[ID_DataQualities]],table_DataQualities[],9,FALSE)</f>
        <v>3742.1</v>
      </c>
    </row>
    <row r="865" spans="1:13" x14ac:dyDescent="0.45">
      <c r="A865" s="10">
        <v>230</v>
      </c>
      <c r="B865" s="10">
        <v>192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1048.2012800000002</v>
      </c>
      <c r="G865" s="12">
        <f ca="1">(RANDBETWEEN(50,100)/100)*(dict_DQ_Meth_max[[#This Row],[Vergleich_ub]]-dict_DQ_Meth_max[[#This Row],[Vergleich_lb]])+dict_DQ_Meth_max[[#This Row],[Vergleich_lb]]</f>
        <v>2020.9980400000002</v>
      </c>
      <c r="H865" s="11" t="str">
        <f ca="1">VLOOKUP(VLOOKUP(dict_DQ_Meth_max[[#This Row],[ID_DataQualities]],table_DataQualities[],3),table_Units[],2)</f>
        <v>Hz</v>
      </c>
      <c r="I865" s="10"/>
      <c r="J865" s="10"/>
      <c r="K865" s="10"/>
      <c r="L865" s="10">
        <f ca="1">VLOOKUP(dict_DQ_Meth_max[[#This Row],[ID_DataQualities]],table_DataQualities[],8,FALSE)</f>
        <v>0.57399999999999995</v>
      </c>
      <c r="M865" s="10">
        <f ca="1">VLOOKUP(dict_DQ_Meth_max[[#This Row],[ID_DataQualities]],table_DataQualities[],9,FALSE)</f>
        <v>3742.1</v>
      </c>
    </row>
    <row r="866" spans="1:13" x14ac:dyDescent="0.45">
      <c r="A866" s="10">
        <v>231</v>
      </c>
      <c r="B866" s="10">
        <v>192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1.54</v>
      </c>
      <c r="G866" s="12">
        <f ca="1">(RANDBETWEEN(50,100)/100)*(dict_DQ_Meth_max[[#This Row],[Vergleich_ub]]-dict_DQ_Meth_max[[#This Row],[Vergleich_lb]])+dict_DQ_Meth_max[[#This Row],[Vergleich_lb]]</f>
        <v>5.5049999999999999</v>
      </c>
      <c r="H866" s="11" t="str">
        <f ca="1">VLOOKUP(VLOOKUP(dict_DQ_Meth_max[[#This Row],[ID_DataQualities]],table_DataQualities[],3),table_Units[],2)</f>
        <v>+/- °C</v>
      </c>
      <c r="I866" s="10"/>
      <c r="J866" s="10"/>
      <c r="K866" s="10"/>
      <c r="L866" s="10">
        <f ca="1">VLOOKUP(dict_DQ_Meth_max[[#This Row],[ID_DataQualities]],table_DataQualities[],8,FALSE)</f>
        <v>0.5</v>
      </c>
      <c r="M866" s="10">
        <f ca="1">VLOOKUP(dict_DQ_Meth_max[[#This Row],[ID_DataQualities]],table_DataQualities[],9,FALSE)</f>
        <v>7</v>
      </c>
    </row>
    <row r="867" spans="1:13" x14ac:dyDescent="0.45">
      <c r="A867" s="10">
        <v>231</v>
      </c>
      <c r="B867" s="10">
        <v>379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1.8</v>
      </c>
      <c r="G867" s="12">
        <f ca="1">(RANDBETWEEN(50,100)/100)*(dict_DQ_Meth_max[[#This Row],[Vergleich_ub]]-dict_DQ_Meth_max[[#This Row],[Vergleich_lb]])+dict_DQ_Meth_max[[#This Row],[Vergleich_lb]]</f>
        <v>6.22</v>
      </c>
      <c r="H867" s="11" t="str">
        <f ca="1">VLOOKUP(VLOOKUP(dict_DQ_Meth_max[[#This Row],[ID_DataQualities]],table_DataQualities[],3),table_Units[],2)</f>
        <v>+/- °C</v>
      </c>
      <c r="I867" s="10"/>
      <c r="J867" s="10"/>
      <c r="K867" s="10"/>
      <c r="L867" s="10">
        <f ca="1">VLOOKUP(dict_DQ_Meth_max[[#This Row],[ID_DataQualities]],table_DataQualities[],8,FALSE)</f>
        <v>0.5</v>
      </c>
      <c r="M867" s="10">
        <f ca="1">VLOOKUP(dict_DQ_Meth_max[[#This Row],[ID_DataQualities]],table_DataQualities[],9,FALSE)</f>
        <v>7</v>
      </c>
    </row>
    <row r="868" spans="1:13" x14ac:dyDescent="0.45">
      <c r="A868" s="10">
        <v>232</v>
      </c>
      <c r="B868" s="10">
        <v>668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0.72599999999999998</v>
      </c>
      <c r="G868" s="12">
        <f ca="1">(RANDBETWEEN(50,100)/100)*(dict_DQ_Meth_max[[#This Row],[Vergleich_ub]]-dict_DQ_Meth_max[[#This Row],[Vergleich_lb]])+dict_DQ_Meth_max[[#This Row],[Vergleich_lb]]</f>
        <v>2972.9961400000002</v>
      </c>
      <c r="H868" s="11" t="str">
        <f ca="1">VLOOKUP(VLOOKUP(dict_DQ_Meth_max[[#This Row],[ID_DataQualities]],table_DataQualities[],3),table_Units[],2)</f>
        <v>Hz</v>
      </c>
      <c r="I868" s="10"/>
      <c r="J868" s="10"/>
      <c r="K868" s="10"/>
      <c r="L868" s="10">
        <f ca="1">VLOOKUP(dict_DQ_Meth_max[[#This Row],[ID_DataQualities]],table_DataQualities[],8,FALSE)</f>
        <v>0.72599999999999998</v>
      </c>
      <c r="M868" s="10">
        <f ca="1">VLOOKUP(dict_DQ_Meth_max[[#This Row],[ID_DataQualities]],table_DataQualities[],9,FALSE)</f>
        <v>4873.3</v>
      </c>
    </row>
    <row r="869" spans="1:13" x14ac:dyDescent="0.45">
      <c r="A869" s="10">
        <v>232</v>
      </c>
      <c r="B869" s="10">
        <v>186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439.25766000000004</v>
      </c>
      <c r="G869" s="12">
        <f ca="1">(RANDBETWEEN(50,100)/100)*(dict_DQ_Meth_max[[#This Row],[Vergleich_ub]]-dict_DQ_Meth_max[[#This Row],[Vergleich_lb]])+dict_DQ_Meth_max[[#This Row],[Vergleich_lb]]</f>
        <v>2778.0931800000003</v>
      </c>
      <c r="H869" s="11" t="str">
        <f ca="1">VLOOKUP(VLOOKUP(dict_DQ_Meth_max[[#This Row],[ID_DataQualities]],table_DataQualities[],3),table_Units[],2)</f>
        <v>Hz</v>
      </c>
      <c r="I869" s="10"/>
      <c r="J869" s="10"/>
      <c r="K869" s="10"/>
      <c r="L869" s="10">
        <f ca="1">VLOOKUP(dict_DQ_Meth_max[[#This Row],[ID_DataQualities]],table_DataQualities[],8,FALSE)</f>
        <v>0.72599999999999998</v>
      </c>
      <c r="M869" s="10">
        <f ca="1">VLOOKUP(dict_DQ_Meth_max[[#This Row],[ID_DataQualities]],table_DataQualities[],9,FALSE)</f>
        <v>4873.3</v>
      </c>
    </row>
    <row r="870" spans="1:13" x14ac:dyDescent="0.45">
      <c r="A870" s="10">
        <v>232</v>
      </c>
      <c r="B870" s="10">
        <v>539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2242.1100400000005</v>
      </c>
      <c r="G870" s="12">
        <f ca="1">(RANDBETWEEN(50,100)/100)*(dict_DQ_Meth_max[[#This Row],[Vergleich_ub]]-dict_DQ_Meth_max[[#This Row],[Vergleich_lb]])+dict_DQ_Meth_max[[#This Row],[Vergleich_lb]]</f>
        <v>3703.8822400000004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0.72599999999999998</v>
      </c>
      <c r="M870" s="10">
        <f ca="1">VLOOKUP(dict_DQ_Meth_max[[#This Row],[ID_DataQualities]],table_DataQualities[],9,FALSE)</f>
        <v>4873.3</v>
      </c>
    </row>
    <row r="871" spans="1:13" x14ac:dyDescent="0.45">
      <c r="A871" s="10">
        <v>232</v>
      </c>
      <c r="B871" s="10">
        <v>696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1511.2239400000003</v>
      </c>
      <c r="G871" s="12">
        <f ca="1">(RANDBETWEEN(50,100)/100)*(dict_DQ_Meth_max[[#This Row],[Vergleich_ub]]-dict_DQ_Meth_max[[#This Row],[Vergleich_lb]])+dict_DQ_Meth_max[[#This Row],[Vergleich_lb]]</f>
        <v>2826.8189200000002</v>
      </c>
      <c r="H871" s="11" t="str">
        <f ca="1">VLOOKUP(VLOOKUP(dict_DQ_Meth_max[[#This Row],[ID_DataQualities]],table_DataQualities[],3),table_Units[],2)</f>
        <v>Hz</v>
      </c>
      <c r="I871" s="10"/>
      <c r="J871" s="10"/>
      <c r="K871" s="10"/>
      <c r="L871" s="10">
        <f ca="1">VLOOKUP(dict_DQ_Meth_max[[#This Row],[ID_DataQualities]],table_DataQualities[],8,FALSE)</f>
        <v>0.72599999999999998</v>
      </c>
      <c r="M871" s="10">
        <f ca="1">VLOOKUP(dict_DQ_Meth_max[[#This Row],[ID_DataQualities]],table_DataQualities[],9,FALSE)</f>
        <v>4873.3</v>
      </c>
    </row>
    <row r="872" spans="1:13" x14ac:dyDescent="0.45">
      <c r="A872" s="10">
        <v>233</v>
      </c>
      <c r="B872" s="10">
        <v>186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791.96999999999991</v>
      </c>
      <c r="G872" s="12">
        <f ca="1">(RANDBETWEEN(50,100)/100)*(dict_DQ_Meth_max[[#This Row],[Vergleich_ub]]-dict_DQ_Meth_max[[#This Row],[Vergleich_lb]])+dict_DQ_Meth_max[[#This Row],[Vergleich_lb]]</f>
        <v>1809.49</v>
      </c>
      <c r="H872" s="11" t="str">
        <f ca="1">VLOOKUP(VLOOKUP(dict_DQ_Meth_max[[#This Row],[ID_DataQualities]],table_DataQualities[],3),table_Units[],2)</f>
        <v>bit</v>
      </c>
      <c r="I872" s="10"/>
      <c r="J872" s="10"/>
      <c r="K872" s="10"/>
      <c r="L872" s="10">
        <f ca="1">VLOOKUP(dict_DQ_Meth_max[[#This Row],[ID_DataQualities]],table_DataQualities[],8,FALSE)</f>
        <v>47</v>
      </c>
      <c r="M872" s="10">
        <f ca="1">VLOOKUP(dict_DQ_Meth_max[[#This Row],[ID_DataQualities]],table_DataQualities[],9,FALSE)</f>
        <v>1864</v>
      </c>
    </row>
    <row r="873" spans="1:13" x14ac:dyDescent="0.45">
      <c r="A873" s="10">
        <v>233</v>
      </c>
      <c r="B873" s="10">
        <v>539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65.17</v>
      </c>
      <c r="G873" s="12">
        <f ca="1">(RANDBETWEEN(50,100)/100)*(dict_DQ_Meth_max[[#This Row],[Vergleich_ub]]-dict_DQ_Meth_max[[#This Row],[Vergleich_lb]])+dict_DQ_Meth_max[[#This Row],[Vergleich_lb]]</f>
        <v>1046.3500000000001</v>
      </c>
      <c r="H873" s="11" t="str">
        <f ca="1">VLOOKUP(VLOOKUP(dict_DQ_Meth_max[[#This Row],[ID_DataQualities]],table_DataQualities[],3),table_Units[],2)</f>
        <v>bit</v>
      </c>
      <c r="I873" s="10"/>
      <c r="J873" s="10"/>
      <c r="K873" s="10"/>
      <c r="L873" s="10">
        <f ca="1">VLOOKUP(dict_DQ_Meth_max[[#This Row],[ID_DataQualities]],table_DataQualities[],8,FALSE)</f>
        <v>47</v>
      </c>
      <c r="M873" s="10">
        <f ca="1">VLOOKUP(dict_DQ_Meth_max[[#This Row],[ID_DataQualities]],table_DataQualities[],9,FALSE)</f>
        <v>1864</v>
      </c>
    </row>
    <row r="874" spans="1:13" x14ac:dyDescent="0.45">
      <c r="A874" s="10">
        <v>233</v>
      </c>
      <c r="B874" s="10">
        <v>668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773.80000000000007</v>
      </c>
      <c r="G874" s="12">
        <f ca="1">(RANDBETWEEN(50,100)/100)*(dict_DQ_Meth_max[[#This Row],[Vergleich_ub]]-dict_DQ_Meth_max[[#This Row],[Vergleich_lb]])+dict_DQ_Meth_max[[#This Row],[Vergleich_lb]]</f>
        <v>1264.3900000000001</v>
      </c>
      <c r="H874" s="11" t="str">
        <f ca="1">VLOOKUP(VLOOKUP(dict_DQ_Meth_max[[#This Row],[ID_DataQualities]],table_DataQualities[],3),table_Units[],2)</f>
        <v>bit</v>
      </c>
      <c r="I874" s="10"/>
      <c r="J874" s="10"/>
      <c r="K874" s="10"/>
      <c r="L874" s="10">
        <f ca="1">VLOOKUP(dict_DQ_Meth_max[[#This Row],[ID_DataQualities]],table_DataQualities[],8,FALSE)</f>
        <v>47</v>
      </c>
      <c r="M874" s="10">
        <f ca="1">VLOOKUP(dict_DQ_Meth_max[[#This Row],[ID_DataQualities]],table_DataQualities[],9,FALSE)</f>
        <v>1864</v>
      </c>
    </row>
    <row r="875" spans="1:13" x14ac:dyDescent="0.45">
      <c r="A875" s="10">
        <v>233</v>
      </c>
      <c r="B875" s="10">
        <v>696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428.57</v>
      </c>
      <c r="G875" s="12">
        <f ca="1">(RANDBETWEEN(50,100)/100)*(dict_DQ_Meth_max[[#This Row],[Vergleich_ub]]-dict_DQ_Meth_max[[#This Row],[Vergleich_lb]])+dict_DQ_Meth_max[[#This Row],[Vergleich_lb]]</f>
        <v>1518.7700000000002</v>
      </c>
      <c r="H875" s="11" t="str">
        <f ca="1">VLOOKUP(VLOOKUP(dict_DQ_Meth_max[[#This Row],[ID_DataQualities]],table_DataQualities[],3),table_Units[],2)</f>
        <v>bit</v>
      </c>
      <c r="I875" s="10"/>
      <c r="J875" s="10"/>
      <c r="K875" s="10"/>
      <c r="L875" s="10">
        <f ca="1">VLOOKUP(dict_DQ_Meth_max[[#This Row],[ID_DataQualities]],table_DataQualities[],8,FALSE)</f>
        <v>47</v>
      </c>
      <c r="M875" s="10">
        <f ca="1">VLOOKUP(dict_DQ_Meth_max[[#This Row],[ID_DataQualities]],table_DataQualities[],9,FALSE)</f>
        <v>1864</v>
      </c>
    </row>
    <row r="876" spans="1:13" x14ac:dyDescent="0.45">
      <c r="A876" s="10">
        <v>234</v>
      </c>
      <c r="B876" s="10">
        <v>29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316.16975000000002</v>
      </c>
      <c r="G876" s="12">
        <f ca="1">(RANDBETWEEN(50,100)/100)*(dict_DQ_Meth_max[[#This Row],[Vergleich_ub]]-dict_DQ_Meth_max[[#This Row],[Vergleich_lb]])+dict_DQ_Meth_max[[#This Row],[Vergleich_lb]]</f>
        <v>6252.5470500000001</v>
      </c>
      <c r="H876" s="11" t="str">
        <f ca="1">VLOOKUP(VLOOKUP(dict_DQ_Meth_max[[#This Row],[ID_DataQualities]],table_DataQualities[],3),table_Units[],2)</f>
        <v>Hz</v>
      </c>
      <c r="I876" s="10"/>
      <c r="J876" s="10"/>
      <c r="K876" s="10"/>
      <c r="L876" s="10">
        <f ca="1">VLOOKUP(dict_DQ_Meth_max[[#This Row],[ID_DataQualities]],table_DataQualities[],8,FALSE)</f>
        <v>0.40500000000000003</v>
      </c>
      <c r="M876" s="10">
        <f ca="1">VLOOKUP(dict_DQ_Meth_max[[#This Row],[ID_DataQualities]],table_DataQualities[],9,FALSE)</f>
        <v>6315.7</v>
      </c>
    </row>
    <row r="877" spans="1:13" x14ac:dyDescent="0.45">
      <c r="A877" s="10">
        <v>234</v>
      </c>
      <c r="B877" s="10">
        <v>281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2463.3700500000004</v>
      </c>
      <c r="G877" s="12">
        <f ca="1">(RANDBETWEEN(50,100)/100)*(dict_DQ_Meth_max[[#This Row],[Vergleich_ub]]-dict_DQ_Meth_max[[#This Row],[Vergleich_lb]])+dict_DQ_Meth_max[[#This Row],[Vergleich_lb]]</f>
        <v>3158.0525000000002</v>
      </c>
      <c r="H877" s="11" t="str">
        <f ca="1">VLOOKUP(VLOOKUP(dict_DQ_Meth_max[[#This Row],[ID_DataQualities]],table_DataQualities[],3),table_Units[],2)</f>
        <v>Hz</v>
      </c>
      <c r="I877" s="10"/>
      <c r="J877" s="10"/>
      <c r="K877" s="10"/>
      <c r="L877" s="10">
        <f ca="1">VLOOKUP(dict_DQ_Meth_max[[#This Row],[ID_DataQualities]],table_DataQualities[],8,FALSE)</f>
        <v>0.40500000000000003</v>
      </c>
      <c r="M877" s="10">
        <f ca="1">VLOOKUP(dict_DQ_Meth_max[[#This Row],[ID_DataQualities]],table_DataQualities[],9,FALSE)</f>
        <v>6315.7</v>
      </c>
    </row>
    <row r="878" spans="1:13" x14ac:dyDescent="0.45">
      <c r="A878" s="10">
        <v>234</v>
      </c>
      <c r="B878" s="10">
        <v>445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1768.6876000000002</v>
      </c>
      <c r="G878" s="12">
        <f ca="1">(RANDBETWEEN(50,100)/100)*(dict_DQ_Meth_max[[#This Row],[Vergleich_ub]]-dict_DQ_Meth_max[[#This Row],[Vergleich_lb]])+dict_DQ_Meth_max[[#This Row],[Vergleich_lb]]</f>
        <v>4926.3351000000002</v>
      </c>
      <c r="H878" s="11" t="str">
        <f ca="1">VLOOKUP(VLOOKUP(dict_DQ_Meth_max[[#This Row],[ID_DataQualities]],table_DataQualities[],3),table_Units[],2)</f>
        <v>Hz</v>
      </c>
      <c r="I878" s="10"/>
      <c r="J878" s="10"/>
      <c r="K878" s="10"/>
      <c r="L878" s="10">
        <f ca="1">VLOOKUP(dict_DQ_Meth_max[[#This Row],[ID_DataQualities]],table_DataQualities[],8,FALSE)</f>
        <v>0.40500000000000003</v>
      </c>
      <c r="M878" s="10">
        <f ca="1">VLOOKUP(dict_DQ_Meth_max[[#This Row],[ID_DataQualities]],table_DataQualities[],9,FALSE)</f>
        <v>6315.7</v>
      </c>
    </row>
    <row r="879" spans="1:13" x14ac:dyDescent="0.45">
      <c r="A879" s="10">
        <v>235</v>
      </c>
      <c r="B879" s="10">
        <v>29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0.35800000000000004</v>
      </c>
      <c r="G879" s="12">
        <f ca="1">(RANDBETWEEN(50,100)/100)*(dict_DQ_Meth_max[[#This Row],[Vergleich_ub]]-dict_DQ_Meth_max[[#This Row],[Vergleich_lb]])+dict_DQ_Meth_max[[#This Row],[Vergleich_lb]]</f>
        <v>0.64510000000000001</v>
      </c>
      <c r="H879" s="11" t="str">
        <f ca="1">VLOOKUP(VLOOKUP(dict_DQ_Meth_max[[#This Row],[ID_DataQualities]],table_DataQualities[],3),table_Units[],2)</f>
        <v>+/- W</v>
      </c>
      <c r="I879" s="10"/>
      <c r="J879" s="10"/>
      <c r="K879" s="10"/>
      <c r="L879" s="10">
        <f ca="1">VLOOKUP(dict_DQ_Meth_max[[#This Row],[ID_DataQualities]],table_DataQualities[],8,FALSE)</f>
        <v>0.01</v>
      </c>
      <c r="M879" s="10">
        <f ca="1">VLOOKUP(dict_DQ_Meth_max[[#This Row],[ID_DataQualities]],table_DataQualities[],9,FALSE)</f>
        <v>0.88</v>
      </c>
    </row>
    <row r="880" spans="1:13" x14ac:dyDescent="0.45">
      <c r="A880" s="10">
        <v>235</v>
      </c>
      <c r="B880" s="10">
        <v>281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0.14050000000000001</v>
      </c>
      <c r="G880" s="12">
        <f ca="1">(RANDBETWEEN(50,100)/100)*(dict_DQ_Meth_max[[#This Row],[Vergleich_ub]]-dict_DQ_Meth_max[[#This Row],[Vergleich_lb]])+dict_DQ_Meth_max[[#This Row],[Vergleich_lb]]</f>
        <v>0.48850000000000005</v>
      </c>
      <c r="H880" s="11" t="str">
        <f ca="1">VLOOKUP(VLOOKUP(dict_DQ_Meth_max[[#This Row],[ID_DataQualities]],table_DataQualities[],3),table_Units[],2)</f>
        <v>+/- W</v>
      </c>
      <c r="I880" s="10"/>
      <c r="J880" s="10"/>
      <c r="K880" s="10"/>
      <c r="L880" s="10">
        <f ca="1">VLOOKUP(dict_DQ_Meth_max[[#This Row],[ID_DataQualities]],table_DataQualities[],8,FALSE)</f>
        <v>0.01</v>
      </c>
      <c r="M880" s="10">
        <f ca="1">VLOOKUP(dict_DQ_Meth_max[[#This Row],[ID_DataQualities]],table_DataQualities[],9,FALSE)</f>
        <v>0.88</v>
      </c>
    </row>
    <row r="881" spans="1:13" x14ac:dyDescent="0.45">
      <c r="A881" s="10">
        <v>235</v>
      </c>
      <c r="B881" s="10">
        <v>445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0.39279999999999998</v>
      </c>
      <c r="G881" s="12">
        <f ca="1">(RANDBETWEEN(50,100)/100)*(dict_DQ_Meth_max[[#This Row],[Vergleich_ub]]-dict_DQ_Meth_max[[#This Row],[Vergleich_lb]])+dict_DQ_Meth_max[[#This Row],[Vergleich_lb]]</f>
        <v>0.61029999999999995</v>
      </c>
      <c r="H881" s="11" t="str">
        <f ca="1">VLOOKUP(VLOOKUP(dict_DQ_Meth_max[[#This Row],[ID_DataQualities]],table_DataQualities[],3),table_Units[],2)</f>
        <v>+/- W</v>
      </c>
      <c r="I881" s="10"/>
      <c r="J881" s="10"/>
      <c r="K881" s="10"/>
      <c r="L881" s="10">
        <f ca="1">VLOOKUP(dict_DQ_Meth_max[[#This Row],[ID_DataQualities]],table_DataQualities[],8,FALSE)</f>
        <v>0.01</v>
      </c>
      <c r="M881" s="10">
        <f ca="1">VLOOKUP(dict_DQ_Meth_max[[#This Row],[ID_DataQualities]],table_DataQualities[],9,FALSE)</f>
        <v>0.88</v>
      </c>
    </row>
    <row r="882" spans="1:13" x14ac:dyDescent="0.45">
      <c r="A882" s="10">
        <v>236</v>
      </c>
      <c r="B882" s="10">
        <v>52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70.265340000000009</v>
      </c>
      <c r="G882" s="12">
        <f ca="1">(RANDBETWEEN(50,100)/100)*(dict_DQ_Meth_max[[#This Row],[Vergleich_ub]]-dict_DQ_Meth_max[[#This Row],[Vergleich_lb]])+dict_DQ_Meth_max[[#This Row],[Vergleich_lb]]</f>
        <v>964.80437000000006</v>
      </c>
      <c r="H882" s="11" t="str">
        <f ca="1">VLOOKUP(VLOOKUP(dict_DQ_Meth_max[[#This Row],[ID_DataQualities]],table_DataQualities[],3),table_Units[],2)</f>
        <v>Hz</v>
      </c>
      <c r="I882" s="10"/>
      <c r="J882" s="10"/>
      <c r="K882" s="10"/>
      <c r="L882" s="10">
        <f ca="1">VLOOKUP(dict_DQ_Meth_max[[#This Row],[ID_DataQualities]],table_DataQualities[],8,FALSE)</f>
        <v>0.56100000000000005</v>
      </c>
      <c r="M882" s="10">
        <f ca="1">VLOOKUP(dict_DQ_Meth_max[[#This Row],[ID_DataQualities]],table_DataQualities[],9,FALSE)</f>
        <v>1162.3</v>
      </c>
    </row>
    <row r="883" spans="1:13" x14ac:dyDescent="0.45">
      <c r="A883" s="10">
        <v>236</v>
      </c>
      <c r="B883" s="10">
        <v>161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93.50012000000001</v>
      </c>
      <c r="G883" s="12">
        <f ca="1">(RANDBETWEEN(50,100)/100)*(dict_DQ_Meth_max[[#This Row],[Vergleich_ub]]-dict_DQ_Meth_max[[#This Row],[Vergleich_lb]])+dict_DQ_Meth_max[[#This Row],[Vergleich_lb]]</f>
        <v>720.83918000000006</v>
      </c>
      <c r="H883" s="11" t="str">
        <f ca="1">VLOOKUP(VLOOKUP(dict_DQ_Meth_max[[#This Row],[ID_DataQualities]],table_DataQualities[],3),table_Units[],2)</f>
        <v>Hz</v>
      </c>
      <c r="I883" s="10"/>
      <c r="J883" s="10"/>
      <c r="K883" s="10"/>
      <c r="L883" s="10">
        <f ca="1">VLOOKUP(dict_DQ_Meth_max[[#This Row],[ID_DataQualities]],table_DataQualities[],8,FALSE)</f>
        <v>0.56100000000000005</v>
      </c>
      <c r="M883" s="10">
        <f ca="1">VLOOKUP(dict_DQ_Meth_max[[#This Row],[ID_DataQualities]],table_DataQualities[],9,FALSE)</f>
        <v>1162.3</v>
      </c>
    </row>
    <row r="884" spans="1:13" x14ac:dyDescent="0.45">
      <c r="A884" s="10">
        <v>236</v>
      </c>
      <c r="B884" s="10">
        <v>157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500.10876999999999</v>
      </c>
      <c r="G884" s="12">
        <f ca="1">(RANDBETWEEN(50,100)/100)*(dict_DQ_Meth_max[[#This Row],[Vergleich_ub]]-dict_DQ_Meth_max[[#This Row],[Vergleich_lb]])+dict_DQ_Meth_max[[#This Row],[Vergleich_lb]]</f>
        <v>988.03915000000006</v>
      </c>
      <c r="H884" s="11" t="str">
        <f ca="1">VLOOKUP(VLOOKUP(dict_DQ_Meth_max[[#This Row],[ID_DataQualities]],table_DataQualities[],3),table_Units[],2)</f>
        <v>Hz</v>
      </c>
      <c r="I884" s="10"/>
      <c r="J884" s="10"/>
      <c r="K884" s="10"/>
      <c r="L884" s="10">
        <f ca="1">VLOOKUP(dict_DQ_Meth_max[[#This Row],[ID_DataQualities]],table_DataQualities[],8,FALSE)</f>
        <v>0.56100000000000005</v>
      </c>
      <c r="M884" s="10">
        <f ca="1">VLOOKUP(dict_DQ_Meth_max[[#This Row],[ID_DataQualities]],table_DataQualities[],9,FALSE)</f>
        <v>1162.3</v>
      </c>
    </row>
    <row r="885" spans="1:13" x14ac:dyDescent="0.45">
      <c r="A885" s="10">
        <v>236</v>
      </c>
      <c r="B885" s="10">
        <v>280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198.05663000000001</v>
      </c>
      <c r="G885" s="12">
        <f ca="1">(RANDBETWEEN(50,100)/100)*(dict_DQ_Meth_max[[#This Row],[Vergleich_ub]]-dict_DQ_Meth_max[[#This Row],[Vergleich_lb]])+dict_DQ_Meth_max[[#This Row],[Vergleich_lb]]</f>
        <v>604.66528000000005</v>
      </c>
      <c r="H885" s="11" t="str">
        <f ca="1">VLOOKUP(VLOOKUP(dict_DQ_Meth_max[[#This Row],[ID_DataQualities]],table_DataQualities[],3),table_Units[],2)</f>
        <v>Hz</v>
      </c>
      <c r="I885" s="10"/>
      <c r="J885" s="10"/>
      <c r="K885" s="10"/>
      <c r="L885" s="10">
        <f ca="1">VLOOKUP(dict_DQ_Meth_max[[#This Row],[ID_DataQualities]],table_DataQualities[],8,FALSE)</f>
        <v>0.56100000000000005</v>
      </c>
      <c r="M885" s="10">
        <f ca="1">VLOOKUP(dict_DQ_Meth_max[[#This Row],[ID_DataQualities]],table_DataQualities[],9,FALSE)</f>
        <v>1162.3</v>
      </c>
    </row>
    <row r="886" spans="1:13" x14ac:dyDescent="0.45">
      <c r="A886" s="10">
        <v>236</v>
      </c>
      <c r="B886" s="10">
        <v>560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23.795780000000001</v>
      </c>
      <c r="G886" s="12">
        <f ca="1">(RANDBETWEEN(50,100)/100)*(dict_DQ_Meth_max[[#This Row],[Vergleich_ub]]-dict_DQ_Meth_max[[#This Row],[Vergleich_lb]])+dict_DQ_Meth_max[[#This Row],[Vergleich_lb]]</f>
        <v>848.63047000000006</v>
      </c>
      <c r="H886" s="11" t="str">
        <f ca="1">VLOOKUP(VLOOKUP(dict_DQ_Meth_max[[#This Row],[ID_DataQualities]],table_DataQualities[],3),table_Units[],2)</f>
        <v>Hz</v>
      </c>
      <c r="I886" s="10"/>
      <c r="J886" s="10"/>
      <c r="K886" s="10"/>
      <c r="L886" s="10">
        <f ca="1">VLOOKUP(dict_DQ_Meth_max[[#This Row],[ID_DataQualities]],table_DataQualities[],8,FALSE)</f>
        <v>0.56100000000000005</v>
      </c>
      <c r="M886" s="10">
        <f ca="1">VLOOKUP(dict_DQ_Meth_max[[#This Row],[ID_DataQualities]],table_DataQualities[],9,FALSE)</f>
        <v>1162.3</v>
      </c>
    </row>
    <row r="887" spans="1:13" x14ac:dyDescent="0.45">
      <c r="A887" s="10">
        <v>237</v>
      </c>
      <c r="B887" s="10">
        <v>280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2.0032000000000001</v>
      </c>
      <c r="G887" s="12">
        <f ca="1">(RANDBETWEEN(50,100)/100)*(dict_DQ_Meth_max[[#This Row],[Vergleich_ub]]-dict_DQ_Meth_max[[#This Row],[Vergleich_lb]])+dict_DQ_Meth_max[[#This Row],[Vergleich_lb]]</f>
        <v>2.8154600000000003</v>
      </c>
      <c r="H887" s="11" t="str">
        <f ca="1">VLOOKUP(VLOOKUP(dict_DQ_Meth_max[[#This Row],[ID_DataQualities]],table_DataQualities[],3),table_Units[],2)</f>
        <v>+/- W</v>
      </c>
      <c r="I887" s="10"/>
      <c r="J887" s="10"/>
      <c r="K887" s="10"/>
      <c r="L887" s="10">
        <f ca="1">VLOOKUP(dict_DQ_Meth_max[[#This Row],[ID_DataQualities]],table_DataQualities[],8,FALSE)</f>
        <v>9.1999999999999998E-2</v>
      </c>
      <c r="M887" s="10">
        <f ca="1">VLOOKUP(dict_DQ_Meth_max[[#This Row],[ID_DataQualities]],table_DataQualities[],9,FALSE)</f>
        <v>4.87</v>
      </c>
    </row>
    <row r="888" spans="1:13" x14ac:dyDescent="0.45">
      <c r="A888" s="10">
        <v>237</v>
      </c>
      <c r="B888" s="10">
        <v>560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0.33090000000000003</v>
      </c>
      <c r="G888" s="12">
        <f ca="1">(RANDBETWEEN(50,100)/100)*(dict_DQ_Meth_max[[#This Row],[Vergleich_ub]]-dict_DQ_Meth_max[[#This Row],[Vergleich_lb]])+dict_DQ_Meth_max[[#This Row],[Vergleich_lb]]</f>
        <v>3.4843800000000003</v>
      </c>
      <c r="H888" s="11" t="str">
        <f ca="1">VLOOKUP(VLOOKUP(dict_DQ_Meth_max[[#This Row],[ID_DataQualities]],table_DataQualities[],3),table_Units[],2)</f>
        <v>+/- W</v>
      </c>
      <c r="I888" s="10"/>
      <c r="J888" s="10"/>
      <c r="K888" s="10"/>
      <c r="L888" s="10">
        <f ca="1">VLOOKUP(dict_DQ_Meth_max[[#This Row],[ID_DataQualities]],table_DataQualities[],8,FALSE)</f>
        <v>9.1999999999999998E-2</v>
      </c>
      <c r="M888" s="10">
        <f ca="1">VLOOKUP(dict_DQ_Meth_max[[#This Row],[ID_DataQualities]],table_DataQualities[],9,FALSE)</f>
        <v>4.87</v>
      </c>
    </row>
    <row r="889" spans="1:13" x14ac:dyDescent="0.45">
      <c r="A889" s="10">
        <v>237</v>
      </c>
      <c r="B889" s="10">
        <v>52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0.90426000000000006</v>
      </c>
      <c r="G889" s="12">
        <f ca="1">(RANDBETWEEN(50,100)/100)*(dict_DQ_Meth_max[[#This Row],[Vergleich_ub]]-dict_DQ_Meth_max[[#This Row],[Vergleich_lb]])+dict_DQ_Meth_max[[#This Row],[Vergleich_lb]]</f>
        <v>4.0099600000000004</v>
      </c>
      <c r="H889" s="11" t="str">
        <f ca="1">VLOOKUP(VLOOKUP(dict_DQ_Meth_max[[#This Row],[ID_DataQualities]],table_DataQualities[],3),table_Units[],2)</f>
        <v>+/- W</v>
      </c>
      <c r="I889" s="10"/>
      <c r="J889" s="10"/>
      <c r="K889" s="10"/>
      <c r="L889" s="10">
        <f ca="1">VLOOKUP(dict_DQ_Meth_max[[#This Row],[ID_DataQualities]],table_DataQualities[],8,FALSE)</f>
        <v>9.1999999999999998E-2</v>
      </c>
      <c r="M889" s="10">
        <f ca="1">VLOOKUP(dict_DQ_Meth_max[[#This Row],[ID_DataQualities]],table_DataQualities[],9,FALSE)</f>
        <v>4.87</v>
      </c>
    </row>
    <row r="890" spans="1:13" x14ac:dyDescent="0.45">
      <c r="A890" s="10">
        <v>237</v>
      </c>
      <c r="B890" s="10">
        <v>161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1.6687400000000003</v>
      </c>
      <c r="G890" s="12">
        <f ca="1">(RANDBETWEEN(50,100)/100)*(dict_DQ_Meth_max[[#This Row],[Vergleich_ub]]-dict_DQ_Meth_max[[#This Row],[Vergleich_lb]])+dict_DQ_Meth_max[[#This Row],[Vergleich_lb]]</f>
        <v>2.4810000000000003</v>
      </c>
      <c r="H890" s="11" t="str">
        <f ca="1">VLOOKUP(VLOOKUP(dict_DQ_Meth_max[[#This Row],[ID_DataQualities]],table_DataQualities[],3),table_Units[],2)</f>
        <v>+/- W</v>
      </c>
      <c r="I890" s="10"/>
      <c r="J890" s="10"/>
      <c r="K890" s="10"/>
      <c r="L890" s="10">
        <f ca="1">VLOOKUP(dict_DQ_Meth_max[[#This Row],[ID_DataQualities]],table_DataQualities[],8,FALSE)</f>
        <v>9.1999999999999998E-2</v>
      </c>
      <c r="M890" s="10">
        <f ca="1">VLOOKUP(dict_DQ_Meth_max[[#This Row],[ID_DataQualities]],table_DataQualities[],9,FALSE)</f>
        <v>4.87</v>
      </c>
    </row>
    <row r="891" spans="1:13" x14ac:dyDescent="0.45">
      <c r="A891" s="10">
        <v>237</v>
      </c>
      <c r="B891" s="10">
        <v>157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1.7165200000000003</v>
      </c>
      <c r="G891" s="12">
        <f ca="1">(RANDBETWEEN(50,100)/100)*(dict_DQ_Meth_max[[#This Row],[Vergleich_ub]]-dict_DQ_Meth_max[[#This Row],[Vergleich_lb]])+dict_DQ_Meth_max[[#This Row],[Vergleich_lb]]</f>
        <v>4.7266599999999999</v>
      </c>
      <c r="H891" s="11" t="str">
        <f ca="1">VLOOKUP(VLOOKUP(dict_DQ_Meth_max[[#This Row],[ID_DataQualities]],table_DataQualities[],3),table_Units[],2)</f>
        <v>+/- W</v>
      </c>
      <c r="I891" s="10"/>
      <c r="J891" s="10"/>
      <c r="K891" s="10"/>
      <c r="L891" s="10">
        <f ca="1">VLOOKUP(dict_DQ_Meth_max[[#This Row],[ID_DataQualities]],table_DataQualities[],8,FALSE)</f>
        <v>9.1999999999999998E-2</v>
      </c>
      <c r="M891" s="10">
        <f ca="1">VLOOKUP(dict_DQ_Meth_max[[#This Row],[ID_DataQualities]],table_DataQualities[],9,FALSE)</f>
        <v>4.87</v>
      </c>
    </row>
    <row r="892" spans="1:13" x14ac:dyDescent="0.45">
      <c r="A892" s="10">
        <v>238</v>
      </c>
      <c r="B892" s="10">
        <v>40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992.57662000000016</v>
      </c>
      <c r="G892" s="12">
        <f ca="1">(RANDBETWEEN(50,100)/100)*(dict_DQ_Meth_max[[#This Row],[Vergleich_ub]]-dict_DQ_Meth_max[[#This Row],[Vergleich_lb]])+dict_DQ_Meth_max[[#This Row],[Vergleich_lb]]</f>
        <v>4253.1867999999995</v>
      </c>
      <c r="H892" s="11" t="str">
        <f ca="1">VLOOKUP(VLOOKUP(dict_DQ_Meth_max[[#This Row],[ID_DataQualities]],table_DataQualities[],3),table_Units[],2)</f>
        <v>Hz</v>
      </c>
      <c r="I892" s="10"/>
      <c r="J892" s="10"/>
      <c r="K892" s="10"/>
      <c r="L892" s="10">
        <f ca="1">VLOOKUP(dict_DQ_Meth_max[[#This Row],[ID_DataQualities]],table_DataQualities[],8,FALSE)</f>
        <v>0.217</v>
      </c>
      <c r="M892" s="10">
        <f ca="1">VLOOKUP(dict_DQ_Meth_max[[#This Row],[ID_DataQualities]],table_DataQualities[],9,FALSE)</f>
        <v>7088.5</v>
      </c>
    </row>
    <row r="893" spans="1:13" x14ac:dyDescent="0.45">
      <c r="A893" s="10">
        <v>238</v>
      </c>
      <c r="B893" s="10">
        <v>646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1559.6392600000001</v>
      </c>
      <c r="G893" s="12">
        <f ca="1">(RANDBETWEEN(50,100)/100)*(dict_DQ_Meth_max[[#This Row],[Vergleich_ub]]-dict_DQ_Meth_max[[#This Row],[Vergleich_lb]])+dict_DQ_Meth_max[[#This Row],[Vergleich_lb]]</f>
        <v>5741.7262300000002</v>
      </c>
      <c r="H893" s="11" t="str">
        <f ca="1">VLOOKUP(VLOOKUP(dict_DQ_Meth_max[[#This Row],[ID_DataQualities]],table_DataQualities[],3),table_Units[],2)</f>
        <v>Hz</v>
      </c>
      <c r="I893" s="10"/>
      <c r="J893" s="10"/>
      <c r="K893" s="10"/>
      <c r="L893" s="10">
        <f ca="1">VLOOKUP(dict_DQ_Meth_max[[#This Row],[ID_DataQualities]],table_DataQualities[],8,FALSE)</f>
        <v>0.217</v>
      </c>
      <c r="M893" s="10">
        <f ca="1">VLOOKUP(dict_DQ_Meth_max[[#This Row],[ID_DataQualities]],table_DataQualities[],9,FALSE)</f>
        <v>7088.5</v>
      </c>
    </row>
    <row r="894" spans="1:13" x14ac:dyDescent="0.45">
      <c r="A894" s="10">
        <v>238</v>
      </c>
      <c r="B894" s="10">
        <v>253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2551.9988800000001</v>
      </c>
      <c r="G894" s="12">
        <f ca="1">(RANDBETWEEN(50,100)/100)*(dict_DQ_Meth_max[[#This Row],[Vergleich_ub]]-dict_DQ_Meth_max[[#This Row],[Vergleich_lb]])+dict_DQ_Meth_max[[#This Row],[Vergleich_lb]]</f>
        <v>4536.7181199999995</v>
      </c>
      <c r="H894" s="11" t="str">
        <f ca="1">VLOOKUP(VLOOKUP(dict_DQ_Meth_max[[#This Row],[ID_DataQualities]],table_DataQualities[],3),table_Units[],2)</f>
        <v>Hz</v>
      </c>
      <c r="I894" s="10"/>
      <c r="J894" s="10"/>
      <c r="K894" s="10"/>
      <c r="L894" s="10">
        <f ca="1">VLOOKUP(dict_DQ_Meth_max[[#This Row],[ID_DataQualities]],table_DataQualities[],8,FALSE)</f>
        <v>0.217</v>
      </c>
      <c r="M894" s="10">
        <f ca="1">VLOOKUP(dict_DQ_Meth_max[[#This Row],[ID_DataQualities]],table_DataQualities[],9,FALSE)</f>
        <v>7088.5</v>
      </c>
    </row>
    <row r="895" spans="1:13" x14ac:dyDescent="0.45">
      <c r="A895" s="10">
        <v>239</v>
      </c>
      <c r="B895" s="10">
        <v>40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1.4841600000000001</v>
      </c>
      <c r="G895" s="12">
        <f ca="1">(RANDBETWEEN(50,100)/100)*(dict_DQ_Meth_max[[#This Row],[Vergleich_ub]]-dict_DQ_Meth_max[[#This Row],[Vergleich_lb]])+dict_DQ_Meth_max[[#This Row],[Vergleich_lb]]</f>
        <v>4.8297100000000004</v>
      </c>
      <c r="H895" s="11" t="str">
        <f ca="1">VLOOKUP(VLOOKUP(dict_DQ_Meth_max[[#This Row],[ID_DataQualities]],table_DataQualities[],3),table_Units[],2)</f>
        <v>+/- mm</v>
      </c>
      <c r="I895" s="10"/>
      <c r="J895" s="10"/>
      <c r="K895" s="10"/>
      <c r="L895" s="10">
        <f ca="1">VLOOKUP(dict_DQ_Meth_max[[#This Row],[ID_DataQualities]],table_DataQualities[],8,FALSE)</f>
        <v>4.2999999999999997E-2</v>
      </c>
      <c r="M895" s="10">
        <f ca="1">VLOOKUP(dict_DQ_Meth_max[[#This Row],[ID_DataQualities]],table_DataQualities[],9,FALSE)</f>
        <v>5.19</v>
      </c>
    </row>
    <row r="896" spans="1:13" x14ac:dyDescent="0.45">
      <c r="A896" s="10">
        <v>239</v>
      </c>
      <c r="B896" s="10">
        <v>253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0.81505000000000005</v>
      </c>
      <c r="G896" s="12">
        <f ca="1">(RANDBETWEEN(50,100)/100)*(dict_DQ_Meth_max[[#This Row],[Vergleich_ub]]-dict_DQ_Meth_max[[#This Row],[Vergleich_lb]])+dict_DQ_Meth_max[[#This Row],[Vergleich_lb]]</f>
        <v>4.2635399999999999</v>
      </c>
      <c r="H896" s="11" t="str">
        <f ca="1">VLOOKUP(VLOOKUP(dict_DQ_Meth_max[[#This Row],[ID_DataQualities]],table_DataQualities[],3),table_Units[],2)</f>
        <v>+/- mm</v>
      </c>
      <c r="I896" s="10"/>
      <c r="J896" s="10"/>
      <c r="K896" s="10"/>
      <c r="L896" s="10">
        <f ca="1">VLOOKUP(dict_DQ_Meth_max[[#This Row],[ID_DataQualities]],table_DataQualities[],8,FALSE)</f>
        <v>4.2999999999999997E-2</v>
      </c>
      <c r="M896" s="10">
        <f ca="1">VLOOKUP(dict_DQ_Meth_max[[#This Row],[ID_DataQualities]],table_DataQualities[],9,FALSE)</f>
        <v>5.19</v>
      </c>
    </row>
    <row r="897" spans="1:13" x14ac:dyDescent="0.45">
      <c r="A897" s="10">
        <v>239</v>
      </c>
      <c r="B897" s="10">
        <v>646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1.7929800000000002</v>
      </c>
      <c r="G897" s="12">
        <f ca="1">(RANDBETWEEN(50,100)/100)*(dict_DQ_Meth_max[[#This Row],[Vergleich_ub]]-dict_DQ_Meth_max[[#This Row],[Vergleich_lb]])+dict_DQ_Meth_max[[#This Row],[Vergleich_lb]]</f>
        <v>2.7194400000000005</v>
      </c>
      <c r="H897" s="11" t="str">
        <f ca="1">VLOOKUP(VLOOKUP(dict_DQ_Meth_max[[#This Row],[ID_DataQualities]],table_DataQualities[],3),table_Units[],2)</f>
        <v>+/- mm</v>
      </c>
      <c r="I897" s="10"/>
      <c r="J897" s="10"/>
      <c r="K897" s="10"/>
      <c r="L897" s="10">
        <f ca="1">VLOOKUP(dict_DQ_Meth_max[[#This Row],[ID_DataQualities]],table_DataQualities[],8,FALSE)</f>
        <v>4.2999999999999997E-2</v>
      </c>
      <c r="M897" s="10">
        <f ca="1">VLOOKUP(dict_DQ_Meth_max[[#This Row],[ID_DataQualities]],table_DataQualities[],9,FALSE)</f>
        <v>5.19</v>
      </c>
    </row>
    <row r="898" spans="1:13" x14ac:dyDescent="0.45">
      <c r="A898" s="10">
        <v>240</v>
      </c>
      <c r="B898" s="10">
        <v>314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252.40804000000003</v>
      </c>
      <c r="G898" s="12">
        <f ca="1">(RANDBETWEEN(50,100)/100)*(dict_DQ_Meth_max[[#This Row],[Vergleich_ub]]-dict_DQ_Meth_max[[#This Row],[Vergleich_lb]])+dict_DQ_Meth_max[[#This Row],[Vergleich_lb]]</f>
        <v>1837.5397200000002</v>
      </c>
      <c r="H898" s="11" t="str">
        <f ca="1">VLOOKUP(VLOOKUP(dict_DQ_Meth_max[[#This Row],[ID_DataQualities]],table_DataQualities[],3),table_Units[],2)</f>
        <v>Hz</v>
      </c>
      <c r="I898" s="10"/>
      <c r="J898" s="10"/>
      <c r="K898" s="10"/>
      <c r="L898" s="10">
        <f ca="1">VLOOKUP(dict_DQ_Meth_max[[#This Row],[ID_DataQualities]],table_DataQualities[],8,FALSE)</f>
        <v>0.22800000000000001</v>
      </c>
      <c r="M898" s="10">
        <f ca="1">VLOOKUP(dict_DQ_Meth_max[[#This Row],[ID_DataQualities]],table_DataQualities[],9,FALSE)</f>
        <v>3602.8</v>
      </c>
    </row>
    <row r="899" spans="1:13" x14ac:dyDescent="0.45">
      <c r="A899" s="10">
        <v>240</v>
      </c>
      <c r="B899" s="10">
        <v>56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1621.3854000000001</v>
      </c>
      <c r="G899" s="12">
        <f ca="1">(RANDBETWEEN(50,100)/100)*(dict_DQ_Meth_max[[#This Row],[Vergleich_ub]]-dict_DQ_Meth_max[[#This Row],[Vergleich_lb]])+dict_DQ_Meth_max[[#This Row],[Vergleich_lb]]</f>
        <v>1801.5140000000001</v>
      </c>
      <c r="H899" s="11" t="str">
        <f ca="1">VLOOKUP(VLOOKUP(dict_DQ_Meth_max[[#This Row],[ID_DataQualities]],table_DataQualities[],3),table_Units[],2)</f>
        <v>Hz</v>
      </c>
      <c r="I899" s="10"/>
      <c r="J899" s="10"/>
      <c r="K899" s="10"/>
      <c r="L899" s="10">
        <f ca="1">VLOOKUP(dict_DQ_Meth_max[[#This Row],[ID_DataQualities]],table_DataQualities[],8,FALSE)</f>
        <v>0.22800000000000001</v>
      </c>
      <c r="M899" s="10">
        <f ca="1">VLOOKUP(dict_DQ_Meth_max[[#This Row],[ID_DataQualities]],table_DataQualities[],9,FALSE)</f>
        <v>3602.8</v>
      </c>
    </row>
    <row r="900" spans="1:13" x14ac:dyDescent="0.45">
      <c r="A900" s="10">
        <v>240</v>
      </c>
      <c r="B900" s="10">
        <v>140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1080.9996000000001</v>
      </c>
      <c r="G900" s="12">
        <f ca="1">(RANDBETWEEN(50,100)/100)*(dict_DQ_Meth_max[[#This Row],[Vergleich_ub]]-dict_DQ_Meth_max[[#This Row],[Vergleich_lb]])+dict_DQ_Meth_max[[#This Row],[Vergleich_lb]]</f>
        <v>2305.87408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0.22800000000000001</v>
      </c>
      <c r="M900" s="10">
        <f ca="1">VLOOKUP(dict_DQ_Meth_max[[#This Row],[ID_DataQualities]],table_DataQualities[],9,FALSE)</f>
        <v>3602.8</v>
      </c>
    </row>
    <row r="901" spans="1:13" x14ac:dyDescent="0.45">
      <c r="A901" s="10">
        <v>240</v>
      </c>
      <c r="B901" s="10">
        <v>434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1765.48828</v>
      </c>
      <c r="G901" s="12">
        <f ca="1">(RANDBETWEEN(50,100)/100)*(dict_DQ_Meth_max[[#This Row],[Vergleich_ub]]-dict_DQ_Meth_max[[#This Row],[Vergleich_lb]])+dict_DQ_Meth_max[[#This Row],[Vergleich_lb]]</f>
        <v>2449.9769600000004</v>
      </c>
      <c r="H901" s="11" t="str">
        <f ca="1">VLOOKUP(VLOOKUP(dict_DQ_Meth_max[[#This Row],[ID_DataQualities]],table_DataQualities[],3),table_Units[],2)</f>
        <v>Hz</v>
      </c>
      <c r="I901" s="10"/>
      <c r="J901" s="10"/>
      <c r="K901" s="10"/>
      <c r="L901" s="10">
        <f ca="1">VLOOKUP(dict_DQ_Meth_max[[#This Row],[ID_DataQualities]],table_DataQualities[],8,FALSE)</f>
        <v>0.22800000000000001</v>
      </c>
      <c r="M901" s="10">
        <f ca="1">VLOOKUP(dict_DQ_Meth_max[[#This Row],[ID_DataQualities]],table_DataQualities[],9,FALSE)</f>
        <v>3602.8</v>
      </c>
    </row>
    <row r="902" spans="1:13" x14ac:dyDescent="0.45">
      <c r="A902" s="10">
        <v>240</v>
      </c>
      <c r="B902" s="10">
        <v>123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540.61379999999997</v>
      </c>
      <c r="G902" s="12">
        <f ca="1">(RANDBETWEEN(50,100)/100)*(dict_DQ_Meth_max[[#This Row],[Vergleich_ub]]-dict_DQ_Meth_max[[#This Row],[Vergleich_lb]])+dict_DQ_Meth_max[[#This Row],[Vergleich_lb]]</f>
        <v>3530.74856</v>
      </c>
      <c r="H902" s="11" t="str">
        <f ca="1">VLOOKUP(VLOOKUP(dict_DQ_Meth_max[[#This Row],[ID_DataQualities]],table_DataQualities[],3),table_Units[],2)</f>
        <v>Hz</v>
      </c>
      <c r="I902" s="10"/>
      <c r="J902" s="10"/>
      <c r="K902" s="10"/>
      <c r="L902" s="10">
        <f ca="1">VLOOKUP(dict_DQ_Meth_max[[#This Row],[ID_DataQualities]],table_DataQualities[],8,FALSE)</f>
        <v>0.22800000000000001</v>
      </c>
      <c r="M902" s="10">
        <f ca="1">VLOOKUP(dict_DQ_Meth_max[[#This Row],[ID_DataQualities]],table_DataQualities[],9,FALSE)</f>
        <v>3602.8</v>
      </c>
    </row>
    <row r="903" spans="1:13" x14ac:dyDescent="0.45">
      <c r="A903" s="10">
        <v>241</v>
      </c>
      <c r="B903" s="10">
        <v>434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1.8519999999999999</v>
      </c>
      <c r="G903" s="12">
        <f ca="1">(RANDBETWEEN(50,100)/100)*(dict_DQ_Meth_max[[#This Row],[Vergleich_ub]]-dict_DQ_Meth_max[[#This Row],[Vergleich_lb]])+dict_DQ_Meth_max[[#This Row],[Vergleich_lb]]</f>
        <v>9.3209999999999997</v>
      </c>
      <c r="H903" s="11" t="str">
        <f ca="1">VLOOKUP(VLOOKUP(dict_DQ_Meth_max[[#This Row],[ID_DataQualities]],table_DataQualities[],3),table_Units[],2)</f>
        <v>+/- °C</v>
      </c>
      <c r="I903" s="10"/>
      <c r="J903" s="10"/>
      <c r="K903" s="10"/>
      <c r="L903" s="10">
        <f ca="1">VLOOKUP(dict_DQ_Meth_max[[#This Row],[ID_DataQualities]],table_DataQualities[],8,FALSE)</f>
        <v>0.3</v>
      </c>
      <c r="M903" s="10">
        <f ca="1">VLOOKUP(dict_DQ_Meth_max[[#This Row],[ID_DataQualities]],table_DataQualities[],9,FALSE)</f>
        <v>10</v>
      </c>
    </row>
    <row r="904" spans="1:13" x14ac:dyDescent="0.45">
      <c r="A904" s="10">
        <v>241</v>
      </c>
      <c r="B904" s="10">
        <v>314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2.5309999999999997</v>
      </c>
      <c r="G904" s="12">
        <f ca="1">(RANDBETWEEN(50,100)/100)*(dict_DQ_Meth_max[[#This Row],[Vergleich_ub]]-dict_DQ_Meth_max[[#This Row],[Vergleich_lb]])+dict_DQ_Meth_max[[#This Row],[Vergleich_lb]]</f>
        <v>8.8360000000000003</v>
      </c>
      <c r="H904" s="11" t="str">
        <f ca="1">VLOOKUP(VLOOKUP(dict_DQ_Meth_max[[#This Row],[ID_DataQualities]],table_DataQualities[],3),table_Units[],2)</f>
        <v>+/- °C</v>
      </c>
      <c r="I904" s="10"/>
      <c r="J904" s="10"/>
      <c r="K904" s="10"/>
      <c r="L904" s="10">
        <f ca="1">VLOOKUP(dict_DQ_Meth_max[[#This Row],[ID_DataQualities]],table_DataQualities[],8,FALSE)</f>
        <v>0.3</v>
      </c>
      <c r="M904" s="10">
        <f ca="1">VLOOKUP(dict_DQ_Meth_max[[#This Row],[ID_DataQualities]],table_DataQualities[],9,FALSE)</f>
        <v>10</v>
      </c>
    </row>
    <row r="905" spans="1:13" x14ac:dyDescent="0.45">
      <c r="A905" s="10">
        <v>241</v>
      </c>
      <c r="B905" s="10">
        <v>56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1.9490000000000001</v>
      </c>
      <c r="G905" s="12">
        <f ca="1">(RANDBETWEEN(50,100)/100)*(dict_DQ_Meth_max[[#This Row],[Vergleich_ub]]-dict_DQ_Meth_max[[#This Row],[Vergleich_lb]])+dict_DQ_Meth_max[[#This Row],[Vergleich_lb]]</f>
        <v>6.3139999999999992</v>
      </c>
      <c r="H905" s="11" t="str">
        <f ca="1">VLOOKUP(VLOOKUP(dict_DQ_Meth_max[[#This Row],[ID_DataQualities]],table_DataQualities[],3),table_Units[],2)</f>
        <v>+/- °C</v>
      </c>
      <c r="I905" s="10"/>
      <c r="J905" s="10"/>
      <c r="K905" s="10"/>
      <c r="L905" s="10">
        <f ca="1">VLOOKUP(dict_DQ_Meth_max[[#This Row],[ID_DataQualities]],table_DataQualities[],8,FALSE)</f>
        <v>0.3</v>
      </c>
      <c r="M905" s="10">
        <f ca="1">VLOOKUP(dict_DQ_Meth_max[[#This Row],[ID_DataQualities]],table_DataQualities[],9,FALSE)</f>
        <v>10</v>
      </c>
    </row>
    <row r="906" spans="1:13" x14ac:dyDescent="0.45">
      <c r="A906" s="10">
        <v>241</v>
      </c>
      <c r="B906" s="10">
        <v>140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2.1429999999999998</v>
      </c>
      <c r="G906" s="12">
        <f ca="1">(RANDBETWEEN(50,100)/100)*(dict_DQ_Meth_max[[#This Row],[Vergleich_ub]]-dict_DQ_Meth_max[[#This Row],[Vergleich_lb]])+dict_DQ_Meth_max[[#This Row],[Vergleich_lb]]</f>
        <v>9.2240000000000002</v>
      </c>
      <c r="H906" s="11" t="str">
        <f ca="1">VLOOKUP(VLOOKUP(dict_DQ_Meth_max[[#This Row],[ID_DataQualities]],table_DataQualities[],3),table_Units[],2)</f>
        <v>+/- °C</v>
      </c>
      <c r="I906" s="10"/>
      <c r="J906" s="10"/>
      <c r="K906" s="10"/>
      <c r="L906" s="10">
        <f ca="1">VLOOKUP(dict_DQ_Meth_max[[#This Row],[ID_DataQualities]],table_DataQualities[],8,FALSE)</f>
        <v>0.3</v>
      </c>
      <c r="M906" s="10">
        <f ca="1">VLOOKUP(dict_DQ_Meth_max[[#This Row],[ID_DataQualities]],table_DataQualities[],9,FALSE)</f>
        <v>10</v>
      </c>
    </row>
    <row r="907" spans="1:13" x14ac:dyDescent="0.45">
      <c r="A907" s="10">
        <v>241</v>
      </c>
      <c r="B907" s="10">
        <v>123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3.6949999999999994</v>
      </c>
      <c r="G907" s="12">
        <f ca="1">(RANDBETWEEN(50,100)/100)*(dict_DQ_Meth_max[[#This Row],[Vergleich_ub]]-dict_DQ_Meth_max[[#This Row],[Vergleich_lb]])+dict_DQ_Meth_max[[#This Row],[Vergleich_lb]]</f>
        <v>6.6049999999999995</v>
      </c>
      <c r="H907" s="11" t="str">
        <f ca="1">VLOOKUP(VLOOKUP(dict_DQ_Meth_max[[#This Row],[ID_DataQualities]],table_DataQualities[],3),table_Units[],2)</f>
        <v>+/- °C</v>
      </c>
      <c r="I907" s="10"/>
      <c r="J907" s="10"/>
      <c r="K907" s="10"/>
      <c r="L907" s="10">
        <f ca="1">VLOOKUP(dict_DQ_Meth_max[[#This Row],[ID_DataQualities]],table_DataQualities[],8,FALSE)</f>
        <v>0.3</v>
      </c>
      <c r="M907" s="10">
        <f ca="1">VLOOKUP(dict_DQ_Meth_max[[#This Row],[ID_DataQualities]],table_DataQualities[],9,FALSE)</f>
        <v>10</v>
      </c>
    </row>
    <row r="908" spans="1:13" x14ac:dyDescent="0.45">
      <c r="A908" s="10">
        <v>242</v>
      </c>
      <c r="B908" s="10">
        <v>497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882.69413999999995</v>
      </c>
      <c r="G908" s="12">
        <f ca="1">(RANDBETWEEN(50,100)/100)*(dict_DQ_Meth_max[[#This Row],[Vergleich_ub]]-dict_DQ_Meth_max[[#This Row],[Vergleich_lb]])+dict_DQ_Meth_max[[#This Row],[Vergleich_lb]]</f>
        <v>5684.9126800000004</v>
      </c>
      <c r="H908" s="11" t="str">
        <f ca="1">VLOOKUP(VLOOKUP(dict_DQ_Meth_max[[#This Row],[ID_DataQualities]],table_DataQualities[],3),table_Units[],2)</f>
        <v>Hz</v>
      </c>
      <c r="I908" s="10"/>
      <c r="J908" s="10"/>
      <c r="K908" s="10"/>
      <c r="L908" s="10">
        <f ca="1">VLOOKUP(dict_DQ_Meth_max[[#This Row],[ID_DataQualities]],table_DataQualities[],8,FALSE)</f>
        <v>0.65400000000000003</v>
      </c>
      <c r="M908" s="10">
        <f ca="1">VLOOKUP(dict_DQ_Meth_max[[#This Row],[ID_DataQualities]],table_DataQualities[],9,FALSE)</f>
        <v>9801.1</v>
      </c>
    </row>
    <row r="909" spans="1:13" x14ac:dyDescent="0.45">
      <c r="A909" s="10">
        <v>242</v>
      </c>
      <c r="B909" s="10">
        <v>484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4900.8770000000004</v>
      </c>
      <c r="G909" s="12">
        <f ca="1">(RANDBETWEEN(50,100)/100)*(dict_DQ_Meth_max[[#This Row],[Vergleich_ub]]-dict_DQ_Meth_max[[#This Row],[Vergleich_lb]])+dict_DQ_Meth_max[[#This Row],[Vergleich_lb]]</f>
        <v>9605.0910800000001</v>
      </c>
      <c r="H909" s="11" t="str">
        <f ca="1">VLOOKUP(VLOOKUP(dict_DQ_Meth_max[[#This Row],[ID_DataQualities]],table_DataQualities[],3),table_Units[],2)</f>
        <v>Hz</v>
      </c>
      <c r="I909" s="10"/>
      <c r="J909" s="10"/>
      <c r="K909" s="10"/>
      <c r="L909" s="10">
        <f ca="1">VLOOKUP(dict_DQ_Meth_max[[#This Row],[ID_DataQualities]],table_DataQualities[],8,FALSE)</f>
        <v>0.65400000000000003</v>
      </c>
      <c r="M909" s="10">
        <f ca="1">VLOOKUP(dict_DQ_Meth_max[[#This Row],[ID_DataQualities]],table_DataQualities[],9,FALSE)</f>
        <v>9801.1</v>
      </c>
    </row>
    <row r="910" spans="1:13" x14ac:dyDescent="0.45">
      <c r="A910" s="10">
        <v>242</v>
      </c>
      <c r="B910" s="10">
        <v>607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1960.7432000000001</v>
      </c>
      <c r="G910" s="12">
        <f ca="1">(RANDBETWEEN(50,100)/100)*(dict_DQ_Meth_max[[#This Row],[Vergleich_ub]]-dict_DQ_Meth_max[[#This Row],[Vergleich_lb]])+dict_DQ_Meth_max[[#This Row],[Vergleich_lb]]</f>
        <v>6272.9394400000001</v>
      </c>
      <c r="H910" s="11" t="str">
        <f ca="1">VLOOKUP(VLOOKUP(dict_DQ_Meth_max[[#This Row],[ID_DataQualities]],table_DataQualities[],3),table_Units[],2)</f>
        <v>Hz</v>
      </c>
      <c r="I910" s="10"/>
      <c r="J910" s="10"/>
      <c r="K910" s="10"/>
      <c r="L910" s="10">
        <f ca="1">VLOOKUP(dict_DQ_Meth_max[[#This Row],[ID_DataQualities]],table_DataQualities[],8,FALSE)</f>
        <v>0.65400000000000003</v>
      </c>
      <c r="M910" s="10">
        <f ca="1">VLOOKUP(dict_DQ_Meth_max[[#This Row],[ID_DataQualities]],table_DataQualities[],9,FALSE)</f>
        <v>9801.1</v>
      </c>
    </row>
    <row r="911" spans="1:13" x14ac:dyDescent="0.45">
      <c r="A911" s="10">
        <v>243</v>
      </c>
      <c r="B911" s="10">
        <v>607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0.10034999999999999</v>
      </c>
      <c r="G911" s="12">
        <f ca="1">(RANDBETWEEN(50,100)/100)*(dict_DQ_Meth_max[[#This Row],[Vergleich_ub]]-dict_DQ_Meth_max[[#This Row],[Vergleich_lb]])+dict_DQ_Meth_max[[#This Row],[Vergleich_lb]]</f>
        <v>0.181536</v>
      </c>
      <c r="H911" s="11" t="str">
        <f ca="1">VLOOKUP(VLOOKUP(dict_DQ_Meth_max[[#This Row],[ID_DataQualities]],table_DataQualities[],3),table_Units[],2)</f>
        <v>+/- cm³/s</v>
      </c>
      <c r="I911" s="10"/>
      <c r="J911" s="10"/>
      <c r="K911" s="10"/>
      <c r="L911" s="10">
        <f ca="1">VLOOKUP(dict_DQ_Meth_max[[#This Row],[ID_DataQualities]],table_DataQualities[],8,FALSE)</f>
        <v>3.7000000000000002E-3</v>
      </c>
      <c r="M911" s="10">
        <f ca="1">VLOOKUP(dict_DQ_Meth_max[[#This Row],[ID_DataQualities]],table_DataQualities[],9,FALSE)</f>
        <v>0.19700000000000001</v>
      </c>
    </row>
    <row r="912" spans="1:13" x14ac:dyDescent="0.45">
      <c r="A912" s="10">
        <v>243</v>
      </c>
      <c r="B912" s="10">
        <v>497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3.7000000000000002E-3</v>
      </c>
      <c r="G912" s="12">
        <f ca="1">(RANDBETWEEN(50,100)/100)*(dict_DQ_Meth_max[[#This Row],[Vergleich_ub]]-dict_DQ_Meth_max[[#This Row],[Vergleich_lb]])+dict_DQ_Meth_max[[#This Row],[Vergleich_lb]]</f>
        <v>0.14480899999999999</v>
      </c>
      <c r="H912" s="11" t="str">
        <f ca="1">VLOOKUP(VLOOKUP(dict_DQ_Meth_max[[#This Row],[ID_DataQualities]],table_DataQualities[],3),table_Units[],2)</f>
        <v>+/- cm³/s</v>
      </c>
      <c r="I912" s="10"/>
      <c r="J912" s="10"/>
      <c r="K912" s="10"/>
      <c r="L912" s="10">
        <f ca="1">VLOOKUP(dict_DQ_Meth_max[[#This Row],[ID_DataQualities]],table_DataQualities[],8,FALSE)</f>
        <v>3.7000000000000002E-3</v>
      </c>
      <c r="M912" s="10">
        <f ca="1">VLOOKUP(dict_DQ_Meth_max[[#This Row],[ID_DataQualities]],table_DataQualities[],9,FALSE)</f>
        <v>0.19700000000000001</v>
      </c>
    </row>
    <row r="913" spans="1:13" x14ac:dyDescent="0.45">
      <c r="A913" s="10">
        <v>243</v>
      </c>
      <c r="B913" s="10">
        <v>484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8.4885999999999989E-2</v>
      </c>
      <c r="G913" s="12">
        <f ca="1">(RANDBETWEEN(50,100)/100)*(dict_DQ_Meth_max[[#This Row],[Vergleich_ub]]-dict_DQ_Meth_max[[#This Row],[Vergleich_lb]])+dict_DQ_Meth_max[[#This Row],[Vergleich_lb]]</f>
        <v>0.137077</v>
      </c>
      <c r="H913" s="11" t="str">
        <f ca="1">VLOOKUP(VLOOKUP(dict_DQ_Meth_max[[#This Row],[ID_DataQualities]],table_DataQualities[],3),table_Units[],2)</f>
        <v>+/- cm³/s</v>
      </c>
      <c r="I913" s="10"/>
      <c r="J913" s="10"/>
      <c r="K913" s="10"/>
      <c r="L913" s="10">
        <f ca="1">VLOOKUP(dict_DQ_Meth_max[[#This Row],[ID_DataQualities]],table_DataQualities[],8,FALSE)</f>
        <v>3.7000000000000002E-3</v>
      </c>
      <c r="M913" s="10">
        <f ca="1">VLOOKUP(dict_DQ_Meth_max[[#This Row],[ID_DataQualities]],table_DataQualities[],9,FALSE)</f>
        <v>0.19700000000000001</v>
      </c>
    </row>
    <row r="914" spans="1:13" x14ac:dyDescent="0.45">
      <c r="A914" s="10">
        <v>244</v>
      </c>
      <c r="B914" s="10">
        <v>93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506.69317000000001</v>
      </c>
      <c r="G914" s="12">
        <f ca="1">(RANDBETWEEN(50,100)/100)*(dict_DQ_Meth_max[[#This Row],[Vergleich_ub]]-dict_DQ_Meth_max[[#This Row],[Vergleich_lb]])+dict_DQ_Meth_max[[#This Row],[Vergleich_lb]]</f>
        <v>6800.8221399999993</v>
      </c>
      <c r="H914" s="11" t="str">
        <f ca="1">VLOOKUP(VLOOKUP(dict_DQ_Meth_max[[#This Row],[ID_DataQualities]],table_DataQualities[],3),table_Units[],2)</f>
        <v>Hz</v>
      </c>
      <c r="I914" s="10"/>
      <c r="J914" s="10"/>
      <c r="K914" s="10"/>
      <c r="L914" s="10">
        <f ca="1">VLOOKUP(dict_DQ_Meth_max[[#This Row],[ID_DataQualities]],table_DataQualities[],8,FALSE)</f>
        <v>0.26900000000000002</v>
      </c>
      <c r="M914" s="10">
        <f ca="1">VLOOKUP(dict_DQ_Meth_max[[#This Row],[ID_DataQualities]],table_DataQualities[],9,FALSE)</f>
        <v>7234.9</v>
      </c>
    </row>
    <row r="915" spans="1:13" x14ac:dyDescent="0.45">
      <c r="A915" s="10">
        <v>244</v>
      </c>
      <c r="B915" s="10">
        <v>514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3111.1603299999992</v>
      </c>
      <c r="G915" s="12">
        <f ca="1">(RANDBETWEEN(50,100)/100)*(dict_DQ_Meth_max[[#This Row],[Vergleich_ub]]-dict_DQ_Meth_max[[#This Row],[Vergleich_lb]])+dict_DQ_Meth_max[[#This Row],[Vergleich_lb]]</f>
        <v>4124.0086699999993</v>
      </c>
      <c r="H915" s="11" t="str">
        <f ca="1">VLOOKUP(VLOOKUP(dict_DQ_Meth_max[[#This Row],[ID_DataQualities]],table_DataQualities[],3),table_Units[],2)</f>
        <v>Hz</v>
      </c>
      <c r="I915" s="10"/>
      <c r="J915" s="10"/>
      <c r="K915" s="10"/>
      <c r="L915" s="10">
        <f ca="1">VLOOKUP(dict_DQ_Meth_max[[#This Row],[ID_DataQualities]],table_DataQualities[],8,FALSE)</f>
        <v>0.26900000000000002</v>
      </c>
      <c r="M915" s="10">
        <f ca="1">VLOOKUP(dict_DQ_Meth_max[[#This Row],[ID_DataQualities]],table_DataQualities[],9,FALSE)</f>
        <v>7234.9</v>
      </c>
    </row>
    <row r="916" spans="1:13" x14ac:dyDescent="0.45">
      <c r="A916" s="10">
        <v>244</v>
      </c>
      <c r="B916" s="10">
        <v>33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2677.0824699999994</v>
      </c>
      <c r="G916" s="12">
        <f ca="1">(RANDBETWEEN(50,100)/100)*(dict_DQ_Meth_max[[#This Row],[Vergleich_ub]]-dict_DQ_Meth_max[[#This Row],[Vergleich_lb]])+dict_DQ_Meth_max[[#This Row],[Vergleich_lb]]</f>
        <v>5353.8959399999994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0.26900000000000002</v>
      </c>
      <c r="M916" s="10">
        <f ca="1">VLOOKUP(dict_DQ_Meth_max[[#This Row],[ID_DataQualities]],table_DataQualities[],9,FALSE)</f>
        <v>7234.9</v>
      </c>
    </row>
    <row r="917" spans="1:13" x14ac:dyDescent="0.45">
      <c r="A917" s="10">
        <v>244</v>
      </c>
      <c r="B917" s="10">
        <v>616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1953.6193699999999</v>
      </c>
      <c r="G917" s="12">
        <f ca="1">(RANDBETWEEN(50,100)/100)*(dict_DQ_Meth_max[[#This Row],[Vergleich_ub]]-dict_DQ_Meth_max[[#This Row],[Vergleich_lb]])+dict_DQ_Meth_max[[#This Row],[Vergleich_lb]]</f>
        <v>6800.8221399999993</v>
      </c>
      <c r="H917" s="11" t="str">
        <f ca="1">VLOOKUP(VLOOKUP(dict_DQ_Meth_max[[#This Row],[ID_DataQualities]],table_DataQualities[],3),table_Units[],2)</f>
        <v>Hz</v>
      </c>
      <c r="I917" s="10"/>
      <c r="J917" s="10"/>
      <c r="K917" s="10"/>
      <c r="L917" s="10">
        <f ca="1">VLOOKUP(dict_DQ_Meth_max[[#This Row],[ID_DataQualities]],table_DataQualities[],8,FALSE)</f>
        <v>0.26900000000000002</v>
      </c>
      <c r="M917" s="10">
        <f ca="1">VLOOKUP(dict_DQ_Meth_max[[#This Row],[ID_DataQualities]],table_DataQualities[],9,FALSE)</f>
        <v>7234.9</v>
      </c>
    </row>
    <row r="918" spans="1:13" x14ac:dyDescent="0.45">
      <c r="A918" s="10">
        <v>245</v>
      </c>
      <c r="B918" s="10">
        <v>33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9.0079999999999993E-2</v>
      </c>
      <c r="G918" s="12">
        <f ca="1">(RANDBETWEEN(50,100)/100)*(dict_DQ_Meth_max[[#This Row],[Vergleich_ub]]-dict_DQ_Meth_max[[#This Row],[Vergleich_lb]])+dict_DQ_Meth_max[[#This Row],[Vergleich_lb]]</f>
        <v>0.312</v>
      </c>
      <c r="H918" s="11" t="str">
        <f ca="1">VLOOKUP(VLOOKUP(dict_DQ_Meth_max[[#This Row],[ID_DataQualities]],table_DataQualities[],3),table_Units[],2)</f>
        <v>+/- cm³/s</v>
      </c>
      <c r="I918" s="10"/>
      <c r="J918" s="10"/>
      <c r="K918" s="10"/>
      <c r="L918" s="10">
        <f ca="1">VLOOKUP(dict_DQ_Meth_max[[#This Row],[ID_DataQualities]],table_DataQualities[],8,FALSE)</f>
        <v>8.0000000000000002E-3</v>
      </c>
      <c r="M918" s="10">
        <f ca="1">VLOOKUP(dict_DQ_Meth_max[[#This Row],[ID_DataQualities]],table_DataQualities[],9,FALSE)</f>
        <v>0.312</v>
      </c>
    </row>
    <row r="919" spans="1:13" x14ac:dyDescent="0.45">
      <c r="A919" s="10">
        <v>245</v>
      </c>
      <c r="B919" s="10">
        <v>616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3.8400000000000004E-2</v>
      </c>
      <c r="G919" s="12">
        <f ca="1">(RANDBETWEEN(50,100)/100)*(dict_DQ_Meth_max[[#This Row],[Vergleich_ub]]-dict_DQ_Meth_max[[#This Row],[Vergleich_lb]])+dict_DQ_Meth_max[[#This Row],[Vergleich_lb]]</f>
        <v>0.17824000000000001</v>
      </c>
      <c r="H919" s="11" t="str">
        <f ca="1">VLOOKUP(VLOOKUP(dict_DQ_Meth_max[[#This Row],[ID_DataQualities]],table_DataQualities[],3),table_Units[],2)</f>
        <v>+/- cm³/s</v>
      </c>
      <c r="I919" s="10"/>
      <c r="J919" s="10"/>
      <c r="K919" s="10"/>
      <c r="L919" s="10">
        <f ca="1">VLOOKUP(dict_DQ_Meth_max[[#This Row],[ID_DataQualities]],table_DataQualities[],8,FALSE)</f>
        <v>8.0000000000000002E-3</v>
      </c>
      <c r="M919" s="10">
        <f ca="1">VLOOKUP(dict_DQ_Meth_max[[#This Row],[ID_DataQualities]],table_DataQualities[],9,FALSE)</f>
        <v>0.312</v>
      </c>
    </row>
    <row r="920" spans="1:13" x14ac:dyDescent="0.45">
      <c r="A920" s="10">
        <v>245</v>
      </c>
      <c r="B920" s="10">
        <v>514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0.13872000000000001</v>
      </c>
      <c r="G920" s="12">
        <f ca="1">(RANDBETWEEN(50,100)/100)*(dict_DQ_Meth_max[[#This Row],[Vergleich_ub]]-dict_DQ_Meth_max[[#This Row],[Vergleich_lb]])+dict_DQ_Meth_max[[#This Row],[Vergleich_lb]]</f>
        <v>0.21168000000000001</v>
      </c>
      <c r="H920" s="11" t="str">
        <f ca="1">VLOOKUP(VLOOKUP(dict_DQ_Meth_max[[#This Row],[ID_DataQualities]],table_DataQualities[],3),table_Units[],2)</f>
        <v>+/- cm³/s</v>
      </c>
      <c r="I920" s="10"/>
      <c r="J920" s="10"/>
      <c r="K920" s="10"/>
      <c r="L920" s="10">
        <f ca="1">VLOOKUP(dict_DQ_Meth_max[[#This Row],[ID_DataQualities]],table_DataQualities[],8,FALSE)</f>
        <v>8.0000000000000002E-3</v>
      </c>
      <c r="M920" s="10">
        <f ca="1">VLOOKUP(dict_DQ_Meth_max[[#This Row],[ID_DataQualities]],table_DataQualities[],9,FALSE)</f>
        <v>0.312</v>
      </c>
    </row>
    <row r="921" spans="1:13" x14ac:dyDescent="0.45">
      <c r="A921" s="10">
        <v>245</v>
      </c>
      <c r="B921" s="10">
        <v>93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8.7040000000000006E-2</v>
      </c>
      <c r="G921" s="12">
        <f ca="1">(RANDBETWEEN(50,100)/100)*(dict_DQ_Meth_max[[#This Row],[Vergleich_ub]]-dict_DQ_Meth_max[[#This Row],[Vergleich_lb]])+dict_DQ_Meth_max[[#This Row],[Vergleich_lb]]</f>
        <v>0.20864000000000002</v>
      </c>
      <c r="H921" s="11" t="str">
        <f ca="1">VLOOKUP(VLOOKUP(dict_DQ_Meth_max[[#This Row],[ID_DataQualities]],table_DataQualities[],3),table_Units[],2)</f>
        <v>+/- cm³/s</v>
      </c>
      <c r="I921" s="10"/>
      <c r="J921" s="10"/>
      <c r="K921" s="10"/>
      <c r="L921" s="10">
        <f ca="1">VLOOKUP(dict_DQ_Meth_max[[#This Row],[ID_DataQualities]],table_DataQualities[],8,FALSE)</f>
        <v>8.0000000000000002E-3</v>
      </c>
      <c r="M921" s="10">
        <f ca="1">VLOOKUP(dict_DQ_Meth_max[[#This Row],[ID_DataQualities]],table_DataQualities[],9,FALSE)</f>
        <v>0.312</v>
      </c>
    </row>
    <row r="922" spans="1:13" x14ac:dyDescent="0.45">
      <c r="A922" s="10">
        <v>246</v>
      </c>
      <c r="B922" s="10">
        <v>571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267.42552000000006</v>
      </c>
      <c r="G922" s="12">
        <f ca="1">(RANDBETWEEN(50,100)/100)*(dict_DQ_Meth_max[[#This Row],[Vergleich_ub]]-dict_DQ_Meth_max[[#This Row],[Vergleich_lb]])+dict_DQ_Meth_max[[#This Row],[Vergleich_lb]]</f>
        <v>2712.3361200000004</v>
      </c>
      <c r="H922" s="11" t="str">
        <f ca="1">VLOOKUP(VLOOKUP(dict_DQ_Meth_max[[#This Row],[ID_DataQualities]],table_DataQualities[],3),table_Units[],2)</f>
        <v>Hz</v>
      </c>
      <c r="I922" s="10"/>
      <c r="J922" s="10"/>
      <c r="K922" s="10"/>
      <c r="L922" s="10">
        <f ca="1">VLOOKUP(dict_DQ_Meth_max[[#This Row],[ID_DataQualities]],table_DataQualities[],8,FALSE)</f>
        <v>0.70799999999999996</v>
      </c>
      <c r="M922" s="10">
        <f ca="1">VLOOKUP(dict_DQ_Meth_max[[#This Row],[ID_DataQualities]],table_DataQualities[],9,FALSE)</f>
        <v>4446</v>
      </c>
    </row>
    <row r="923" spans="1:13" x14ac:dyDescent="0.45">
      <c r="A923" s="10">
        <v>246</v>
      </c>
      <c r="B923" s="10">
        <v>538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1289.8426800000002</v>
      </c>
      <c r="G923" s="12">
        <f ca="1">(RANDBETWEEN(50,100)/100)*(dict_DQ_Meth_max[[#This Row],[Vergleich_ub]]-dict_DQ_Meth_max[[#This Row],[Vergleich_lb]])+dict_DQ_Meth_max[[#This Row],[Vergleich_lb]]</f>
        <v>2356.7127600000003</v>
      </c>
      <c r="H923" s="11" t="str">
        <f ca="1">VLOOKUP(VLOOKUP(dict_DQ_Meth_max[[#This Row],[ID_DataQualities]],table_DataQualities[],3),table_Units[],2)</f>
        <v>Hz</v>
      </c>
      <c r="I923" s="10"/>
      <c r="J923" s="10"/>
      <c r="K923" s="10"/>
      <c r="L923" s="10">
        <f ca="1">VLOOKUP(dict_DQ_Meth_max[[#This Row],[ID_DataQualities]],table_DataQualities[],8,FALSE)</f>
        <v>0.70799999999999996</v>
      </c>
      <c r="M923" s="10">
        <f ca="1">VLOOKUP(dict_DQ_Meth_max[[#This Row],[ID_DataQualities]],table_DataQualities[],9,FALSE)</f>
        <v>4446</v>
      </c>
    </row>
    <row r="924" spans="1:13" x14ac:dyDescent="0.45">
      <c r="A924" s="10">
        <v>246</v>
      </c>
      <c r="B924" s="10">
        <v>461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1245.3897600000003</v>
      </c>
      <c r="G924" s="12">
        <f ca="1">(RANDBETWEEN(50,100)/100)*(dict_DQ_Meth_max[[#This Row],[Vergleich_ub]]-dict_DQ_Meth_max[[#This Row],[Vergleich_lb]])+dict_DQ_Meth_max[[#This Row],[Vergleich_lb]]</f>
        <v>2845.6948800000005</v>
      </c>
      <c r="H924" s="11" t="str">
        <f ca="1">VLOOKUP(VLOOKUP(dict_DQ_Meth_max[[#This Row],[ID_DataQualities]],table_DataQualities[],3),table_Units[],2)</f>
        <v>Hz</v>
      </c>
      <c r="I924" s="10"/>
      <c r="J924" s="10"/>
      <c r="K924" s="10"/>
      <c r="L924" s="10">
        <f ca="1">VLOOKUP(dict_DQ_Meth_max[[#This Row],[ID_DataQualities]],table_DataQualities[],8,FALSE)</f>
        <v>0.70799999999999996</v>
      </c>
      <c r="M924" s="10">
        <f ca="1">VLOOKUP(dict_DQ_Meth_max[[#This Row],[ID_DataQualities]],table_DataQualities[],9,FALSE)</f>
        <v>4446</v>
      </c>
    </row>
    <row r="925" spans="1:13" x14ac:dyDescent="0.45">
      <c r="A925" s="10">
        <v>247</v>
      </c>
      <c r="B925" s="10">
        <v>538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0.54360000000000008</v>
      </c>
      <c r="G925" s="12">
        <f ca="1">(RANDBETWEEN(50,100)/100)*(dict_DQ_Meth_max[[#This Row],[Vergleich_ub]]-dict_DQ_Meth_max[[#This Row],[Vergleich_lb]])+dict_DQ_Meth_max[[#This Row],[Vergleich_lb]]</f>
        <v>1.1760000000000002</v>
      </c>
      <c r="H925" s="11" t="str">
        <f ca="1">VLOOKUP(VLOOKUP(dict_DQ_Meth_max[[#This Row],[ID_DataQualities]],table_DataQualities[],3),table_Units[],2)</f>
        <v>+/- mm/s</v>
      </c>
      <c r="I925" s="10"/>
      <c r="J925" s="10"/>
      <c r="K925" s="10"/>
      <c r="L925" s="10">
        <f ca="1">VLOOKUP(dict_DQ_Meth_max[[#This Row],[ID_DataQualities]],table_DataQualities[],8,FALSE)</f>
        <v>0.06</v>
      </c>
      <c r="M925" s="10">
        <f ca="1">VLOOKUP(dict_DQ_Meth_max[[#This Row],[ID_DataQualities]],table_DataQualities[],9,FALSE)</f>
        <v>1.3</v>
      </c>
    </row>
    <row r="926" spans="1:13" x14ac:dyDescent="0.45">
      <c r="A926" s="10">
        <v>247</v>
      </c>
      <c r="B926" s="10">
        <v>461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0.34520000000000001</v>
      </c>
      <c r="G926" s="12">
        <f ca="1">(RANDBETWEEN(50,100)/100)*(dict_DQ_Meth_max[[#This Row],[Vergleich_ub]]-dict_DQ_Meth_max[[#This Row],[Vergleich_lb]])+dict_DQ_Meth_max[[#This Row],[Vergleich_lb]]</f>
        <v>1.1636</v>
      </c>
      <c r="H926" s="11" t="str">
        <f ca="1">VLOOKUP(VLOOKUP(dict_DQ_Meth_max[[#This Row],[ID_DataQualities]],table_DataQualities[],3),table_Units[],2)</f>
        <v>+/- mm/s</v>
      </c>
      <c r="I926" s="10"/>
      <c r="J926" s="10"/>
      <c r="K926" s="10"/>
      <c r="L926" s="10">
        <f ca="1">VLOOKUP(dict_DQ_Meth_max[[#This Row],[ID_DataQualities]],table_DataQualities[],8,FALSE)</f>
        <v>0.06</v>
      </c>
      <c r="M926" s="10">
        <f ca="1">VLOOKUP(dict_DQ_Meth_max[[#This Row],[ID_DataQualities]],table_DataQualities[],9,FALSE)</f>
        <v>1.3</v>
      </c>
    </row>
    <row r="927" spans="1:13" x14ac:dyDescent="0.45">
      <c r="A927" s="10">
        <v>247</v>
      </c>
      <c r="B927" s="10">
        <v>571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0.59319999999999995</v>
      </c>
      <c r="G927" s="12">
        <f ca="1">(RANDBETWEEN(50,100)/100)*(dict_DQ_Meth_max[[#This Row],[Vergleich_ub]]-dict_DQ_Meth_max[[#This Row],[Vergleich_lb]])+dict_DQ_Meth_max[[#This Row],[Vergleich_lb]]</f>
        <v>0.8660000000000001</v>
      </c>
      <c r="H927" s="11" t="str">
        <f ca="1">VLOOKUP(VLOOKUP(dict_DQ_Meth_max[[#This Row],[ID_DataQualities]],table_DataQualities[],3),table_Units[],2)</f>
        <v>+/- mm/s</v>
      </c>
      <c r="I927" s="10"/>
      <c r="J927" s="10"/>
      <c r="K927" s="10"/>
      <c r="L927" s="10">
        <f ca="1">VLOOKUP(dict_DQ_Meth_max[[#This Row],[ID_DataQualities]],table_DataQualities[],8,FALSE)</f>
        <v>0.06</v>
      </c>
      <c r="M927" s="10">
        <f ca="1">VLOOKUP(dict_DQ_Meth_max[[#This Row],[ID_DataQualities]],table_DataQualities[],9,FALSE)</f>
        <v>1.3</v>
      </c>
    </row>
    <row r="928" spans="1:13" x14ac:dyDescent="0.45">
      <c r="A928" s="10">
        <v>248</v>
      </c>
      <c r="B928" s="10">
        <v>685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0.60399999999999998</v>
      </c>
      <c r="G928" s="12">
        <f ca="1">(RANDBETWEEN(50,100)/100)*(dict_DQ_Meth_max[[#This Row],[Vergleich_ub]]-dict_DQ_Meth_max[[#This Row],[Vergleich_lb]])+dict_DQ_Meth_max[[#This Row],[Vergleich_lb]]</f>
        <v>2539.9</v>
      </c>
      <c r="H928" s="11" t="str">
        <f ca="1">VLOOKUP(VLOOKUP(dict_DQ_Meth_max[[#This Row],[ID_DataQualities]],table_DataQualities[],3),table_Units[],2)</f>
        <v>Hz</v>
      </c>
      <c r="I928" s="10"/>
      <c r="J928" s="10"/>
      <c r="K928" s="10"/>
      <c r="L928" s="10">
        <f ca="1">VLOOKUP(dict_DQ_Meth_max[[#This Row],[ID_DataQualities]],table_DataQualities[],8,FALSE)</f>
        <v>0.60399999999999998</v>
      </c>
      <c r="M928" s="10">
        <f ca="1">VLOOKUP(dict_DQ_Meth_max[[#This Row],[ID_DataQualities]],table_DataQualities[],9,FALSE)</f>
        <v>2539.9</v>
      </c>
    </row>
    <row r="929" spans="1:13" x14ac:dyDescent="0.45">
      <c r="A929" s="10">
        <v>248</v>
      </c>
      <c r="B929" s="10">
        <v>256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711.60688000000016</v>
      </c>
      <c r="G929" s="12">
        <f ca="1">(RANDBETWEEN(50,100)/100)*(dict_DQ_Meth_max[[#This Row],[Vergleich_ub]]-dict_DQ_Meth_max[[#This Row],[Vergleich_lb]])+dict_DQ_Meth_max[[#This Row],[Vergleich_lb]]</f>
        <v>1651.1464000000003</v>
      </c>
      <c r="H929" s="11" t="str">
        <f ca="1">VLOOKUP(VLOOKUP(dict_DQ_Meth_max[[#This Row],[ID_DataQualities]],table_DataQualities[],3),table_Units[],2)</f>
        <v>Hz</v>
      </c>
      <c r="I929" s="10"/>
      <c r="J929" s="10"/>
      <c r="K929" s="10"/>
      <c r="L929" s="10">
        <f ca="1">VLOOKUP(dict_DQ_Meth_max[[#This Row],[ID_DataQualities]],table_DataQualities[],8,FALSE)</f>
        <v>0.60399999999999998</v>
      </c>
      <c r="M929" s="10">
        <f ca="1">VLOOKUP(dict_DQ_Meth_max[[#This Row],[ID_DataQualities]],table_DataQualities[],9,FALSE)</f>
        <v>2539.9</v>
      </c>
    </row>
    <row r="930" spans="1:13" x14ac:dyDescent="0.45">
      <c r="A930" s="10">
        <v>248</v>
      </c>
      <c r="B930" s="10">
        <v>112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610.03504000000009</v>
      </c>
      <c r="G930" s="12">
        <f ca="1">(RANDBETWEEN(50,100)/100)*(dict_DQ_Meth_max[[#This Row],[Vergleich_ub]]-dict_DQ_Meth_max[[#This Row],[Vergleich_lb]])+dict_DQ_Meth_max[[#This Row],[Vergleich_lb]]</f>
        <v>2463.7211200000002</v>
      </c>
      <c r="H930" s="11" t="str">
        <f ca="1">VLOOKUP(VLOOKUP(dict_DQ_Meth_max[[#This Row],[ID_DataQualities]],table_DataQualities[],3),table_Units[],2)</f>
        <v>Hz</v>
      </c>
      <c r="I930" s="10"/>
      <c r="J930" s="10"/>
      <c r="K930" s="10"/>
      <c r="L930" s="10">
        <f ca="1">VLOOKUP(dict_DQ_Meth_max[[#This Row],[ID_DataQualities]],table_DataQualities[],8,FALSE)</f>
        <v>0.60399999999999998</v>
      </c>
      <c r="M930" s="10">
        <f ca="1">VLOOKUP(dict_DQ_Meth_max[[#This Row],[ID_DataQualities]],table_DataQualities[],9,FALSE)</f>
        <v>2539.9</v>
      </c>
    </row>
    <row r="931" spans="1:13" x14ac:dyDescent="0.45">
      <c r="A931" s="10">
        <v>248</v>
      </c>
      <c r="B931" s="10">
        <v>316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635.42800000000011</v>
      </c>
      <c r="G931" s="12">
        <f ca="1">(RANDBETWEEN(50,100)/100)*(dict_DQ_Meth_max[[#This Row],[Vergleich_ub]]-dict_DQ_Meth_max[[#This Row],[Vergleich_lb]])+dict_DQ_Meth_max[[#This Row],[Vergleich_lb]]</f>
        <v>1752.7182400000002</v>
      </c>
      <c r="H931" s="11" t="str">
        <f ca="1">VLOOKUP(VLOOKUP(dict_DQ_Meth_max[[#This Row],[ID_DataQualities]],table_DataQualities[],3),table_Units[],2)</f>
        <v>Hz</v>
      </c>
      <c r="I931" s="10"/>
      <c r="J931" s="10"/>
      <c r="K931" s="10"/>
      <c r="L931" s="10">
        <f ca="1">VLOOKUP(dict_DQ_Meth_max[[#This Row],[ID_DataQualities]],table_DataQualities[],8,FALSE)</f>
        <v>0.60399999999999998</v>
      </c>
      <c r="M931" s="10">
        <f ca="1">VLOOKUP(dict_DQ_Meth_max[[#This Row],[ID_DataQualities]],table_DataQualities[],9,FALSE)</f>
        <v>2539.9</v>
      </c>
    </row>
    <row r="932" spans="1:13" x14ac:dyDescent="0.45">
      <c r="A932" s="10">
        <v>249</v>
      </c>
      <c r="B932" s="10">
        <v>685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0.96886000000000005</v>
      </c>
      <c r="G932" s="12">
        <f ca="1">(RANDBETWEEN(50,100)/100)*(dict_DQ_Meth_max[[#This Row],[Vergleich_ub]]-dict_DQ_Meth_max[[#This Row],[Vergleich_lb]])+dict_DQ_Meth_max[[#This Row],[Vergleich_lb]]</f>
        <v>3.2185099999999998</v>
      </c>
      <c r="H932" s="11" t="str">
        <f ca="1">VLOOKUP(VLOOKUP(dict_DQ_Meth_max[[#This Row],[ID_DataQualities]],table_DataQualities[],3),table_Units[],2)</f>
        <v>+/- W</v>
      </c>
      <c r="I932" s="10"/>
      <c r="J932" s="10"/>
      <c r="K932" s="10"/>
      <c r="L932" s="10">
        <f ca="1">VLOOKUP(dict_DQ_Meth_max[[#This Row],[ID_DataQualities]],table_DataQualities[],8,FALSE)</f>
        <v>6.9000000000000006E-2</v>
      </c>
      <c r="M932" s="10">
        <f ca="1">VLOOKUP(dict_DQ_Meth_max[[#This Row],[ID_DataQualities]],table_DataQualities[],9,FALSE)</f>
        <v>3.53</v>
      </c>
    </row>
    <row r="933" spans="1:13" x14ac:dyDescent="0.45">
      <c r="A933" s="10">
        <v>249</v>
      </c>
      <c r="B933" s="10">
        <v>256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0.38048999999999999</v>
      </c>
      <c r="G933" s="12">
        <f ca="1">(RANDBETWEEN(50,100)/100)*(dict_DQ_Meth_max[[#This Row],[Vergleich_ub]]-dict_DQ_Meth_max[[#This Row],[Vergleich_lb]])+dict_DQ_Meth_max[[#This Row],[Vergleich_lb]]</f>
        <v>1.97255</v>
      </c>
      <c r="H933" s="11" t="str">
        <f ca="1">VLOOKUP(VLOOKUP(dict_DQ_Meth_max[[#This Row],[ID_DataQualities]],table_DataQualities[],3),table_Units[],2)</f>
        <v>+/- W</v>
      </c>
      <c r="I933" s="10"/>
      <c r="J933" s="10"/>
      <c r="K933" s="10"/>
      <c r="L933" s="10">
        <f ca="1">VLOOKUP(dict_DQ_Meth_max[[#This Row],[ID_DataQualities]],table_DataQualities[],8,FALSE)</f>
        <v>6.9000000000000006E-2</v>
      </c>
      <c r="M933" s="10">
        <f ca="1">VLOOKUP(dict_DQ_Meth_max[[#This Row],[ID_DataQualities]],table_DataQualities[],9,FALSE)</f>
        <v>3.53</v>
      </c>
    </row>
    <row r="934" spans="1:13" x14ac:dyDescent="0.45">
      <c r="A934" s="10">
        <v>249</v>
      </c>
      <c r="B934" s="10">
        <v>112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1.17652</v>
      </c>
      <c r="G934" s="12">
        <f ca="1">(RANDBETWEEN(50,100)/100)*(dict_DQ_Meth_max[[#This Row],[Vergleich_ub]]-dict_DQ_Meth_max[[#This Row],[Vergleich_lb]])+dict_DQ_Meth_max[[#This Row],[Vergleich_lb]]</f>
        <v>2.6647499999999997</v>
      </c>
      <c r="H934" s="11" t="str">
        <f ca="1">VLOOKUP(VLOOKUP(dict_DQ_Meth_max[[#This Row],[ID_DataQualities]],table_DataQualities[],3),table_Units[],2)</f>
        <v>+/- W</v>
      </c>
      <c r="I934" s="10"/>
      <c r="J934" s="10"/>
      <c r="K934" s="10"/>
      <c r="L934" s="10">
        <f ca="1">VLOOKUP(dict_DQ_Meth_max[[#This Row],[ID_DataQualities]],table_DataQualities[],8,FALSE)</f>
        <v>6.9000000000000006E-2</v>
      </c>
      <c r="M934" s="10">
        <f ca="1">VLOOKUP(dict_DQ_Meth_max[[#This Row],[ID_DataQualities]],table_DataQualities[],9,FALSE)</f>
        <v>3.53</v>
      </c>
    </row>
    <row r="935" spans="1:13" x14ac:dyDescent="0.45">
      <c r="A935" s="10">
        <v>249</v>
      </c>
      <c r="B935" s="10">
        <v>316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1.62645</v>
      </c>
      <c r="G935" s="12">
        <f ca="1">(RANDBETWEEN(50,100)/100)*(dict_DQ_Meth_max[[#This Row],[Vergleich_ub]]-dict_DQ_Meth_max[[#This Row],[Vergleich_lb]])+dict_DQ_Meth_max[[#This Row],[Vergleich_lb]]</f>
        <v>3.1839</v>
      </c>
      <c r="H935" s="11" t="str">
        <f ca="1">VLOOKUP(VLOOKUP(dict_DQ_Meth_max[[#This Row],[ID_DataQualities]],table_DataQualities[],3),table_Units[],2)</f>
        <v>+/- W</v>
      </c>
      <c r="I935" s="10"/>
      <c r="J935" s="10"/>
      <c r="K935" s="10"/>
      <c r="L935" s="10">
        <f ca="1">VLOOKUP(dict_DQ_Meth_max[[#This Row],[ID_DataQualities]],table_DataQualities[],8,FALSE)</f>
        <v>6.9000000000000006E-2</v>
      </c>
      <c r="M935" s="10">
        <f ca="1">VLOOKUP(dict_DQ_Meth_max[[#This Row],[ID_DataQualities]],table_DataQualities[],9,FALSE)</f>
        <v>3.53</v>
      </c>
    </row>
    <row r="936" spans="1:13" x14ac:dyDescent="0.45">
      <c r="A936" s="10">
        <v>250</v>
      </c>
      <c r="B936" s="10">
        <v>51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2308.5331099999994</v>
      </c>
      <c r="G936" s="12">
        <f ca="1">(RANDBETWEEN(50,100)/100)*(dict_DQ_Meth_max[[#This Row],[Vergleich_ub]]-dict_DQ_Meth_max[[#This Row],[Vergleich_lb]])+dict_DQ_Meth_max[[#This Row],[Vergleich_lb]]</f>
        <v>4297.9228600000006</v>
      </c>
      <c r="H936" s="11" t="str">
        <f ca="1">VLOOKUP(VLOOKUP(dict_DQ_Meth_max[[#This Row],[ID_DataQualities]],table_DataQualities[],3),table_Units[],2)</f>
        <v>Hz</v>
      </c>
      <c r="I936" s="10"/>
      <c r="J936" s="10"/>
      <c r="K936" s="10"/>
      <c r="L936" s="10">
        <f ca="1">VLOOKUP(dict_DQ_Meth_max[[#This Row],[ID_DataQualities]],table_DataQualities[],8,FALSE)</f>
        <v>0.84099999999999997</v>
      </c>
      <c r="M936" s="10">
        <f ca="1">VLOOKUP(dict_DQ_Meth_max[[#This Row],[ID_DataQualities]],table_DataQualities[],9,FALSE)</f>
        <v>7958.4</v>
      </c>
    </row>
    <row r="937" spans="1:13" x14ac:dyDescent="0.45">
      <c r="A937" s="10">
        <v>250</v>
      </c>
      <c r="B937" s="10">
        <v>234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557.87013000000002</v>
      </c>
      <c r="G937" s="12">
        <f ca="1">(RANDBETWEEN(50,100)/100)*(dict_DQ_Meth_max[[#This Row],[Vergleich_ub]]-dict_DQ_Meth_max[[#This Row],[Vergleich_lb]])+dict_DQ_Meth_max[[#This Row],[Vergleich_lb]]</f>
        <v>4695.8008099999997</v>
      </c>
      <c r="H937" s="11" t="str">
        <f ca="1">VLOOKUP(VLOOKUP(dict_DQ_Meth_max[[#This Row],[ID_DataQualities]],table_DataQualities[],3),table_Units[],2)</f>
        <v>Hz</v>
      </c>
      <c r="I937" s="10"/>
      <c r="J937" s="10"/>
      <c r="K937" s="10"/>
      <c r="L937" s="10">
        <f ca="1">VLOOKUP(dict_DQ_Meth_max[[#This Row],[ID_DataQualities]],table_DataQualities[],8,FALSE)</f>
        <v>0.84099999999999997</v>
      </c>
      <c r="M937" s="10">
        <f ca="1">VLOOKUP(dict_DQ_Meth_max[[#This Row],[ID_DataQualities]],table_DataQualities[],9,FALSE)</f>
        <v>7958.4</v>
      </c>
    </row>
    <row r="938" spans="1:13" x14ac:dyDescent="0.45">
      <c r="A938" s="10">
        <v>250</v>
      </c>
      <c r="B938" s="10">
        <v>17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3343.0157799999993</v>
      </c>
      <c r="G938" s="12">
        <f ca="1">(RANDBETWEEN(50,100)/100)*(dict_DQ_Meth_max[[#This Row],[Vergleich_ub]]-dict_DQ_Meth_max[[#This Row],[Vergleich_lb]])+dict_DQ_Meth_max[[#This Row],[Vergleich_lb]]</f>
        <v>7799.2488199999998</v>
      </c>
      <c r="H938" s="11" t="str">
        <f ca="1">VLOOKUP(VLOOKUP(dict_DQ_Meth_max[[#This Row],[ID_DataQualities]],table_DataQualities[],3),table_Units[],2)</f>
        <v>Hz</v>
      </c>
      <c r="I938" s="10"/>
      <c r="J938" s="10"/>
      <c r="K938" s="10"/>
      <c r="L938" s="10">
        <f ca="1">VLOOKUP(dict_DQ_Meth_max[[#This Row],[ID_DataQualities]],table_DataQualities[],8,FALSE)</f>
        <v>0.84099999999999997</v>
      </c>
      <c r="M938" s="10">
        <f ca="1">VLOOKUP(dict_DQ_Meth_max[[#This Row],[ID_DataQualities]],table_DataQualities[],9,FALSE)</f>
        <v>7958.4</v>
      </c>
    </row>
    <row r="939" spans="1:13" x14ac:dyDescent="0.45">
      <c r="A939" s="10">
        <v>250</v>
      </c>
      <c r="B939" s="10">
        <v>21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1831.0795699999999</v>
      </c>
      <c r="G939" s="12">
        <f ca="1">(RANDBETWEEN(50,100)/100)*(dict_DQ_Meth_max[[#This Row],[Vergleich_ub]]-dict_DQ_Meth_max[[#This Row],[Vergleich_lb]])+dict_DQ_Meth_max[[#This Row],[Vergleich_lb]]</f>
        <v>7242.2196899999999</v>
      </c>
      <c r="H939" s="11" t="str">
        <f ca="1">VLOOKUP(VLOOKUP(dict_DQ_Meth_max[[#This Row],[ID_DataQualities]],table_DataQualities[],3),table_Units[],2)</f>
        <v>Hz</v>
      </c>
      <c r="I939" s="10"/>
      <c r="J939" s="10"/>
      <c r="K939" s="10"/>
      <c r="L939" s="10">
        <f ca="1">VLOOKUP(dict_DQ_Meth_max[[#This Row],[ID_DataQualities]],table_DataQualities[],8,FALSE)</f>
        <v>0.84099999999999997</v>
      </c>
      <c r="M939" s="10">
        <f ca="1">VLOOKUP(dict_DQ_Meth_max[[#This Row],[ID_DataQualities]],table_DataQualities[],9,FALSE)</f>
        <v>7958.4</v>
      </c>
    </row>
    <row r="940" spans="1:13" x14ac:dyDescent="0.45">
      <c r="A940" s="10">
        <v>250</v>
      </c>
      <c r="B940" s="10">
        <v>664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637.44571999999994</v>
      </c>
      <c r="G940" s="12">
        <f ca="1">(RANDBETWEEN(50,100)/100)*(dict_DQ_Meth_max[[#This Row],[Vergleich_ub]]-dict_DQ_Meth_max[[#This Row],[Vergleich_lb]])+dict_DQ_Meth_max[[#This Row],[Vergleich_lb]]</f>
        <v>6446.4637899999998</v>
      </c>
      <c r="H940" s="11" t="str">
        <f ca="1">VLOOKUP(VLOOKUP(dict_DQ_Meth_max[[#This Row],[ID_DataQualities]],table_DataQualities[],3),table_Units[],2)</f>
        <v>Hz</v>
      </c>
      <c r="I940" s="10"/>
      <c r="J940" s="10"/>
      <c r="K940" s="10"/>
      <c r="L940" s="10">
        <f ca="1">VLOOKUP(dict_DQ_Meth_max[[#This Row],[ID_DataQualities]],table_DataQualities[],8,FALSE)</f>
        <v>0.84099999999999997</v>
      </c>
      <c r="M940" s="10">
        <f ca="1">VLOOKUP(dict_DQ_Meth_max[[#This Row],[ID_DataQualities]],table_DataQualities[],9,FALSE)</f>
        <v>7958.4</v>
      </c>
    </row>
    <row r="941" spans="1:13" x14ac:dyDescent="0.45">
      <c r="A941" s="10">
        <v>251</v>
      </c>
      <c r="B941" s="10">
        <v>234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8.0507999999999996E-2</v>
      </c>
      <c r="G941" s="12">
        <f ca="1">(RANDBETWEEN(50,100)/100)*(dict_DQ_Meth_max[[#This Row],[Vergleich_ub]]-dict_DQ_Meth_max[[#This Row],[Vergleich_lb]])+dict_DQ_Meth_max[[#This Row],[Vergleich_lb]]</f>
        <v>0.30885000000000001</v>
      </c>
      <c r="H941" s="11" t="str">
        <f ca="1">VLOOKUP(VLOOKUP(dict_DQ_Meth_max[[#This Row],[ID_DataQualities]],table_DataQualities[],3),table_Units[],2)</f>
        <v>+/- cm³/s</v>
      </c>
      <c r="I941" s="10"/>
      <c r="J941" s="10"/>
      <c r="K941" s="10"/>
      <c r="L941" s="10">
        <f ca="1">VLOOKUP(dict_DQ_Meth_max[[#This Row],[ID_DataQualities]],table_DataQualities[],8,FALSE)</f>
        <v>8.3999999999999995E-3</v>
      </c>
      <c r="M941" s="10">
        <f ca="1">VLOOKUP(dict_DQ_Meth_max[[#This Row],[ID_DataQualities]],table_DataQualities[],9,FALSE)</f>
        <v>0.40899999999999997</v>
      </c>
    </row>
    <row r="942" spans="1:13" x14ac:dyDescent="0.45">
      <c r="A942" s="10">
        <v>251</v>
      </c>
      <c r="B942" s="10">
        <v>51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1.2406E-2</v>
      </c>
      <c r="G942" s="12">
        <f ca="1">(RANDBETWEEN(50,100)/100)*(dict_DQ_Meth_max[[#This Row],[Vergleich_ub]]-dict_DQ_Meth_max[[#This Row],[Vergleich_lb]])+dict_DQ_Meth_max[[#This Row],[Vergleich_lb]]</f>
        <v>0.29683199999999998</v>
      </c>
      <c r="H942" s="11" t="str">
        <f ca="1">VLOOKUP(VLOOKUP(dict_DQ_Meth_max[[#This Row],[ID_DataQualities]],table_DataQualities[],3),table_Units[],2)</f>
        <v>+/- cm³/s</v>
      </c>
      <c r="I942" s="10"/>
      <c r="J942" s="10"/>
      <c r="K942" s="10"/>
      <c r="L942" s="10">
        <f ca="1">VLOOKUP(dict_DQ_Meth_max[[#This Row],[ID_DataQualities]],table_DataQualities[],8,FALSE)</f>
        <v>8.3999999999999995E-3</v>
      </c>
      <c r="M942" s="10">
        <f ca="1">VLOOKUP(dict_DQ_Meth_max[[#This Row],[ID_DataQualities]],table_DataQualities[],9,FALSE)</f>
        <v>0.40899999999999997</v>
      </c>
    </row>
    <row r="943" spans="1:13" x14ac:dyDescent="0.45">
      <c r="A943" s="10">
        <v>251</v>
      </c>
      <c r="B943" s="10">
        <v>17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4.8459999999999996E-2</v>
      </c>
      <c r="G943" s="12">
        <f ca="1">(RANDBETWEEN(50,100)/100)*(dict_DQ_Meth_max[[#This Row],[Vergleich_ub]]-dict_DQ_Meth_max[[#This Row],[Vergleich_lb]])+dict_DQ_Meth_max[[#This Row],[Vergleich_lb]]</f>
        <v>0.40098799999999996</v>
      </c>
      <c r="H943" s="11" t="str">
        <f ca="1">VLOOKUP(VLOOKUP(dict_DQ_Meth_max[[#This Row],[ID_DataQualities]],table_DataQualities[],3),table_Units[],2)</f>
        <v>+/- cm³/s</v>
      </c>
      <c r="I943" s="10"/>
      <c r="J943" s="10"/>
      <c r="K943" s="10"/>
      <c r="L943" s="10">
        <f ca="1">VLOOKUP(dict_DQ_Meth_max[[#This Row],[ID_DataQualities]],table_DataQualities[],8,FALSE)</f>
        <v>8.3999999999999995E-3</v>
      </c>
      <c r="M943" s="10">
        <f ca="1">VLOOKUP(dict_DQ_Meth_max[[#This Row],[ID_DataQualities]],table_DataQualities[],9,FALSE)</f>
        <v>0.40899999999999997</v>
      </c>
    </row>
    <row r="944" spans="1:13" x14ac:dyDescent="0.45">
      <c r="A944" s="10">
        <v>251</v>
      </c>
      <c r="B944" s="10">
        <v>21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0.19668199999999997</v>
      </c>
      <c r="G944" s="12">
        <f ca="1">(RANDBETWEEN(50,100)/100)*(dict_DQ_Meth_max[[#This Row],[Vergleich_ub]]-dict_DQ_Meth_max[[#This Row],[Vergleich_lb]])+dict_DQ_Meth_max[[#This Row],[Vergleich_lb]]</f>
        <v>0.23674199999999995</v>
      </c>
      <c r="H944" s="11" t="str">
        <f ca="1">VLOOKUP(VLOOKUP(dict_DQ_Meth_max[[#This Row],[ID_DataQualities]],table_DataQualities[],3),table_Units[],2)</f>
        <v>+/- cm³/s</v>
      </c>
      <c r="I944" s="10"/>
      <c r="J944" s="10"/>
      <c r="K944" s="10"/>
      <c r="L944" s="10">
        <f ca="1">VLOOKUP(dict_DQ_Meth_max[[#This Row],[ID_DataQualities]],table_DataQualities[],8,FALSE)</f>
        <v>8.3999999999999995E-3</v>
      </c>
      <c r="M944" s="10">
        <f ca="1">VLOOKUP(dict_DQ_Meth_max[[#This Row],[ID_DataQualities]],table_DataQualities[],9,FALSE)</f>
        <v>0.40899999999999997</v>
      </c>
    </row>
    <row r="945" spans="1:13" x14ac:dyDescent="0.45">
      <c r="A945" s="10">
        <v>251</v>
      </c>
      <c r="B945" s="10">
        <v>664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0.14460399999999998</v>
      </c>
      <c r="G945" s="12">
        <f ca="1">(RANDBETWEEN(50,100)/100)*(dict_DQ_Meth_max[[#This Row],[Vergleich_ub]]-dict_DQ_Meth_max[[#This Row],[Vergleich_lb]])+dict_DQ_Meth_max[[#This Row],[Vergleich_lb]]</f>
        <v>0.40098799999999996</v>
      </c>
      <c r="H945" s="11" t="str">
        <f ca="1">VLOOKUP(VLOOKUP(dict_DQ_Meth_max[[#This Row],[ID_DataQualities]],table_DataQualities[],3),table_Units[],2)</f>
        <v>+/- cm³/s</v>
      </c>
      <c r="I945" s="10"/>
      <c r="J945" s="10"/>
      <c r="K945" s="10"/>
      <c r="L945" s="10">
        <f ca="1">VLOOKUP(dict_DQ_Meth_max[[#This Row],[ID_DataQualities]],table_DataQualities[],8,FALSE)</f>
        <v>8.3999999999999995E-3</v>
      </c>
      <c r="M945" s="10">
        <f ca="1">VLOOKUP(dict_DQ_Meth_max[[#This Row],[ID_DataQualities]],table_DataQualities[],9,FALSE)</f>
        <v>0.40899999999999997</v>
      </c>
    </row>
    <row r="946" spans="1:13" x14ac:dyDescent="0.45">
      <c r="A946" s="10">
        <v>252</v>
      </c>
      <c r="B946" s="10">
        <v>119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1927.9106999999999</v>
      </c>
      <c r="G946" s="12">
        <f ca="1">(RANDBETWEEN(50,100)/100)*(dict_DQ_Meth_max[[#This Row],[Vergleich_ub]]-dict_DQ_Meth_max[[#This Row],[Vergleich_lb]])+dict_DQ_Meth_max[[#This Row],[Vergleich_lb]]</f>
        <v>4241.0699400000003</v>
      </c>
      <c r="H946" s="11" t="str">
        <f ca="1">VLOOKUP(VLOOKUP(dict_DQ_Meth_max[[#This Row],[ID_DataQualities]],table_DataQualities[],3),table_Units[],2)</f>
        <v>Hz</v>
      </c>
      <c r="I946" s="10"/>
      <c r="J946" s="10"/>
      <c r="K946" s="10"/>
      <c r="L946" s="10">
        <f ca="1">VLOOKUP(dict_DQ_Meth_max[[#This Row],[ID_DataQualities]],table_DataQualities[],8,FALSE)</f>
        <v>0.27800000000000002</v>
      </c>
      <c r="M946" s="10">
        <f ca="1">VLOOKUP(dict_DQ_Meth_max[[#This Row],[ID_DataQualities]],table_DataQualities[],9,FALSE)</f>
        <v>5507.8</v>
      </c>
    </row>
    <row r="947" spans="1:13" x14ac:dyDescent="0.45">
      <c r="A947" s="10">
        <v>253</v>
      </c>
      <c r="B947" s="10">
        <v>119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1.09775</v>
      </c>
      <c r="G947" s="12">
        <f ca="1">(RANDBETWEEN(50,100)/100)*(dict_DQ_Meth_max[[#This Row],[Vergleich_ub]]-dict_DQ_Meth_max[[#This Row],[Vergleich_lb]])+dict_DQ_Meth_max[[#This Row],[Vergleich_lb]]</f>
        <v>2.9470700000000001</v>
      </c>
      <c r="H947" s="11" t="str">
        <f ca="1">VLOOKUP(VLOOKUP(dict_DQ_Meth_max[[#This Row],[ID_DataQualities]],table_DataQualities[],3),table_Units[],2)</f>
        <v>+/- mm</v>
      </c>
      <c r="I947" s="10"/>
      <c r="J947" s="10"/>
      <c r="K947" s="10"/>
      <c r="L947" s="10">
        <f ca="1">VLOOKUP(dict_DQ_Meth_max[[#This Row],[ID_DataQualities]],table_DataQualities[],8,FALSE)</f>
        <v>4.7E-2</v>
      </c>
      <c r="M947" s="10">
        <f ca="1">VLOOKUP(dict_DQ_Meth_max[[#This Row],[ID_DataQualities]],table_DataQualities[],9,FALSE)</f>
        <v>4.25</v>
      </c>
    </row>
    <row r="948" spans="1:13" x14ac:dyDescent="0.45">
      <c r="A948" s="10">
        <v>254</v>
      </c>
      <c r="B948" s="10">
        <v>415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2270.0977600000001</v>
      </c>
      <c r="G948" s="12">
        <f ca="1">(RANDBETWEEN(50,100)/100)*(dict_DQ_Meth_max[[#This Row],[Vergleich_ub]]-dict_DQ_Meth_max[[#This Row],[Vergleich_lb]])+dict_DQ_Meth_max[[#This Row],[Vergleich_lb]]</f>
        <v>4035.5862400000001</v>
      </c>
      <c r="H948" s="11" t="str">
        <f ca="1">VLOOKUP(VLOOKUP(dict_DQ_Meth_max[[#This Row],[ID_DataQualities]],table_DataQualities[],3),table_Units[],2)</f>
        <v>Hz</v>
      </c>
      <c r="I948" s="10"/>
      <c r="J948" s="10"/>
      <c r="K948" s="10"/>
      <c r="L948" s="10">
        <f ca="1">VLOOKUP(dict_DQ_Meth_max[[#This Row],[ID_DataQualities]],table_DataQualities[],8,FALSE)</f>
        <v>0.184</v>
      </c>
      <c r="M948" s="10">
        <f ca="1">VLOOKUP(dict_DQ_Meth_max[[#This Row],[ID_DataQualities]],table_DataQualities[],9,FALSE)</f>
        <v>6305.5</v>
      </c>
    </row>
    <row r="949" spans="1:13" x14ac:dyDescent="0.45">
      <c r="A949" s="10">
        <v>254</v>
      </c>
      <c r="B949" s="10">
        <v>511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2900.6293600000004</v>
      </c>
      <c r="G949" s="12">
        <f ca="1">(RANDBETWEEN(50,100)/100)*(dict_DQ_Meth_max[[#This Row],[Vergleich_ub]]-dict_DQ_Meth_max[[#This Row],[Vergleich_lb]])+dict_DQ_Meth_max[[#This Row],[Vergleich_lb]]</f>
        <v>3783.3735999999999</v>
      </c>
      <c r="H949" s="11" t="str">
        <f ca="1">VLOOKUP(VLOOKUP(dict_DQ_Meth_max[[#This Row],[ID_DataQualities]],table_DataQualities[],3),table_Units[],2)</f>
        <v>Hz</v>
      </c>
      <c r="I949" s="10"/>
      <c r="J949" s="10"/>
      <c r="K949" s="10"/>
      <c r="L949" s="10">
        <f ca="1">VLOOKUP(dict_DQ_Meth_max[[#This Row],[ID_DataQualities]],table_DataQualities[],8,FALSE)</f>
        <v>0.184</v>
      </c>
      <c r="M949" s="10">
        <f ca="1">VLOOKUP(dict_DQ_Meth_max[[#This Row],[ID_DataQualities]],table_DataQualities[],9,FALSE)</f>
        <v>6305.5</v>
      </c>
    </row>
    <row r="950" spans="1:13" x14ac:dyDescent="0.45">
      <c r="A950" s="10">
        <v>254</v>
      </c>
      <c r="B950" s="10">
        <v>3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1576.5129999999999</v>
      </c>
      <c r="G950" s="12">
        <f ca="1">(RANDBETWEEN(50,100)/100)*(dict_DQ_Meth_max[[#This Row],[Vergleich_ub]]-dict_DQ_Meth_max[[#This Row],[Vergleich_lb]])+dict_DQ_Meth_max[[#This Row],[Vergleich_lb]]</f>
        <v>5674.9683999999997</v>
      </c>
      <c r="H950" s="11" t="str">
        <f ca="1">VLOOKUP(VLOOKUP(dict_DQ_Meth_max[[#This Row],[ID_DataQualities]],table_DataQualities[],3),table_Units[],2)</f>
        <v>Hz</v>
      </c>
      <c r="I950" s="10"/>
      <c r="J950" s="10"/>
      <c r="K950" s="10"/>
      <c r="L950" s="10">
        <f ca="1">VLOOKUP(dict_DQ_Meth_max[[#This Row],[ID_DataQualities]],table_DataQualities[],8,FALSE)</f>
        <v>0.184</v>
      </c>
      <c r="M950" s="10">
        <f ca="1">VLOOKUP(dict_DQ_Meth_max[[#This Row],[ID_DataQualities]],table_DataQualities[],9,FALSE)</f>
        <v>6305.5</v>
      </c>
    </row>
    <row r="951" spans="1:13" x14ac:dyDescent="0.45">
      <c r="A951" s="10">
        <v>254</v>
      </c>
      <c r="B951" s="10">
        <v>19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1576.5129999999999</v>
      </c>
      <c r="G951" s="12">
        <f ca="1">(RANDBETWEEN(50,100)/100)*(dict_DQ_Meth_max[[#This Row],[Vergleich_ub]]-dict_DQ_Meth_max[[#This Row],[Vergleich_lb]])+dict_DQ_Meth_max[[#This Row],[Vergleich_lb]]</f>
        <v>3783.3735999999999</v>
      </c>
      <c r="H951" s="11" t="str">
        <f ca="1">VLOOKUP(VLOOKUP(dict_DQ_Meth_max[[#This Row],[ID_DataQualities]],table_DataQualities[],3),table_Units[],2)</f>
        <v>Hz</v>
      </c>
      <c r="I951" s="10"/>
      <c r="J951" s="10"/>
      <c r="K951" s="10"/>
      <c r="L951" s="10">
        <f ca="1">VLOOKUP(dict_DQ_Meth_max[[#This Row],[ID_DataQualities]],table_DataQualities[],8,FALSE)</f>
        <v>0.184</v>
      </c>
      <c r="M951" s="10">
        <f ca="1">VLOOKUP(dict_DQ_Meth_max[[#This Row],[ID_DataQualities]],table_DataQualities[],9,FALSE)</f>
        <v>6305.5</v>
      </c>
    </row>
    <row r="952" spans="1:13" x14ac:dyDescent="0.45">
      <c r="A952" s="10">
        <v>254</v>
      </c>
      <c r="B952" s="10">
        <v>336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63.237159999999996</v>
      </c>
      <c r="G952" s="12">
        <f ca="1">(RANDBETWEEN(50,100)/100)*(dict_DQ_Meth_max[[#This Row],[Vergleich_ub]]-dict_DQ_Meth_max[[#This Row],[Vergleich_lb]])+dict_DQ_Meth_max[[#This Row],[Vergleich_lb]]</f>
        <v>3215.89516</v>
      </c>
      <c r="H952" s="11" t="str">
        <f ca="1">VLOOKUP(VLOOKUP(dict_DQ_Meth_max[[#This Row],[ID_DataQualities]],table_DataQualities[],3),table_Units[],2)</f>
        <v>Hz</v>
      </c>
      <c r="I952" s="10"/>
      <c r="J952" s="10"/>
      <c r="K952" s="10"/>
      <c r="L952" s="10">
        <f ca="1">VLOOKUP(dict_DQ_Meth_max[[#This Row],[ID_DataQualities]],table_DataQualities[],8,FALSE)</f>
        <v>0.184</v>
      </c>
      <c r="M952" s="10">
        <f ca="1">VLOOKUP(dict_DQ_Meth_max[[#This Row],[ID_DataQualities]],table_DataQualities[],9,FALSE)</f>
        <v>6305.5</v>
      </c>
    </row>
    <row r="953" spans="1:13" x14ac:dyDescent="0.45">
      <c r="A953" s="10">
        <v>255</v>
      </c>
      <c r="B953" s="10">
        <v>3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1.2193000000000001</v>
      </c>
      <c r="G953" s="12">
        <f ca="1">(RANDBETWEEN(50,100)/100)*(dict_DQ_Meth_max[[#This Row],[Vergleich_ub]]-dict_DQ_Meth_max[[#This Row],[Vergleich_lb]])+dict_DQ_Meth_max[[#This Row],[Vergleich_lb]]</f>
        <v>2.5674000000000001</v>
      </c>
      <c r="H953" s="11" t="str">
        <f ca="1">VLOOKUP(VLOOKUP(dict_DQ_Meth_max[[#This Row],[ID_DataQualities]],table_DataQualities[],3),table_Units[],2)</f>
        <v>+/- mm/s</v>
      </c>
      <c r="I953" s="10"/>
      <c r="J953" s="10"/>
      <c r="K953" s="10"/>
      <c r="L953" s="10">
        <f ca="1">VLOOKUP(dict_DQ_Meth_max[[#This Row],[ID_DataQualities]],table_DataQualities[],8,FALSE)</f>
        <v>0.49</v>
      </c>
      <c r="M953" s="10">
        <f ca="1">VLOOKUP(dict_DQ_Meth_max[[#This Row],[ID_DataQualities]],table_DataQualities[],9,FALSE)</f>
        <v>2.7</v>
      </c>
    </row>
    <row r="954" spans="1:13" x14ac:dyDescent="0.45">
      <c r="A954" s="10">
        <v>255</v>
      </c>
      <c r="B954" s="10">
        <v>19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0.62260000000000004</v>
      </c>
      <c r="G954" s="12">
        <f ca="1">(RANDBETWEEN(50,100)/100)*(dict_DQ_Meth_max[[#This Row],[Vergleich_ub]]-dict_DQ_Meth_max[[#This Row],[Vergleich_lb]])+dict_DQ_Meth_max[[#This Row],[Vergleich_lb]]</f>
        <v>1.6834</v>
      </c>
      <c r="H954" s="11" t="str">
        <f ca="1">VLOOKUP(VLOOKUP(dict_DQ_Meth_max[[#This Row],[ID_DataQualities]],table_DataQualities[],3),table_Units[],2)</f>
        <v>+/- mm/s</v>
      </c>
      <c r="I954" s="10"/>
      <c r="J954" s="10"/>
      <c r="K954" s="10"/>
      <c r="L954" s="10">
        <f ca="1">VLOOKUP(dict_DQ_Meth_max[[#This Row],[ID_DataQualities]],table_DataQualities[],8,FALSE)</f>
        <v>0.49</v>
      </c>
      <c r="M954" s="10">
        <f ca="1">VLOOKUP(dict_DQ_Meth_max[[#This Row],[ID_DataQualities]],table_DataQualities[],9,FALSE)</f>
        <v>2.7</v>
      </c>
    </row>
    <row r="955" spans="1:13" x14ac:dyDescent="0.45">
      <c r="A955" s="10">
        <v>255</v>
      </c>
      <c r="B955" s="10">
        <v>511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0.62260000000000004</v>
      </c>
      <c r="G955" s="12">
        <f ca="1">(RANDBETWEEN(50,100)/100)*(dict_DQ_Meth_max[[#This Row],[Vergleich_ub]]-dict_DQ_Meth_max[[#This Row],[Vergleich_lb]])+dict_DQ_Meth_max[[#This Row],[Vergleich_lb]]</f>
        <v>1.9707000000000001</v>
      </c>
      <c r="H955" s="11" t="str">
        <f ca="1">VLOOKUP(VLOOKUP(dict_DQ_Meth_max[[#This Row],[ID_DataQualities]],table_DataQualities[],3),table_Units[],2)</f>
        <v>+/- mm/s</v>
      </c>
      <c r="I955" s="10"/>
      <c r="J955" s="10"/>
      <c r="K955" s="10"/>
      <c r="L955" s="10">
        <f ca="1">VLOOKUP(dict_DQ_Meth_max[[#This Row],[ID_DataQualities]],table_DataQualities[],8,FALSE)</f>
        <v>0.49</v>
      </c>
      <c r="M955" s="10">
        <f ca="1">VLOOKUP(dict_DQ_Meth_max[[#This Row],[ID_DataQualities]],table_DataQualities[],9,FALSE)</f>
        <v>2.7</v>
      </c>
    </row>
    <row r="956" spans="1:13" x14ac:dyDescent="0.45">
      <c r="A956" s="10">
        <v>255</v>
      </c>
      <c r="B956" s="10">
        <v>336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0.8214999999999999</v>
      </c>
      <c r="G956" s="12">
        <f ca="1">(RANDBETWEEN(50,100)/100)*(dict_DQ_Meth_max[[#This Row],[Vergleich_ub]]-dict_DQ_Meth_max[[#This Row],[Vergleich_lb]])+dict_DQ_Meth_max[[#This Row],[Vergleich_lb]]</f>
        <v>1.6392</v>
      </c>
      <c r="H956" s="11" t="str">
        <f ca="1">VLOOKUP(VLOOKUP(dict_DQ_Meth_max[[#This Row],[ID_DataQualities]],table_DataQualities[],3),table_Units[],2)</f>
        <v>+/- mm/s</v>
      </c>
      <c r="I956" s="10"/>
      <c r="J956" s="10"/>
      <c r="K956" s="10"/>
      <c r="L956" s="10">
        <f ca="1">VLOOKUP(dict_DQ_Meth_max[[#This Row],[ID_DataQualities]],table_DataQualities[],8,FALSE)</f>
        <v>0.49</v>
      </c>
      <c r="M956" s="10">
        <f ca="1">VLOOKUP(dict_DQ_Meth_max[[#This Row],[ID_DataQualities]],table_DataQualities[],9,FALSE)</f>
        <v>2.7</v>
      </c>
    </row>
    <row r="957" spans="1:13" x14ac:dyDescent="0.45">
      <c r="A957" s="10">
        <v>255</v>
      </c>
      <c r="B957" s="10">
        <v>415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1.0204</v>
      </c>
      <c r="G957" s="12">
        <f ca="1">(RANDBETWEEN(50,100)/100)*(dict_DQ_Meth_max[[#This Row],[Vergleich_ub]]-dict_DQ_Meth_max[[#This Row],[Vergleich_lb]])+dict_DQ_Meth_max[[#This Row],[Vergleich_lb]]</f>
        <v>2.0590999999999999</v>
      </c>
      <c r="H957" s="11" t="str">
        <f ca="1">VLOOKUP(VLOOKUP(dict_DQ_Meth_max[[#This Row],[ID_DataQualities]],table_DataQualities[],3),table_Units[],2)</f>
        <v>+/- mm/s</v>
      </c>
      <c r="I957" s="10"/>
      <c r="J957" s="10"/>
      <c r="K957" s="10"/>
      <c r="L957" s="10">
        <f ca="1">VLOOKUP(dict_DQ_Meth_max[[#This Row],[ID_DataQualities]],table_DataQualities[],8,FALSE)</f>
        <v>0.49</v>
      </c>
      <c r="M957" s="10">
        <f ca="1">VLOOKUP(dict_DQ_Meth_max[[#This Row],[ID_DataQualities]],table_DataQualities[],9,FALSE)</f>
        <v>2.7</v>
      </c>
    </row>
    <row r="958" spans="1:13" x14ac:dyDescent="0.45">
      <c r="A958" s="10">
        <v>256</v>
      </c>
      <c r="B958" s="10">
        <v>631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120.68899999999999</v>
      </c>
      <c r="G958" s="12">
        <f ca="1">(RANDBETWEEN(50,100)/100)*(dict_DQ_Meth_max[[#This Row],[Vergleich_ub]]-dict_DQ_Meth_max[[#This Row],[Vergleich_lb]])+dict_DQ_Meth_max[[#This Row],[Vergleich_lb]]</f>
        <v>770.19560000000001</v>
      </c>
      <c r="H958" s="11" t="str">
        <f ca="1">VLOOKUP(VLOOKUP(dict_DQ_Meth_max[[#This Row],[ID_DataQualities]],table_DataQualities[],3),table_Units[],2)</f>
        <v>Hz</v>
      </c>
      <c r="I958" s="10"/>
      <c r="J958" s="10"/>
      <c r="K958" s="10"/>
      <c r="L958" s="10">
        <f ca="1">VLOOKUP(dict_DQ_Meth_max[[#This Row],[ID_DataQualities]],table_DataQualities[],8,FALSE)</f>
        <v>0.41</v>
      </c>
      <c r="M958" s="10">
        <f ca="1">VLOOKUP(dict_DQ_Meth_max[[#This Row],[ID_DataQualities]],table_DataQualities[],9,FALSE)</f>
        <v>1203.2</v>
      </c>
    </row>
    <row r="959" spans="1:13" x14ac:dyDescent="0.45">
      <c r="A959" s="10">
        <v>256</v>
      </c>
      <c r="B959" s="10">
        <v>526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0.41</v>
      </c>
      <c r="G959" s="12">
        <f ca="1">(RANDBETWEEN(50,100)/100)*(dict_DQ_Meth_max[[#This Row],[Vergleich_ub]]-dict_DQ_Meth_max[[#This Row],[Vergleich_lb]])+dict_DQ_Meth_max[[#This Row],[Vergleich_lb]]</f>
        <v>770.19560000000001</v>
      </c>
      <c r="H959" s="11" t="str">
        <f ca="1">VLOOKUP(VLOOKUP(dict_DQ_Meth_max[[#This Row],[ID_DataQualities]],table_DataQualities[],3),table_Units[],2)</f>
        <v>Hz</v>
      </c>
      <c r="I959" s="10"/>
      <c r="J959" s="10"/>
      <c r="K959" s="10"/>
      <c r="L959" s="10">
        <f ca="1">VLOOKUP(dict_DQ_Meth_max[[#This Row],[ID_DataQualities]],table_DataQualities[],8,FALSE)</f>
        <v>0.41</v>
      </c>
      <c r="M959" s="10">
        <f ca="1">VLOOKUP(dict_DQ_Meth_max[[#This Row],[ID_DataQualities]],table_DataQualities[],9,FALSE)</f>
        <v>1203.2</v>
      </c>
    </row>
    <row r="960" spans="1:13" x14ac:dyDescent="0.45">
      <c r="A960" s="10">
        <v>256</v>
      </c>
      <c r="B960" s="10">
        <v>32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228.9401</v>
      </c>
      <c r="G960" s="12">
        <f ca="1">(RANDBETWEEN(50,100)/100)*(dict_DQ_Meth_max[[#This Row],[Vergleich_ub]]-dict_DQ_Meth_max[[#This Row],[Vergleich_lb]])+dict_DQ_Meth_max[[#This Row],[Vergleich_lb]]</f>
        <v>998.72569999999985</v>
      </c>
      <c r="H960" s="11" t="str">
        <f ca="1">VLOOKUP(VLOOKUP(dict_DQ_Meth_max[[#This Row],[ID_DataQualities]],table_DataQualities[],3),table_Units[],2)</f>
        <v>Hz</v>
      </c>
      <c r="I960" s="10"/>
      <c r="J960" s="10"/>
      <c r="K960" s="10"/>
      <c r="L960" s="10">
        <f ca="1">VLOOKUP(dict_DQ_Meth_max[[#This Row],[ID_DataQualities]],table_DataQualities[],8,FALSE)</f>
        <v>0.41</v>
      </c>
      <c r="M960" s="10">
        <f ca="1">VLOOKUP(dict_DQ_Meth_max[[#This Row],[ID_DataQualities]],table_DataQualities[],9,FALSE)</f>
        <v>1203.2</v>
      </c>
    </row>
    <row r="961" spans="1:13" x14ac:dyDescent="0.45">
      <c r="A961" s="10">
        <v>256</v>
      </c>
      <c r="B961" s="10">
        <v>522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24.465800000000002</v>
      </c>
      <c r="G961" s="12">
        <f ca="1">(RANDBETWEEN(50,100)/100)*(dict_DQ_Meth_max[[#This Row],[Vergleich_ub]]-dict_DQ_Meth_max[[#This Row],[Vergleich_lb]])+dict_DQ_Meth_max[[#This Row],[Vergleich_lb]]</f>
        <v>1058.8652</v>
      </c>
      <c r="H961" s="11" t="str">
        <f ca="1">VLOOKUP(VLOOKUP(dict_DQ_Meth_max[[#This Row],[ID_DataQualities]],table_DataQualities[],3),table_Units[],2)</f>
        <v>Hz</v>
      </c>
      <c r="I961" s="10"/>
      <c r="J961" s="10"/>
      <c r="K961" s="10"/>
      <c r="L961" s="10">
        <f ca="1">VLOOKUP(dict_DQ_Meth_max[[#This Row],[ID_DataQualities]],table_DataQualities[],8,FALSE)</f>
        <v>0.41</v>
      </c>
      <c r="M961" s="10">
        <f ca="1">VLOOKUP(dict_DQ_Meth_max[[#This Row],[ID_DataQualities]],table_DataQualities[],9,FALSE)</f>
        <v>1203.2</v>
      </c>
    </row>
    <row r="962" spans="1:13" x14ac:dyDescent="0.45">
      <c r="A962" s="10">
        <v>257</v>
      </c>
      <c r="B962" s="10">
        <v>631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5.2215999999999999E-2</v>
      </c>
      <c r="G962" s="12">
        <f ca="1">(RANDBETWEEN(50,100)/100)*(dict_DQ_Meth_max[[#This Row],[Vergleich_ub]]-dict_DQ_Meth_max[[#This Row],[Vergleich_lb]])+dict_DQ_Meth_max[[#This Row],[Vergleich_lb]]</f>
        <v>0.30731199999999997</v>
      </c>
      <c r="H962" s="11" t="str">
        <f ca="1">VLOOKUP(VLOOKUP(dict_DQ_Meth_max[[#This Row],[ID_DataQualities]],table_DataQualities[],3),table_Units[],2)</f>
        <v>+/- cm³/s</v>
      </c>
      <c r="I962" s="10"/>
      <c r="J962" s="10"/>
      <c r="K962" s="10"/>
      <c r="L962" s="10">
        <f ca="1">VLOOKUP(dict_DQ_Meth_max[[#This Row],[ID_DataQualities]],table_DataQualities[],8,FALSE)</f>
        <v>9.7000000000000003E-3</v>
      </c>
      <c r="M962" s="10">
        <f ca="1">VLOOKUP(dict_DQ_Meth_max[[#This Row],[ID_DataQualities]],table_DataQualities[],9,FALSE)</f>
        <v>0.36399999999999999</v>
      </c>
    </row>
    <row r="963" spans="1:13" x14ac:dyDescent="0.45">
      <c r="A963" s="10">
        <v>257</v>
      </c>
      <c r="B963" s="10">
        <v>32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0.13724799999999998</v>
      </c>
      <c r="G963" s="12">
        <f ca="1">(RANDBETWEEN(50,100)/100)*(dict_DQ_Meth_max[[#This Row],[Vergleich_ub]]-dict_DQ_Meth_max[[#This Row],[Vergleich_lb]])+dict_DQ_Meth_max[[#This Row],[Vergleich_lb]]</f>
        <v>0.225823</v>
      </c>
      <c r="H963" s="11" t="str">
        <f ca="1">VLOOKUP(VLOOKUP(dict_DQ_Meth_max[[#This Row],[ID_DataQualities]],table_DataQualities[],3),table_Units[],2)</f>
        <v>+/- cm³/s</v>
      </c>
      <c r="I963" s="10"/>
      <c r="J963" s="10"/>
      <c r="K963" s="10"/>
      <c r="L963" s="10">
        <f ca="1">VLOOKUP(dict_DQ_Meth_max[[#This Row],[ID_DataQualities]],table_DataQualities[],8,FALSE)</f>
        <v>9.7000000000000003E-3</v>
      </c>
      <c r="M963" s="10">
        <f ca="1">VLOOKUP(dict_DQ_Meth_max[[#This Row],[ID_DataQualities]],table_DataQualities[],9,FALSE)</f>
        <v>0.36399999999999999</v>
      </c>
    </row>
    <row r="964" spans="1:13" x14ac:dyDescent="0.45">
      <c r="A964" s="10">
        <v>257</v>
      </c>
      <c r="B964" s="10">
        <v>522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0.130162</v>
      </c>
      <c r="G964" s="12">
        <f ca="1">(RANDBETWEEN(50,100)/100)*(dict_DQ_Meth_max[[#This Row],[Vergleich_ub]]-dict_DQ_Meth_max[[#This Row],[Vergleich_lb]])+dict_DQ_Meth_max[[#This Row],[Vergleich_lb]]</f>
        <v>0.20102200000000003</v>
      </c>
      <c r="H964" s="11" t="str">
        <f ca="1">VLOOKUP(VLOOKUP(dict_DQ_Meth_max[[#This Row],[ID_DataQualities]],table_DataQualities[],3),table_Units[],2)</f>
        <v>+/- cm³/s</v>
      </c>
      <c r="I964" s="10"/>
      <c r="J964" s="10"/>
      <c r="K964" s="10"/>
      <c r="L964" s="10">
        <f ca="1">VLOOKUP(dict_DQ_Meth_max[[#This Row],[ID_DataQualities]],table_DataQualities[],8,FALSE)</f>
        <v>9.7000000000000003E-3</v>
      </c>
      <c r="M964" s="10">
        <f ca="1">VLOOKUP(dict_DQ_Meth_max[[#This Row],[ID_DataQualities]],table_DataQualities[],9,FALSE)</f>
        <v>0.36399999999999999</v>
      </c>
    </row>
    <row r="965" spans="1:13" x14ac:dyDescent="0.45">
      <c r="A965" s="10">
        <v>257</v>
      </c>
      <c r="B965" s="10">
        <v>526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0.13370499999999999</v>
      </c>
      <c r="G965" s="12">
        <f ca="1">(RANDBETWEEN(50,100)/100)*(dict_DQ_Meth_max[[#This Row],[Vergleich_ub]]-dict_DQ_Meth_max[[#This Row],[Vergleich_lb]])+dict_DQ_Meth_max[[#This Row],[Vergleich_lb]]</f>
        <v>0.27896799999999999</v>
      </c>
      <c r="H965" s="11" t="str">
        <f ca="1">VLOOKUP(VLOOKUP(dict_DQ_Meth_max[[#This Row],[ID_DataQualities]],table_DataQualities[],3),table_Units[],2)</f>
        <v>+/- cm³/s</v>
      </c>
      <c r="I965" s="10"/>
      <c r="J965" s="10"/>
      <c r="K965" s="10"/>
      <c r="L965" s="10">
        <f ca="1">VLOOKUP(dict_DQ_Meth_max[[#This Row],[ID_DataQualities]],table_DataQualities[],8,FALSE)</f>
        <v>9.7000000000000003E-3</v>
      </c>
      <c r="M965" s="10">
        <f ca="1">VLOOKUP(dict_DQ_Meth_max[[#This Row],[ID_DataQualities]],table_DataQualities[],9,FALSE)</f>
        <v>0.36399999999999999</v>
      </c>
    </row>
    <row r="966" spans="1:13" x14ac:dyDescent="0.45">
      <c r="A966" s="10">
        <v>258</v>
      </c>
      <c r="B966" s="10">
        <v>475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341.07391999999993</v>
      </c>
      <c r="G966" s="12">
        <f ca="1">(RANDBETWEEN(50,100)/100)*(dict_DQ_Meth_max[[#This Row],[Vergleich_ub]]-dict_DQ_Meth_max[[#This Row],[Vergleich_lb]])+dict_DQ_Meth_max[[#This Row],[Vergleich_lb]]</f>
        <v>5115.1567999999997</v>
      </c>
      <c r="H966" s="11" t="str">
        <f ca="1">VLOOKUP(VLOOKUP(dict_DQ_Meth_max[[#This Row],[ID_DataQualities]],table_DataQualities[],3),table_Units[],2)</f>
        <v>Hz</v>
      </c>
      <c r="I966" s="10"/>
      <c r="J966" s="10"/>
      <c r="K966" s="10"/>
      <c r="L966" s="10">
        <f ca="1">VLOOKUP(dict_DQ_Meth_max[[#This Row],[ID_DataQualities]],table_DataQualities[],8,FALSE)</f>
        <v>6.8000000000000005E-2</v>
      </c>
      <c r="M966" s="10">
        <f ca="1">VLOOKUP(dict_DQ_Meth_max[[#This Row],[ID_DataQualities]],table_DataQualities[],9,FALSE)</f>
        <v>5683.5</v>
      </c>
    </row>
    <row r="967" spans="1:13" x14ac:dyDescent="0.45">
      <c r="A967" s="10">
        <v>258</v>
      </c>
      <c r="B967" s="10">
        <v>374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1307.2573600000001</v>
      </c>
      <c r="G967" s="12">
        <f ca="1">(RANDBETWEEN(50,100)/100)*(dict_DQ_Meth_max[[#This Row],[Vergleich_ub]]-dict_DQ_Meth_max[[#This Row],[Vergleich_lb]])+dict_DQ_Meth_max[[#This Row],[Vergleich_lb]]</f>
        <v>3125.9556000000002</v>
      </c>
      <c r="H967" s="11" t="str">
        <f ca="1">VLOOKUP(VLOOKUP(dict_DQ_Meth_max[[#This Row],[ID_DataQualities]],table_DataQualities[],3),table_Units[],2)</f>
        <v>Hz</v>
      </c>
      <c r="I967" s="10"/>
      <c r="J967" s="10"/>
      <c r="K967" s="10"/>
      <c r="L967" s="10">
        <f ca="1">VLOOKUP(dict_DQ_Meth_max[[#This Row],[ID_DataQualities]],table_DataQualities[],8,FALSE)</f>
        <v>6.8000000000000005E-2</v>
      </c>
      <c r="M967" s="10">
        <f ca="1">VLOOKUP(dict_DQ_Meth_max[[#This Row],[ID_DataQualities]],table_DataQualities[],9,FALSE)</f>
        <v>5683.5</v>
      </c>
    </row>
    <row r="968" spans="1:13" x14ac:dyDescent="0.45">
      <c r="A968" s="10">
        <v>258</v>
      </c>
      <c r="B968" s="10">
        <v>518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113.73663999999999</v>
      </c>
      <c r="G968" s="12">
        <f ca="1">(RANDBETWEEN(50,100)/100)*(dict_DQ_Meth_max[[#This Row],[Vergleich_ub]]-dict_DQ_Meth_max[[#This Row],[Vergleich_lb]])+dict_DQ_Meth_max[[#This Row],[Vergleich_lb]]</f>
        <v>4887.81952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6.8000000000000005E-2</v>
      </c>
      <c r="M968" s="10">
        <f ca="1">VLOOKUP(dict_DQ_Meth_max[[#This Row],[ID_DataQualities]],table_DataQualities[],9,FALSE)</f>
        <v>5683.5</v>
      </c>
    </row>
    <row r="969" spans="1:13" x14ac:dyDescent="0.45">
      <c r="A969" s="10">
        <v>259</v>
      </c>
      <c r="B969" s="10">
        <v>374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1.4489999999999998</v>
      </c>
      <c r="G969" s="12">
        <f ca="1">(RANDBETWEEN(50,100)/100)*(dict_DQ_Meth_max[[#This Row],[Vergleich_ub]]-dict_DQ_Meth_max[[#This Row],[Vergleich_lb]])+dict_DQ_Meth_max[[#This Row],[Vergleich_lb]]</f>
        <v>5.7190000000000003</v>
      </c>
      <c r="H969" s="11" t="str">
        <f ca="1">VLOOKUP(VLOOKUP(dict_DQ_Meth_max[[#This Row],[ID_DataQualities]],table_DataQualities[],3),table_Units[],2)</f>
        <v>+/- °C</v>
      </c>
      <c r="I969" s="10"/>
      <c r="J969" s="10"/>
      <c r="K969" s="10"/>
      <c r="L969" s="10">
        <f ca="1">VLOOKUP(dict_DQ_Meth_max[[#This Row],[ID_DataQualities]],table_DataQualities[],8,FALSE)</f>
        <v>0.9</v>
      </c>
      <c r="M969" s="10">
        <f ca="1">VLOOKUP(dict_DQ_Meth_max[[#This Row],[ID_DataQualities]],table_DataQualities[],9,FALSE)</f>
        <v>7</v>
      </c>
    </row>
    <row r="970" spans="1:13" x14ac:dyDescent="0.45">
      <c r="A970" s="10">
        <v>259</v>
      </c>
      <c r="B970" s="10">
        <v>475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2.9739999999999998</v>
      </c>
      <c r="G970" s="12">
        <f ca="1">(RANDBETWEEN(50,100)/100)*(dict_DQ_Meth_max[[#This Row],[Vergleich_ub]]-dict_DQ_Meth_max[[#This Row],[Vergleich_lb]])+dict_DQ_Meth_max[[#This Row],[Vergleich_lb]]</f>
        <v>4.3769999999999998</v>
      </c>
      <c r="H970" s="11" t="str">
        <f ca="1">VLOOKUP(VLOOKUP(dict_DQ_Meth_max[[#This Row],[ID_DataQualities]],table_DataQualities[],3),table_Units[],2)</f>
        <v>+/- °C</v>
      </c>
      <c r="I970" s="10"/>
      <c r="J970" s="10"/>
      <c r="K970" s="10"/>
      <c r="L970" s="10">
        <f ca="1">VLOOKUP(dict_DQ_Meth_max[[#This Row],[ID_DataQualities]],table_DataQualities[],8,FALSE)</f>
        <v>0.9</v>
      </c>
      <c r="M970" s="10">
        <f ca="1">VLOOKUP(dict_DQ_Meth_max[[#This Row],[ID_DataQualities]],table_DataQualities[],9,FALSE)</f>
        <v>7</v>
      </c>
    </row>
    <row r="971" spans="1:13" x14ac:dyDescent="0.45">
      <c r="A971" s="10">
        <v>259</v>
      </c>
      <c r="B971" s="10">
        <v>518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3.4619999999999997</v>
      </c>
      <c r="G971" s="12">
        <f ca="1">(RANDBETWEEN(50,100)/100)*(dict_DQ_Meth_max[[#This Row],[Vergleich_ub]]-dict_DQ_Meth_max[[#This Row],[Vergleich_lb]])+dict_DQ_Meth_max[[#This Row],[Vergleich_lb]]</f>
        <v>5.17</v>
      </c>
      <c r="H971" s="11" t="str">
        <f ca="1">VLOOKUP(VLOOKUP(dict_DQ_Meth_max[[#This Row],[ID_DataQualities]],table_DataQualities[],3),table_Units[],2)</f>
        <v>+/- °C</v>
      </c>
      <c r="I971" s="10"/>
      <c r="J971" s="10"/>
      <c r="K971" s="10"/>
      <c r="L971" s="10">
        <f ca="1">VLOOKUP(dict_DQ_Meth_max[[#This Row],[ID_DataQualities]],table_DataQualities[],8,FALSE)</f>
        <v>0.9</v>
      </c>
      <c r="M971" s="10">
        <f ca="1">VLOOKUP(dict_DQ_Meth_max[[#This Row],[ID_DataQualities]],table_DataQualities[],9,FALSE)</f>
        <v>7</v>
      </c>
    </row>
    <row r="972" spans="1:13" x14ac:dyDescent="0.45">
      <c r="A972" s="10">
        <v>260</v>
      </c>
      <c r="B972" s="10">
        <v>513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1850.8196600000001</v>
      </c>
      <c r="G972" s="12">
        <f ca="1">(RANDBETWEEN(50,100)/100)*(dict_DQ_Meth_max[[#This Row],[Vergleich_ub]]-dict_DQ_Meth_max[[#This Row],[Vergleich_lb]])+dict_DQ_Meth_max[[#This Row],[Vergleich_lb]]</f>
        <v>4354.5302000000001</v>
      </c>
      <c r="H972" s="11" t="str">
        <f ca="1">VLOOKUP(VLOOKUP(dict_DQ_Meth_max[[#This Row],[ID_DataQualities]],table_DataQualities[],3),table_Units[],2)</f>
        <v>Hz</v>
      </c>
      <c r="I972" s="10"/>
      <c r="J972" s="10"/>
      <c r="K972" s="10"/>
      <c r="L972" s="10">
        <f ca="1">VLOOKUP(dict_DQ_Meth_max[[#This Row],[ID_DataQualities]],table_DataQualities[],8,FALSE)</f>
        <v>0.251</v>
      </c>
      <c r="M972" s="10">
        <f ca="1">VLOOKUP(dict_DQ_Meth_max[[#This Row],[ID_DataQualities]],table_DataQualities[],9,FALSE)</f>
        <v>5443.1</v>
      </c>
    </row>
    <row r="973" spans="1:13" x14ac:dyDescent="0.45">
      <c r="A973" s="10">
        <v>260</v>
      </c>
      <c r="B973" s="10">
        <v>633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544.53589999999997</v>
      </c>
      <c r="G973" s="12">
        <f ca="1">(RANDBETWEEN(50,100)/100)*(dict_DQ_Meth_max[[#This Row],[Vergleich_ub]]-dict_DQ_Meth_max[[#This Row],[Vergleich_lb]])+dict_DQ_Meth_max[[#This Row],[Vergleich_lb]]</f>
        <v>4789.9581200000002</v>
      </c>
      <c r="H973" s="11" t="str">
        <f ca="1">VLOOKUP(VLOOKUP(dict_DQ_Meth_max[[#This Row],[ID_DataQualities]],table_DataQualities[],3),table_Units[],2)</f>
        <v>Hz</v>
      </c>
      <c r="I973" s="10"/>
      <c r="J973" s="10"/>
      <c r="K973" s="10"/>
      <c r="L973" s="10">
        <f ca="1">VLOOKUP(dict_DQ_Meth_max[[#This Row],[ID_DataQualities]],table_DataQualities[],8,FALSE)</f>
        <v>0.251</v>
      </c>
      <c r="M973" s="10">
        <f ca="1">VLOOKUP(dict_DQ_Meth_max[[#This Row],[ID_DataQualities]],table_DataQualities[],9,FALSE)</f>
        <v>5443.1</v>
      </c>
    </row>
    <row r="974" spans="1:13" x14ac:dyDescent="0.45">
      <c r="A974" s="10">
        <v>260</v>
      </c>
      <c r="B974" s="10">
        <v>347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1360.96325</v>
      </c>
      <c r="G974" s="12">
        <f ca="1">(RANDBETWEEN(50,100)/100)*(dict_DQ_Meth_max[[#This Row],[Vergleich_ub]]-dict_DQ_Meth_max[[#This Row],[Vergleich_lb]])+dict_DQ_Meth_max[[#This Row],[Vergleich_lb]]</f>
        <v>4626.6726500000004</v>
      </c>
      <c r="H974" s="11" t="str">
        <f ca="1">VLOOKUP(VLOOKUP(dict_DQ_Meth_max[[#This Row],[ID_DataQualities]],table_DataQualities[],3),table_Units[],2)</f>
        <v>Hz</v>
      </c>
      <c r="I974" s="10"/>
      <c r="J974" s="10"/>
      <c r="K974" s="10"/>
      <c r="L974" s="10">
        <f ca="1">VLOOKUP(dict_DQ_Meth_max[[#This Row],[ID_DataQualities]],table_DataQualities[],8,FALSE)</f>
        <v>0.251</v>
      </c>
      <c r="M974" s="10">
        <f ca="1">VLOOKUP(dict_DQ_Meth_max[[#This Row],[ID_DataQualities]],table_DataQualities[],9,FALSE)</f>
        <v>5443.1</v>
      </c>
    </row>
    <row r="975" spans="1:13" x14ac:dyDescent="0.45">
      <c r="A975" s="10">
        <v>260</v>
      </c>
      <c r="B975" s="10">
        <v>106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1469.82023</v>
      </c>
      <c r="G975" s="12">
        <f ca="1">(RANDBETWEEN(50,100)/100)*(dict_DQ_Meth_max[[#This Row],[Vergleich_ub]]-dict_DQ_Meth_max[[#This Row],[Vergleich_lb]])+dict_DQ_Meth_max[[#This Row],[Vergleich_lb]]</f>
        <v>4027.9592600000001</v>
      </c>
      <c r="H975" s="11" t="str">
        <f ca="1">VLOOKUP(VLOOKUP(dict_DQ_Meth_max[[#This Row],[ID_DataQualities]],table_DataQualities[],3),table_Units[],2)</f>
        <v>Hz</v>
      </c>
      <c r="I975" s="10"/>
      <c r="J975" s="10"/>
      <c r="K975" s="10"/>
      <c r="L975" s="10">
        <f ca="1">VLOOKUP(dict_DQ_Meth_max[[#This Row],[ID_DataQualities]],table_DataQualities[],8,FALSE)</f>
        <v>0.251</v>
      </c>
      <c r="M975" s="10">
        <f ca="1">VLOOKUP(dict_DQ_Meth_max[[#This Row],[ID_DataQualities]],table_DataQualities[],9,FALSE)</f>
        <v>5443.1</v>
      </c>
    </row>
    <row r="976" spans="1:13" x14ac:dyDescent="0.45">
      <c r="A976" s="10">
        <v>261</v>
      </c>
      <c r="B976" s="10">
        <v>633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0.61299999999999999</v>
      </c>
      <c r="G976" s="12">
        <f ca="1">(RANDBETWEEN(50,100)/100)*(dict_DQ_Meth_max[[#This Row],[Vergleich_ub]]-dict_DQ_Meth_max[[#This Row],[Vergleich_lb]])+dict_DQ_Meth_max[[#This Row],[Vergleich_lb]]</f>
        <v>1.1260000000000001</v>
      </c>
      <c r="H976" s="11" t="str">
        <f ca="1">VLOOKUP(VLOOKUP(dict_DQ_Meth_max[[#This Row],[ID_DataQualities]],table_DataQualities[],3),table_Units[],2)</f>
        <v>+/- °C</v>
      </c>
      <c r="I976" s="10"/>
      <c r="J976" s="10"/>
      <c r="K976" s="10"/>
      <c r="L976" s="10">
        <f ca="1">VLOOKUP(dict_DQ_Meth_max[[#This Row],[ID_DataQualities]],table_DataQualities[],8,FALSE)</f>
        <v>0.1</v>
      </c>
      <c r="M976" s="10">
        <f ca="1">VLOOKUP(dict_DQ_Meth_max[[#This Row],[ID_DataQualities]],table_DataQualities[],9,FALSE)</f>
        <v>2</v>
      </c>
    </row>
    <row r="977" spans="1:13" x14ac:dyDescent="0.45">
      <c r="A977" s="10">
        <v>261</v>
      </c>
      <c r="B977" s="10">
        <v>347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0.42300000000000004</v>
      </c>
      <c r="G977" s="12">
        <f ca="1">(RANDBETWEEN(50,100)/100)*(dict_DQ_Meth_max[[#This Row],[Vergleich_ub]]-dict_DQ_Meth_max[[#This Row],[Vergleich_lb]])+dict_DQ_Meth_max[[#This Row],[Vergleich_lb]]</f>
        <v>1.4490000000000001</v>
      </c>
      <c r="H977" s="11" t="str">
        <f ca="1">VLOOKUP(VLOOKUP(dict_DQ_Meth_max[[#This Row],[ID_DataQualities]],table_DataQualities[],3),table_Units[],2)</f>
        <v>+/- °C</v>
      </c>
      <c r="I977" s="10"/>
      <c r="J977" s="10"/>
      <c r="K977" s="10"/>
      <c r="L977" s="10">
        <f ca="1">VLOOKUP(dict_DQ_Meth_max[[#This Row],[ID_DataQualities]],table_DataQualities[],8,FALSE)</f>
        <v>0.1</v>
      </c>
      <c r="M977" s="10">
        <f ca="1">VLOOKUP(dict_DQ_Meth_max[[#This Row],[ID_DataQualities]],table_DataQualities[],9,FALSE)</f>
        <v>2</v>
      </c>
    </row>
    <row r="978" spans="1:13" x14ac:dyDescent="0.45">
      <c r="A978" s="10">
        <v>261</v>
      </c>
      <c r="B978" s="10">
        <v>513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0.48</v>
      </c>
      <c r="G978" s="12">
        <f ca="1">(RANDBETWEEN(50,100)/100)*(dict_DQ_Meth_max[[#This Row],[Vergleich_ub]]-dict_DQ_Meth_max[[#This Row],[Vergleich_lb]])+dict_DQ_Meth_max[[#This Row],[Vergleich_lb]]</f>
        <v>1.9430000000000001</v>
      </c>
      <c r="H978" s="11" t="str">
        <f ca="1">VLOOKUP(VLOOKUP(dict_DQ_Meth_max[[#This Row],[ID_DataQualities]],table_DataQualities[],3),table_Units[],2)</f>
        <v>+/- °C</v>
      </c>
      <c r="I978" s="10"/>
      <c r="J978" s="10"/>
      <c r="K978" s="10"/>
      <c r="L978" s="10">
        <f ca="1">VLOOKUP(dict_DQ_Meth_max[[#This Row],[ID_DataQualities]],table_DataQualities[],8,FALSE)</f>
        <v>0.1</v>
      </c>
      <c r="M978" s="10">
        <f ca="1">VLOOKUP(dict_DQ_Meth_max[[#This Row],[ID_DataQualities]],table_DataQualities[],9,FALSE)</f>
        <v>2</v>
      </c>
    </row>
    <row r="979" spans="1:13" x14ac:dyDescent="0.45">
      <c r="A979" s="10">
        <v>261</v>
      </c>
      <c r="B979" s="10">
        <v>106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0.51800000000000002</v>
      </c>
      <c r="G979" s="12">
        <f ca="1">(RANDBETWEEN(50,100)/100)*(dict_DQ_Meth_max[[#This Row],[Vergleich_ub]]-dict_DQ_Meth_max[[#This Row],[Vergleich_lb]])+dict_DQ_Meth_max[[#This Row],[Vergleich_lb]]</f>
        <v>1.7530000000000001</v>
      </c>
      <c r="H979" s="11" t="str">
        <f ca="1">VLOOKUP(VLOOKUP(dict_DQ_Meth_max[[#This Row],[ID_DataQualities]],table_DataQualities[],3),table_Units[],2)</f>
        <v>+/- °C</v>
      </c>
      <c r="I979" s="10"/>
      <c r="J979" s="10"/>
      <c r="K979" s="10"/>
      <c r="L979" s="10">
        <f ca="1">VLOOKUP(dict_DQ_Meth_max[[#This Row],[ID_DataQualities]],table_DataQualities[],8,FALSE)</f>
        <v>0.1</v>
      </c>
      <c r="M979" s="10">
        <f ca="1">VLOOKUP(dict_DQ_Meth_max[[#This Row],[ID_DataQualities]],table_DataQualities[],9,FALSE)</f>
        <v>2</v>
      </c>
    </row>
    <row r="980" spans="1:13" x14ac:dyDescent="0.45">
      <c r="A980" s="10">
        <v>262</v>
      </c>
      <c r="B980" s="10">
        <v>86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1169.7427399999999</v>
      </c>
      <c r="G980" s="12">
        <f ca="1">(RANDBETWEEN(50,100)/100)*(dict_DQ_Meth_max[[#This Row],[Vergleich_ub]]-dict_DQ_Meth_max[[#This Row],[Vergleich_lb]])+dict_DQ_Meth_max[[#This Row],[Vergleich_lb]]</f>
        <v>1475.9329100000002</v>
      </c>
      <c r="H980" s="11" t="str">
        <f ca="1">VLOOKUP(VLOOKUP(dict_DQ_Meth_max[[#This Row],[ID_DataQualities]],table_DataQualities[],3),table_Units[],2)</f>
        <v>Hz</v>
      </c>
      <c r="I980" s="10"/>
      <c r="J980" s="10"/>
      <c r="K980" s="10"/>
      <c r="L980" s="10">
        <f ca="1">VLOOKUP(dict_DQ_Meth_max[[#This Row],[ID_DataQualities]],table_DataQualities[],8,FALSE)</f>
        <v>0.65300000000000002</v>
      </c>
      <c r="M980" s="10">
        <f ca="1">VLOOKUP(dict_DQ_Meth_max[[#This Row],[ID_DataQualities]],table_DataQualities[],9,FALSE)</f>
        <v>2784.2</v>
      </c>
    </row>
    <row r="981" spans="1:13" x14ac:dyDescent="0.45">
      <c r="A981" s="10">
        <v>262</v>
      </c>
      <c r="B981" s="10">
        <v>113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306.84317000000004</v>
      </c>
      <c r="G981" s="12">
        <f ca="1">(RANDBETWEEN(50,100)/100)*(dict_DQ_Meth_max[[#This Row],[Vergleich_ub]]-dict_DQ_Meth_max[[#This Row],[Vergleich_lb]])+dict_DQ_Meth_max[[#This Row],[Vergleich_lb]]</f>
        <v>2310.9970099999996</v>
      </c>
      <c r="H981" s="11" t="str">
        <f ca="1">VLOOKUP(VLOOKUP(dict_DQ_Meth_max[[#This Row],[ID_DataQualities]],table_DataQualities[],3),table_Units[],2)</f>
        <v>Hz</v>
      </c>
      <c r="I981" s="10"/>
      <c r="J981" s="10"/>
      <c r="K981" s="10"/>
      <c r="L981" s="10">
        <f ca="1">VLOOKUP(dict_DQ_Meth_max[[#This Row],[ID_DataQualities]],table_DataQualities[],8,FALSE)</f>
        <v>0.65300000000000002</v>
      </c>
      <c r="M981" s="10">
        <f ca="1">VLOOKUP(dict_DQ_Meth_max[[#This Row],[ID_DataQualities]],table_DataQualities[],9,FALSE)</f>
        <v>2784.2</v>
      </c>
    </row>
    <row r="982" spans="1:13" x14ac:dyDescent="0.45">
      <c r="A982" s="10">
        <v>262</v>
      </c>
      <c r="B982" s="10">
        <v>700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446.02052000000003</v>
      </c>
      <c r="G982" s="12">
        <f ca="1">(RANDBETWEEN(50,100)/100)*(dict_DQ_Meth_max[[#This Row],[Vergleich_ub]]-dict_DQ_Meth_max[[#This Row],[Vergleich_lb]])+dict_DQ_Meth_max[[#This Row],[Vergleich_lb]]</f>
        <v>1754.2876100000001</v>
      </c>
      <c r="H982" s="11" t="str">
        <f ca="1">VLOOKUP(VLOOKUP(dict_DQ_Meth_max[[#This Row],[ID_DataQualities]],table_DataQualities[],3),table_Units[],2)</f>
        <v>Hz</v>
      </c>
      <c r="I982" s="10"/>
      <c r="J982" s="10"/>
      <c r="K982" s="10"/>
      <c r="L982" s="10">
        <f ca="1">VLOOKUP(dict_DQ_Meth_max[[#This Row],[ID_DataQualities]],table_DataQualities[],8,FALSE)</f>
        <v>0.65300000000000002</v>
      </c>
      <c r="M982" s="10">
        <f ca="1">VLOOKUP(dict_DQ_Meth_max[[#This Row],[ID_DataQualities]],table_DataQualities[],9,FALSE)</f>
        <v>2784.2</v>
      </c>
    </row>
    <row r="983" spans="1:13" x14ac:dyDescent="0.45">
      <c r="A983" s="10">
        <v>262</v>
      </c>
      <c r="B983" s="10">
        <v>609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613.03334000000007</v>
      </c>
      <c r="G983" s="12">
        <f ca="1">(RANDBETWEEN(50,100)/100)*(dict_DQ_Meth_max[[#This Row],[Vergleich_ub]]-dict_DQ_Meth_max[[#This Row],[Vergleich_lb]])+dict_DQ_Meth_max[[#This Row],[Vergleich_lb]]</f>
        <v>2116.1487199999997</v>
      </c>
      <c r="H983" s="11" t="str">
        <f ca="1">VLOOKUP(VLOOKUP(dict_DQ_Meth_max[[#This Row],[ID_DataQualities]],table_DataQualities[],3),table_Units[],2)</f>
        <v>Hz</v>
      </c>
      <c r="I983" s="10"/>
      <c r="J983" s="10"/>
      <c r="K983" s="10"/>
      <c r="L983" s="10">
        <f ca="1">VLOOKUP(dict_DQ_Meth_max[[#This Row],[ID_DataQualities]],table_DataQualities[],8,FALSE)</f>
        <v>0.65300000000000002</v>
      </c>
      <c r="M983" s="10">
        <f ca="1">VLOOKUP(dict_DQ_Meth_max[[#This Row],[ID_DataQualities]],table_DataQualities[],9,FALSE)</f>
        <v>2784.2</v>
      </c>
    </row>
    <row r="984" spans="1:13" x14ac:dyDescent="0.45">
      <c r="A984" s="10">
        <v>263</v>
      </c>
      <c r="B984" s="10">
        <v>86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1695.5</v>
      </c>
      <c r="G984" s="12">
        <f ca="1">(RANDBETWEEN(50,100)/100)*(dict_DQ_Meth_max[[#This Row],[Vergleich_ub]]-dict_DQ_Meth_max[[#This Row],[Vergleich_lb]])+dict_DQ_Meth_max[[#This Row],[Vergleich_lb]]</f>
        <v>5966.86</v>
      </c>
      <c r="H984" s="11" t="str">
        <f ca="1">VLOOKUP(VLOOKUP(dict_DQ_Meth_max[[#This Row],[ID_DataQualities]],table_DataQualities[],3),table_Units[],2)</f>
        <v>bit</v>
      </c>
      <c r="I984" s="10"/>
      <c r="J984" s="10"/>
      <c r="K984" s="10"/>
      <c r="L984" s="10">
        <f ca="1">VLOOKUP(dict_DQ_Meth_max[[#This Row],[ID_DataQualities]],table_DataQualities[],8,FALSE)</f>
        <v>27</v>
      </c>
      <c r="M984" s="10">
        <f ca="1">VLOOKUP(dict_DQ_Meth_max[[#This Row],[ID_DataQualities]],table_DataQualities[],9,FALSE)</f>
        <v>6701</v>
      </c>
    </row>
    <row r="985" spans="1:13" x14ac:dyDescent="0.45">
      <c r="A985" s="10">
        <v>263</v>
      </c>
      <c r="B985" s="10">
        <v>700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2696.6000000000004</v>
      </c>
      <c r="G985" s="12">
        <f ca="1">(RANDBETWEEN(50,100)/100)*(dict_DQ_Meth_max[[#This Row],[Vergleich_ub]]-dict_DQ_Meth_max[[#This Row],[Vergleich_lb]])+dict_DQ_Meth_max[[#This Row],[Vergleich_lb]]</f>
        <v>6100.34</v>
      </c>
      <c r="H985" s="11" t="str">
        <f ca="1">VLOOKUP(VLOOKUP(dict_DQ_Meth_max[[#This Row],[ID_DataQualities]],table_DataQualities[],3),table_Units[],2)</f>
        <v>bit</v>
      </c>
      <c r="I985" s="10"/>
      <c r="J985" s="10"/>
      <c r="K985" s="10"/>
      <c r="L985" s="10">
        <f ca="1">VLOOKUP(dict_DQ_Meth_max[[#This Row],[ID_DataQualities]],table_DataQualities[],8,FALSE)</f>
        <v>27</v>
      </c>
      <c r="M985" s="10">
        <f ca="1">VLOOKUP(dict_DQ_Meth_max[[#This Row],[ID_DataQualities]],table_DataQualities[],9,FALSE)</f>
        <v>6701</v>
      </c>
    </row>
    <row r="986" spans="1:13" x14ac:dyDescent="0.45">
      <c r="A986" s="10">
        <v>263</v>
      </c>
      <c r="B986" s="10">
        <v>609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1295.06</v>
      </c>
      <c r="G986" s="12">
        <f ca="1">(RANDBETWEEN(50,100)/100)*(dict_DQ_Meth_max[[#This Row],[Vergleich_ub]]-dict_DQ_Meth_max[[#This Row],[Vergleich_lb]])+dict_DQ_Meth_max[[#This Row],[Vergleich_lb]]</f>
        <v>6100.34</v>
      </c>
      <c r="H986" s="11" t="str">
        <f ca="1">VLOOKUP(VLOOKUP(dict_DQ_Meth_max[[#This Row],[ID_DataQualities]],table_DataQualities[],3),table_Units[],2)</f>
        <v>bit</v>
      </c>
      <c r="I986" s="10"/>
      <c r="J986" s="10"/>
      <c r="K986" s="10"/>
      <c r="L986" s="10">
        <f ca="1">VLOOKUP(dict_DQ_Meth_max[[#This Row],[ID_DataQualities]],table_DataQualities[],8,FALSE)</f>
        <v>27</v>
      </c>
      <c r="M986" s="10">
        <f ca="1">VLOOKUP(dict_DQ_Meth_max[[#This Row],[ID_DataQualities]],table_DataQualities[],9,FALSE)</f>
        <v>6701</v>
      </c>
    </row>
    <row r="987" spans="1:13" x14ac:dyDescent="0.45">
      <c r="A987" s="10">
        <v>263</v>
      </c>
      <c r="B987" s="10">
        <v>113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1628.76</v>
      </c>
      <c r="G987" s="12">
        <f ca="1">(RANDBETWEEN(50,100)/100)*(dict_DQ_Meth_max[[#This Row],[Vergleich_ub]]-dict_DQ_Meth_max[[#This Row],[Vergleich_lb]])+dict_DQ_Meth_max[[#This Row],[Vergleich_lb]]</f>
        <v>5366.2000000000007</v>
      </c>
      <c r="H987" s="11" t="str">
        <f ca="1">VLOOKUP(VLOOKUP(dict_DQ_Meth_max[[#This Row],[ID_DataQualities]],table_DataQualities[],3),table_Units[],2)</f>
        <v>bit</v>
      </c>
      <c r="I987" s="10"/>
      <c r="J987" s="10"/>
      <c r="K987" s="10"/>
      <c r="L987" s="10">
        <f ca="1">VLOOKUP(dict_DQ_Meth_max[[#This Row],[ID_DataQualities]],table_DataQualities[],8,FALSE)</f>
        <v>27</v>
      </c>
      <c r="M987" s="10">
        <f ca="1">VLOOKUP(dict_DQ_Meth_max[[#This Row],[ID_DataQualities]],table_DataQualities[],9,FALSE)</f>
        <v>6701</v>
      </c>
    </row>
    <row r="988" spans="1:13" x14ac:dyDescent="0.45">
      <c r="A988" s="10">
        <v>264</v>
      </c>
      <c r="B988" s="10">
        <v>295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396.64332999999999</v>
      </c>
      <c r="G988" s="12">
        <f ca="1">(RANDBETWEEN(50,100)/100)*(dict_DQ_Meth_max[[#This Row],[Vergleich_ub]]-dict_DQ_Meth_max[[#This Row],[Vergleich_lb]])+dict_DQ_Meth_max[[#This Row],[Vergleich_lb]]</f>
        <v>1836.7471600000001</v>
      </c>
      <c r="H988" s="11" t="str">
        <f ca="1">VLOOKUP(VLOOKUP(dict_DQ_Meth_max[[#This Row],[ID_DataQualities]],table_DataQualities[],3),table_Units[],2)</f>
        <v>Hz</v>
      </c>
      <c r="I988" s="10"/>
      <c r="J988" s="10"/>
      <c r="K988" s="10"/>
      <c r="L988" s="10">
        <f ca="1">VLOOKUP(dict_DQ_Meth_max[[#This Row],[ID_DataQualities]],table_DataQualities[],8,FALSE)</f>
        <v>9.2999999999999999E-2</v>
      </c>
      <c r="M988" s="10">
        <f ca="1">VLOOKUP(dict_DQ_Meth_max[[#This Row],[ID_DataQualities]],table_DataQualities[],9,FALSE)</f>
        <v>2087.1999999999998</v>
      </c>
    </row>
    <row r="989" spans="1:13" x14ac:dyDescent="0.45">
      <c r="A989" s="10">
        <v>264</v>
      </c>
      <c r="B989" s="10">
        <v>2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500.99867999999998</v>
      </c>
      <c r="G989" s="12">
        <f ca="1">(RANDBETWEEN(50,100)/100)*(dict_DQ_Meth_max[[#This Row],[Vergleich_ub]]-dict_DQ_Meth_max[[#This Row],[Vergleich_lb]])+dict_DQ_Meth_max[[#This Row],[Vergleich_lb]]</f>
        <v>1732.3918100000001</v>
      </c>
      <c r="H989" s="11" t="str">
        <f ca="1">VLOOKUP(VLOOKUP(dict_DQ_Meth_max[[#This Row],[ID_DataQualities]],table_DataQualities[],3),table_Units[],2)</f>
        <v>Hz</v>
      </c>
      <c r="I989" s="10"/>
      <c r="J989" s="10"/>
      <c r="K989" s="10"/>
      <c r="L989" s="10">
        <f ca="1">VLOOKUP(dict_DQ_Meth_max[[#This Row],[ID_DataQualities]],table_DataQualities[],8,FALSE)</f>
        <v>9.2999999999999999E-2</v>
      </c>
      <c r="M989" s="10">
        <f ca="1">VLOOKUP(dict_DQ_Meth_max[[#This Row],[ID_DataQualities]],table_DataQualities[],9,FALSE)</f>
        <v>2087.1999999999998</v>
      </c>
    </row>
    <row r="990" spans="1:13" x14ac:dyDescent="0.45">
      <c r="A990" s="10">
        <v>264</v>
      </c>
      <c r="B990" s="10">
        <v>4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1043.6465000000001</v>
      </c>
      <c r="G990" s="12">
        <f ca="1">(RANDBETWEEN(50,100)/100)*(dict_DQ_Meth_max[[#This Row],[Vergleich_ub]]-dict_DQ_Meth_max[[#This Row],[Vergleich_lb]])+dict_DQ_Meth_max[[#This Row],[Vergleich_lb]]</f>
        <v>1210.6150600000001</v>
      </c>
      <c r="H990" s="11" t="str">
        <f ca="1">VLOOKUP(VLOOKUP(dict_DQ_Meth_max[[#This Row],[ID_DataQualities]],table_DataQualities[],3),table_Units[],2)</f>
        <v>Hz</v>
      </c>
      <c r="I990" s="10"/>
      <c r="J990" s="10"/>
      <c r="K990" s="10"/>
      <c r="L990" s="10">
        <f ca="1">VLOOKUP(dict_DQ_Meth_max[[#This Row],[ID_DataQualities]],table_DataQualities[],8,FALSE)</f>
        <v>9.2999999999999999E-2</v>
      </c>
      <c r="M990" s="10">
        <f ca="1">VLOOKUP(dict_DQ_Meth_max[[#This Row],[ID_DataQualities]],table_DataQualities[],9,FALSE)</f>
        <v>2087.1999999999998</v>
      </c>
    </row>
    <row r="991" spans="1:13" x14ac:dyDescent="0.45">
      <c r="A991" s="10">
        <v>265</v>
      </c>
      <c r="B991" s="10">
        <v>2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1.7449000000000003</v>
      </c>
      <c r="G991" s="12">
        <f ca="1">(RANDBETWEEN(50,100)/100)*(dict_DQ_Meth_max[[#This Row],[Vergleich_ub]]-dict_DQ_Meth_max[[#This Row],[Vergleich_lb]])+dict_DQ_Meth_max[[#This Row],[Vergleich_lb]]</f>
        <v>5.8386000000000005</v>
      </c>
      <c r="H991" s="11" t="str">
        <f ca="1">VLOOKUP(VLOOKUP(dict_DQ_Meth_max[[#This Row],[ID_DataQualities]],table_DataQualities[],3),table_Units[],2)</f>
        <v>+/- mm/s</v>
      </c>
      <c r="I991" s="10"/>
      <c r="J991" s="10"/>
      <c r="K991" s="10"/>
      <c r="L991" s="10">
        <f ca="1">VLOOKUP(dict_DQ_Meth_max[[#This Row],[ID_DataQualities]],table_DataQualities[],8,FALSE)</f>
        <v>0.09</v>
      </c>
      <c r="M991" s="10">
        <f ca="1">VLOOKUP(dict_DQ_Meth_max[[#This Row],[ID_DataQualities]],table_DataQualities[],9,FALSE)</f>
        <v>8.8000000000000007</v>
      </c>
    </row>
    <row r="992" spans="1:13" x14ac:dyDescent="0.45">
      <c r="A992" s="10">
        <v>265</v>
      </c>
      <c r="B992" s="10">
        <v>295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1.1352000000000002</v>
      </c>
      <c r="G992" s="12">
        <f ca="1">(RANDBETWEEN(50,100)/100)*(dict_DQ_Meth_max[[#This Row],[Vergleich_ub]]-dict_DQ_Meth_max[[#This Row],[Vergleich_lb]])+dict_DQ_Meth_max[[#This Row],[Vergleich_lb]]</f>
        <v>5.0546999999999995</v>
      </c>
      <c r="H992" s="11" t="str">
        <f ca="1">VLOOKUP(VLOOKUP(dict_DQ_Meth_max[[#This Row],[ID_DataQualities]],table_DataQualities[],3),table_Units[],2)</f>
        <v>+/- mm/s</v>
      </c>
      <c r="I992" s="10"/>
      <c r="J992" s="10"/>
      <c r="K992" s="10"/>
      <c r="L992" s="10">
        <f ca="1">VLOOKUP(dict_DQ_Meth_max[[#This Row],[ID_DataQualities]],table_DataQualities[],8,FALSE)</f>
        <v>0.09</v>
      </c>
      <c r="M992" s="10">
        <f ca="1">VLOOKUP(dict_DQ_Meth_max[[#This Row],[ID_DataQualities]],table_DataQualities[],9,FALSE)</f>
        <v>8.8000000000000007</v>
      </c>
    </row>
    <row r="993" spans="1:13" x14ac:dyDescent="0.45">
      <c r="A993" s="10">
        <v>265</v>
      </c>
      <c r="B993" s="10">
        <v>4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3.5740000000000003</v>
      </c>
      <c r="G993" s="12">
        <f ca="1">(RANDBETWEEN(50,100)/100)*(dict_DQ_Meth_max[[#This Row],[Vergleich_ub]]-dict_DQ_Meth_max[[#This Row],[Vergleich_lb]])+dict_DQ_Meth_max[[#This Row],[Vergleich_lb]]</f>
        <v>4.5321000000000007</v>
      </c>
      <c r="H993" s="11" t="str">
        <f ca="1">VLOOKUP(VLOOKUP(dict_DQ_Meth_max[[#This Row],[ID_DataQualities]],table_DataQualities[],3),table_Units[],2)</f>
        <v>+/- mm/s</v>
      </c>
      <c r="I993" s="10"/>
      <c r="J993" s="10"/>
      <c r="K993" s="10"/>
      <c r="L993" s="10">
        <f ca="1">VLOOKUP(dict_DQ_Meth_max[[#This Row],[ID_DataQualities]],table_DataQualities[],8,FALSE)</f>
        <v>0.09</v>
      </c>
      <c r="M993" s="10">
        <f ca="1">VLOOKUP(dict_DQ_Meth_max[[#This Row],[ID_DataQualities]],table_DataQualities[],9,FALSE)</f>
        <v>8.8000000000000007</v>
      </c>
    </row>
    <row r="994" spans="1:13" x14ac:dyDescent="0.45">
      <c r="A994" s="10">
        <v>266</v>
      </c>
      <c r="B994" s="10">
        <v>14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995.61744999999996</v>
      </c>
      <c r="G994" s="12">
        <f ca="1">(RANDBETWEEN(50,100)/100)*(dict_DQ_Meth_max[[#This Row],[Vergleich_ub]]-dict_DQ_Meth_max[[#This Row],[Vergleich_lb]])+dict_DQ_Meth_max[[#This Row],[Vergleich_lb]]</f>
        <v>4513.1230400000004</v>
      </c>
      <c r="H994" s="11" t="str">
        <f ca="1">VLOOKUP(VLOOKUP(dict_DQ_Meth_max[[#This Row],[ID_DataQualities]],table_DataQualities[],3),table_Units[],2)</f>
        <v>Hz</v>
      </c>
      <c r="I994" s="10"/>
      <c r="J994" s="10"/>
      <c r="K994" s="10"/>
      <c r="L994" s="10">
        <f ca="1">VLOOKUP(dict_DQ_Meth_max[[#This Row],[ID_DataQualities]],table_DataQualities[],8,FALSE)</f>
        <v>9.7000000000000003E-2</v>
      </c>
      <c r="M994" s="10">
        <f ca="1">VLOOKUP(dict_DQ_Meth_max[[#This Row],[ID_DataQualities]],table_DataQualities[],9,FALSE)</f>
        <v>6636.9</v>
      </c>
    </row>
    <row r="995" spans="1:13" x14ac:dyDescent="0.45">
      <c r="A995" s="10">
        <v>266</v>
      </c>
      <c r="B995" s="10">
        <v>306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1327.4576</v>
      </c>
      <c r="G995" s="12">
        <f ca="1">(RANDBETWEEN(50,100)/100)*(dict_DQ_Meth_max[[#This Row],[Vergleich_ub]]-dict_DQ_Meth_max[[#This Row],[Vergleich_lb]])+dict_DQ_Meth_max[[#This Row],[Vergleich_lb]]</f>
        <v>6437.7959099999998</v>
      </c>
      <c r="H995" s="11" t="str">
        <f ca="1">VLOOKUP(VLOOKUP(dict_DQ_Meth_max[[#This Row],[ID_DataQualities]],table_DataQualities[],3),table_Units[],2)</f>
        <v>Hz</v>
      </c>
      <c r="I995" s="10"/>
      <c r="J995" s="10"/>
      <c r="K995" s="10"/>
      <c r="L995" s="10">
        <f ca="1">VLOOKUP(dict_DQ_Meth_max[[#This Row],[ID_DataQualities]],table_DataQualities[],8,FALSE)</f>
        <v>9.7000000000000003E-2</v>
      </c>
      <c r="M995" s="10">
        <f ca="1">VLOOKUP(dict_DQ_Meth_max[[#This Row],[ID_DataQualities]],table_DataQualities[],9,FALSE)</f>
        <v>6636.9</v>
      </c>
    </row>
    <row r="996" spans="1:13" x14ac:dyDescent="0.45">
      <c r="A996" s="10">
        <v>266</v>
      </c>
      <c r="B996" s="10">
        <v>213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1128.3535100000001</v>
      </c>
      <c r="G996" s="12">
        <f ca="1">(RANDBETWEEN(50,100)/100)*(dict_DQ_Meth_max[[#This Row],[Vergleich_ub]]-dict_DQ_Meth_max[[#This Row],[Vergleich_lb]])+dict_DQ_Meth_max[[#This Row],[Vergleich_lb]]</f>
        <v>4114.9148599999999</v>
      </c>
      <c r="H996" s="11" t="str">
        <f ca="1">VLOOKUP(VLOOKUP(dict_DQ_Meth_max[[#This Row],[ID_DataQualities]],table_DataQualities[],3),table_Units[],2)</f>
        <v>Hz</v>
      </c>
      <c r="I996" s="10"/>
      <c r="J996" s="10"/>
      <c r="K996" s="10"/>
      <c r="L996" s="10">
        <f ca="1">VLOOKUP(dict_DQ_Meth_max[[#This Row],[ID_DataQualities]],table_DataQualities[],8,FALSE)</f>
        <v>9.7000000000000003E-2</v>
      </c>
      <c r="M996" s="10">
        <f ca="1">VLOOKUP(dict_DQ_Meth_max[[#This Row],[ID_DataQualities]],table_DataQualities[],9,FALSE)</f>
        <v>6636.9</v>
      </c>
    </row>
    <row r="997" spans="1:13" x14ac:dyDescent="0.45">
      <c r="A997" s="10">
        <v>266</v>
      </c>
      <c r="B997" s="10">
        <v>508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132.83306000000002</v>
      </c>
      <c r="G997" s="12">
        <f ca="1">(RANDBETWEEN(50,100)/100)*(dict_DQ_Meth_max[[#This Row],[Vergleich_ub]]-dict_DQ_Meth_max[[#This Row],[Vergleich_lb]])+dict_DQ_Meth_max[[#This Row],[Vergleich_lb]]</f>
        <v>5110.4353099999998</v>
      </c>
      <c r="H997" s="11" t="str">
        <f ca="1">VLOOKUP(VLOOKUP(dict_DQ_Meth_max[[#This Row],[ID_DataQualities]],table_DataQualities[],3),table_Units[],2)</f>
        <v>Hz</v>
      </c>
      <c r="I997" s="10"/>
      <c r="J997" s="10"/>
      <c r="K997" s="10"/>
      <c r="L997" s="10">
        <f ca="1">VLOOKUP(dict_DQ_Meth_max[[#This Row],[ID_DataQualities]],table_DataQualities[],8,FALSE)</f>
        <v>9.7000000000000003E-2</v>
      </c>
      <c r="M997" s="10">
        <f ca="1">VLOOKUP(dict_DQ_Meth_max[[#This Row],[ID_DataQualities]],table_DataQualities[],9,FALSE)</f>
        <v>6636.9</v>
      </c>
    </row>
    <row r="998" spans="1:13" x14ac:dyDescent="0.45">
      <c r="A998" s="10">
        <v>266</v>
      </c>
      <c r="B998" s="10">
        <v>556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3252.1304700000001</v>
      </c>
      <c r="G998" s="12">
        <f ca="1">(RANDBETWEEN(50,100)/100)*(dict_DQ_Meth_max[[#This Row],[Vergleich_ub]]-dict_DQ_Meth_max[[#This Row],[Vergleich_lb]])+dict_DQ_Meth_max[[#This Row],[Vergleich_lb]]</f>
        <v>4114.9148599999999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9.7000000000000003E-2</v>
      </c>
      <c r="M998" s="10">
        <f ca="1">VLOOKUP(dict_DQ_Meth_max[[#This Row],[ID_DataQualities]],table_DataQualities[],9,FALSE)</f>
        <v>6636.9</v>
      </c>
    </row>
    <row r="999" spans="1:13" x14ac:dyDescent="0.45">
      <c r="A999" s="10">
        <v>266</v>
      </c>
      <c r="B999" s="10">
        <v>471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2721.1862299999998</v>
      </c>
      <c r="G999" s="12">
        <f ca="1">(RANDBETWEEN(50,100)/100)*(dict_DQ_Meth_max[[#This Row],[Vergleich_ub]]-dict_DQ_Meth_max[[#This Row],[Vergleich_lb]])+dict_DQ_Meth_max[[#This Row],[Vergleich_lb]]</f>
        <v>5774.1156099999998</v>
      </c>
      <c r="H999" s="11" t="str">
        <f ca="1">VLOOKUP(VLOOKUP(dict_DQ_Meth_max[[#This Row],[ID_DataQualities]],table_DataQualities[],3),table_Units[],2)</f>
        <v>Hz</v>
      </c>
      <c r="I999" s="10"/>
      <c r="J999" s="10"/>
      <c r="K999" s="10"/>
      <c r="L999" s="10">
        <f ca="1">VLOOKUP(dict_DQ_Meth_max[[#This Row],[ID_DataQualities]],table_DataQualities[],8,FALSE)</f>
        <v>9.7000000000000003E-2</v>
      </c>
      <c r="M999" s="10">
        <f ca="1">VLOOKUP(dict_DQ_Meth_max[[#This Row],[ID_DataQualities]],table_DataQualities[],9,FALSE)</f>
        <v>6636.9</v>
      </c>
    </row>
    <row r="1000" spans="1:13" x14ac:dyDescent="0.45">
      <c r="A1000" s="10">
        <v>267</v>
      </c>
      <c r="B1000" s="10">
        <v>14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2.4552799999999992</v>
      </c>
      <c r="G1000" s="12">
        <f ca="1">(RANDBETWEEN(50,100)/100)*(dict_DQ_Meth_max[[#This Row],[Vergleich_ub]]-dict_DQ_Meth_max[[#This Row],[Vergleich_lb]])+dict_DQ_Meth_max[[#This Row],[Vergleich_lb]]</f>
        <v>4.2862399999999994</v>
      </c>
      <c r="H1000" s="11" t="str">
        <f ca="1">VLOOKUP(VLOOKUP(dict_DQ_Meth_max[[#This Row],[ID_DataQualities]],table_DataQualities[],3),table_Units[],2)</f>
        <v>+/- W</v>
      </c>
      <c r="I1000" s="10"/>
      <c r="J1000" s="10"/>
      <c r="K1000" s="10"/>
      <c r="L1000" s="10">
        <f ca="1">VLOOKUP(dict_DQ_Meth_max[[#This Row],[ID_DataQualities]],table_DataQualities[],8,FALSE)</f>
        <v>1.4E-2</v>
      </c>
      <c r="M1000" s="10">
        <f ca="1">VLOOKUP(dict_DQ_Meth_max[[#This Row],[ID_DataQualities]],table_DataQualities[],9,FALSE)</f>
        <v>5.0999999999999996</v>
      </c>
    </row>
    <row r="1001" spans="1:13" x14ac:dyDescent="0.45">
      <c r="A1001" s="10">
        <v>267</v>
      </c>
      <c r="B1001" s="10">
        <v>508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0.16657999999999998</v>
      </c>
      <c r="G1001" s="12">
        <f ca="1">(RANDBETWEEN(50,100)/100)*(dict_DQ_Meth_max[[#This Row],[Vergleich_ub]]-dict_DQ_Meth_max[[#This Row],[Vergleich_lb]])+dict_DQ_Meth_max[[#This Row],[Vergleich_lb]]</f>
        <v>5.0491399999999995</v>
      </c>
      <c r="H1001" s="11" t="str">
        <f ca="1">VLOOKUP(VLOOKUP(dict_DQ_Meth_max[[#This Row],[ID_DataQualities]],table_DataQualities[],3),table_Units[],2)</f>
        <v>+/- W</v>
      </c>
      <c r="I1001" s="10"/>
      <c r="J1001" s="10"/>
      <c r="K1001" s="10"/>
      <c r="L1001" s="10">
        <f ca="1">VLOOKUP(dict_DQ_Meth_max[[#This Row],[ID_DataQualities]],table_DataQualities[],8,FALSE)</f>
        <v>1.4E-2</v>
      </c>
      <c r="M1001" s="10">
        <f ca="1">VLOOKUP(dict_DQ_Meth_max[[#This Row],[ID_DataQualities]],table_DataQualities[],9,FALSE)</f>
        <v>5.0999999999999996</v>
      </c>
    </row>
    <row r="1002" spans="1:13" x14ac:dyDescent="0.45">
      <c r="A1002" s="10">
        <v>267</v>
      </c>
      <c r="B1002" s="10">
        <v>306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1.1329199999999999</v>
      </c>
      <c r="G1002" s="12">
        <f ca="1">(RANDBETWEEN(50,100)/100)*(dict_DQ_Meth_max[[#This Row],[Vergleich_ub]]-dict_DQ_Meth_max[[#This Row],[Vergleich_lb]])+dict_DQ_Meth_max[[#This Row],[Vergleich_lb]]</f>
        <v>3.7267799999999993</v>
      </c>
      <c r="H1002" s="11" t="str">
        <f ca="1">VLOOKUP(VLOOKUP(dict_DQ_Meth_max[[#This Row],[ID_DataQualities]],table_DataQualities[],3),table_Units[],2)</f>
        <v>+/- W</v>
      </c>
      <c r="I1002" s="10"/>
      <c r="J1002" s="10"/>
      <c r="K1002" s="10"/>
      <c r="L1002" s="10">
        <f ca="1">VLOOKUP(dict_DQ_Meth_max[[#This Row],[ID_DataQualities]],table_DataQualities[],8,FALSE)</f>
        <v>1.4E-2</v>
      </c>
      <c r="M1002" s="10">
        <f ca="1">VLOOKUP(dict_DQ_Meth_max[[#This Row],[ID_DataQualities]],table_DataQualities[],9,FALSE)</f>
        <v>5.0999999999999996</v>
      </c>
    </row>
    <row r="1003" spans="1:13" x14ac:dyDescent="0.45">
      <c r="A1003" s="10">
        <v>267</v>
      </c>
      <c r="B1003" s="10">
        <v>213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1.33636</v>
      </c>
      <c r="G1003" s="12">
        <f ca="1">(RANDBETWEEN(50,100)/100)*(dict_DQ_Meth_max[[#This Row],[Vergleich_ub]]-dict_DQ_Meth_max[[#This Row],[Vergleich_lb]])+dict_DQ_Meth_max[[#This Row],[Vergleich_lb]]</f>
        <v>4.6422600000000003</v>
      </c>
      <c r="H1003" s="11" t="str">
        <f ca="1">VLOOKUP(VLOOKUP(dict_DQ_Meth_max[[#This Row],[ID_DataQualities]],table_DataQualities[],3),table_Units[],2)</f>
        <v>+/- W</v>
      </c>
      <c r="I1003" s="10"/>
      <c r="J1003" s="10"/>
      <c r="K1003" s="10"/>
      <c r="L1003" s="10">
        <f ca="1">VLOOKUP(dict_DQ_Meth_max[[#This Row],[ID_DataQualities]],table_DataQualities[],8,FALSE)</f>
        <v>1.4E-2</v>
      </c>
      <c r="M1003" s="10">
        <f ca="1">VLOOKUP(dict_DQ_Meth_max[[#This Row],[ID_DataQualities]],table_DataQualities[],9,FALSE)</f>
        <v>5.0999999999999996</v>
      </c>
    </row>
    <row r="1004" spans="1:13" x14ac:dyDescent="0.45">
      <c r="A1004" s="10">
        <v>267</v>
      </c>
      <c r="B1004" s="10">
        <v>471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1.8958199999999998</v>
      </c>
      <c r="G1004" s="12">
        <f ca="1">(RANDBETWEEN(50,100)/100)*(dict_DQ_Meth_max[[#This Row],[Vergleich_ub]]-dict_DQ_Meth_max[[#This Row],[Vergleich_lb]])+dict_DQ_Meth_max[[#This Row],[Vergleich_lb]]</f>
        <v>4.6422600000000003</v>
      </c>
      <c r="H1004" s="11" t="str">
        <f ca="1">VLOOKUP(VLOOKUP(dict_DQ_Meth_max[[#This Row],[ID_DataQualities]],table_DataQualities[],3),table_Units[],2)</f>
        <v>+/- W</v>
      </c>
      <c r="I1004" s="10"/>
      <c r="J1004" s="10"/>
      <c r="K1004" s="10"/>
      <c r="L1004" s="10">
        <f ca="1">VLOOKUP(dict_DQ_Meth_max[[#This Row],[ID_DataQualities]],table_DataQualities[],8,FALSE)</f>
        <v>1.4E-2</v>
      </c>
      <c r="M1004" s="10">
        <f ca="1">VLOOKUP(dict_DQ_Meth_max[[#This Row],[ID_DataQualities]],table_DataQualities[],9,FALSE)</f>
        <v>5.0999999999999996</v>
      </c>
    </row>
    <row r="1005" spans="1:13" x14ac:dyDescent="0.45">
      <c r="A1005" s="10">
        <v>267</v>
      </c>
      <c r="B1005" s="10">
        <v>556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0.98033999999999988</v>
      </c>
      <c r="G1005" s="12">
        <f ca="1">(RANDBETWEEN(50,100)/100)*(dict_DQ_Meth_max[[#This Row],[Vergleich_ub]]-dict_DQ_Meth_max[[#This Row],[Vergleich_lb]])+dict_DQ_Meth_max[[#This Row],[Vergleich_lb]]</f>
        <v>3.7776399999999994</v>
      </c>
      <c r="H1005" s="11" t="str">
        <f ca="1">VLOOKUP(VLOOKUP(dict_DQ_Meth_max[[#This Row],[ID_DataQualities]],table_DataQualities[],3),table_Units[],2)</f>
        <v>+/- W</v>
      </c>
      <c r="I1005" s="10"/>
      <c r="J1005" s="10"/>
      <c r="K1005" s="10"/>
      <c r="L1005" s="10">
        <f ca="1">VLOOKUP(dict_DQ_Meth_max[[#This Row],[ID_DataQualities]],table_DataQualities[],8,FALSE)</f>
        <v>1.4E-2</v>
      </c>
      <c r="M1005" s="10">
        <f ca="1">VLOOKUP(dict_DQ_Meth_max[[#This Row],[ID_DataQualities]],table_DataQualities[],9,FALSE)</f>
        <v>5.0999999999999996</v>
      </c>
    </row>
    <row r="1006" spans="1:13" x14ac:dyDescent="0.45">
      <c r="A1006" s="10">
        <v>268</v>
      </c>
      <c r="B1006" s="10">
        <v>363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598.91444000000013</v>
      </c>
      <c r="G1006" s="12">
        <f ca="1">(RANDBETWEEN(50,100)/100)*(dict_DQ_Meth_max[[#This Row],[Vergleich_ub]]-dict_DQ_Meth_max[[#This Row],[Vergleich_lb]])+dict_DQ_Meth_max[[#This Row],[Vergleich_lb]]</f>
        <v>3366.8541</v>
      </c>
      <c r="H1006" s="11" t="str">
        <f ca="1">VLOOKUP(VLOOKUP(dict_DQ_Meth_max[[#This Row],[ID_DataQualities]],table_DataQualities[],3),table_Units[],2)</f>
        <v>Hz</v>
      </c>
      <c r="I1006" s="10"/>
      <c r="J1006" s="10"/>
      <c r="K1006" s="10"/>
      <c r="L1006" s="10">
        <f ca="1">VLOOKUP(dict_DQ_Meth_max[[#This Row],[ID_DataQualities]],table_DataQualities[],8,FALSE)</f>
        <v>0.441</v>
      </c>
      <c r="M1006" s="10">
        <f ca="1">VLOOKUP(dict_DQ_Meth_max[[#This Row],[ID_DataQualities]],table_DataQualities[],9,FALSE)</f>
        <v>3740.9</v>
      </c>
    </row>
    <row r="1007" spans="1:13" x14ac:dyDescent="0.45">
      <c r="A1007" s="10">
        <v>268</v>
      </c>
      <c r="B1007" s="10">
        <v>611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1608.8383700000002</v>
      </c>
      <c r="G1007" s="12">
        <f ca="1">(RANDBETWEEN(50,100)/100)*(dict_DQ_Meth_max[[#This Row],[Vergleich_ub]]-dict_DQ_Meth_max[[#This Row],[Vergleich_lb]])+dict_DQ_Meth_max[[#This Row],[Vergleich_lb]]</f>
        <v>3292.0449200000003</v>
      </c>
      <c r="H1007" s="11" t="str">
        <f ca="1">VLOOKUP(VLOOKUP(dict_DQ_Meth_max[[#This Row],[ID_DataQualities]],table_DataQualities[],3),table_Units[],2)</f>
        <v>Hz</v>
      </c>
      <c r="I1007" s="10"/>
      <c r="J1007" s="10"/>
      <c r="K1007" s="10"/>
      <c r="L1007" s="10">
        <f ca="1">VLOOKUP(dict_DQ_Meth_max[[#This Row],[ID_DataQualities]],table_DataQualities[],8,FALSE)</f>
        <v>0.441</v>
      </c>
      <c r="M1007" s="10">
        <f ca="1">VLOOKUP(dict_DQ_Meth_max[[#This Row],[ID_DataQualities]],table_DataQualities[],9,FALSE)</f>
        <v>3740.9</v>
      </c>
    </row>
    <row r="1008" spans="1:13" x14ac:dyDescent="0.45">
      <c r="A1008" s="10">
        <v>269</v>
      </c>
      <c r="B1008" s="10">
        <v>611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1241.04</v>
      </c>
      <c r="G1008" s="12">
        <f ca="1">(RANDBETWEEN(50,100)/100)*(dict_DQ_Meth_max[[#This Row],[Vergleich_ub]]-dict_DQ_Meth_max[[#This Row],[Vergleich_lb]])+dict_DQ_Meth_max[[#This Row],[Vergleich_lb]]</f>
        <v>5173.1099999999997</v>
      </c>
      <c r="H1008" s="11" t="str">
        <f ca="1">VLOOKUP(VLOOKUP(dict_DQ_Meth_max[[#This Row],[ID_DataQualities]],table_DataQualities[],3),table_Units[],2)</f>
        <v>bit</v>
      </c>
      <c r="I1008" s="10"/>
      <c r="J1008" s="10"/>
      <c r="K1008" s="10"/>
      <c r="L1008" s="10">
        <f ca="1">VLOOKUP(dict_DQ_Meth_max[[#This Row],[ID_DataQualities]],table_DataQualities[],8,FALSE)</f>
        <v>54</v>
      </c>
      <c r="M1008" s="10">
        <f ca="1">VLOOKUP(dict_DQ_Meth_max[[#This Row],[ID_DataQualities]],table_DataQualities[],9,FALSE)</f>
        <v>7473</v>
      </c>
    </row>
    <row r="1009" spans="1:13" x14ac:dyDescent="0.45">
      <c r="A1009" s="10">
        <v>269</v>
      </c>
      <c r="B1009" s="10">
        <v>363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721.70999999999992</v>
      </c>
      <c r="G1009" s="12">
        <f ca="1">(RANDBETWEEN(50,100)/100)*(dict_DQ_Meth_max[[#This Row],[Vergleich_ub]]-dict_DQ_Meth_max[[#This Row],[Vergleich_lb]])+dict_DQ_Meth_max[[#This Row],[Vergleich_lb]]</f>
        <v>5544.0599999999995</v>
      </c>
      <c r="H1009" s="11" t="str">
        <f ca="1">VLOOKUP(VLOOKUP(dict_DQ_Meth_max[[#This Row],[ID_DataQualities]],table_DataQualities[],3),table_Units[],2)</f>
        <v>bit</v>
      </c>
      <c r="I1009" s="10"/>
      <c r="J1009" s="10"/>
      <c r="K1009" s="10"/>
      <c r="L1009" s="10">
        <f ca="1">VLOOKUP(dict_DQ_Meth_max[[#This Row],[ID_DataQualities]],table_DataQualities[],8,FALSE)</f>
        <v>54</v>
      </c>
      <c r="M1009" s="10">
        <f ca="1">VLOOKUP(dict_DQ_Meth_max[[#This Row],[ID_DataQualities]],table_DataQualities[],9,FALSE)</f>
        <v>7473</v>
      </c>
    </row>
    <row r="1010" spans="1:13" x14ac:dyDescent="0.45">
      <c r="A1010" s="10">
        <v>270</v>
      </c>
      <c r="B1010" s="10">
        <v>85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2855.62336</v>
      </c>
      <c r="G1010" s="12">
        <f ca="1">(RANDBETWEEN(50,100)/100)*(dict_DQ_Meth_max[[#This Row],[Vergleich_ub]]-dict_DQ_Meth_max[[#This Row],[Vergleich_lb]])+dict_DQ_Meth_max[[#This Row],[Vergleich_lb]]</f>
        <v>6265.6420400000006</v>
      </c>
      <c r="H1010" s="11" t="str">
        <f ca="1">VLOOKUP(VLOOKUP(dict_DQ_Meth_max[[#This Row],[ID_DataQualities]],table_DataQualities[],3),table_Units[],2)</f>
        <v>Hz</v>
      </c>
      <c r="I1010" s="10"/>
      <c r="J1010" s="10"/>
      <c r="K1010" s="10"/>
      <c r="L1010" s="10">
        <f ca="1">VLOOKUP(dict_DQ_Meth_max[[#This Row],[ID_DataQualities]],table_DataQualities[],8,FALSE)</f>
        <v>0.72399999999999998</v>
      </c>
      <c r="M1010" s="10">
        <f ca="1">VLOOKUP(dict_DQ_Meth_max[[#This Row],[ID_DataQualities]],table_DataQualities[],9,FALSE)</f>
        <v>7931</v>
      </c>
    </row>
    <row r="1011" spans="1:13" x14ac:dyDescent="0.45">
      <c r="A1011" s="10">
        <v>270</v>
      </c>
      <c r="B1011" s="10">
        <v>339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1586.7791999999999</v>
      </c>
      <c r="G1011" s="12">
        <f ca="1">(RANDBETWEEN(50,100)/100)*(dict_DQ_Meth_max[[#This Row],[Vergleich_ub]]-dict_DQ_Meth_max[[#This Row],[Vergleich_lb]])+dict_DQ_Meth_max[[#This Row],[Vergleich_lb]]</f>
        <v>5234.7061600000006</v>
      </c>
      <c r="H1011" s="11" t="str">
        <f ca="1">VLOOKUP(VLOOKUP(dict_DQ_Meth_max[[#This Row],[ID_DataQualities]],table_DataQualities[],3),table_Units[],2)</f>
        <v>Hz</v>
      </c>
      <c r="I1011" s="10"/>
      <c r="J1011" s="10"/>
      <c r="K1011" s="10"/>
      <c r="L1011" s="10">
        <f ca="1">VLOOKUP(dict_DQ_Meth_max[[#This Row],[ID_DataQualities]],table_DataQualities[],8,FALSE)</f>
        <v>0.72399999999999998</v>
      </c>
      <c r="M1011" s="10">
        <f ca="1">VLOOKUP(dict_DQ_Meth_max[[#This Row],[ID_DataQualities]],table_DataQualities[],9,FALSE)</f>
        <v>7931</v>
      </c>
    </row>
    <row r="1012" spans="1:13" x14ac:dyDescent="0.45">
      <c r="A1012" s="10">
        <v>270</v>
      </c>
      <c r="B1012" s="10">
        <v>19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3014.2288800000001</v>
      </c>
      <c r="G1012" s="12">
        <f ca="1">(RANDBETWEEN(50,100)/100)*(dict_DQ_Meth_max[[#This Row],[Vergleich_ub]]-dict_DQ_Meth_max[[#This Row],[Vergleich_lb]])+dict_DQ_Meth_max[[#This Row],[Vergleich_lb]]</f>
        <v>4283.0730400000002</v>
      </c>
      <c r="H1012" s="11" t="str">
        <f ca="1">VLOOKUP(VLOOKUP(dict_DQ_Meth_max[[#This Row],[ID_DataQualities]],table_DataQualities[],3),table_Units[],2)</f>
        <v>Hz</v>
      </c>
      <c r="I1012" s="10"/>
      <c r="J1012" s="10"/>
      <c r="K1012" s="10"/>
      <c r="L1012" s="10">
        <f ca="1">VLOOKUP(dict_DQ_Meth_max[[#This Row],[ID_DataQualities]],table_DataQualities[],8,FALSE)</f>
        <v>0.72399999999999998</v>
      </c>
      <c r="M1012" s="10">
        <f ca="1">VLOOKUP(dict_DQ_Meth_max[[#This Row],[ID_DataQualities]],table_DataQualities[],9,FALSE)</f>
        <v>7931</v>
      </c>
    </row>
    <row r="1013" spans="1:13" x14ac:dyDescent="0.45">
      <c r="A1013" s="10">
        <v>270</v>
      </c>
      <c r="B1013" s="10">
        <v>401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2617.7150800000004</v>
      </c>
      <c r="G1013" s="12">
        <f ca="1">(RANDBETWEEN(50,100)/100)*(dict_DQ_Meth_max[[#This Row],[Vergleich_ub]]-dict_DQ_Meth_max[[#This Row],[Vergleich_lb]])+dict_DQ_Meth_max[[#This Row],[Vergleich_lb]]</f>
        <v>5234.7061600000006</v>
      </c>
      <c r="H1013" s="11" t="str">
        <f ca="1">VLOOKUP(VLOOKUP(dict_DQ_Meth_max[[#This Row],[ID_DataQualities]],table_DataQualities[],3),table_Units[],2)</f>
        <v>Hz</v>
      </c>
      <c r="I1013" s="10"/>
      <c r="J1013" s="10"/>
      <c r="K1013" s="10"/>
      <c r="L1013" s="10">
        <f ca="1">VLOOKUP(dict_DQ_Meth_max[[#This Row],[ID_DataQualities]],table_DataQualities[],8,FALSE)</f>
        <v>0.72399999999999998</v>
      </c>
      <c r="M1013" s="10">
        <f ca="1">VLOOKUP(dict_DQ_Meth_max[[#This Row],[ID_DataQualities]],table_DataQualities[],9,FALSE)</f>
        <v>7931</v>
      </c>
    </row>
    <row r="1014" spans="1:13" x14ac:dyDescent="0.45">
      <c r="A1014" s="10">
        <v>271</v>
      </c>
      <c r="B1014" s="10">
        <v>85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1.0440099999999999</v>
      </c>
      <c r="G1014" s="12">
        <f ca="1">(RANDBETWEEN(50,100)/100)*(dict_DQ_Meth_max[[#This Row],[Vergleich_ub]]-dict_DQ_Meth_max[[#This Row],[Vergleich_lb]])+dict_DQ_Meth_max[[#This Row],[Vergleich_lb]]</f>
        <v>3.5251399999999999</v>
      </c>
      <c r="H1014" s="11" t="str">
        <f ca="1">VLOOKUP(VLOOKUP(dict_DQ_Meth_max[[#This Row],[ID_DataQualities]],table_DataQualities[],3),table_Units[],2)</f>
        <v>+/- W</v>
      </c>
      <c r="I1014" s="10"/>
      <c r="J1014" s="10"/>
      <c r="K1014" s="10"/>
      <c r="L1014" s="10">
        <f ca="1">VLOOKUP(dict_DQ_Meth_max[[#This Row],[ID_DataQualities]],table_DataQualities[],8,FALSE)</f>
        <v>4.1000000000000002E-2</v>
      </c>
      <c r="M1014" s="10">
        <f ca="1">VLOOKUP(dict_DQ_Meth_max[[#This Row],[ID_DataQualities]],table_DataQualities[],9,FALSE)</f>
        <v>5.32</v>
      </c>
    </row>
    <row r="1015" spans="1:13" x14ac:dyDescent="0.45">
      <c r="A1015" s="10">
        <v>271</v>
      </c>
      <c r="B1015" s="10">
        <v>339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0.62169000000000008</v>
      </c>
      <c r="G1015" s="12">
        <f ca="1">(RANDBETWEEN(50,100)/100)*(dict_DQ_Meth_max[[#This Row],[Vergleich_ub]]-dict_DQ_Meth_max[[#This Row],[Vergleich_lb]])+dict_DQ_Meth_max[[#This Row],[Vergleich_lb]]</f>
        <v>3.94746</v>
      </c>
      <c r="H1015" s="11" t="str">
        <f ca="1">VLOOKUP(VLOOKUP(dict_DQ_Meth_max[[#This Row],[ID_DataQualities]],table_DataQualities[],3),table_Units[],2)</f>
        <v>+/- W</v>
      </c>
      <c r="I1015" s="10"/>
      <c r="J1015" s="10"/>
      <c r="K1015" s="10"/>
      <c r="L1015" s="10">
        <f ca="1">VLOOKUP(dict_DQ_Meth_max[[#This Row],[ID_DataQualities]],table_DataQualities[],8,FALSE)</f>
        <v>4.1000000000000002E-2</v>
      </c>
      <c r="M1015" s="10">
        <f ca="1">VLOOKUP(dict_DQ_Meth_max[[#This Row],[ID_DataQualities]],table_DataQualities[],9,FALSE)</f>
        <v>5.32</v>
      </c>
    </row>
    <row r="1016" spans="1:13" x14ac:dyDescent="0.45">
      <c r="A1016" s="10">
        <v>271</v>
      </c>
      <c r="B1016" s="10">
        <v>401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2.5749199999999997</v>
      </c>
      <c r="G1016" s="12">
        <f ca="1">(RANDBETWEEN(50,100)/100)*(dict_DQ_Meth_max[[#This Row],[Vergleich_ub]]-dict_DQ_Meth_max[[#This Row],[Vergleich_lb]])+dict_DQ_Meth_max[[#This Row],[Vergleich_lb]]</f>
        <v>5.2144200000000005</v>
      </c>
      <c r="H1016" s="11" t="str">
        <f ca="1">VLOOKUP(VLOOKUP(dict_DQ_Meth_max[[#This Row],[ID_DataQualities]],table_DataQualities[],3),table_Units[],2)</f>
        <v>+/- W</v>
      </c>
      <c r="I1016" s="10"/>
      <c r="J1016" s="10"/>
      <c r="K1016" s="10"/>
      <c r="L1016" s="10">
        <f ca="1">VLOOKUP(dict_DQ_Meth_max[[#This Row],[ID_DataQualities]],table_DataQualities[],8,FALSE)</f>
        <v>4.1000000000000002E-2</v>
      </c>
      <c r="M1016" s="10">
        <f ca="1">VLOOKUP(dict_DQ_Meth_max[[#This Row],[ID_DataQualities]],table_DataQualities[],9,FALSE)</f>
        <v>5.32</v>
      </c>
    </row>
    <row r="1017" spans="1:13" x14ac:dyDescent="0.45">
      <c r="A1017" s="10">
        <v>271</v>
      </c>
      <c r="B1017" s="10">
        <v>19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1.7830699999999999</v>
      </c>
      <c r="G1017" s="12">
        <f ca="1">(RANDBETWEEN(50,100)/100)*(dict_DQ_Meth_max[[#This Row],[Vergleich_ub]]-dict_DQ_Meth_max[[#This Row],[Vergleich_lb]])+dict_DQ_Meth_max[[#This Row],[Vergleich_lb]]</f>
        <v>2.7332899999999998</v>
      </c>
      <c r="H1017" s="11" t="str">
        <f ca="1">VLOOKUP(VLOOKUP(dict_DQ_Meth_max[[#This Row],[ID_DataQualities]],table_DataQualities[],3),table_Units[],2)</f>
        <v>+/- W</v>
      </c>
      <c r="I1017" s="10"/>
      <c r="J1017" s="10"/>
      <c r="K1017" s="10"/>
      <c r="L1017" s="10">
        <f ca="1">VLOOKUP(dict_DQ_Meth_max[[#This Row],[ID_DataQualities]],table_DataQualities[],8,FALSE)</f>
        <v>4.1000000000000002E-2</v>
      </c>
      <c r="M1017" s="10">
        <f ca="1">VLOOKUP(dict_DQ_Meth_max[[#This Row],[ID_DataQualities]],table_DataQualities[],9,FALSE)</f>
        <v>5.32</v>
      </c>
    </row>
    <row r="1018" spans="1:13" x14ac:dyDescent="0.45">
      <c r="A1018" s="10">
        <v>272</v>
      </c>
      <c r="B1018" s="10">
        <v>333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184.75757999999999</v>
      </c>
      <c r="G1018" s="12">
        <f ca="1">(RANDBETWEEN(50,100)/100)*(dict_DQ_Meth_max[[#This Row],[Vergleich_ub]]-dict_DQ_Meth_max[[#This Row],[Vergleich_lb]])+dict_DQ_Meth_max[[#This Row],[Vergleich_lb]]</f>
        <v>5592.1692599999997</v>
      </c>
      <c r="H1018" s="11" t="str">
        <f ca="1">VLOOKUP(VLOOKUP(dict_DQ_Meth_max[[#This Row],[ID_DataQualities]],table_DataQualities[],3),table_Units[],2)</f>
        <v>Hz</v>
      </c>
      <c r="I1018" s="10"/>
      <c r="J1018" s="10"/>
      <c r="K1018" s="10"/>
      <c r="L1018" s="10">
        <f ca="1">VLOOKUP(dict_DQ_Meth_max[[#This Row],[ID_DataQualities]],table_DataQualities[],8,FALSE)</f>
        <v>0.41399999999999998</v>
      </c>
      <c r="M1018" s="10">
        <f ca="1">VLOOKUP(dict_DQ_Meth_max[[#This Row],[ID_DataQualities]],table_DataQualities[],9,FALSE)</f>
        <v>6145.2</v>
      </c>
    </row>
    <row r="1019" spans="1:13" x14ac:dyDescent="0.45">
      <c r="A1019" s="10">
        <v>272</v>
      </c>
      <c r="B1019" s="10">
        <v>590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3011.35914</v>
      </c>
      <c r="G1019" s="12">
        <f ca="1">(RANDBETWEEN(50,100)/100)*(dict_DQ_Meth_max[[#This Row],[Vergleich_ub]]-dict_DQ_Meth_max[[#This Row],[Vergleich_lb]])+dict_DQ_Meth_max[[#This Row],[Vergleich_lb]]</f>
        <v>4793.3470799999996</v>
      </c>
      <c r="H1019" s="11" t="str">
        <f ca="1">VLOOKUP(VLOOKUP(dict_DQ_Meth_max[[#This Row],[ID_DataQualities]],table_DataQualities[],3),table_Units[],2)</f>
        <v>Hz</v>
      </c>
      <c r="I1019" s="10"/>
      <c r="J1019" s="10"/>
      <c r="K1019" s="10"/>
      <c r="L1019" s="10">
        <f ca="1">VLOOKUP(dict_DQ_Meth_max[[#This Row],[ID_DataQualities]],table_DataQualities[],8,FALSE)</f>
        <v>0.41399999999999998</v>
      </c>
      <c r="M1019" s="10">
        <f ca="1">VLOOKUP(dict_DQ_Meth_max[[#This Row],[ID_DataQualities]],table_DataQualities[],9,FALSE)</f>
        <v>6145.2</v>
      </c>
    </row>
    <row r="1020" spans="1:13" x14ac:dyDescent="0.45">
      <c r="A1020" s="10">
        <v>272</v>
      </c>
      <c r="B1020" s="10">
        <v>541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922.13189999999997</v>
      </c>
      <c r="G1020" s="12">
        <f ca="1">(RANDBETWEEN(50,100)/100)*(dict_DQ_Meth_max[[#This Row],[Vergleich_ub]]-dict_DQ_Meth_max[[#This Row],[Vergleich_lb]])+dict_DQ_Meth_max[[#This Row],[Vergleich_lb]]</f>
        <v>5346.3778199999997</v>
      </c>
      <c r="H1020" s="11" t="str">
        <f ca="1">VLOOKUP(VLOOKUP(dict_DQ_Meth_max[[#This Row],[ID_DataQualities]],table_DataQualities[],3),table_Units[],2)</f>
        <v>Hz</v>
      </c>
      <c r="I1020" s="10"/>
      <c r="J1020" s="10"/>
      <c r="K1020" s="10"/>
      <c r="L1020" s="10">
        <f ca="1">VLOOKUP(dict_DQ_Meth_max[[#This Row],[ID_DataQualities]],table_DataQualities[],8,FALSE)</f>
        <v>0.41399999999999998</v>
      </c>
      <c r="M1020" s="10">
        <f ca="1">VLOOKUP(dict_DQ_Meth_max[[#This Row],[ID_DataQualities]],table_DataQualities[],9,FALSE)</f>
        <v>6145.2</v>
      </c>
    </row>
    <row r="1021" spans="1:13" x14ac:dyDescent="0.45">
      <c r="A1021" s="10">
        <v>273</v>
      </c>
      <c r="B1021" s="10">
        <v>333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0.10386000000000001</v>
      </c>
      <c r="G1021" s="12">
        <f ca="1">(RANDBETWEEN(50,100)/100)*(dict_DQ_Meth_max[[#This Row],[Vergleich_ub]]-dict_DQ_Meth_max[[#This Row],[Vergleich_lb]])+dict_DQ_Meth_max[[#This Row],[Vergleich_lb]]</f>
        <v>1.05514</v>
      </c>
      <c r="H1021" s="11" t="str">
        <f ca="1">VLOOKUP(VLOOKUP(dict_DQ_Meth_max[[#This Row],[ID_DataQualities]],table_DataQualities[],3),table_Units[],2)</f>
        <v>+/- W</v>
      </c>
      <c r="I1021" s="10"/>
      <c r="J1021" s="10"/>
      <c r="K1021" s="10"/>
      <c r="L1021" s="10">
        <f ca="1">VLOOKUP(dict_DQ_Meth_max[[#This Row],[ID_DataQualities]],table_DataQualities[],8,FALSE)</f>
        <v>3.9E-2</v>
      </c>
      <c r="M1021" s="10">
        <f ca="1">VLOOKUP(dict_DQ_Meth_max[[#This Row],[ID_DataQualities]],table_DataQualities[],9,FALSE)</f>
        <v>1.1200000000000001</v>
      </c>
    </row>
    <row r="1022" spans="1:13" x14ac:dyDescent="0.45">
      <c r="A1022" s="10">
        <v>273</v>
      </c>
      <c r="B1022" s="10">
        <v>541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8.2240000000000008E-2</v>
      </c>
      <c r="G1022" s="12">
        <f ca="1">(RANDBETWEEN(50,100)/100)*(dict_DQ_Meth_max[[#This Row],[Vergleich_ub]]-dict_DQ_Meth_max[[#This Row],[Vergleich_lb]])+dict_DQ_Meth_max[[#This Row],[Vergleich_lb]]</f>
        <v>0.79570000000000007</v>
      </c>
      <c r="H1022" s="11" t="str">
        <f ca="1">VLOOKUP(VLOOKUP(dict_DQ_Meth_max[[#This Row],[ID_DataQualities]],table_DataQualities[],3),table_Units[],2)</f>
        <v>+/- W</v>
      </c>
      <c r="I1022" s="10"/>
      <c r="J1022" s="10"/>
      <c r="K1022" s="10"/>
      <c r="L1022" s="10">
        <f ca="1">VLOOKUP(dict_DQ_Meth_max[[#This Row],[ID_DataQualities]],table_DataQualities[],8,FALSE)</f>
        <v>3.9E-2</v>
      </c>
      <c r="M1022" s="10">
        <f ca="1">VLOOKUP(dict_DQ_Meth_max[[#This Row],[ID_DataQualities]],table_DataQualities[],9,FALSE)</f>
        <v>1.1200000000000001</v>
      </c>
    </row>
    <row r="1023" spans="1:13" x14ac:dyDescent="0.45">
      <c r="A1023" s="10">
        <v>273</v>
      </c>
      <c r="B1023" s="10">
        <v>590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0.35249000000000003</v>
      </c>
      <c r="G1023" s="12">
        <f ca="1">(RANDBETWEEN(50,100)/100)*(dict_DQ_Meth_max[[#This Row],[Vergleich_ub]]-dict_DQ_Meth_max[[#This Row],[Vergleich_lb]])+dict_DQ_Meth_max[[#This Row],[Vergleich_lb]]</f>
        <v>0.75246000000000024</v>
      </c>
      <c r="H1023" s="11" t="str">
        <f ca="1">VLOOKUP(VLOOKUP(dict_DQ_Meth_max[[#This Row],[ID_DataQualities]],table_DataQualities[],3),table_Units[],2)</f>
        <v>+/- W</v>
      </c>
      <c r="I1023" s="10"/>
      <c r="J1023" s="10"/>
      <c r="K1023" s="10"/>
      <c r="L1023" s="10">
        <f ca="1">VLOOKUP(dict_DQ_Meth_max[[#This Row],[ID_DataQualities]],table_DataQualities[],8,FALSE)</f>
        <v>3.9E-2</v>
      </c>
      <c r="M1023" s="10">
        <f ca="1">VLOOKUP(dict_DQ_Meth_max[[#This Row],[ID_DataQualities]],table_DataQualities[],9,FALSE)</f>
        <v>1.1200000000000001</v>
      </c>
    </row>
    <row r="1024" spans="1:13" x14ac:dyDescent="0.45">
      <c r="A1024" s="10">
        <v>274</v>
      </c>
      <c r="B1024" s="10">
        <v>276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2176.9102200000007</v>
      </c>
      <c r="G1024" s="12">
        <f ca="1">(RANDBETWEEN(50,100)/100)*(dict_DQ_Meth_max[[#This Row],[Vergleich_ub]]-dict_DQ_Meth_max[[#This Row],[Vergleich_lb]])+dict_DQ_Meth_max[[#This Row],[Vergleich_lb]]</f>
        <v>6336.8016699999998</v>
      </c>
      <c r="H1024" s="11" t="str">
        <f ca="1">VLOOKUP(VLOOKUP(dict_DQ_Meth_max[[#This Row],[ID_DataQualities]],table_DataQualities[],3),table_Units[],2)</f>
        <v>Hz</v>
      </c>
      <c r="I1024" s="10"/>
      <c r="J1024" s="10"/>
      <c r="K1024" s="10"/>
      <c r="L1024" s="10">
        <f ca="1">VLOOKUP(dict_DQ_Meth_max[[#This Row],[ID_DataQualities]],table_DataQualities[],8,FALSE)</f>
        <v>0.96699999999999997</v>
      </c>
      <c r="M1024" s="10">
        <f ca="1">VLOOKUP(dict_DQ_Meth_max[[#This Row],[ID_DataQualities]],table_DataQualities[],9,FALSE)</f>
        <v>6400.8</v>
      </c>
    </row>
    <row r="1025" spans="1:13" x14ac:dyDescent="0.45">
      <c r="A1025" s="10">
        <v>274</v>
      </c>
      <c r="B1025" s="10">
        <v>580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1024.9402800000003</v>
      </c>
      <c r="G1025" s="12">
        <f ca="1">(RANDBETWEEN(50,100)/100)*(dict_DQ_Meth_max[[#This Row],[Vergleich_ub]]-dict_DQ_Meth_max[[#This Row],[Vergleich_lb]])+dict_DQ_Meth_max[[#This Row],[Vergleich_lb]]</f>
        <v>4928.8384100000003</v>
      </c>
      <c r="H1025" s="11" t="str">
        <f ca="1">VLOOKUP(VLOOKUP(dict_DQ_Meth_max[[#This Row],[ID_DataQualities]],table_DataQualities[],3),table_Units[],2)</f>
        <v>Hz</v>
      </c>
      <c r="I1025" s="10"/>
      <c r="J1025" s="10"/>
      <c r="K1025" s="10"/>
      <c r="L1025" s="10">
        <f ca="1">VLOOKUP(dict_DQ_Meth_max[[#This Row],[ID_DataQualities]],table_DataQualities[],8,FALSE)</f>
        <v>0.96699999999999997</v>
      </c>
      <c r="M1025" s="10">
        <f ca="1">VLOOKUP(dict_DQ_Meth_max[[#This Row],[ID_DataQualities]],table_DataQualities[],9,FALSE)</f>
        <v>6400.8</v>
      </c>
    </row>
    <row r="1026" spans="1:13" x14ac:dyDescent="0.45">
      <c r="A1026" s="10">
        <v>274</v>
      </c>
      <c r="B1026" s="10">
        <v>139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256.96032000000002</v>
      </c>
      <c r="G1026" s="12">
        <f ca="1">(RANDBETWEEN(50,100)/100)*(dict_DQ_Meth_max[[#This Row],[Vergleich_ub]]-dict_DQ_Meth_max[[#This Row],[Vergleich_lb]])+dict_DQ_Meth_max[[#This Row],[Vergleich_lb]]</f>
        <v>4544.84843</v>
      </c>
      <c r="H1026" s="11" t="str">
        <f ca="1">VLOOKUP(VLOOKUP(dict_DQ_Meth_max[[#This Row],[ID_DataQualities]],table_DataQualities[],3),table_Units[],2)</f>
        <v>Hz</v>
      </c>
      <c r="I1026" s="10"/>
      <c r="J1026" s="10"/>
      <c r="K1026" s="10"/>
      <c r="L1026" s="10">
        <f ca="1">VLOOKUP(dict_DQ_Meth_max[[#This Row],[ID_DataQualities]],table_DataQualities[],8,FALSE)</f>
        <v>0.96699999999999997</v>
      </c>
      <c r="M1026" s="10">
        <f ca="1">VLOOKUP(dict_DQ_Meth_max[[#This Row],[ID_DataQualities]],table_DataQualities[],9,FALSE)</f>
        <v>6400.8</v>
      </c>
    </row>
    <row r="1027" spans="1:13" x14ac:dyDescent="0.45">
      <c r="A1027" s="10">
        <v>274</v>
      </c>
      <c r="B1027" s="10">
        <v>166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1536.9269200000001</v>
      </c>
      <c r="G1027" s="12">
        <f ca="1">(RANDBETWEEN(50,100)/100)*(dict_DQ_Meth_max[[#This Row],[Vergleich_ub]]-dict_DQ_Meth_max[[#This Row],[Vergleich_lb]])+dict_DQ_Meth_max[[#This Row],[Vergleich_lb]]</f>
        <v>5952.8116900000005</v>
      </c>
      <c r="H1027" s="11" t="str">
        <f ca="1">VLOOKUP(VLOOKUP(dict_DQ_Meth_max[[#This Row],[ID_DataQualities]],table_DataQualities[],3),table_Units[],2)</f>
        <v>Hz</v>
      </c>
      <c r="I1027" s="10"/>
      <c r="J1027" s="10"/>
      <c r="K1027" s="10"/>
      <c r="L1027" s="10">
        <f ca="1">VLOOKUP(dict_DQ_Meth_max[[#This Row],[ID_DataQualities]],table_DataQualities[],8,FALSE)</f>
        <v>0.96699999999999997</v>
      </c>
      <c r="M1027" s="10">
        <f ca="1">VLOOKUP(dict_DQ_Meth_max[[#This Row],[ID_DataQualities]],table_DataQualities[],9,FALSE)</f>
        <v>6400.8</v>
      </c>
    </row>
    <row r="1028" spans="1:13" x14ac:dyDescent="0.45">
      <c r="A1028" s="10">
        <v>274</v>
      </c>
      <c r="B1028" s="10">
        <v>151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1664.9235800000004</v>
      </c>
      <c r="G1028" s="12">
        <f ca="1">(RANDBETWEEN(50,100)/100)*(dict_DQ_Meth_max[[#This Row],[Vergleich_ub]]-dict_DQ_Meth_max[[#This Row],[Vergleich_lb]])+dict_DQ_Meth_max[[#This Row],[Vergleich_lb]]</f>
        <v>4032.8617900000004</v>
      </c>
      <c r="H1028" s="11" t="str">
        <f ca="1">VLOOKUP(VLOOKUP(dict_DQ_Meth_max[[#This Row],[ID_DataQualities]],table_DataQualities[],3),table_Units[],2)</f>
        <v>Hz</v>
      </c>
      <c r="I1028" s="10"/>
      <c r="J1028" s="10"/>
      <c r="K1028" s="10"/>
      <c r="L1028" s="10">
        <f ca="1">VLOOKUP(dict_DQ_Meth_max[[#This Row],[ID_DataQualities]],table_DataQualities[],8,FALSE)</f>
        <v>0.96699999999999997</v>
      </c>
      <c r="M1028" s="10">
        <f ca="1">VLOOKUP(dict_DQ_Meth_max[[#This Row],[ID_DataQualities]],table_DataQualities[],9,FALSE)</f>
        <v>6400.8</v>
      </c>
    </row>
    <row r="1029" spans="1:13" x14ac:dyDescent="0.45">
      <c r="A1029" s="10">
        <v>275</v>
      </c>
      <c r="B1029" s="10">
        <v>139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2.0709</v>
      </c>
      <c r="G1029" s="12">
        <f ca="1">(RANDBETWEEN(50,100)/100)*(dict_DQ_Meth_max[[#This Row],[Vergleich_ub]]-dict_DQ_Meth_max[[#This Row],[Vergleich_lb]])+dict_DQ_Meth_max[[#This Row],[Vergleich_lb]]</f>
        <v>2.6492999999999998</v>
      </c>
      <c r="H1029" s="11" t="str">
        <f ca="1">VLOOKUP(VLOOKUP(dict_DQ_Meth_max[[#This Row],[ID_DataQualities]],table_DataQualities[],3),table_Units[],2)</f>
        <v>+/- mm/s</v>
      </c>
      <c r="I1029" s="10"/>
      <c r="J1029" s="10"/>
      <c r="K1029" s="10"/>
      <c r="L1029" s="10">
        <f ca="1">VLOOKUP(dict_DQ_Meth_max[[#This Row],[ID_DataQualities]],table_DataQualities[],8,FALSE)</f>
        <v>0.89</v>
      </c>
      <c r="M1029" s="10">
        <f ca="1">VLOOKUP(dict_DQ_Meth_max[[#This Row],[ID_DataQualities]],table_DataQualities[],9,FALSE)</f>
        <v>3.3</v>
      </c>
    </row>
    <row r="1030" spans="1:13" x14ac:dyDescent="0.45">
      <c r="A1030" s="10">
        <v>275</v>
      </c>
      <c r="B1030" s="10">
        <v>276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0.93820000000000003</v>
      </c>
      <c r="G1030" s="12">
        <f ca="1">(RANDBETWEEN(50,100)/100)*(dict_DQ_Meth_max[[#This Row],[Vergleich_ub]]-dict_DQ_Meth_max[[#This Row],[Vergleich_lb]])+dict_DQ_Meth_max[[#This Row],[Vergleich_lb]]</f>
        <v>2.9384999999999999</v>
      </c>
      <c r="H1030" s="11" t="str">
        <f ca="1">VLOOKUP(VLOOKUP(dict_DQ_Meth_max[[#This Row],[ID_DataQualities]],table_DataQualities[],3),table_Units[],2)</f>
        <v>+/- mm/s</v>
      </c>
      <c r="I1030" s="10"/>
      <c r="J1030" s="10"/>
      <c r="K1030" s="10"/>
      <c r="L1030" s="10">
        <f ca="1">VLOOKUP(dict_DQ_Meth_max[[#This Row],[ID_DataQualities]],table_DataQualities[],8,FALSE)</f>
        <v>0.89</v>
      </c>
      <c r="M1030" s="10">
        <f ca="1">VLOOKUP(dict_DQ_Meth_max[[#This Row],[ID_DataQualities]],table_DataQualities[],9,FALSE)</f>
        <v>3.3</v>
      </c>
    </row>
    <row r="1031" spans="1:13" x14ac:dyDescent="0.45">
      <c r="A1031" s="10">
        <v>275</v>
      </c>
      <c r="B1031" s="10">
        <v>151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0.91410000000000002</v>
      </c>
      <c r="G1031" s="12">
        <f ca="1">(RANDBETWEEN(50,100)/100)*(dict_DQ_Meth_max[[#This Row],[Vergleich_ub]]-dict_DQ_Meth_max[[#This Row],[Vergleich_lb]])+dict_DQ_Meth_max[[#This Row],[Vergleich_lb]]</f>
        <v>2.7698</v>
      </c>
      <c r="H1031" s="11" t="str">
        <f ca="1">VLOOKUP(VLOOKUP(dict_DQ_Meth_max[[#This Row],[ID_DataQualities]],table_DataQualities[],3),table_Units[],2)</f>
        <v>+/- mm/s</v>
      </c>
      <c r="I1031" s="10"/>
      <c r="J1031" s="10"/>
      <c r="K1031" s="10"/>
      <c r="L1031" s="10">
        <f ca="1">VLOOKUP(dict_DQ_Meth_max[[#This Row],[ID_DataQualities]],table_DataQualities[],8,FALSE)</f>
        <v>0.89</v>
      </c>
      <c r="M1031" s="10">
        <f ca="1">VLOOKUP(dict_DQ_Meth_max[[#This Row],[ID_DataQualities]],table_DataQualities[],9,FALSE)</f>
        <v>3.3</v>
      </c>
    </row>
    <row r="1032" spans="1:13" x14ac:dyDescent="0.45">
      <c r="A1032" s="10">
        <v>275</v>
      </c>
      <c r="B1032" s="10">
        <v>580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1.6612</v>
      </c>
      <c r="G1032" s="12">
        <f ca="1">(RANDBETWEEN(50,100)/100)*(dict_DQ_Meth_max[[#This Row],[Vergleich_ub]]-dict_DQ_Meth_max[[#This Row],[Vergleich_lb]])+dict_DQ_Meth_max[[#This Row],[Vergleich_lb]]</f>
        <v>2.0949999999999998</v>
      </c>
      <c r="H1032" s="11" t="str">
        <f ca="1">VLOOKUP(VLOOKUP(dict_DQ_Meth_max[[#This Row],[ID_DataQualities]],table_DataQualities[],3),table_Units[],2)</f>
        <v>+/- mm/s</v>
      </c>
      <c r="I1032" s="10"/>
      <c r="J1032" s="10"/>
      <c r="K1032" s="10"/>
      <c r="L1032" s="10">
        <f ca="1">VLOOKUP(dict_DQ_Meth_max[[#This Row],[ID_DataQualities]],table_DataQualities[],8,FALSE)</f>
        <v>0.89</v>
      </c>
      <c r="M1032" s="10">
        <f ca="1">VLOOKUP(dict_DQ_Meth_max[[#This Row],[ID_DataQualities]],table_DataQualities[],9,FALSE)</f>
        <v>3.3</v>
      </c>
    </row>
    <row r="1033" spans="1:13" x14ac:dyDescent="0.45">
      <c r="A1033" s="10">
        <v>275</v>
      </c>
      <c r="B1033" s="10">
        <v>166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2.0467999999999997</v>
      </c>
      <c r="G1033" s="12">
        <f ca="1">(RANDBETWEEN(50,100)/100)*(dict_DQ_Meth_max[[#This Row],[Vergleich_ub]]-dict_DQ_Meth_max[[#This Row],[Vergleich_lb]])+dict_DQ_Meth_max[[#This Row],[Vergleich_lb]]</f>
        <v>3.0107999999999997</v>
      </c>
      <c r="H1033" s="11" t="str">
        <f ca="1">VLOOKUP(VLOOKUP(dict_DQ_Meth_max[[#This Row],[ID_DataQualities]],table_DataQualities[],3),table_Units[],2)</f>
        <v>+/- mm/s</v>
      </c>
      <c r="I1033" s="10"/>
      <c r="J1033" s="10"/>
      <c r="K1033" s="10"/>
      <c r="L1033" s="10">
        <f ca="1">VLOOKUP(dict_DQ_Meth_max[[#This Row],[ID_DataQualities]],table_DataQualities[],8,FALSE)</f>
        <v>0.89</v>
      </c>
      <c r="M1033" s="10">
        <f ca="1">VLOOKUP(dict_DQ_Meth_max[[#This Row],[ID_DataQualities]],table_DataQualities[],9,FALSE)</f>
        <v>3.3</v>
      </c>
    </row>
    <row r="1034" spans="1:13" x14ac:dyDescent="0.45">
      <c r="A1034" s="10">
        <v>276</v>
      </c>
      <c r="B1034" s="10">
        <v>175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1753.0534699999998</v>
      </c>
      <c r="G1034" s="12">
        <f ca="1">(RANDBETWEEN(50,100)/100)*(dict_DQ_Meth_max[[#This Row],[Vergleich_ub]]-dict_DQ_Meth_max[[#This Row],[Vergleich_lb]])+dict_DQ_Meth_max[[#This Row],[Vergleich_lb]]</f>
        <v>2163.1555799999996</v>
      </c>
      <c r="H1034" s="11" t="str">
        <f ca="1">VLOOKUP(VLOOKUP(dict_DQ_Meth_max[[#This Row],[ID_DataQualities]],table_DataQualities[],3),table_Units[],2)</f>
        <v>Hz</v>
      </c>
      <c r="I1034" s="10"/>
      <c r="J1034" s="10"/>
      <c r="K1034" s="10"/>
      <c r="L1034" s="10">
        <f ca="1">VLOOKUP(dict_DQ_Meth_max[[#This Row],[ID_DataQualities]],table_DataQualities[],8,FALSE)</f>
        <v>0.79900000000000004</v>
      </c>
      <c r="M1034" s="10">
        <f ca="1">VLOOKUP(dict_DQ_Meth_max[[#This Row],[ID_DataQualities]],table_DataQualities[],9,FALSE)</f>
        <v>3729</v>
      </c>
    </row>
    <row r="1035" spans="1:13" x14ac:dyDescent="0.45">
      <c r="A1035" s="10">
        <v>276</v>
      </c>
      <c r="B1035" s="10">
        <v>639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1529.36141</v>
      </c>
      <c r="G1035" s="12">
        <f ca="1">(RANDBETWEEN(50,100)/100)*(dict_DQ_Meth_max[[#This Row],[Vergleich_ub]]-dict_DQ_Meth_max[[#This Row],[Vergleich_lb]])+dict_DQ_Meth_max[[#This Row],[Vergleich_lb]]</f>
        <v>2759.6677399999999</v>
      </c>
      <c r="H1035" s="11" t="str">
        <f ca="1">VLOOKUP(VLOOKUP(dict_DQ_Meth_max[[#This Row],[ID_DataQualities]],table_DataQualities[],3),table_Units[],2)</f>
        <v>Hz</v>
      </c>
      <c r="I1035" s="10"/>
      <c r="J1035" s="10"/>
      <c r="K1035" s="10"/>
      <c r="L1035" s="10">
        <f ca="1">VLOOKUP(dict_DQ_Meth_max[[#This Row],[ID_DataQualities]],table_DataQualities[],8,FALSE)</f>
        <v>0.79900000000000004</v>
      </c>
      <c r="M1035" s="10">
        <f ca="1">VLOOKUP(dict_DQ_Meth_max[[#This Row],[ID_DataQualities]],table_DataQualities[],9,FALSE)</f>
        <v>3729</v>
      </c>
    </row>
    <row r="1036" spans="1:13" x14ac:dyDescent="0.45">
      <c r="A1036" s="10">
        <v>276</v>
      </c>
      <c r="B1036" s="10">
        <v>469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0.79900000000000004</v>
      </c>
      <c r="G1036" s="12">
        <f ca="1">(RANDBETWEEN(50,100)/100)*(dict_DQ_Meth_max[[#This Row],[Vergleich_ub]]-dict_DQ_Meth_max[[#This Row],[Vergleich_lb]])+dict_DQ_Meth_max[[#This Row],[Vergleich_lb]]</f>
        <v>2088.5915600000003</v>
      </c>
      <c r="H1036" s="11" t="str">
        <f ca="1">VLOOKUP(VLOOKUP(dict_DQ_Meth_max[[#This Row],[ID_DataQualities]],table_DataQualities[],3),table_Units[],2)</f>
        <v>Hz</v>
      </c>
      <c r="I1036" s="10"/>
      <c r="J1036" s="10"/>
      <c r="K1036" s="10"/>
      <c r="L1036" s="10">
        <f ca="1">VLOOKUP(dict_DQ_Meth_max[[#This Row],[ID_DataQualities]],table_DataQualities[],8,FALSE)</f>
        <v>0.79900000000000004</v>
      </c>
      <c r="M1036" s="10">
        <f ca="1">VLOOKUP(dict_DQ_Meth_max[[#This Row],[ID_DataQualities]],table_DataQualities[],9,FALSE)</f>
        <v>3729</v>
      </c>
    </row>
    <row r="1037" spans="1:13" x14ac:dyDescent="0.45">
      <c r="A1037" s="10">
        <v>276</v>
      </c>
      <c r="B1037" s="10">
        <v>346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1268.38734</v>
      </c>
      <c r="G1037" s="12">
        <f ca="1">(RANDBETWEEN(50,100)/100)*(dict_DQ_Meth_max[[#This Row],[Vergleich_ub]]-dict_DQ_Meth_max[[#This Row],[Vergleich_lb]])+dict_DQ_Meth_max[[#This Row],[Vergleich_lb]]</f>
        <v>2125.8735699999997</v>
      </c>
      <c r="H1037" s="11" t="str">
        <f ca="1">VLOOKUP(VLOOKUP(dict_DQ_Meth_max[[#This Row],[ID_DataQualities]],table_DataQualities[],3),table_Units[],2)</f>
        <v>Hz</v>
      </c>
      <c r="I1037" s="10"/>
      <c r="J1037" s="10"/>
      <c r="K1037" s="10"/>
      <c r="L1037" s="10">
        <f ca="1">VLOOKUP(dict_DQ_Meth_max[[#This Row],[ID_DataQualities]],table_DataQualities[],8,FALSE)</f>
        <v>0.79900000000000004</v>
      </c>
      <c r="M1037" s="10">
        <f ca="1">VLOOKUP(dict_DQ_Meth_max[[#This Row],[ID_DataQualities]],table_DataQualities[],9,FALSE)</f>
        <v>3729</v>
      </c>
    </row>
    <row r="1038" spans="1:13" x14ac:dyDescent="0.45">
      <c r="A1038" s="10">
        <v>277</v>
      </c>
      <c r="B1038" s="10">
        <v>469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142.07999999999998</v>
      </c>
      <c r="G1038" s="12">
        <f ca="1">(RANDBETWEEN(50,100)/100)*(dict_DQ_Meth_max[[#This Row],[Vergleich_ub]]-dict_DQ_Meth_max[[#This Row],[Vergleich_lb]])+dict_DQ_Meth_max[[#This Row],[Vergleich_lb]]</f>
        <v>3344.7400000000002</v>
      </c>
      <c r="H1038" s="11" t="str">
        <f ca="1">VLOOKUP(VLOOKUP(dict_DQ_Meth_max[[#This Row],[ID_DataQualities]],table_DataQualities[],3),table_Units[],2)</f>
        <v>bit</v>
      </c>
      <c r="I1038" s="10"/>
      <c r="J1038" s="10"/>
      <c r="K1038" s="10"/>
      <c r="L1038" s="10">
        <f ca="1">VLOOKUP(dict_DQ_Meth_max[[#This Row],[ID_DataQualities]],table_DataQualities[],8,FALSE)</f>
        <v>61</v>
      </c>
      <c r="M1038" s="10">
        <f ca="1">VLOOKUP(dict_DQ_Meth_max[[#This Row],[ID_DataQualities]],table_DataQualities[],9,FALSE)</f>
        <v>4115</v>
      </c>
    </row>
    <row r="1039" spans="1:13" x14ac:dyDescent="0.45">
      <c r="A1039" s="10">
        <v>277</v>
      </c>
      <c r="B1039" s="10">
        <v>175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1966.3799999999999</v>
      </c>
      <c r="G1039" s="12">
        <f ca="1">(RANDBETWEEN(50,100)/100)*(dict_DQ_Meth_max[[#This Row],[Vergleich_ub]]-dict_DQ_Meth_max[[#This Row],[Vergleich_lb]])+dict_DQ_Meth_max[[#This Row],[Vergleich_lb]]</f>
        <v>3587.98</v>
      </c>
      <c r="H1039" s="11" t="str">
        <f ca="1">VLOOKUP(VLOOKUP(dict_DQ_Meth_max[[#This Row],[ID_DataQualities]],table_DataQualities[],3),table_Units[],2)</f>
        <v>bit</v>
      </c>
      <c r="I1039" s="10"/>
      <c r="J1039" s="10"/>
      <c r="K1039" s="10"/>
      <c r="L1039" s="10">
        <f ca="1">VLOOKUP(dict_DQ_Meth_max[[#This Row],[ID_DataQualities]],table_DataQualities[],8,FALSE)</f>
        <v>61</v>
      </c>
      <c r="M1039" s="10">
        <f ca="1">VLOOKUP(dict_DQ_Meth_max[[#This Row],[ID_DataQualities]],table_DataQualities[],9,FALSE)</f>
        <v>4115</v>
      </c>
    </row>
    <row r="1040" spans="1:13" x14ac:dyDescent="0.45">
      <c r="A1040" s="10">
        <v>277</v>
      </c>
      <c r="B1040" s="10">
        <v>639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1115.04</v>
      </c>
      <c r="G1040" s="12">
        <f ca="1">(RANDBETWEEN(50,100)/100)*(dict_DQ_Meth_max[[#This Row],[Vergleich_ub]]-dict_DQ_Meth_max[[#This Row],[Vergleich_lb]])+dict_DQ_Meth_max[[#This Row],[Vergleich_lb]]</f>
        <v>2574.48</v>
      </c>
      <c r="H1040" s="11" t="str">
        <f ca="1">VLOOKUP(VLOOKUP(dict_DQ_Meth_max[[#This Row],[ID_DataQualities]],table_DataQualities[],3),table_Units[],2)</f>
        <v>bit</v>
      </c>
      <c r="I1040" s="10"/>
      <c r="J1040" s="10"/>
      <c r="K1040" s="10"/>
      <c r="L1040" s="10">
        <f ca="1">VLOOKUP(dict_DQ_Meth_max[[#This Row],[ID_DataQualities]],table_DataQualities[],8,FALSE)</f>
        <v>61</v>
      </c>
      <c r="M1040" s="10">
        <f ca="1">VLOOKUP(dict_DQ_Meth_max[[#This Row],[ID_DataQualities]],table_DataQualities[],9,FALSE)</f>
        <v>4115</v>
      </c>
    </row>
    <row r="1041" spans="1:13" x14ac:dyDescent="0.45">
      <c r="A1041" s="10">
        <v>277</v>
      </c>
      <c r="B1041" s="10">
        <v>346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1560.98</v>
      </c>
      <c r="G1041" s="12">
        <f ca="1">(RANDBETWEEN(50,100)/100)*(dict_DQ_Meth_max[[#This Row],[Vergleich_ub]]-dict_DQ_Meth_max[[#This Row],[Vergleich_lb]])+dict_DQ_Meth_max[[#This Row],[Vergleich_lb]]</f>
        <v>2898.7999999999997</v>
      </c>
      <c r="H1041" s="11" t="str">
        <f ca="1">VLOOKUP(VLOOKUP(dict_DQ_Meth_max[[#This Row],[ID_DataQualities]],table_DataQualities[],3),table_Units[],2)</f>
        <v>bit</v>
      </c>
      <c r="I1041" s="10"/>
      <c r="J1041" s="10"/>
      <c r="K1041" s="10"/>
      <c r="L1041" s="10">
        <f ca="1">VLOOKUP(dict_DQ_Meth_max[[#This Row],[ID_DataQualities]],table_DataQualities[],8,FALSE)</f>
        <v>61</v>
      </c>
      <c r="M1041" s="10">
        <f ca="1">VLOOKUP(dict_DQ_Meth_max[[#This Row],[ID_DataQualities]],table_DataQualities[],9,FALSE)</f>
        <v>4115</v>
      </c>
    </row>
    <row r="1042" spans="1:13" x14ac:dyDescent="0.45">
      <c r="A1042" s="10">
        <v>278</v>
      </c>
      <c r="B1042" s="10">
        <v>69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3803.2841000000003</v>
      </c>
      <c r="G1042" s="12">
        <f ca="1">(RANDBETWEEN(50,100)/100)*(dict_DQ_Meth_max[[#This Row],[Vergleich_ub]]-dict_DQ_Meth_max[[#This Row],[Vergleich_lb]])+dict_DQ_Meth_max[[#This Row],[Vergleich_lb]]</f>
        <v>5408.9623200000005</v>
      </c>
      <c r="H1042" s="11" t="str">
        <f ca="1">VLOOKUP(VLOOKUP(dict_DQ_Meth_max[[#This Row],[ID_DataQualities]],table_DataQualities[],3),table_Units[],2)</f>
        <v>Hz</v>
      </c>
      <c r="I1042" s="10"/>
      <c r="J1042" s="10"/>
      <c r="K1042" s="10"/>
      <c r="L1042" s="10">
        <f ca="1">VLOOKUP(dict_DQ_Meth_max[[#This Row],[ID_DataQualities]],table_DataQualities[],8,FALSE)</f>
        <v>0.36199999999999999</v>
      </c>
      <c r="M1042" s="10">
        <f ca="1">VLOOKUP(dict_DQ_Meth_max[[#This Row],[ID_DataQualities]],table_DataQualities[],9,FALSE)</f>
        <v>8451.2999999999993</v>
      </c>
    </row>
    <row r="1043" spans="1:13" x14ac:dyDescent="0.45">
      <c r="A1043" s="10">
        <v>278</v>
      </c>
      <c r="B1043" s="10">
        <v>688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3718.7747200000003</v>
      </c>
      <c r="G1043" s="12">
        <f ca="1">(RANDBETWEEN(50,100)/100)*(dict_DQ_Meth_max[[#This Row],[Vergleich_ub]]-dict_DQ_Meth_max[[#This Row],[Vergleich_lb]])+dict_DQ_Meth_max[[#This Row],[Vergleich_lb]]</f>
        <v>5070.9247999999998</v>
      </c>
      <c r="H1043" s="11" t="str">
        <f ca="1">VLOOKUP(VLOOKUP(dict_DQ_Meth_max[[#This Row],[ID_DataQualities]],table_DataQualities[],3),table_Units[],2)</f>
        <v>Hz</v>
      </c>
      <c r="I1043" s="10"/>
      <c r="J1043" s="10"/>
      <c r="K1043" s="10"/>
      <c r="L1043" s="10">
        <f ca="1">VLOOKUP(dict_DQ_Meth_max[[#This Row],[ID_DataQualities]],table_DataQualities[],8,FALSE)</f>
        <v>0.36199999999999999</v>
      </c>
      <c r="M1043" s="10">
        <f ca="1">VLOOKUP(dict_DQ_Meth_max[[#This Row],[ID_DataQualities]],table_DataQualities[],9,FALSE)</f>
        <v>8451.2999999999993</v>
      </c>
    </row>
    <row r="1044" spans="1:13" x14ac:dyDescent="0.45">
      <c r="A1044" s="10">
        <v>278</v>
      </c>
      <c r="B1044" s="10">
        <v>460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1775.05898</v>
      </c>
      <c r="G1044" s="12">
        <f ca="1">(RANDBETWEEN(50,100)/100)*(dict_DQ_Meth_max[[#This Row],[Vergleich_ub]]-dict_DQ_Meth_max[[#This Row],[Vergleich_lb]])+dict_DQ_Meth_max[[#This Row],[Vergleich_lb]]</f>
        <v>6423.0748800000001</v>
      </c>
      <c r="H1044" s="11" t="str">
        <f ca="1">VLOOKUP(VLOOKUP(dict_DQ_Meth_max[[#This Row],[ID_DataQualities]],table_DataQualities[],3),table_Units[],2)</f>
        <v>Hz</v>
      </c>
      <c r="I1044" s="10"/>
      <c r="J1044" s="10"/>
      <c r="K1044" s="10"/>
      <c r="L1044" s="10">
        <f ca="1">VLOOKUP(dict_DQ_Meth_max[[#This Row],[ID_DataQualities]],table_DataQualities[],8,FALSE)</f>
        <v>0.36199999999999999</v>
      </c>
      <c r="M1044" s="10">
        <f ca="1">VLOOKUP(dict_DQ_Meth_max[[#This Row],[ID_DataQualities]],table_DataQualities[],9,FALSE)</f>
        <v>8451.2999999999993</v>
      </c>
    </row>
    <row r="1045" spans="1:13" x14ac:dyDescent="0.45">
      <c r="A1045" s="10">
        <v>279</v>
      </c>
      <c r="B1045" s="10">
        <v>69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0.42510000000000003</v>
      </c>
      <c r="G1045" s="12">
        <f ca="1">(RANDBETWEEN(50,100)/100)*(dict_DQ_Meth_max[[#This Row],[Vergleich_ub]]-dict_DQ_Meth_max[[#This Row],[Vergleich_lb]])+dict_DQ_Meth_max[[#This Row],[Vergleich_lb]]</f>
        <v>2.1503000000000001</v>
      </c>
      <c r="H1045" s="11" t="str">
        <f ca="1">VLOOKUP(VLOOKUP(dict_DQ_Meth_max[[#This Row],[ID_DataQualities]],table_DataQualities[],3),table_Units[],2)</f>
        <v>+/- mm/s</v>
      </c>
      <c r="I1045" s="10"/>
      <c r="J1045" s="10"/>
      <c r="K1045" s="10"/>
      <c r="L1045" s="10">
        <f ca="1">VLOOKUP(dict_DQ_Meth_max[[#This Row],[ID_DataQualities]],table_DataQualities[],8,FALSE)</f>
        <v>0.13</v>
      </c>
      <c r="M1045" s="10">
        <f ca="1">VLOOKUP(dict_DQ_Meth_max[[#This Row],[ID_DataQualities]],table_DataQualities[],9,FALSE)</f>
        <v>2.4</v>
      </c>
    </row>
    <row r="1046" spans="1:13" x14ac:dyDescent="0.45">
      <c r="A1046" s="10">
        <v>279</v>
      </c>
      <c r="B1046" s="10">
        <v>460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0.56130000000000002</v>
      </c>
      <c r="G1046" s="12">
        <f ca="1">(RANDBETWEEN(50,100)/100)*(dict_DQ_Meth_max[[#This Row],[Vergleich_ub]]-dict_DQ_Meth_max[[#This Row],[Vergleich_lb]])+dict_DQ_Meth_max[[#This Row],[Vergleich_lb]]</f>
        <v>2.1503000000000001</v>
      </c>
      <c r="H1046" s="11" t="str">
        <f ca="1">VLOOKUP(VLOOKUP(dict_DQ_Meth_max[[#This Row],[ID_DataQualities]],table_DataQualities[],3),table_Units[],2)</f>
        <v>+/- mm/s</v>
      </c>
      <c r="I1046" s="10"/>
      <c r="J1046" s="10"/>
      <c r="K1046" s="10"/>
      <c r="L1046" s="10">
        <f ca="1">VLOOKUP(dict_DQ_Meth_max[[#This Row],[ID_DataQualities]],table_DataQualities[],8,FALSE)</f>
        <v>0.13</v>
      </c>
      <c r="M1046" s="10">
        <f ca="1">VLOOKUP(dict_DQ_Meth_max[[#This Row],[ID_DataQualities]],table_DataQualities[],9,FALSE)</f>
        <v>2.4</v>
      </c>
    </row>
    <row r="1047" spans="1:13" x14ac:dyDescent="0.45">
      <c r="A1047" s="10">
        <v>279</v>
      </c>
      <c r="B1047" s="10">
        <v>688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1.2195999999999998</v>
      </c>
      <c r="G1047" s="12">
        <f ca="1">(RANDBETWEEN(50,100)/100)*(dict_DQ_Meth_max[[#This Row],[Vergleich_ub]]-dict_DQ_Meth_max[[#This Row],[Vergleich_lb]])+dict_DQ_Meth_max[[#This Row],[Vergleich_lb]]</f>
        <v>2.1276000000000002</v>
      </c>
      <c r="H1047" s="11" t="str">
        <f ca="1">VLOOKUP(VLOOKUP(dict_DQ_Meth_max[[#This Row],[ID_DataQualities]],table_DataQualities[],3),table_Units[],2)</f>
        <v>+/- mm/s</v>
      </c>
      <c r="I1047" s="10"/>
      <c r="J1047" s="10"/>
      <c r="K1047" s="10"/>
      <c r="L1047" s="10">
        <f ca="1">VLOOKUP(dict_DQ_Meth_max[[#This Row],[ID_DataQualities]],table_DataQualities[],8,FALSE)</f>
        <v>0.13</v>
      </c>
      <c r="M1047" s="10">
        <f ca="1">VLOOKUP(dict_DQ_Meth_max[[#This Row],[ID_DataQualities]],table_DataQualities[],9,FALSE)</f>
        <v>2.4</v>
      </c>
    </row>
    <row r="1048" spans="1:13" x14ac:dyDescent="0.45">
      <c r="A1048" s="10">
        <v>280</v>
      </c>
      <c r="B1048" s="10">
        <v>389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2419.3024800000003</v>
      </c>
      <c r="G1048" s="12">
        <f ca="1">(RANDBETWEEN(50,100)/100)*(dict_DQ_Meth_max[[#This Row],[Vergleich_ub]]-dict_DQ_Meth_max[[#This Row],[Vergleich_lb]])+dict_DQ_Meth_max[[#This Row],[Vergleich_lb]]</f>
        <v>8279.1517199999998</v>
      </c>
      <c r="H1048" s="11" t="str">
        <f ca="1">VLOOKUP(VLOOKUP(dict_DQ_Meth_max[[#This Row],[ID_DataQualities]],table_DataQualities[],3),table_Units[],2)</f>
        <v>Hz</v>
      </c>
      <c r="I1048" s="10"/>
      <c r="J1048" s="10"/>
      <c r="K1048" s="10"/>
      <c r="L1048" s="10">
        <f ca="1">VLOOKUP(dict_DQ_Meth_max[[#This Row],[ID_DataQualities]],table_DataQualities[],8,FALSE)</f>
        <v>0.95199999999999996</v>
      </c>
      <c r="M1048" s="10">
        <f ca="1">VLOOKUP(dict_DQ_Meth_max[[#This Row],[ID_DataQualities]],table_DataQualities[],9,FALSE)</f>
        <v>9302.2999999999993</v>
      </c>
    </row>
    <row r="1049" spans="1:13" x14ac:dyDescent="0.45">
      <c r="A1049" s="10">
        <v>280</v>
      </c>
      <c r="B1049" s="10">
        <v>297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2605.3294400000004</v>
      </c>
      <c r="G1049" s="12">
        <f ca="1">(RANDBETWEEN(50,100)/100)*(dict_DQ_Meth_max[[#This Row],[Vergleich_ub]]-dict_DQ_Meth_max[[#This Row],[Vergleich_lb]])+dict_DQ_Meth_max[[#This Row],[Vergleich_lb]]</f>
        <v>6418.8821199999993</v>
      </c>
      <c r="H1049" s="11" t="str">
        <f ca="1">VLOOKUP(VLOOKUP(dict_DQ_Meth_max[[#This Row],[ID_DataQualities]],table_DataQualities[],3),table_Units[],2)</f>
        <v>Hz</v>
      </c>
      <c r="I1049" s="10"/>
      <c r="J1049" s="10"/>
      <c r="K1049" s="10"/>
      <c r="L1049" s="10">
        <f ca="1">VLOOKUP(dict_DQ_Meth_max[[#This Row],[ID_DataQualities]],table_DataQualities[],8,FALSE)</f>
        <v>0.95199999999999996</v>
      </c>
      <c r="M1049" s="10">
        <f ca="1">VLOOKUP(dict_DQ_Meth_max[[#This Row],[ID_DataQualities]],table_DataQualities[],9,FALSE)</f>
        <v>9302.2999999999993</v>
      </c>
    </row>
    <row r="1050" spans="1:13" x14ac:dyDescent="0.45">
      <c r="A1050" s="10">
        <v>280</v>
      </c>
      <c r="B1050" s="10">
        <v>551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1954.2350799999999</v>
      </c>
      <c r="G1050" s="12">
        <f ca="1">(RANDBETWEEN(50,100)/100)*(dict_DQ_Meth_max[[#This Row],[Vergleich_ub]]-dict_DQ_Meth_max[[#This Row],[Vergleich_lb]])+dict_DQ_Meth_max[[#This Row],[Vergleich_lb]]</f>
        <v>9023.2595599999986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0.95199999999999996</v>
      </c>
      <c r="M1050" s="10">
        <f ca="1">VLOOKUP(dict_DQ_Meth_max[[#This Row],[ID_DataQualities]],table_DataQualities[],9,FALSE)</f>
        <v>9302.2999999999993</v>
      </c>
    </row>
    <row r="1051" spans="1:13" x14ac:dyDescent="0.45">
      <c r="A1051" s="10">
        <v>280</v>
      </c>
      <c r="B1051" s="10">
        <v>606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4651.6260000000002</v>
      </c>
      <c r="G1051" s="12">
        <f ca="1">(RANDBETWEEN(50,100)/100)*(dict_DQ_Meth_max[[#This Row],[Vergleich_ub]]-dict_DQ_Meth_max[[#This Row],[Vergleich_lb]])+dict_DQ_Meth_max[[#This Row],[Vergleich_lb]]</f>
        <v>4930.6664400000009</v>
      </c>
      <c r="H1051" s="11" t="str">
        <f ca="1">VLOOKUP(VLOOKUP(dict_DQ_Meth_max[[#This Row],[ID_DataQualities]],table_DataQualities[],3),table_Units[],2)</f>
        <v>Hz</v>
      </c>
      <c r="I1051" s="10"/>
      <c r="J1051" s="10"/>
      <c r="K1051" s="10"/>
      <c r="L1051" s="10">
        <f ca="1">VLOOKUP(dict_DQ_Meth_max[[#This Row],[ID_DataQualities]],table_DataQualities[],8,FALSE)</f>
        <v>0.95199999999999996</v>
      </c>
      <c r="M1051" s="10">
        <f ca="1">VLOOKUP(dict_DQ_Meth_max[[#This Row],[ID_DataQualities]],table_DataQualities[],9,FALSE)</f>
        <v>9302.2999999999993</v>
      </c>
    </row>
    <row r="1052" spans="1:13" x14ac:dyDescent="0.45">
      <c r="A1052" s="10">
        <v>281</v>
      </c>
      <c r="B1052" s="10">
        <v>389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1.07582</v>
      </c>
      <c r="G1052" s="12">
        <f ca="1">(RANDBETWEEN(50,100)/100)*(dict_DQ_Meth_max[[#This Row],[Vergleich_ub]]-dict_DQ_Meth_max[[#This Row],[Vergleich_lb]])+dict_DQ_Meth_max[[#This Row],[Vergleich_lb]]</f>
        <v>3.6130400000000003</v>
      </c>
      <c r="H1052" s="11" t="str">
        <f ca="1">VLOOKUP(VLOOKUP(dict_DQ_Meth_max[[#This Row],[ID_DataQualities]],table_DataQualities[],3),table_Units[],2)</f>
        <v>+/- mm</v>
      </c>
      <c r="I1052" s="10"/>
      <c r="J1052" s="10"/>
      <c r="K1052" s="10"/>
      <c r="L1052" s="10">
        <f ca="1">VLOOKUP(dict_DQ_Meth_max[[#This Row],[ID_DataQualities]],table_DataQualities[],8,FALSE)</f>
        <v>9.1999999999999998E-2</v>
      </c>
      <c r="M1052" s="10">
        <f ca="1">VLOOKUP(dict_DQ_Meth_max[[#This Row],[ID_DataQualities]],table_DataQualities[],9,FALSE)</f>
        <v>5.27</v>
      </c>
    </row>
    <row r="1053" spans="1:13" x14ac:dyDescent="0.45">
      <c r="A1053" s="10">
        <v>281</v>
      </c>
      <c r="B1053" s="10">
        <v>297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2.1114200000000003</v>
      </c>
      <c r="G1053" s="12">
        <f ca="1">(RANDBETWEEN(50,100)/100)*(dict_DQ_Meth_max[[#This Row],[Vergleich_ub]]-dict_DQ_Meth_max[[#This Row],[Vergleich_lb]])+dict_DQ_Meth_max[[#This Row],[Vergleich_lb]]</f>
        <v>3.0434599999999996</v>
      </c>
      <c r="H1053" s="11" t="str">
        <f ca="1">VLOOKUP(VLOOKUP(dict_DQ_Meth_max[[#This Row],[ID_DataQualities]],table_DataQualities[],3),table_Units[],2)</f>
        <v>+/- mm</v>
      </c>
      <c r="I1053" s="10"/>
      <c r="J1053" s="10"/>
      <c r="K1053" s="10"/>
      <c r="L1053" s="10">
        <f ca="1">VLOOKUP(dict_DQ_Meth_max[[#This Row],[ID_DataQualities]],table_DataQualities[],8,FALSE)</f>
        <v>9.1999999999999998E-2</v>
      </c>
      <c r="M1053" s="10">
        <f ca="1">VLOOKUP(dict_DQ_Meth_max[[#This Row],[ID_DataQualities]],table_DataQualities[],9,FALSE)</f>
        <v>5.27</v>
      </c>
    </row>
    <row r="1054" spans="1:13" x14ac:dyDescent="0.45">
      <c r="A1054" s="10">
        <v>281</v>
      </c>
      <c r="B1054" s="10">
        <v>551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0.29912</v>
      </c>
      <c r="G1054" s="12">
        <f ca="1">(RANDBETWEEN(50,100)/100)*(dict_DQ_Meth_max[[#This Row],[Vergleich_ub]]-dict_DQ_Meth_max[[#This Row],[Vergleich_lb]])+dict_DQ_Meth_max[[#This Row],[Vergleich_lb]]</f>
        <v>2.7845599999999999</v>
      </c>
      <c r="H1054" s="11" t="str">
        <f ca="1">VLOOKUP(VLOOKUP(dict_DQ_Meth_max[[#This Row],[ID_DataQualities]],table_DataQualities[],3),table_Units[],2)</f>
        <v>+/- mm</v>
      </c>
      <c r="I1054" s="10"/>
      <c r="J1054" s="10"/>
      <c r="K1054" s="10"/>
      <c r="L1054" s="10">
        <f ca="1">VLOOKUP(dict_DQ_Meth_max[[#This Row],[ID_DataQualities]],table_DataQualities[],8,FALSE)</f>
        <v>9.1999999999999998E-2</v>
      </c>
      <c r="M1054" s="10">
        <f ca="1">VLOOKUP(dict_DQ_Meth_max[[#This Row],[ID_DataQualities]],table_DataQualities[],9,FALSE)</f>
        <v>5.27</v>
      </c>
    </row>
    <row r="1055" spans="1:13" x14ac:dyDescent="0.45">
      <c r="A1055" s="10">
        <v>281</v>
      </c>
      <c r="B1055" s="10">
        <v>606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2.4220999999999999</v>
      </c>
      <c r="G1055" s="12">
        <f ca="1">(RANDBETWEEN(50,100)/100)*(dict_DQ_Meth_max[[#This Row],[Vergleich_ub]]-dict_DQ_Meth_max[[#This Row],[Vergleich_lb]])+dict_DQ_Meth_max[[#This Row],[Vergleich_lb]]</f>
        <v>4.8557600000000001</v>
      </c>
      <c r="H1055" s="11" t="str">
        <f ca="1">VLOOKUP(VLOOKUP(dict_DQ_Meth_max[[#This Row],[ID_DataQualities]],table_DataQualities[],3),table_Units[],2)</f>
        <v>+/- mm</v>
      </c>
      <c r="I1055" s="10"/>
      <c r="J1055" s="10"/>
      <c r="K1055" s="10"/>
      <c r="L1055" s="10">
        <f ca="1">VLOOKUP(dict_DQ_Meth_max[[#This Row],[ID_DataQualities]],table_DataQualities[],8,FALSE)</f>
        <v>9.1999999999999998E-2</v>
      </c>
      <c r="M1055" s="10">
        <f ca="1">VLOOKUP(dict_DQ_Meth_max[[#This Row],[ID_DataQualities]],table_DataQualities[],9,FALSE)</f>
        <v>5.27</v>
      </c>
    </row>
    <row r="1056" spans="1:13" x14ac:dyDescent="0.45">
      <c r="A1056" s="10">
        <v>282</v>
      </c>
      <c r="B1056" s="10">
        <v>399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244.52136000000002</v>
      </c>
      <c r="G1056" s="12">
        <f ca="1">(RANDBETWEEN(50,100)/100)*(dict_DQ_Meth_max[[#This Row],[Vergleich_ub]]-dict_DQ_Meth_max[[#This Row],[Vergleich_lb]])+dict_DQ_Meth_max[[#This Row],[Vergleich_lb]]</f>
        <v>6838.822079999999</v>
      </c>
      <c r="H1056" s="11" t="str">
        <f ca="1">VLOOKUP(VLOOKUP(dict_DQ_Meth_max[[#This Row],[ID_DataQualities]],table_DataQualities[],3),table_Units[],2)</f>
        <v>Hz</v>
      </c>
      <c r="I1056" s="10"/>
      <c r="J1056" s="10"/>
      <c r="K1056" s="10"/>
      <c r="L1056" s="10">
        <f ca="1">VLOOKUP(dict_DQ_Meth_max[[#This Row],[ID_DataQualities]],table_DataQualities[],8,FALSE)</f>
        <v>0.28799999999999998</v>
      </c>
      <c r="M1056" s="10">
        <f ca="1">VLOOKUP(dict_DQ_Meth_max[[#This Row],[ID_DataQualities]],table_DataQualities[],9,FALSE)</f>
        <v>8141.4</v>
      </c>
    </row>
    <row r="1057" spans="1:13" x14ac:dyDescent="0.45">
      <c r="A1057" s="10">
        <v>282</v>
      </c>
      <c r="B1057" s="10">
        <v>570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2849.6772000000001</v>
      </c>
      <c r="G1057" s="12">
        <f ca="1">(RANDBETWEEN(50,100)/100)*(dict_DQ_Meth_max[[#This Row],[Vergleich_ub]]-dict_DQ_Meth_max[[#This Row],[Vergleich_lb]])+dict_DQ_Meth_max[[#This Row],[Vergleich_lb]]</f>
        <v>4070.8440000000001</v>
      </c>
      <c r="H1057" s="11" t="str">
        <f ca="1">VLOOKUP(VLOOKUP(dict_DQ_Meth_max[[#This Row],[ID_DataQualities]],table_DataQualities[],3),table_Units[],2)</f>
        <v>Hz</v>
      </c>
      <c r="I1057" s="10"/>
      <c r="J1057" s="10"/>
      <c r="K1057" s="10"/>
      <c r="L1057" s="10">
        <f ca="1">VLOOKUP(dict_DQ_Meth_max[[#This Row],[ID_DataQualities]],table_DataQualities[],8,FALSE)</f>
        <v>0.28799999999999998</v>
      </c>
      <c r="M1057" s="10">
        <f ca="1">VLOOKUP(dict_DQ_Meth_max[[#This Row],[ID_DataQualities]],table_DataQualities[],9,FALSE)</f>
        <v>8141.4</v>
      </c>
    </row>
    <row r="1058" spans="1:13" x14ac:dyDescent="0.45">
      <c r="A1058" s="10">
        <v>282</v>
      </c>
      <c r="B1058" s="10">
        <v>38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2361.2104799999997</v>
      </c>
      <c r="G1058" s="12">
        <f ca="1">(RANDBETWEEN(50,100)/100)*(dict_DQ_Meth_max[[#This Row],[Vergleich_ub]]-dict_DQ_Meth_max[[#This Row],[Vergleich_lb]])+dict_DQ_Meth_max[[#This Row],[Vergleich_lb]]</f>
        <v>7978.5777599999992</v>
      </c>
      <c r="H1058" s="11" t="str">
        <f ca="1">VLOOKUP(VLOOKUP(dict_DQ_Meth_max[[#This Row],[ID_DataQualities]],table_DataQualities[],3),table_Units[],2)</f>
        <v>Hz</v>
      </c>
      <c r="I1058" s="10"/>
      <c r="J1058" s="10"/>
      <c r="K1058" s="10"/>
      <c r="L1058" s="10">
        <f ca="1">VLOOKUP(dict_DQ_Meth_max[[#This Row],[ID_DataQualities]],table_DataQualities[],8,FALSE)</f>
        <v>0.28799999999999998</v>
      </c>
      <c r="M1058" s="10">
        <f ca="1">VLOOKUP(dict_DQ_Meth_max[[#This Row],[ID_DataQualities]],table_DataQualities[],9,FALSE)</f>
        <v>8141.4</v>
      </c>
    </row>
    <row r="1059" spans="1:13" x14ac:dyDescent="0.45">
      <c r="A1059" s="10">
        <v>282</v>
      </c>
      <c r="B1059" s="10">
        <v>435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325.93248</v>
      </c>
      <c r="G1059" s="12">
        <f ca="1">(RANDBETWEEN(50,100)/100)*(dict_DQ_Meth_max[[#This Row],[Vergleich_ub]]-dict_DQ_Meth_max[[#This Row],[Vergleich_lb]])+dict_DQ_Meth_max[[#This Row],[Vergleich_lb]]</f>
        <v>4315.0773600000002</v>
      </c>
      <c r="H1059" s="11" t="str">
        <f ca="1">VLOOKUP(VLOOKUP(dict_DQ_Meth_max[[#This Row],[ID_DataQualities]],table_DataQualities[],3),table_Units[],2)</f>
        <v>Hz</v>
      </c>
      <c r="I1059" s="10"/>
      <c r="J1059" s="10"/>
      <c r="K1059" s="10"/>
      <c r="L1059" s="10">
        <f ca="1">VLOOKUP(dict_DQ_Meth_max[[#This Row],[ID_DataQualities]],table_DataQualities[],8,FALSE)</f>
        <v>0.28799999999999998</v>
      </c>
      <c r="M1059" s="10">
        <f ca="1">VLOOKUP(dict_DQ_Meth_max[[#This Row],[ID_DataQualities]],table_DataQualities[],9,FALSE)</f>
        <v>8141.4</v>
      </c>
    </row>
    <row r="1060" spans="1:13" x14ac:dyDescent="0.45">
      <c r="A1060" s="10">
        <v>283</v>
      </c>
      <c r="B1060" s="10">
        <v>399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1.08592</v>
      </c>
      <c r="G1060" s="12">
        <f ca="1">(RANDBETWEEN(50,100)/100)*(dict_DQ_Meth_max[[#This Row],[Vergleich_ub]]-dict_DQ_Meth_max[[#This Row],[Vergleich_lb]])+dict_DQ_Meth_max[[#This Row],[Vergleich_lb]]</f>
        <v>6.70648</v>
      </c>
      <c r="H1060" s="11" t="str">
        <f ca="1">VLOOKUP(VLOOKUP(dict_DQ_Meth_max[[#This Row],[ID_DataQualities]],table_DataQualities[],3),table_Units[],2)</f>
        <v>+/- mm</v>
      </c>
      <c r="I1060" s="10"/>
      <c r="J1060" s="10"/>
      <c r="K1060" s="10"/>
      <c r="L1060" s="10">
        <f ca="1">VLOOKUP(dict_DQ_Meth_max[[#This Row],[ID_DataQualities]],table_DataQualities[],8,FALSE)</f>
        <v>6.4000000000000001E-2</v>
      </c>
      <c r="M1060" s="10">
        <f ca="1">VLOOKUP(dict_DQ_Meth_max[[#This Row],[ID_DataQualities]],table_DataQualities[],9,FALSE)</f>
        <v>8.58</v>
      </c>
    </row>
    <row r="1061" spans="1:13" x14ac:dyDescent="0.45">
      <c r="A1061" s="10">
        <v>283</v>
      </c>
      <c r="B1061" s="10">
        <v>38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2.3633200000000003</v>
      </c>
      <c r="G1061" s="12">
        <f ca="1">(RANDBETWEEN(50,100)/100)*(dict_DQ_Meth_max[[#This Row],[Vergleich_ub]]-dict_DQ_Meth_max[[#This Row],[Vergleich_lb]])+dict_DQ_Meth_max[[#This Row],[Vergleich_lb]]</f>
        <v>5.7697200000000004</v>
      </c>
      <c r="H1061" s="11" t="str">
        <f ca="1">VLOOKUP(VLOOKUP(dict_DQ_Meth_max[[#This Row],[ID_DataQualities]],table_DataQualities[],3),table_Units[],2)</f>
        <v>+/- mm</v>
      </c>
      <c r="I1061" s="10"/>
      <c r="J1061" s="10"/>
      <c r="K1061" s="10"/>
      <c r="L1061" s="10">
        <f ca="1">VLOOKUP(dict_DQ_Meth_max[[#This Row],[ID_DataQualities]],table_DataQualities[],8,FALSE)</f>
        <v>6.4000000000000001E-2</v>
      </c>
      <c r="M1061" s="10">
        <f ca="1">VLOOKUP(dict_DQ_Meth_max[[#This Row],[ID_DataQualities]],table_DataQualities[],9,FALSE)</f>
        <v>8.58</v>
      </c>
    </row>
    <row r="1062" spans="1:13" x14ac:dyDescent="0.45">
      <c r="A1062" s="10">
        <v>283</v>
      </c>
      <c r="B1062" s="10">
        <v>570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1.2562400000000002</v>
      </c>
      <c r="G1062" s="12">
        <f ca="1">(RANDBETWEEN(50,100)/100)*(dict_DQ_Meth_max[[#This Row],[Vergleich_ub]]-dict_DQ_Meth_max[[#This Row],[Vergleich_lb]])+dict_DQ_Meth_max[[#This Row],[Vergleich_lb]]</f>
        <v>5.1735999999999995</v>
      </c>
      <c r="H1062" s="11" t="str">
        <f ca="1">VLOOKUP(VLOOKUP(dict_DQ_Meth_max[[#This Row],[ID_DataQualities]],table_DataQualities[],3),table_Units[],2)</f>
        <v>+/- mm</v>
      </c>
      <c r="I1062" s="10"/>
      <c r="J1062" s="10"/>
      <c r="K1062" s="10"/>
      <c r="L1062" s="10">
        <f ca="1">VLOOKUP(dict_DQ_Meth_max[[#This Row],[ID_DataQualities]],table_DataQualities[],8,FALSE)</f>
        <v>6.4000000000000001E-2</v>
      </c>
      <c r="M1062" s="10">
        <f ca="1">VLOOKUP(dict_DQ_Meth_max[[#This Row],[ID_DataQualities]],table_DataQualities[],9,FALSE)</f>
        <v>8.58</v>
      </c>
    </row>
    <row r="1063" spans="1:13" x14ac:dyDescent="0.45">
      <c r="A1063" s="10">
        <v>283</v>
      </c>
      <c r="B1063" s="10">
        <v>435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3.0446</v>
      </c>
      <c r="G1063" s="12">
        <f ca="1">(RANDBETWEEN(50,100)/100)*(dict_DQ_Meth_max[[#This Row],[Vergleich_ub]]-dict_DQ_Meth_max[[#This Row],[Vergleich_lb]])+dict_DQ_Meth_max[[#This Row],[Vergleich_lb]]</f>
        <v>4.5774800000000004</v>
      </c>
      <c r="H1063" s="11" t="str">
        <f ca="1">VLOOKUP(VLOOKUP(dict_DQ_Meth_max[[#This Row],[ID_DataQualities]],table_DataQualities[],3),table_Units[],2)</f>
        <v>+/- mm</v>
      </c>
      <c r="I1063" s="10"/>
      <c r="J1063" s="10"/>
      <c r="K1063" s="10"/>
      <c r="L1063" s="10">
        <f ca="1">VLOOKUP(dict_DQ_Meth_max[[#This Row],[ID_DataQualities]],table_DataQualities[],8,FALSE)</f>
        <v>6.4000000000000001E-2</v>
      </c>
      <c r="M1063" s="10">
        <f ca="1">VLOOKUP(dict_DQ_Meth_max[[#This Row],[ID_DataQualities]],table_DataQualities[],9,FALSE)</f>
        <v>8.58</v>
      </c>
    </row>
    <row r="1064" spans="1:13" x14ac:dyDescent="0.45">
      <c r="A1064" s="10">
        <v>284</v>
      </c>
      <c r="B1064" s="10">
        <v>575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68.086559999999992</v>
      </c>
      <c r="G1064" s="12">
        <f ca="1">(RANDBETWEEN(50,100)/100)*(dict_DQ_Meth_max[[#This Row],[Vergleich_ub]]-dict_DQ_Meth_max[[#This Row],[Vergleich_lb]])+dict_DQ_Meth_max[[#This Row],[Vergleich_lb]]</f>
        <v>324.29631999999998</v>
      </c>
      <c r="H1064" s="11" t="str">
        <f ca="1">VLOOKUP(VLOOKUP(dict_DQ_Meth_max[[#This Row],[ID_DataQualities]],table_DataQualities[],3),table_Units[],2)</f>
        <v>Hz</v>
      </c>
      <c r="I1064" s="10"/>
      <c r="J1064" s="10"/>
      <c r="K1064" s="10"/>
      <c r="L1064" s="10">
        <f ca="1">VLOOKUP(dict_DQ_Meth_max[[#This Row],[ID_DataQualities]],table_DataQualities[],8,FALSE)</f>
        <v>0.88400000000000001</v>
      </c>
      <c r="M1064" s="10">
        <f ca="1">VLOOKUP(dict_DQ_Meth_max[[#This Row],[ID_DataQualities]],table_DataQualities[],9,FALSE)</f>
        <v>420.9</v>
      </c>
    </row>
    <row r="1065" spans="1:13" x14ac:dyDescent="0.45">
      <c r="A1065" s="10">
        <v>284</v>
      </c>
      <c r="B1065" s="10">
        <v>160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152.08975999999996</v>
      </c>
      <c r="G1065" s="12">
        <f ca="1">(RANDBETWEEN(50,100)/100)*(dict_DQ_Meth_max[[#This Row],[Vergleich_ub]]-dict_DQ_Meth_max[[#This Row],[Vergleich_lb]])+dict_DQ_Meth_max[[#This Row],[Vergleich_lb]]</f>
        <v>299.09535999999997</v>
      </c>
      <c r="H1065" s="11" t="str">
        <f ca="1">VLOOKUP(VLOOKUP(dict_DQ_Meth_max[[#This Row],[ID_DataQualities]],table_DataQualities[],3),table_Units[],2)</f>
        <v>Hz</v>
      </c>
      <c r="I1065" s="10"/>
      <c r="J1065" s="10"/>
      <c r="K1065" s="10"/>
      <c r="L1065" s="10">
        <f ca="1">VLOOKUP(dict_DQ_Meth_max[[#This Row],[ID_DataQualities]],table_DataQualities[],8,FALSE)</f>
        <v>0.88400000000000001</v>
      </c>
      <c r="M1065" s="10">
        <f ca="1">VLOOKUP(dict_DQ_Meth_max[[#This Row],[ID_DataQualities]],table_DataQualities[],9,FALSE)</f>
        <v>420.9</v>
      </c>
    </row>
    <row r="1066" spans="1:13" x14ac:dyDescent="0.45">
      <c r="A1066" s="10">
        <v>284</v>
      </c>
      <c r="B1066" s="10">
        <v>45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51.285919999999997</v>
      </c>
      <c r="G1066" s="12">
        <f ca="1">(RANDBETWEEN(50,100)/100)*(dict_DQ_Meth_max[[#This Row],[Vergleich_ub]]-dict_DQ_Meth_max[[#This Row],[Vergleich_lb]])+dict_DQ_Meth_max[[#This Row],[Vergleich_lb]]</f>
        <v>299.09535999999997</v>
      </c>
      <c r="H1066" s="11" t="str">
        <f ca="1">VLOOKUP(VLOOKUP(dict_DQ_Meth_max[[#This Row],[ID_DataQualities]],table_DataQualities[],3),table_Units[],2)</f>
        <v>Hz</v>
      </c>
      <c r="I1066" s="10"/>
      <c r="J1066" s="10"/>
      <c r="K1066" s="10"/>
      <c r="L1066" s="10">
        <f ca="1">VLOOKUP(dict_DQ_Meth_max[[#This Row],[ID_DataQualities]],table_DataQualities[],8,FALSE)</f>
        <v>0.88400000000000001</v>
      </c>
      <c r="M1066" s="10">
        <f ca="1">VLOOKUP(dict_DQ_Meth_max[[#This Row],[ID_DataQualities]],table_DataQualities[],9,FALSE)</f>
        <v>420.9</v>
      </c>
    </row>
    <row r="1067" spans="1:13" x14ac:dyDescent="0.45">
      <c r="A1067" s="10">
        <v>285</v>
      </c>
      <c r="B1067" s="10">
        <v>575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1.1777199999999999</v>
      </c>
      <c r="G1067" s="12">
        <f ca="1">(RANDBETWEEN(50,100)/100)*(dict_DQ_Meth_max[[#This Row],[Vergleich_ub]]-dict_DQ_Meth_max[[#This Row],[Vergleich_lb]])+dict_DQ_Meth_max[[#This Row],[Vergleich_lb]]</f>
        <v>2.6985399999999999</v>
      </c>
      <c r="H1067" s="11" t="str">
        <f ca="1">VLOOKUP(VLOOKUP(dict_DQ_Meth_max[[#This Row],[ID_DataQualities]],table_DataQualities[],3),table_Units[],2)</f>
        <v>+/- mm</v>
      </c>
      <c r="I1067" s="10"/>
      <c r="J1067" s="10"/>
      <c r="K1067" s="10"/>
      <c r="L1067" s="10">
        <f ca="1">VLOOKUP(dict_DQ_Meth_max[[#This Row],[ID_DataQualities]],table_DataQualities[],8,FALSE)</f>
        <v>1.9E-2</v>
      </c>
      <c r="M1067" s="10">
        <f ca="1">VLOOKUP(dict_DQ_Meth_max[[#This Row],[ID_DataQualities]],table_DataQualities[],9,FALSE)</f>
        <v>3.64</v>
      </c>
    </row>
    <row r="1068" spans="1:13" x14ac:dyDescent="0.45">
      <c r="A1068" s="10">
        <v>285</v>
      </c>
      <c r="B1068" s="10">
        <v>45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0.41731000000000001</v>
      </c>
      <c r="G1068" s="12">
        <f ca="1">(RANDBETWEEN(50,100)/100)*(dict_DQ_Meth_max[[#This Row],[Vergleich_ub]]-dict_DQ_Meth_max[[#This Row],[Vergleich_lb]])+dict_DQ_Meth_max[[#This Row],[Vergleich_lb]]</f>
        <v>2.9158000000000004</v>
      </c>
      <c r="H1068" s="11" t="str">
        <f ca="1">VLOOKUP(VLOOKUP(dict_DQ_Meth_max[[#This Row],[ID_DataQualities]],table_DataQualities[],3),table_Units[],2)</f>
        <v>+/- mm</v>
      </c>
      <c r="I1068" s="10"/>
      <c r="J1068" s="10"/>
      <c r="K1068" s="10"/>
      <c r="L1068" s="10">
        <f ca="1">VLOOKUP(dict_DQ_Meth_max[[#This Row],[ID_DataQualities]],table_DataQualities[],8,FALSE)</f>
        <v>1.9E-2</v>
      </c>
      <c r="M1068" s="10">
        <f ca="1">VLOOKUP(dict_DQ_Meth_max[[#This Row],[ID_DataQualities]],table_DataQualities[],9,FALSE)</f>
        <v>3.64</v>
      </c>
    </row>
    <row r="1069" spans="1:13" x14ac:dyDescent="0.45">
      <c r="A1069" s="10">
        <v>285</v>
      </c>
      <c r="B1069" s="10">
        <v>160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0.92425000000000002</v>
      </c>
      <c r="G1069" s="12">
        <f ca="1">(RANDBETWEEN(50,100)/100)*(dict_DQ_Meth_max[[#This Row],[Vergleich_ub]]-dict_DQ_Meth_max[[#This Row],[Vergleich_lb]])+dict_DQ_Meth_max[[#This Row],[Vergleich_lb]]</f>
        <v>2.4088600000000002</v>
      </c>
      <c r="H1069" s="11" t="str">
        <f ca="1">VLOOKUP(VLOOKUP(dict_DQ_Meth_max[[#This Row],[ID_DataQualities]],table_DataQualities[],3),table_Units[],2)</f>
        <v>+/- mm</v>
      </c>
      <c r="I1069" s="10"/>
      <c r="J1069" s="10"/>
      <c r="K1069" s="10"/>
      <c r="L1069" s="10">
        <f ca="1">VLOOKUP(dict_DQ_Meth_max[[#This Row],[ID_DataQualities]],table_DataQualities[],8,FALSE)</f>
        <v>1.9E-2</v>
      </c>
      <c r="M1069" s="10">
        <f ca="1">VLOOKUP(dict_DQ_Meth_max[[#This Row],[ID_DataQualities]],table_DataQualities[],9,FALSE)</f>
        <v>3.64</v>
      </c>
    </row>
    <row r="1070" spans="1:13" x14ac:dyDescent="0.45">
      <c r="A1070" s="10">
        <v>286</v>
      </c>
      <c r="B1070" s="10">
        <v>505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100.4027</v>
      </c>
      <c r="G1070" s="12">
        <f ca="1">(RANDBETWEEN(50,100)/100)*(dict_DQ_Meth_max[[#This Row],[Vergleich_ub]]-dict_DQ_Meth_max[[#This Row],[Vergleich_lb]])+dict_DQ_Meth_max[[#This Row],[Vergleich_lb]]</f>
        <v>1002.3169999999999</v>
      </c>
      <c r="H1070" s="11" t="str">
        <f ca="1">VLOOKUP(VLOOKUP(dict_DQ_Meth_max[[#This Row],[ID_DataQualities]],table_DataQualities[],3),table_Units[],2)</f>
        <v>Hz</v>
      </c>
      <c r="I1070" s="10"/>
      <c r="J1070" s="10"/>
      <c r="K1070" s="10"/>
      <c r="L1070" s="10">
        <f ca="1">VLOOKUP(dict_DQ_Meth_max[[#This Row],[ID_DataQualities]],table_DataQualities[],8,FALSE)</f>
        <v>0.19</v>
      </c>
      <c r="M1070" s="10">
        <f ca="1">VLOOKUP(dict_DQ_Meth_max[[#This Row],[ID_DataQualities]],table_DataQualities[],9,FALSE)</f>
        <v>1431.8</v>
      </c>
    </row>
    <row r="1071" spans="1:13" x14ac:dyDescent="0.45">
      <c r="A1071" s="10">
        <v>286</v>
      </c>
      <c r="B1071" s="10">
        <v>298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229.24759999999998</v>
      </c>
      <c r="G1071" s="12">
        <f ca="1">(RANDBETWEEN(50,100)/100)*(dict_DQ_Meth_max[[#This Row],[Vergleich_ub]]-dict_DQ_Meth_max[[#This Row],[Vergleich_lb]])+dict_DQ_Meth_max[[#This Row],[Vergleich_lb]]</f>
        <v>1360.2194999999999</v>
      </c>
      <c r="H1071" s="11" t="str">
        <f ca="1">VLOOKUP(VLOOKUP(dict_DQ_Meth_max[[#This Row],[ID_DataQualities]],table_DataQualities[],3),table_Units[],2)</f>
        <v>Hz</v>
      </c>
      <c r="I1071" s="10"/>
      <c r="J1071" s="10"/>
      <c r="K1071" s="10"/>
      <c r="L1071" s="10">
        <f ca="1">VLOOKUP(dict_DQ_Meth_max[[#This Row],[ID_DataQualities]],table_DataQualities[],8,FALSE)</f>
        <v>0.19</v>
      </c>
      <c r="M1071" s="10">
        <f ca="1">VLOOKUP(dict_DQ_Meth_max[[#This Row],[ID_DataQualities]],table_DataQualities[],9,FALSE)</f>
        <v>1431.8</v>
      </c>
    </row>
    <row r="1072" spans="1:13" x14ac:dyDescent="0.45">
      <c r="A1072" s="10">
        <v>286</v>
      </c>
      <c r="B1072" s="10">
        <v>8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229.24759999999998</v>
      </c>
      <c r="G1072" s="12">
        <f ca="1">(RANDBETWEEN(50,100)/100)*(dict_DQ_Meth_max[[#This Row],[Vergleich_ub]]-dict_DQ_Meth_max[[#This Row],[Vergleich_lb]])+dict_DQ_Meth_max[[#This Row],[Vergleich_lb]]</f>
        <v>1045.2653</v>
      </c>
      <c r="H1072" s="11" t="str">
        <f ca="1">VLOOKUP(VLOOKUP(dict_DQ_Meth_max[[#This Row],[ID_DataQualities]],table_DataQualities[],3),table_Units[],2)</f>
        <v>Hz</v>
      </c>
      <c r="I1072" s="10"/>
      <c r="J1072" s="10"/>
      <c r="K1072" s="10"/>
      <c r="L1072" s="10">
        <f ca="1">VLOOKUP(dict_DQ_Meth_max[[#This Row],[ID_DataQualities]],table_DataQualities[],8,FALSE)</f>
        <v>0.19</v>
      </c>
      <c r="M1072" s="10">
        <f ca="1">VLOOKUP(dict_DQ_Meth_max[[#This Row],[ID_DataQualities]],table_DataQualities[],9,FALSE)</f>
        <v>1431.8</v>
      </c>
    </row>
    <row r="1073" spans="1:13" x14ac:dyDescent="0.45">
      <c r="A1073" s="10">
        <v>286</v>
      </c>
      <c r="B1073" s="10">
        <v>271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272.19589999999999</v>
      </c>
      <c r="G1073" s="12">
        <f ca="1">(RANDBETWEEN(50,100)/100)*(dict_DQ_Meth_max[[#This Row],[Vergleich_ub]]-dict_DQ_Meth_max[[#This Row],[Vergleich_lb]])+dict_DQ_Meth_max[[#This Row],[Vergleich_lb]]</f>
        <v>1245.6906999999999</v>
      </c>
      <c r="H1073" s="11" t="str">
        <f ca="1">VLOOKUP(VLOOKUP(dict_DQ_Meth_max[[#This Row],[ID_DataQualities]],table_DataQualities[],3),table_Units[],2)</f>
        <v>Hz</v>
      </c>
      <c r="I1073" s="10"/>
      <c r="J1073" s="10"/>
      <c r="K1073" s="10"/>
      <c r="L1073" s="10">
        <f ca="1">VLOOKUP(dict_DQ_Meth_max[[#This Row],[ID_DataQualities]],table_DataQualities[],8,FALSE)</f>
        <v>0.19</v>
      </c>
      <c r="M1073" s="10">
        <f ca="1">VLOOKUP(dict_DQ_Meth_max[[#This Row],[ID_DataQualities]],table_DataQualities[],9,FALSE)</f>
        <v>1431.8</v>
      </c>
    </row>
    <row r="1074" spans="1:13" x14ac:dyDescent="0.45">
      <c r="A1074" s="10">
        <v>286</v>
      </c>
      <c r="B1074" s="10">
        <v>464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243.56370000000001</v>
      </c>
      <c r="G1074" s="12">
        <f ca="1">(RANDBETWEEN(50,100)/100)*(dict_DQ_Meth_max[[#This Row],[Vergleich_ub]]-dict_DQ_Meth_max[[#This Row],[Vergleich_lb]])+dict_DQ_Meth_max[[#This Row],[Vergleich_lb]]</f>
        <v>1016.6330999999999</v>
      </c>
      <c r="H1074" s="11" t="str">
        <f ca="1">VLOOKUP(VLOOKUP(dict_DQ_Meth_max[[#This Row],[ID_DataQualities]],table_DataQualities[],3),table_Units[],2)</f>
        <v>Hz</v>
      </c>
      <c r="I1074" s="10"/>
      <c r="J1074" s="10"/>
      <c r="K1074" s="10"/>
      <c r="L1074" s="10">
        <f ca="1">VLOOKUP(dict_DQ_Meth_max[[#This Row],[ID_DataQualities]],table_DataQualities[],8,FALSE)</f>
        <v>0.19</v>
      </c>
      <c r="M1074" s="10">
        <f ca="1">VLOOKUP(dict_DQ_Meth_max[[#This Row],[ID_DataQualities]],table_DataQualities[],9,FALSE)</f>
        <v>1431.8</v>
      </c>
    </row>
    <row r="1075" spans="1:13" x14ac:dyDescent="0.45">
      <c r="A1075" s="10">
        <v>287</v>
      </c>
      <c r="B1075" s="10">
        <v>505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0.39911999999999997</v>
      </c>
      <c r="G1075" s="12">
        <f ca="1">(RANDBETWEEN(50,100)/100)*(dict_DQ_Meth_max[[#This Row],[Vergleich_ub]]-dict_DQ_Meth_max[[#This Row],[Vergleich_lb]])+dict_DQ_Meth_max[[#This Row],[Vergleich_lb]]</f>
        <v>3.5567999999999995</v>
      </c>
      <c r="H1075" s="11" t="str">
        <f ca="1">VLOOKUP(VLOOKUP(dict_DQ_Meth_max[[#This Row],[ID_DataQualities]],table_DataQualities[],3),table_Units[],2)</f>
        <v>+/- mm</v>
      </c>
      <c r="I1075" s="10"/>
      <c r="J1075" s="10"/>
      <c r="K1075" s="10"/>
      <c r="L1075" s="10">
        <f ca="1">VLOOKUP(dict_DQ_Meth_max[[#This Row],[ID_DataQualities]],table_DataQualities[],8,FALSE)</f>
        <v>7.8E-2</v>
      </c>
      <c r="M1075" s="10">
        <f ca="1">VLOOKUP(dict_DQ_Meth_max[[#This Row],[ID_DataQualities]],table_DataQualities[],9,FALSE)</f>
        <v>5.43</v>
      </c>
    </row>
    <row r="1076" spans="1:13" x14ac:dyDescent="0.45">
      <c r="A1076" s="10">
        <v>287</v>
      </c>
      <c r="B1076" s="10">
        <v>8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1.79064</v>
      </c>
      <c r="G1076" s="12">
        <f ca="1">(RANDBETWEEN(50,100)/100)*(dict_DQ_Meth_max[[#This Row],[Vergleich_ub]]-dict_DQ_Meth_max[[#This Row],[Vergleich_lb]])+dict_DQ_Meth_max[[#This Row],[Vergleich_lb]]</f>
        <v>3.8243999999999994</v>
      </c>
      <c r="H1076" s="11" t="str">
        <f ca="1">VLOOKUP(VLOOKUP(dict_DQ_Meth_max[[#This Row],[ID_DataQualities]],table_DataQualities[],3),table_Units[],2)</f>
        <v>+/- mm</v>
      </c>
      <c r="I1076" s="10"/>
      <c r="J1076" s="10"/>
      <c r="K1076" s="10"/>
      <c r="L1076" s="10">
        <f ca="1">VLOOKUP(dict_DQ_Meth_max[[#This Row],[ID_DataQualities]],table_DataQualities[],8,FALSE)</f>
        <v>7.8E-2</v>
      </c>
      <c r="M1076" s="10">
        <f ca="1">VLOOKUP(dict_DQ_Meth_max[[#This Row],[ID_DataQualities]],table_DataQualities[],9,FALSE)</f>
        <v>5.43</v>
      </c>
    </row>
    <row r="1077" spans="1:13" x14ac:dyDescent="0.45">
      <c r="A1077" s="10">
        <v>287</v>
      </c>
      <c r="B1077" s="10">
        <v>271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7.8E-2</v>
      </c>
      <c r="G1077" s="12">
        <f ca="1">(RANDBETWEEN(50,100)/100)*(dict_DQ_Meth_max[[#This Row],[Vergleich_ub]]-dict_DQ_Meth_max[[#This Row],[Vergleich_lb]])+dict_DQ_Meth_max[[#This Row],[Vergleich_lb]]</f>
        <v>4.6271999999999993</v>
      </c>
      <c r="H1077" s="11" t="str">
        <f ca="1">VLOOKUP(VLOOKUP(dict_DQ_Meth_max[[#This Row],[ID_DataQualities]],table_DataQualities[],3),table_Units[],2)</f>
        <v>+/- mm</v>
      </c>
      <c r="I1077" s="10"/>
      <c r="J1077" s="10"/>
      <c r="K1077" s="10"/>
      <c r="L1077" s="10">
        <f ca="1">VLOOKUP(dict_DQ_Meth_max[[#This Row],[ID_DataQualities]],table_DataQualities[],8,FALSE)</f>
        <v>7.8E-2</v>
      </c>
      <c r="M1077" s="10">
        <f ca="1">VLOOKUP(dict_DQ_Meth_max[[#This Row],[ID_DataQualities]],table_DataQualities[],9,FALSE)</f>
        <v>5.43</v>
      </c>
    </row>
    <row r="1078" spans="1:13" x14ac:dyDescent="0.45">
      <c r="A1078" s="10">
        <v>287</v>
      </c>
      <c r="B1078" s="10">
        <v>298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2.5934399999999993</v>
      </c>
      <c r="G1078" s="12">
        <f ca="1">(RANDBETWEEN(50,100)/100)*(dict_DQ_Meth_max[[#This Row],[Vergleich_ub]]-dict_DQ_Meth_max[[#This Row],[Vergleich_lb]])+dict_DQ_Meth_max[[#This Row],[Vergleich_lb]]</f>
        <v>3.8779199999999991</v>
      </c>
      <c r="H1078" s="11" t="str">
        <f ca="1">VLOOKUP(VLOOKUP(dict_DQ_Meth_max[[#This Row],[ID_DataQualities]],table_DataQualities[],3),table_Units[],2)</f>
        <v>+/- mm</v>
      </c>
      <c r="I1078" s="10"/>
      <c r="J1078" s="10"/>
      <c r="K1078" s="10"/>
      <c r="L1078" s="10">
        <f ca="1">VLOOKUP(dict_DQ_Meth_max[[#This Row],[ID_DataQualities]],table_DataQualities[],8,FALSE)</f>
        <v>7.8E-2</v>
      </c>
      <c r="M1078" s="10">
        <f ca="1">VLOOKUP(dict_DQ_Meth_max[[#This Row],[ID_DataQualities]],table_DataQualities[],9,FALSE)</f>
        <v>5.43</v>
      </c>
    </row>
    <row r="1079" spans="1:13" x14ac:dyDescent="0.45">
      <c r="A1079" s="10">
        <v>287</v>
      </c>
      <c r="B1079" s="10">
        <v>464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2.3793599999999997</v>
      </c>
      <c r="G1079" s="12">
        <f ca="1">(RANDBETWEEN(50,100)/100)*(dict_DQ_Meth_max[[#This Row],[Vergleich_ub]]-dict_DQ_Meth_max[[#This Row],[Vergleich_lb]])+dict_DQ_Meth_max[[#This Row],[Vergleich_lb]]</f>
        <v>2.8075199999999998</v>
      </c>
      <c r="H1079" s="11" t="str">
        <f ca="1">VLOOKUP(VLOOKUP(dict_DQ_Meth_max[[#This Row],[ID_DataQualities]],table_DataQualities[],3),table_Units[],2)</f>
        <v>+/- mm</v>
      </c>
      <c r="I1079" s="10"/>
      <c r="J1079" s="10"/>
      <c r="K1079" s="10"/>
      <c r="L1079" s="10">
        <f ca="1">VLOOKUP(dict_DQ_Meth_max[[#This Row],[ID_DataQualities]],table_DataQualities[],8,FALSE)</f>
        <v>7.8E-2</v>
      </c>
      <c r="M1079" s="10">
        <f ca="1">VLOOKUP(dict_DQ_Meth_max[[#This Row],[ID_DataQualities]],table_DataQualities[],9,FALSE)</f>
        <v>5.43</v>
      </c>
    </row>
    <row r="1080" spans="1:13" x14ac:dyDescent="0.45">
      <c r="A1080" s="10">
        <v>288</v>
      </c>
      <c r="B1080" s="10">
        <v>197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934.62700000000007</v>
      </c>
      <c r="G1080" s="12">
        <f ca="1">(RANDBETWEEN(50,100)/100)*(dict_DQ_Meth_max[[#This Row],[Vergleich_ub]]-dict_DQ_Meth_max[[#This Row],[Vergleich_lb]])+dict_DQ_Meth_max[[#This Row],[Vergleich_lb]]</f>
        <v>2579.1551599999998</v>
      </c>
      <c r="H1080" s="11" t="str">
        <f ca="1">VLOOKUP(VLOOKUP(dict_DQ_Meth_max[[#This Row],[ID_DataQualities]],table_DataQualities[],3),table_Units[],2)</f>
        <v>Hz</v>
      </c>
      <c r="I1080" s="10"/>
      <c r="J1080" s="10"/>
      <c r="K1080" s="10"/>
      <c r="L1080" s="10">
        <f ca="1">VLOOKUP(dict_DQ_Meth_max[[#This Row],[ID_DataQualities]],table_DataQualities[],8,FALSE)</f>
        <v>0.23599999999999999</v>
      </c>
      <c r="M1080" s="10">
        <f ca="1">VLOOKUP(dict_DQ_Meth_max[[#This Row],[ID_DataQualities]],table_DataQualities[],9,FALSE)</f>
        <v>3737.8</v>
      </c>
    </row>
    <row r="1081" spans="1:13" x14ac:dyDescent="0.45">
      <c r="A1081" s="10">
        <v>288</v>
      </c>
      <c r="B1081" s="10">
        <v>57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187.11420000000001</v>
      </c>
      <c r="G1081" s="12">
        <f ca="1">(RANDBETWEEN(50,100)/100)*(dict_DQ_Meth_max[[#This Row],[Vergleich_ub]]-dict_DQ_Meth_max[[#This Row],[Vergleich_lb]])+dict_DQ_Meth_max[[#This Row],[Vergleich_lb]]</f>
        <v>3177.1653999999999</v>
      </c>
      <c r="H1081" s="11" t="str">
        <f ca="1">VLOOKUP(VLOOKUP(dict_DQ_Meth_max[[#This Row],[ID_DataQualities]],table_DataQualities[],3),table_Units[],2)</f>
        <v>Hz</v>
      </c>
      <c r="I1081" s="10"/>
      <c r="J1081" s="10"/>
      <c r="K1081" s="10"/>
      <c r="L1081" s="10">
        <f ca="1">VLOOKUP(dict_DQ_Meth_max[[#This Row],[ID_DataQualities]],table_DataQualities[],8,FALSE)</f>
        <v>0.23599999999999999</v>
      </c>
      <c r="M1081" s="10">
        <f ca="1">VLOOKUP(dict_DQ_Meth_max[[#This Row],[ID_DataQualities]],table_DataQualities[],9,FALSE)</f>
        <v>3737.8</v>
      </c>
    </row>
    <row r="1082" spans="1:13" x14ac:dyDescent="0.45">
      <c r="A1082" s="10">
        <v>288</v>
      </c>
      <c r="B1082" s="10">
        <v>681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1756.8910800000001</v>
      </c>
      <c r="G1082" s="12">
        <f ca="1">(RANDBETWEEN(50,100)/100)*(dict_DQ_Meth_max[[#This Row],[Vergleich_ub]]-dict_DQ_Meth_max[[#This Row],[Vergleich_lb]])+dict_DQ_Meth_max[[#This Row],[Vergleich_lb]]</f>
        <v>1943.7692800000004</v>
      </c>
      <c r="H1082" s="11" t="str">
        <f ca="1">VLOOKUP(VLOOKUP(dict_DQ_Meth_max[[#This Row],[ID_DataQualities]],table_DataQualities[],3),table_Units[],2)</f>
        <v>Hz</v>
      </c>
      <c r="I1082" s="10"/>
      <c r="J1082" s="10"/>
      <c r="K1082" s="10"/>
      <c r="L1082" s="10">
        <f ca="1">VLOOKUP(dict_DQ_Meth_max[[#This Row],[ID_DataQualities]],table_DataQualities[],8,FALSE)</f>
        <v>0.23599999999999999</v>
      </c>
      <c r="M1082" s="10">
        <f ca="1">VLOOKUP(dict_DQ_Meth_max[[#This Row],[ID_DataQualities]],table_DataQualities[],9,FALSE)</f>
        <v>3737.8</v>
      </c>
    </row>
    <row r="1083" spans="1:13" x14ac:dyDescent="0.45">
      <c r="A1083" s="10">
        <v>289</v>
      </c>
      <c r="B1083" s="10">
        <v>57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0.51536000000000004</v>
      </c>
      <c r="G1083" s="12">
        <f ca="1">(RANDBETWEEN(50,100)/100)*(dict_DQ_Meth_max[[#This Row],[Vergleich_ub]]-dict_DQ_Meth_max[[#This Row],[Vergleich_lb]])+dict_DQ_Meth_max[[#This Row],[Vergleich_lb]]</f>
        <v>4.3533200000000001</v>
      </c>
      <c r="H1083" s="11" t="str">
        <f ca="1">VLOOKUP(VLOOKUP(dict_DQ_Meth_max[[#This Row],[ID_DataQualities]],table_DataQualities[],3),table_Units[],2)</f>
        <v>+/- W</v>
      </c>
      <c r="I1083" s="10"/>
      <c r="J1083" s="10"/>
      <c r="K1083" s="10"/>
      <c r="L1083" s="10">
        <f ca="1">VLOOKUP(dict_DQ_Meth_max[[#This Row],[ID_DataQualities]],table_DataQualities[],8,FALSE)</f>
        <v>2.8000000000000001E-2</v>
      </c>
      <c r="M1083" s="10">
        <f ca="1">VLOOKUP(dict_DQ_Meth_max[[#This Row],[ID_DataQualities]],table_DataQualities[],9,FALSE)</f>
        <v>6.12</v>
      </c>
    </row>
    <row r="1084" spans="1:13" x14ac:dyDescent="0.45">
      <c r="A1084" s="10">
        <v>289</v>
      </c>
      <c r="B1084" s="10">
        <v>681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3.0740000000000003</v>
      </c>
      <c r="G1084" s="12">
        <f ca="1">(RANDBETWEEN(50,100)/100)*(dict_DQ_Meth_max[[#This Row],[Vergleich_ub]]-dict_DQ_Meth_max[[#This Row],[Vergleich_lb]])+dict_DQ_Meth_max[[#This Row],[Vergleich_lb]]</f>
        <v>3.6222799999999999</v>
      </c>
      <c r="H1084" s="11" t="str">
        <f ca="1">VLOOKUP(VLOOKUP(dict_DQ_Meth_max[[#This Row],[ID_DataQualities]],table_DataQualities[],3),table_Units[],2)</f>
        <v>+/- W</v>
      </c>
      <c r="I1084" s="10"/>
      <c r="J1084" s="10"/>
      <c r="K1084" s="10"/>
      <c r="L1084" s="10">
        <f ca="1">VLOOKUP(dict_DQ_Meth_max[[#This Row],[ID_DataQualities]],table_DataQualities[],8,FALSE)</f>
        <v>2.8000000000000001E-2</v>
      </c>
      <c r="M1084" s="10">
        <f ca="1">VLOOKUP(dict_DQ_Meth_max[[#This Row],[ID_DataQualities]],table_DataQualities[],9,FALSE)</f>
        <v>6.12</v>
      </c>
    </row>
    <row r="1085" spans="1:13" x14ac:dyDescent="0.45">
      <c r="A1085" s="10">
        <v>289</v>
      </c>
      <c r="B1085" s="10">
        <v>197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0.39352000000000004</v>
      </c>
      <c r="G1085" s="12">
        <f ca="1">(RANDBETWEEN(50,100)/100)*(dict_DQ_Meth_max[[#This Row],[Vergleich_ub]]-dict_DQ_Meth_max[[#This Row],[Vergleich_lb]])+dict_DQ_Meth_max[[#This Row],[Vergleich_lb]]</f>
        <v>4.2314799999999995</v>
      </c>
      <c r="H1085" s="11" t="str">
        <f ca="1">VLOOKUP(VLOOKUP(dict_DQ_Meth_max[[#This Row],[ID_DataQualities]],table_DataQualities[],3),table_Units[],2)</f>
        <v>+/- W</v>
      </c>
      <c r="I1085" s="10"/>
      <c r="J1085" s="10"/>
      <c r="K1085" s="10"/>
      <c r="L1085" s="10">
        <f ca="1">VLOOKUP(dict_DQ_Meth_max[[#This Row],[ID_DataQualities]],table_DataQualities[],8,FALSE)</f>
        <v>2.8000000000000001E-2</v>
      </c>
      <c r="M1085" s="10">
        <f ca="1">VLOOKUP(dict_DQ_Meth_max[[#This Row],[ID_DataQualities]],table_DataQualities[],9,FALSE)</f>
        <v>6.12</v>
      </c>
    </row>
    <row r="1086" spans="1:13" x14ac:dyDescent="0.45">
      <c r="A1086" s="10">
        <v>290</v>
      </c>
      <c r="B1086" s="10">
        <v>322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700.49720000000002</v>
      </c>
      <c r="G1086" s="12">
        <f ca="1">(RANDBETWEEN(50,100)/100)*(dict_DQ_Meth_max[[#This Row],[Vergleich_ub]]-dict_DQ_Meth_max[[#This Row],[Vergleich_lb]])+dict_DQ_Meth_max[[#This Row],[Vergleich_lb]]</f>
        <v>8399.2564000000002</v>
      </c>
      <c r="H1086" s="11" t="str">
        <f ca="1">VLOOKUP(VLOOKUP(dict_DQ_Meth_max[[#This Row],[ID_DataQualities]],table_DataQualities[],3),table_Units[],2)</f>
        <v>Hz</v>
      </c>
      <c r="I1086" s="10"/>
      <c r="J1086" s="10"/>
      <c r="K1086" s="10"/>
      <c r="L1086" s="10">
        <f ca="1">VLOOKUP(dict_DQ_Meth_max[[#This Row],[ID_DataQualities]],table_DataQualities[],8,FALSE)</f>
        <v>0.61</v>
      </c>
      <c r="M1086" s="10">
        <f ca="1">VLOOKUP(dict_DQ_Meth_max[[#This Row],[ID_DataQualities]],table_DataQualities[],9,FALSE)</f>
        <v>8749.2000000000007</v>
      </c>
    </row>
    <row r="1087" spans="1:13" x14ac:dyDescent="0.45">
      <c r="A1087" s="10">
        <v>290</v>
      </c>
      <c r="B1087" s="10">
        <v>301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2537.7010999999998</v>
      </c>
      <c r="G1087" s="12">
        <f ca="1">(RANDBETWEEN(50,100)/100)*(dict_DQ_Meth_max[[#This Row],[Vergleich_ub]]-dict_DQ_Meth_max[[#This Row],[Vergleich_lb]])+dict_DQ_Meth_max[[#This Row],[Vergleich_lb]]</f>
        <v>6037.137099999999</v>
      </c>
      <c r="H1087" s="11" t="str">
        <f ca="1">VLOOKUP(VLOOKUP(dict_DQ_Meth_max[[#This Row],[ID_DataQualities]],table_DataQualities[],3),table_Units[],2)</f>
        <v>Hz</v>
      </c>
      <c r="I1087" s="10"/>
      <c r="J1087" s="10"/>
      <c r="K1087" s="10"/>
      <c r="L1087" s="10">
        <f ca="1">VLOOKUP(dict_DQ_Meth_max[[#This Row],[ID_DataQualities]],table_DataQualities[],8,FALSE)</f>
        <v>0.61</v>
      </c>
      <c r="M1087" s="10">
        <f ca="1">VLOOKUP(dict_DQ_Meth_max[[#This Row],[ID_DataQualities]],table_DataQualities[],9,FALSE)</f>
        <v>8749.2000000000007</v>
      </c>
    </row>
    <row r="1088" spans="1:13" x14ac:dyDescent="0.45">
      <c r="A1088" s="10">
        <v>290</v>
      </c>
      <c r="B1088" s="10">
        <v>153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1750.328</v>
      </c>
      <c r="G1088" s="12">
        <f ca="1">(RANDBETWEEN(50,100)/100)*(dict_DQ_Meth_max[[#This Row],[Vergleich_ub]]-dict_DQ_Meth_max[[#This Row],[Vergleich_lb]])+dict_DQ_Meth_max[[#This Row],[Vergleich_lb]]</f>
        <v>4899.8204000000005</v>
      </c>
      <c r="H1088" s="11" t="str">
        <f ca="1">VLOOKUP(VLOOKUP(dict_DQ_Meth_max[[#This Row],[ID_DataQualities]],table_DataQualities[],3),table_Units[],2)</f>
        <v>Hz</v>
      </c>
      <c r="I1088" s="10"/>
      <c r="J1088" s="10"/>
      <c r="K1088" s="10"/>
      <c r="L1088" s="10">
        <f ca="1">VLOOKUP(dict_DQ_Meth_max[[#This Row],[ID_DataQualities]],table_DataQualities[],8,FALSE)</f>
        <v>0.61</v>
      </c>
      <c r="M1088" s="10">
        <f ca="1">VLOOKUP(dict_DQ_Meth_max[[#This Row],[ID_DataQualities]],table_DataQualities[],9,FALSE)</f>
        <v>8749.2000000000007</v>
      </c>
    </row>
    <row r="1089" spans="1:13" x14ac:dyDescent="0.45">
      <c r="A1089" s="10">
        <v>290</v>
      </c>
      <c r="B1089" s="10">
        <v>312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1137.9267</v>
      </c>
      <c r="G1089" s="12">
        <f ca="1">(RANDBETWEEN(50,100)/100)*(dict_DQ_Meth_max[[#This Row],[Vergleich_ub]]-dict_DQ_Meth_max[[#This Row],[Vergleich_lb]])+dict_DQ_Meth_max[[#This Row],[Vergleich_lb]]</f>
        <v>4724.8486000000003</v>
      </c>
      <c r="H1089" s="11" t="str">
        <f ca="1">VLOOKUP(VLOOKUP(dict_DQ_Meth_max[[#This Row],[ID_DataQualities]],table_DataQualities[],3),table_Units[],2)</f>
        <v>Hz</v>
      </c>
      <c r="I1089" s="10"/>
      <c r="J1089" s="10"/>
      <c r="K1089" s="10"/>
      <c r="L1089" s="10">
        <f ca="1">VLOOKUP(dict_DQ_Meth_max[[#This Row],[ID_DataQualities]],table_DataQualities[],8,FALSE)</f>
        <v>0.61</v>
      </c>
      <c r="M1089" s="10">
        <f ca="1">VLOOKUP(dict_DQ_Meth_max[[#This Row],[ID_DataQualities]],table_DataQualities[],9,FALSE)</f>
        <v>8749.2000000000007</v>
      </c>
    </row>
    <row r="1090" spans="1:13" x14ac:dyDescent="0.45">
      <c r="A1090" s="10">
        <v>290</v>
      </c>
      <c r="B1090" s="10">
        <v>269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3675.0178000000001</v>
      </c>
      <c r="G1090" s="12">
        <f ca="1">(RANDBETWEEN(50,100)/100)*(dict_DQ_Meth_max[[#This Row],[Vergleich_ub]]-dict_DQ_Meth_max[[#This Row],[Vergleich_lb]])+dict_DQ_Meth_max[[#This Row],[Vergleich_lb]]</f>
        <v>7436.9114999999993</v>
      </c>
      <c r="H1090" s="11" t="str">
        <f ca="1">VLOOKUP(VLOOKUP(dict_DQ_Meth_max[[#This Row],[ID_DataQualities]],table_DataQualities[],3),table_Units[],2)</f>
        <v>Hz</v>
      </c>
      <c r="I1090" s="10"/>
      <c r="J1090" s="10"/>
      <c r="K1090" s="10"/>
      <c r="L1090" s="10">
        <f ca="1">VLOOKUP(dict_DQ_Meth_max[[#This Row],[ID_DataQualities]],table_DataQualities[],8,FALSE)</f>
        <v>0.61</v>
      </c>
      <c r="M1090" s="10">
        <f ca="1">VLOOKUP(dict_DQ_Meth_max[[#This Row],[ID_DataQualities]],table_DataQualities[],9,FALSE)</f>
        <v>8749.2000000000007</v>
      </c>
    </row>
    <row r="1091" spans="1:13" x14ac:dyDescent="0.45">
      <c r="A1091" s="10">
        <v>291</v>
      </c>
      <c r="B1091" s="10">
        <v>301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3.9319899999999999</v>
      </c>
      <c r="G1091" s="12">
        <f ca="1">(RANDBETWEEN(50,100)/100)*(dict_DQ_Meth_max[[#This Row],[Vergleich_ub]]-dict_DQ_Meth_max[[#This Row],[Vergleich_lb]])+dict_DQ_Meth_max[[#This Row],[Vergleich_lb]]</f>
        <v>7.7578100000000001</v>
      </c>
      <c r="H1091" s="11" t="str">
        <f ca="1">VLOOKUP(VLOOKUP(dict_DQ_Meth_max[[#This Row],[ID_DataQualities]],table_DataQualities[],3),table_Units[],2)</f>
        <v>+/- W</v>
      </c>
      <c r="I1091" s="10"/>
      <c r="J1091" s="10"/>
      <c r="K1091" s="10"/>
      <c r="L1091" s="10">
        <f ca="1">VLOOKUP(dict_DQ_Meth_max[[#This Row],[ID_DataQualities]],table_DataQualities[],8,FALSE)</f>
        <v>2.3E-2</v>
      </c>
      <c r="M1091" s="10">
        <f ca="1">VLOOKUP(dict_DQ_Meth_max[[#This Row],[ID_DataQualities]],table_DataQualities[],9,FALSE)</f>
        <v>8.34</v>
      </c>
    </row>
    <row r="1092" spans="1:13" x14ac:dyDescent="0.45">
      <c r="A1092" s="10">
        <v>291</v>
      </c>
      <c r="B1092" s="10">
        <v>269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2.1854200000000001</v>
      </c>
      <c r="G1092" s="12">
        <f ca="1">(RANDBETWEEN(50,100)/100)*(dict_DQ_Meth_max[[#This Row],[Vergleich_ub]]-dict_DQ_Meth_max[[#This Row],[Vergleich_lb]])+dict_DQ_Meth_max[[#This Row],[Vergleich_lb]]</f>
        <v>6.8429399999999996</v>
      </c>
      <c r="H1092" s="11" t="str">
        <f ca="1">VLOOKUP(VLOOKUP(dict_DQ_Meth_max[[#This Row],[ID_DataQualities]],table_DataQualities[],3),table_Units[],2)</f>
        <v>+/- W</v>
      </c>
      <c r="I1092" s="10"/>
      <c r="J1092" s="10"/>
      <c r="K1092" s="10"/>
      <c r="L1092" s="10">
        <f ca="1">VLOOKUP(dict_DQ_Meth_max[[#This Row],[ID_DataQualities]],table_DataQualities[],8,FALSE)</f>
        <v>2.3E-2</v>
      </c>
      <c r="M1092" s="10">
        <f ca="1">VLOOKUP(dict_DQ_Meth_max[[#This Row],[ID_DataQualities]],table_DataQualities[],9,FALSE)</f>
        <v>8.34</v>
      </c>
    </row>
    <row r="1093" spans="1:13" x14ac:dyDescent="0.45">
      <c r="A1093" s="10">
        <v>291</v>
      </c>
      <c r="B1093" s="10">
        <v>312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2.0190800000000002</v>
      </c>
      <c r="G1093" s="12">
        <f ca="1">(RANDBETWEEN(50,100)/100)*(dict_DQ_Meth_max[[#This Row],[Vergleich_ub]]-dict_DQ_Meth_max[[#This Row],[Vergleich_lb]])+dict_DQ_Meth_max[[#This Row],[Vergleich_lb]]</f>
        <v>6.0944099999999999</v>
      </c>
      <c r="H1093" s="11" t="str">
        <f ca="1">VLOOKUP(VLOOKUP(dict_DQ_Meth_max[[#This Row],[ID_DataQualities]],table_DataQualities[],3),table_Units[],2)</f>
        <v>+/- W</v>
      </c>
      <c r="I1093" s="10"/>
      <c r="J1093" s="10"/>
      <c r="K1093" s="10"/>
      <c r="L1093" s="10">
        <f ca="1">VLOOKUP(dict_DQ_Meth_max[[#This Row],[ID_DataQualities]],table_DataQualities[],8,FALSE)</f>
        <v>2.3E-2</v>
      </c>
      <c r="M1093" s="10">
        <f ca="1">VLOOKUP(dict_DQ_Meth_max[[#This Row],[ID_DataQualities]],table_DataQualities[],9,FALSE)</f>
        <v>8.34</v>
      </c>
    </row>
    <row r="1094" spans="1:13" x14ac:dyDescent="0.45">
      <c r="A1094" s="10">
        <v>291</v>
      </c>
      <c r="B1094" s="10">
        <v>322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0.77153000000000005</v>
      </c>
      <c r="G1094" s="12">
        <f ca="1">(RANDBETWEEN(50,100)/100)*(dict_DQ_Meth_max[[#This Row],[Vergleich_ub]]-dict_DQ_Meth_max[[#This Row],[Vergleich_lb]])+dict_DQ_Meth_max[[#This Row],[Vergleich_lb]]</f>
        <v>4.5141799999999996</v>
      </c>
      <c r="H1094" s="11" t="str">
        <f ca="1">VLOOKUP(VLOOKUP(dict_DQ_Meth_max[[#This Row],[ID_DataQualities]],table_DataQualities[],3),table_Units[],2)</f>
        <v>+/- W</v>
      </c>
      <c r="I1094" s="10"/>
      <c r="J1094" s="10"/>
      <c r="K1094" s="10"/>
      <c r="L1094" s="10">
        <f ca="1">VLOOKUP(dict_DQ_Meth_max[[#This Row],[ID_DataQualities]],table_DataQualities[],8,FALSE)</f>
        <v>2.3E-2</v>
      </c>
      <c r="M1094" s="10">
        <f ca="1">VLOOKUP(dict_DQ_Meth_max[[#This Row],[ID_DataQualities]],table_DataQualities[],9,FALSE)</f>
        <v>8.34</v>
      </c>
    </row>
    <row r="1095" spans="1:13" x14ac:dyDescent="0.45">
      <c r="A1095" s="10">
        <v>291</v>
      </c>
      <c r="B1095" s="10">
        <v>153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2.60127</v>
      </c>
      <c r="G1095" s="12">
        <f ca="1">(RANDBETWEEN(50,100)/100)*(dict_DQ_Meth_max[[#This Row],[Vergleich_ub]]-dict_DQ_Meth_max[[#This Row],[Vergleich_lb]])+dict_DQ_Meth_max[[#This Row],[Vergleich_lb]]</f>
        <v>5.92807</v>
      </c>
      <c r="H1095" s="11" t="str">
        <f ca="1">VLOOKUP(VLOOKUP(dict_DQ_Meth_max[[#This Row],[ID_DataQualities]],table_DataQualities[],3),table_Units[],2)</f>
        <v>+/- W</v>
      </c>
      <c r="I1095" s="10"/>
      <c r="J1095" s="10"/>
      <c r="K1095" s="10"/>
      <c r="L1095" s="10">
        <f ca="1">VLOOKUP(dict_DQ_Meth_max[[#This Row],[ID_DataQualities]],table_DataQualities[],8,FALSE)</f>
        <v>2.3E-2</v>
      </c>
      <c r="M1095" s="10">
        <f ca="1">VLOOKUP(dict_DQ_Meth_max[[#This Row],[ID_DataQualities]],table_DataQualities[],9,FALSE)</f>
        <v>8.34</v>
      </c>
    </row>
    <row r="1096" spans="1:13" x14ac:dyDescent="0.45">
      <c r="A1096" s="10">
        <v>292</v>
      </c>
      <c r="B1096" s="10">
        <v>440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1221.02577</v>
      </c>
      <c r="G1096" s="12">
        <f ca="1">(RANDBETWEEN(50,100)/100)*(dict_DQ_Meth_max[[#This Row],[Vergleich_ub]]-dict_DQ_Meth_max[[#This Row],[Vergleich_lb]])+dict_DQ_Meth_max[[#This Row],[Vergleich_lb]]</f>
        <v>5307.8</v>
      </c>
      <c r="H1096" s="11" t="str">
        <f ca="1">VLOOKUP(VLOOKUP(dict_DQ_Meth_max[[#This Row],[ID_DataQualities]],table_DataQualities[],3),table_Units[],2)</f>
        <v>Hz</v>
      </c>
      <c r="I1096" s="10"/>
      <c r="J1096" s="10"/>
      <c r="K1096" s="10"/>
      <c r="L1096" s="10">
        <f ca="1">VLOOKUP(dict_DQ_Meth_max[[#This Row],[ID_DataQualities]],table_DataQualities[],8,FALSE)</f>
        <v>0.30099999999999999</v>
      </c>
      <c r="M1096" s="10">
        <f ca="1">VLOOKUP(dict_DQ_Meth_max[[#This Row],[ID_DataQualities]],table_DataQualities[],9,FALSE)</f>
        <v>5307.8</v>
      </c>
    </row>
    <row r="1097" spans="1:13" x14ac:dyDescent="0.45">
      <c r="A1097" s="10">
        <v>293</v>
      </c>
      <c r="B1097" s="10">
        <v>440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2.0780000000000003</v>
      </c>
      <c r="G1097" s="12">
        <f ca="1">(RANDBETWEEN(50,100)/100)*(dict_DQ_Meth_max[[#This Row],[Vergleich_ub]]-dict_DQ_Meth_max[[#This Row],[Vergleich_lb]])+dict_DQ_Meth_max[[#This Row],[Vergleich_lb]]</f>
        <v>2.8530000000000002</v>
      </c>
      <c r="H1097" s="11" t="str">
        <f ca="1">VLOOKUP(VLOOKUP(dict_DQ_Meth_max[[#This Row],[ID_DataQualities]],table_DataQualities[],3),table_Units[],2)</f>
        <v>+/- °C</v>
      </c>
      <c r="I1097" s="10"/>
      <c r="J1097" s="10"/>
      <c r="K1097" s="10"/>
      <c r="L1097" s="10">
        <f ca="1">VLOOKUP(dict_DQ_Meth_max[[#This Row],[ID_DataQualities]],table_DataQualities[],8,FALSE)</f>
        <v>0.9</v>
      </c>
      <c r="M1097" s="10">
        <f ca="1">VLOOKUP(dict_DQ_Meth_max[[#This Row],[ID_DataQualities]],table_DataQualities[],9,FALSE)</f>
        <v>4</v>
      </c>
    </row>
    <row r="1098" spans="1:13" x14ac:dyDescent="0.45">
      <c r="A1098" s="10">
        <v>294</v>
      </c>
      <c r="B1098" s="10">
        <v>622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731.94689000000005</v>
      </c>
      <c r="G1098" s="12">
        <f ca="1">(RANDBETWEEN(50,100)/100)*(dict_DQ_Meth_max[[#This Row],[Vergleich_ub]]-dict_DQ_Meth_max[[#This Row],[Vergleich_lb]])+dict_DQ_Meth_max[[#This Row],[Vergleich_lb]]</f>
        <v>4445.2078700000002</v>
      </c>
      <c r="H1098" s="11" t="str">
        <f ca="1">VLOOKUP(VLOOKUP(dict_DQ_Meth_max[[#This Row],[ID_DataQualities]],table_DataQualities[],3),table_Units[],2)</f>
        <v>Hz</v>
      </c>
      <c r="I1098" s="10"/>
      <c r="J1098" s="10"/>
      <c r="K1098" s="10"/>
      <c r="L1098" s="10">
        <f ca="1">VLOOKUP(dict_DQ_Meth_max[[#This Row],[ID_DataQualities]],table_DataQualities[],8,FALSE)</f>
        <v>0.54700000000000004</v>
      </c>
      <c r="M1098" s="10">
        <f ca="1">VLOOKUP(dict_DQ_Meth_max[[#This Row],[ID_DataQualities]],table_DataQualities[],9,FALSE)</f>
        <v>5626.7</v>
      </c>
    </row>
    <row r="1099" spans="1:13" x14ac:dyDescent="0.45">
      <c r="A1099" s="10">
        <v>294</v>
      </c>
      <c r="B1099" s="10">
        <v>657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844.46995000000004</v>
      </c>
      <c r="G1099" s="12">
        <f ca="1">(RANDBETWEEN(50,100)/100)*(dict_DQ_Meth_max[[#This Row],[Vergleich_ub]]-dict_DQ_Meth_max[[#This Row],[Vergleich_lb]])+dict_DQ_Meth_max[[#This Row],[Vergleich_lb]]</f>
        <v>4557.7309299999997</v>
      </c>
      <c r="H1099" s="11" t="str">
        <f ca="1">VLOOKUP(VLOOKUP(dict_DQ_Meth_max[[#This Row],[ID_DataQualities]],table_DataQualities[],3),table_Units[],2)</f>
        <v>Hz</v>
      </c>
      <c r="I1099" s="10"/>
      <c r="J1099" s="10"/>
      <c r="K1099" s="10"/>
      <c r="L1099" s="10">
        <f ca="1">VLOOKUP(dict_DQ_Meth_max[[#This Row],[ID_DataQualities]],table_DataQualities[],8,FALSE)</f>
        <v>0.54700000000000004</v>
      </c>
      <c r="M1099" s="10">
        <f ca="1">VLOOKUP(dict_DQ_Meth_max[[#This Row],[ID_DataQualities]],table_DataQualities[],9,FALSE)</f>
        <v>5626.7</v>
      </c>
    </row>
    <row r="1100" spans="1:13" x14ac:dyDescent="0.45">
      <c r="A1100" s="10">
        <v>294</v>
      </c>
      <c r="B1100" s="10">
        <v>563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1294.5621900000001</v>
      </c>
      <c r="G1100" s="12">
        <f ca="1">(RANDBETWEEN(50,100)/100)*(dict_DQ_Meth_max[[#This Row],[Vergleich_ub]]-dict_DQ_Meth_max[[#This Row],[Vergleich_lb]])+dict_DQ_Meth_max[[#This Row],[Vergleich_lb]]</f>
        <v>4501.4694</v>
      </c>
      <c r="H1100" s="11" t="str">
        <f ca="1">VLOOKUP(VLOOKUP(dict_DQ_Meth_max[[#This Row],[ID_DataQualities]],table_DataQualities[],3),table_Units[],2)</f>
        <v>Hz</v>
      </c>
      <c r="I1100" s="10"/>
      <c r="J1100" s="10"/>
      <c r="K1100" s="10"/>
      <c r="L1100" s="10">
        <f ca="1">VLOOKUP(dict_DQ_Meth_max[[#This Row],[ID_DataQualities]],table_DataQualities[],8,FALSE)</f>
        <v>0.54700000000000004</v>
      </c>
      <c r="M1100" s="10">
        <f ca="1">VLOOKUP(dict_DQ_Meth_max[[#This Row],[ID_DataQualities]],table_DataQualities[],9,FALSE)</f>
        <v>5626.7</v>
      </c>
    </row>
    <row r="1101" spans="1:13" x14ac:dyDescent="0.45">
      <c r="A1101" s="10">
        <v>294</v>
      </c>
      <c r="B1101" s="10">
        <v>145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1182.0391300000001</v>
      </c>
      <c r="G1101" s="12">
        <f ca="1">(RANDBETWEEN(50,100)/100)*(dict_DQ_Meth_max[[#This Row],[Vergleich_ub]]-dict_DQ_Meth_max[[#This Row],[Vergleich_lb]])+dict_DQ_Meth_max[[#This Row],[Vergleich_lb]]</f>
        <v>3882.5925699999998</v>
      </c>
      <c r="H1101" s="11" t="str">
        <f ca="1">VLOOKUP(VLOOKUP(dict_DQ_Meth_max[[#This Row],[ID_DataQualities]],table_DataQualities[],3),table_Units[],2)</f>
        <v>Hz</v>
      </c>
      <c r="I1101" s="10"/>
      <c r="J1101" s="10"/>
      <c r="K1101" s="10"/>
      <c r="L1101" s="10">
        <f ca="1">VLOOKUP(dict_DQ_Meth_max[[#This Row],[ID_DataQualities]],table_DataQualities[],8,FALSE)</f>
        <v>0.54700000000000004</v>
      </c>
      <c r="M1101" s="10">
        <f ca="1">VLOOKUP(dict_DQ_Meth_max[[#This Row],[ID_DataQualities]],table_DataQualities[],9,FALSE)</f>
        <v>5626.7</v>
      </c>
    </row>
    <row r="1102" spans="1:13" x14ac:dyDescent="0.45">
      <c r="A1102" s="10">
        <v>295</v>
      </c>
      <c r="B1102" s="10">
        <v>563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2704</v>
      </c>
      <c r="G1102" s="12">
        <f ca="1">(RANDBETWEEN(50,100)/100)*(dict_DQ_Meth_max[[#This Row],[Vergleich_ub]]-dict_DQ_Meth_max[[#This Row],[Vergleich_lb]])+dict_DQ_Meth_max[[#This Row],[Vergleich_lb]]</f>
        <v>6116.4999999999991</v>
      </c>
      <c r="H1102" s="11" t="str">
        <f ca="1">VLOOKUP(VLOOKUP(dict_DQ_Meth_max[[#This Row],[ID_DataQualities]],table_DataQualities[],3),table_Units[],2)</f>
        <v>bit</v>
      </c>
      <c r="I1102" s="10"/>
      <c r="J1102" s="10"/>
      <c r="K1102" s="10"/>
      <c r="L1102" s="10">
        <f ca="1">VLOOKUP(dict_DQ_Meth_max[[#This Row],[ID_DataQualities]],table_DataQualities[],8,FALSE)</f>
        <v>79</v>
      </c>
      <c r="M1102" s="10">
        <f ca="1">VLOOKUP(dict_DQ_Meth_max[[#This Row],[ID_DataQualities]],table_DataQualities[],9,FALSE)</f>
        <v>8829</v>
      </c>
    </row>
    <row r="1103" spans="1:13" x14ac:dyDescent="0.45">
      <c r="A1103" s="10">
        <v>295</v>
      </c>
      <c r="B1103" s="10">
        <v>657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3929</v>
      </c>
      <c r="G1103" s="12">
        <f ca="1">(RANDBETWEEN(50,100)/100)*(dict_DQ_Meth_max[[#This Row],[Vergleich_ub]]-dict_DQ_Meth_max[[#This Row],[Vergleich_lb]])+dict_DQ_Meth_max[[#This Row],[Vergleich_lb]]</f>
        <v>7166.5000000000009</v>
      </c>
      <c r="H1103" s="11" t="str">
        <f ca="1">VLOOKUP(VLOOKUP(dict_DQ_Meth_max[[#This Row],[ID_DataQualities]],table_DataQualities[],3),table_Units[],2)</f>
        <v>bit</v>
      </c>
      <c r="I1103" s="10"/>
      <c r="J1103" s="10"/>
      <c r="K1103" s="10"/>
      <c r="L1103" s="10">
        <f ca="1">VLOOKUP(dict_DQ_Meth_max[[#This Row],[ID_DataQualities]],table_DataQualities[],8,FALSE)</f>
        <v>79</v>
      </c>
      <c r="M1103" s="10">
        <f ca="1">VLOOKUP(dict_DQ_Meth_max[[#This Row],[ID_DataQualities]],table_DataQualities[],9,FALSE)</f>
        <v>8829</v>
      </c>
    </row>
    <row r="1104" spans="1:13" x14ac:dyDescent="0.45">
      <c r="A1104" s="10">
        <v>295</v>
      </c>
      <c r="B1104" s="10">
        <v>622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2966.5</v>
      </c>
      <c r="G1104" s="12">
        <f ca="1">(RANDBETWEEN(50,100)/100)*(dict_DQ_Meth_max[[#This Row],[Vergleich_ub]]-dict_DQ_Meth_max[[#This Row],[Vergleich_lb]])+dict_DQ_Meth_max[[#This Row],[Vergleich_lb]]</f>
        <v>6379</v>
      </c>
      <c r="H1104" s="11" t="str">
        <f ca="1">VLOOKUP(VLOOKUP(dict_DQ_Meth_max[[#This Row],[ID_DataQualities]],table_DataQualities[],3),table_Units[],2)</f>
        <v>bit</v>
      </c>
      <c r="I1104" s="10"/>
      <c r="J1104" s="10"/>
      <c r="K1104" s="10"/>
      <c r="L1104" s="10">
        <f ca="1">VLOOKUP(dict_DQ_Meth_max[[#This Row],[ID_DataQualities]],table_DataQualities[],8,FALSE)</f>
        <v>79</v>
      </c>
      <c r="M1104" s="10">
        <f ca="1">VLOOKUP(dict_DQ_Meth_max[[#This Row],[ID_DataQualities]],table_DataQualities[],9,FALSE)</f>
        <v>8829</v>
      </c>
    </row>
    <row r="1105" spans="1:13" x14ac:dyDescent="0.45">
      <c r="A1105" s="10">
        <v>295</v>
      </c>
      <c r="B1105" s="10">
        <v>145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429</v>
      </c>
      <c r="G1105" s="12">
        <f ca="1">(RANDBETWEEN(50,100)/100)*(dict_DQ_Meth_max[[#This Row],[Vergleich_ub]]-dict_DQ_Meth_max[[#This Row],[Vergleich_lb]])+dict_DQ_Meth_max[[#This Row],[Vergleich_lb]]</f>
        <v>8041.5</v>
      </c>
      <c r="H1105" s="11" t="str">
        <f ca="1">VLOOKUP(VLOOKUP(dict_DQ_Meth_max[[#This Row],[ID_DataQualities]],table_DataQualities[],3),table_Units[],2)</f>
        <v>bit</v>
      </c>
      <c r="I1105" s="10"/>
      <c r="J1105" s="10"/>
      <c r="K1105" s="10"/>
      <c r="L1105" s="10">
        <f ca="1">VLOOKUP(dict_DQ_Meth_max[[#This Row],[ID_DataQualities]],table_DataQualities[],8,FALSE)</f>
        <v>79</v>
      </c>
      <c r="M1105" s="10">
        <f ca="1">VLOOKUP(dict_DQ_Meth_max[[#This Row],[ID_DataQualities]],table_DataQualities[],9,FALSE)</f>
        <v>8829</v>
      </c>
    </row>
    <row r="1106" spans="1:13" x14ac:dyDescent="0.45">
      <c r="A1106" s="10">
        <v>296</v>
      </c>
      <c r="B1106" s="10">
        <v>307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1155.8661099999999</v>
      </c>
      <c r="G1106" s="12">
        <f ca="1">(RANDBETWEEN(50,100)/100)*(dict_DQ_Meth_max[[#This Row],[Vergleich_ub]]-dict_DQ_Meth_max[[#This Row],[Vergleich_lb]])+dict_DQ_Meth_max[[#This Row],[Vergleich_lb]]</f>
        <v>1832.3951500000001</v>
      </c>
      <c r="H1106" s="11" t="str">
        <f ca="1">VLOOKUP(VLOOKUP(dict_DQ_Meth_max[[#This Row],[ID_DataQualities]],table_DataQualities[],3),table_Units[],2)</f>
        <v>Hz</v>
      </c>
      <c r="I1106" s="10"/>
      <c r="J1106" s="10"/>
      <c r="K1106" s="10"/>
      <c r="L1106" s="10">
        <f ca="1">VLOOKUP(dict_DQ_Meth_max[[#This Row],[ID_DataQualities]],table_DataQualities[],8,FALSE)</f>
        <v>0.129</v>
      </c>
      <c r="M1106" s="10">
        <f ca="1">VLOOKUP(dict_DQ_Meth_max[[#This Row],[ID_DataQualities]],table_DataQualities[],9,FALSE)</f>
        <v>2819</v>
      </c>
    </row>
    <row r="1107" spans="1:13" x14ac:dyDescent="0.45">
      <c r="A1107" s="10">
        <v>296</v>
      </c>
      <c r="B1107" s="10">
        <v>359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648.46933000000001</v>
      </c>
      <c r="G1107" s="12">
        <f ca="1">(RANDBETWEEN(50,100)/100)*(dict_DQ_Meth_max[[#This Row],[Vergleich_ub]]-dict_DQ_Meth_max[[#This Row],[Vergleich_lb]])+dict_DQ_Meth_max[[#This Row],[Vergleich_lb]]</f>
        <v>2029.7161199999998</v>
      </c>
      <c r="H1107" s="11" t="str">
        <f ca="1">VLOOKUP(VLOOKUP(dict_DQ_Meth_max[[#This Row],[ID_DataQualities]],table_DataQualities[],3),table_Units[],2)</f>
        <v>Hz</v>
      </c>
      <c r="I1107" s="10"/>
      <c r="J1107" s="10"/>
      <c r="K1107" s="10"/>
      <c r="L1107" s="10">
        <f ca="1">VLOOKUP(dict_DQ_Meth_max[[#This Row],[ID_DataQualities]],table_DataQualities[],8,FALSE)</f>
        <v>0.129</v>
      </c>
      <c r="M1107" s="10">
        <f ca="1">VLOOKUP(dict_DQ_Meth_max[[#This Row],[ID_DataQualities]],table_DataQualities[],9,FALSE)</f>
        <v>2819</v>
      </c>
    </row>
    <row r="1108" spans="1:13" x14ac:dyDescent="0.45">
      <c r="A1108" s="10">
        <v>296</v>
      </c>
      <c r="B1108" s="10">
        <v>52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422.95965000000001</v>
      </c>
      <c r="G1108" s="12">
        <f ca="1">(RANDBETWEEN(50,100)/100)*(dict_DQ_Meth_max[[#This Row],[Vergleich_ub]]-dict_DQ_Meth_max[[#This Row],[Vergleich_lb]])+dict_DQ_Meth_max[[#This Row],[Vergleich_lb]]</f>
        <v>2227.0370900000003</v>
      </c>
      <c r="H1108" s="11" t="str">
        <f ca="1">VLOOKUP(VLOOKUP(dict_DQ_Meth_max[[#This Row],[ID_DataQualities]],table_DataQualities[],3),table_Units[],2)</f>
        <v>Hz</v>
      </c>
      <c r="I1108" s="10"/>
      <c r="J1108" s="10"/>
      <c r="K1108" s="10"/>
      <c r="L1108" s="10">
        <f ca="1">VLOOKUP(dict_DQ_Meth_max[[#This Row],[ID_DataQualities]],table_DataQualities[],8,FALSE)</f>
        <v>0.129</v>
      </c>
      <c r="M1108" s="10">
        <f ca="1">VLOOKUP(dict_DQ_Meth_max[[#This Row],[ID_DataQualities]],table_DataQualities[],9,FALSE)</f>
        <v>2819</v>
      </c>
    </row>
    <row r="1109" spans="1:13" x14ac:dyDescent="0.45">
      <c r="A1109" s="10">
        <v>296</v>
      </c>
      <c r="B1109" s="10">
        <v>341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958.54514000000017</v>
      </c>
      <c r="G1109" s="12">
        <f ca="1">(RANDBETWEEN(50,100)/100)*(dict_DQ_Meth_max[[#This Row],[Vergleich_ub]]-dict_DQ_Meth_max[[#This Row],[Vergleich_lb]])+dict_DQ_Meth_max[[#This Row],[Vergleich_lb]]</f>
        <v>2678.05645</v>
      </c>
      <c r="H1109" s="11" t="str">
        <f ca="1">VLOOKUP(VLOOKUP(dict_DQ_Meth_max[[#This Row],[ID_DataQualities]],table_DataQualities[],3),table_Units[],2)</f>
        <v>Hz</v>
      </c>
      <c r="I1109" s="10"/>
      <c r="J1109" s="10"/>
      <c r="K1109" s="10"/>
      <c r="L1109" s="10">
        <f ca="1">VLOOKUP(dict_DQ_Meth_max[[#This Row],[ID_DataQualities]],table_DataQualities[],8,FALSE)</f>
        <v>0.129</v>
      </c>
      <c r="M1109" s="10">
        <f ca="1">VLOOKUP(dict_DQ_Meth_max[[#This Row],[ID_DataQualities]],table_DataQualities[],9,FALSE)</f>
        <v>2819</v>
      </c>
    </row>
    <row r="1110" spans="1:13" x14ac:dyDescent="0.45">
      <c r="A1110" s="10">
        <v>296</v>
      </c>
      <c r="B1110" s="10">
        <v>652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253.82738999999998</v>
      </c>
      <c r="G1110" s="12">
        <f ca="1">(RANDBETWEEN(50,100)/100)*(dict_DQ_Meth_max[[#This Row],[Vergleich_ub]]-dict_DQ_Meth_max[[#This Row],[Vergleich_lb]])+dict_DQ_Meth_max[[#This Row],[Vergleich_lb]]</f>
        <v>1973.3386999999998</v>
      </c>
      <c r="H1110" s="11" t="str">
        <f ca="1">VLOOKUP(VLOOKUP(dict_DQ_Meth_max[[#This Row],[ID_DataQualities]],table_DataQualities[],3),table_Units[],2)</f>
        <v>Hz</v>
      </c>
      <c r="I1110" s="10"/>
      <c r="J1110" s="10"/>
      <c r="K1110" s="10"/>
      <c r="L1110" s="10">
        <f ca="1">VLOOKUP(dict_DQ_Meth_max[[#This Row],[ID_DataQualities]],table_DataQualities[],8,FALSE)</f>
        <v>0.129</v>
      </c>
      <c r="M1110" s="10">
        <f ca="1">VLOOKUP(dict_DQ_Meth_max[[#This Row],[ID_DataQualities]],table_DataQualities[],9,FALSE)</f>
        <v>2819</v>
      </c>
    </row>
    <row r="1111" spans="1:13" x14ac:dyDescent="0.45">
      <c r="A1111" s="10">
        <v>297</v>
      </c>
      <c r="B1111" s="10">
        <v>359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1.47983</v>
      </c>
      <c r="G1111" s="12">
        <f ca="1">(RANDBETWEEN(50,100)/100)*(dict_DQ_Meth_max[[#This Row],[Vergleich_ub]]-dict_DQ_Meth_max[[#This Row],[Vergleich_lb]])+dict_DQ_Meth_max[[#This Row],[Vergleich_lb]]</f>
        <v>7.7431100000000006</v>
      </c>
      <c r="H1111" s="11" t="str">
        <f ca="1">VLOOKUP(VLOOKUP(dict_DQ_Meth_max[[#This Row],[ID_DataQualities]],table_DataQualities[],3),table_Units[],2)</f>
        <v>+/- W</v>
      </c>
      <c r="I1111" s="10"/>
      <c r="J1111" s="10"/>
      <c r="K1111" s="10"/>
      <c r="L1111" s="10">
        <f ca="1">VLOOKUP(dict_DQ_Meth_max[[#This Row],[ID_DataQualities]],table_DataQualities[],8,FALSE)</f>
        <v>1E-3</v>
      </c>
      <c r="M1111" s="10">
        <f ca="1">VLOOKUP(dict_DQ_Meth_max[[#This Row],[ID_DataQualities]],table_DataQualities[],9,FALSE)</f>
        <v>8.6999999999999993</v>
      </c>
    </row>
    <row r="1112" spans="1:13" x14ac:dyDescent="0.45">
      <c r="A1112" s="10">
        <v>297</v>
      </c>
      <c r="B1112" s="10">
        <v>652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1.7407999999999999</v>
      </c>
      <c r="G1112" s="12">
        <f ca="1">(RANDBETWEEN(50,100)/100)*(dict_DQ_Meth_max[[#This Row],[Vergleich_ub]]-dict_DQ_Meth_max[[#This Row],[Vergleich_lb]])+dict_DQ_Meth_max[[#This Row],[Vergleich_lb]]</f>
        <v>7.5691300000000004</v>
      </c>
      <c r="H1112" s="11" t="str">
        <f ca="1">VLOOKUP(VLOOKUP(dict_DQ_Meth_max[[#This Row],[ID_DataQualities]],table_DataQualities[],3),table_Units[],2)</f>
        <v>+/- W</v>
      </c>
      <c r="I1112" s="10"/>
      <c r="J1112" s="10"/>
      <c r="K1112" s="10"/>
      <c r="L1112" s="10">
        <f ca="1">VLOOKUP(dict_DQ_Meth_max[[#This Row],[ID_DataQualities]],table_DataQualities[],8,FALSE)</f>
        <v>1E-3</v>
      </c>
      <c r="M1112" s="10">
        <f ca="1">VLOOKUP(dict_DQ_Meth_max[[#This Row],[ID_DataQualities]],table_DataQualities[],9,FALSE)</f>
        <v>8.6999999999999993</v>
      </c>
    </row>
    <row r="1113" spans="1:13" x14ac:dyDescent="0.45">
      <c r="A1113" s="10">
        <v>297</v>
      </c>
      <c r="B1113" s="10">
        <v>341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2.5237099999999995</v>
      </c>
      <c r="G1113" s="12">
        <f ca="1">(RANDBETWEEN(50,100)/100)*(dict_DQ_Meth_max[[#This Row],[Vergleich_ub]]-dict_DQ_Meth_max[[#This Row],[Vergleich_lb]])+dict_DQ_Meth_max[[#This Row],[Vergleich_lb]]</f>
        <v>6.3512700000000004</v>
      </c>
      <c r="H1113" s="11" t="str">
        <f ca="1">VLOOKUP(VLOOKUP(dict_DQ_Meth_max[[#This Row],[ID_DataQualities]],table_DataQualities[],3),table_Units[],2)</f>
        <v>+/- W</v>
      </c>
      <c r="I1113" s="10"/>
      <c r="J1113" s="10"/>
      <c r="K1113" s="10"/>
      <c r="L1113" s="10">
        <f ca="1">VLOOKUP(dict_DQ_Meth_max[[#This Row],[ID_DataQualities]],table_DataQualities[],8,FALSE)</f>
        <v>1E-3</v>
      </c>
      <c r="M1113" s="10">
        <f ca="1">VLOOKUP(dict_DQ_Meth_max[[#This Row],[ID_DataQualities]],table_DataQualities[],9,FALSE)</f>
        <v>8.6999999999999993</v>
      </c>
    </row>
    <row r="1114" spans="1:13" x14ac:dyDescent="0.45">
      <c r="A1114" s="10">
        <v>297</v>
      </c>
      <c r="B1114" s="10">
        <v>52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2.6106999999999996</v>
      </c>
      <c r="G1114" s="12">
        <f ca="1">(RANDBETWEEN(50,100)/100)*(dict_DQ_Meth_max[[#This Row],[Vergleich_ub]]-dict_DQ_Meth_max[[#This Row],[Vergleich_lb]])+dict_DQ_Meth_max[[#This Row],[Vergleich_lb]]</f>
        <v>7.5691300000000004</v>
      </c>
      <c r="H1114" s="11" t="str">
        <f ca="1">VLOOKUP(VLOOKUP(dict_DQ_Meth_max[[#This Row],[ID_DataQualities]],table_DataQualities[],3),table_Units[],2)</f>
        <v>+/- W</v>
      </c>
      <c r="I1114" s="10"/>
      <c r="J1114" s="10"/>
      <c r="K1114" s="10"/>
      <c r="L1114" s="10">
        <f ca="1">VLOOKUP(dict_DQ_Meth_max[[#This Row],[ID_DataQualities]],table_DataQualities[],8,FALSE)</f>
        <v>1E-3</v>
      </c>
      <c r="M1114" s="10">
        <f ca="1">VLOOKUP(dict_DQ_Meth_max[[#This Row],[ID_DataQualities]],table_DataQualities[],9,FALSE)</f>
        <v>8.6999999999999993</v>
      </c>
    </row>
    <row r="1115" spans="1:13" x14ac:dyDescent="0.45">
      <c r="A1115" s="10">
        <v>297</v>
      </c>
      <c r="B1115" s="10">
        <v>307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4.0025400000000007</v>
      </c>
      <c r="G1115" s="12">
        <f ca="1">(RANDBETWEEN(50,100)/100)*(dict_DQ_Meth_max[[#This Row],[Vergleich_ub]]-dict_DQ_Meth_max[[#This Row],[Vergleich_lb]])+dict_DQ_Meth_max[[#This Row],[Vergleich_lb]]</f>
        <v>6.0033099999999999</v>
      </c>
      <c r="H1115" s="11" t="str">
        <f ca="1">VLOOKUP(VLOOKUP(dict_DQ_Meth_max[[#This Row],[ID_DataQualities]],table_DataQualities[],3),table_Units[],2)</f>
        <v>+/- W</v>
      </c>
      <c r="I1115" s="10"/>
      <c r="J1115" s="10"/>
      <c r="K1115" s="10"/>
      <c r="L1115" s="10">
        <f ca="1">VLOOKUP(dict_DQ_Meth_max[[#This Row],[ID_DataQualities]],table_DataQualities[],8,FALSE)</f>
        <v>1E-3</v>
      </c>
      <c r="M1115" s="10">
        <f ca="1">VLOOKUP(dict_DQ_Meth_max[[#This Row],[ID_DataQualities]],table_DataQualities[],9,FALSE)</f>
        <v>8.6999999999999993</v>
      </c>
    </row>
    <row r="1116" spans="1:13" x14ac:dyDescent="0.45">
      <c r="A1116" s="10">
        <v>298</v>
      </c>
      <c r="B1116" s="10">
        <v>122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611.58777999999995</v>
      </c>
      <c r="G1116" s="12">
        <f ca="1">(RANDBETWEEN(50,100)/100)*(dict_DQ_Meth_max[[#This Row],[Vergleich_ub]]-dict_DQ_Meth_max[[#This Row],[Vergleich_lb]])+dict_DQ_Meth_max[[#This Row],[Vergleich_lb]]</f>
        <v>2139.6797299999998</v>
      </c>
      <c r="H1116" s="11" t="str">
        <f ca="1">VLOOKUP(VLOOKUP(dict_DQ_Meth_max[[#This Row],[ID_DataQualities]],table_DataQualities[],3),table_Units[],2)</f>
        <v>Hz</v>
      </c>
      <c r="I1116" s="10"/>
      <c r="J1116" s="10"/>
      <c r="K1116" s="10"/>
      <c r="L1116" s="10">
        <f ca="1">VLOOKUP(dict_DQ_Meth_max[[#This Row],[ID_DataQualities]],table_DataQualities[],8,FALSE)</f>
        <v>0.35099999999999998</v>
      </c>
      <c r="M1116" s="10">
        <f ca="1">VLOOKUP(dict_DQ_Meth_max[[#This Row],[ID_DataQualities]],table_DataQualities[],9,FALSE)</f>
        <v>2778.7</v>
      </c>
    </row>
    <row r="1117" spans="1:13" x14ac:dyDescent="0.45">
      <c r="A1117" s="10">
        <v>298</v>
      </c>
      <c r="B1117" s="10">
        <v>366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722.72173999999995</v>
      </c>
      <c r="G1117" s="12">
        <f ca="1">(RANDBETWEEN(50,100)/100)*(dict_DQ_Meth_max[[#This Row],[Vergleich_ub]]-dict_DQ_Meth_max[[#This Row],[Vergleich_lb]])+dict_DQ_Meth_max[[#This Row],[Vergleich_lb]]</f>
        <v>2473.0816099999997</v>
      </c>
      <c r="H1117" s="11" t="str">
        <f ca="1">VLOOKUP(VLOOKUP(dict_DQ_Meth_max[[#This Row],[ID_DataQualities]],table_DataQualities[],3),table_Units[],2)</f>
        <v>Hz</v>
      </c>
      <c r="I1117" s="10"/>
      <c r="J1117" s="10"/>
      <c r="K1117" s="10"/>
      <c r="L1117" s="10">
        <f ca="1">VLOOKUP(dict_DQ_Meth_max[[#This Row],[ID_DataQualities]],table_DataQualities[],8,FALSE)</f>
        <v>0.35099999999999998</v>
      </c>
      <c r="M1117" s="10">
        <f ca="1">VLOOKUP(dict_DQ_Meth_max[[#This Row],[ID_DataQualities]],table_DataQualities[],9,FALSE)</f>
        <v>2778.7</v>
      </c>
    </row>
    <row r="1118" spans="1:13" x14ac:dyDescent="0.45">
      <c r="A1118" s="10">
        <v>298</v>
      </c>
      <c r="B1118" s="10">
        <v>483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1278.3915400000001</v>
      </c>
      <c r="G1118" s="12">
        <f ca="1">(RANDBETWEEN(50,100)/100)*(dict_DQ_Meth_max[[#This Row],[Vergleich_ub]]-dict_DQ_Meth_max[[#This Row],[Vergleich_lb]])+dict_DQ_Meth_max[[#This Row],[Vergleich_lb]]</f>
        <v>2528.6485899999998</v>
      </c>
      <c r="H1118" s="11" t="str">
        <f ca="1">VLOOKUP(VLOOKUP(dict_DQ_Meth_max[[#This Row],[ID_DataQualities]],table_DataQualities[],3),table_Units[],2)</f>
        <v>Hz</v>
      </c>
      <c r="I1118" s="10"/>
      <c r="J1118" s="10"/>
      <c r="K1118" s="10"/>
      <c r="L1118" s="10">
        <f ca="1">VLOOKUP(dict_DQ_Meth_max[[#This Row],[ID_DataQualities]],table_DataQualities[],8,FALSE)</f>
        <v>0.35099999999999998</v>
      </c>
      <c r="M1118" s="10">
        <f ca="1">VLOOKUP(dict_DQ_Meth_max[[#This Row],[ID_DataQualities]],table_DataQualities[],9,FALSE)</f>
        <v>2778.7</v>
      </c>
    </row>
    <row r="1119" spans="1:13" x14ac:dyDescent="0.45">
      <c r="A1119" s="10">
        <v>299</v>
      </c>
      <c r="B1119" s="10">
        <v>366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0.82280000000000009</v>
      </c>
      <c r="G1119" s="12">
        <f ca="1">(RANDBETWEEN(50,100)/100)*(dict_DQ_Meth_max[[#This Row],[Vergleich_ub]]-dict_DQ_Meth_max[[#This Row],[Vergleich_lb]])+dict_DQ_Meth_max[[#This Row],[Vergleich_lb]]</f>
        <v>6.49</v>
      </c>
      <c r="H1119" s="11" t="str">
        <f ca="1">VLOOKUP(VLOOKUP(dict_DQ_Meth_max[[#This Row],[ID_DataQualities]],table_DataQualities[],3),table_Units[],2)</f>
        <v>+/- W</v>
      </c>
      <c r="I1119" s="10"/>
      <c r="J1119" s="10"/>
      <c r="K1119" s="10"/>
      <c r="L1119" s="10">
        <f ca="1">VLOOKUP(dict_DQ_Meth_max[[#This Row],[ID_DataQualities]],table_DataQualities[],8,FALSE)</f>
        <v>0.05</v>
      </c>
      <c r="M1119" s="10">
        <f ca="1">VLOOKUP(dict_DQ_Meth_max[[#This Row],[ID_DataQualities]],table_DataQualities[],9,FALSE)</f>
        <v>6.49</v>
      </c>
    </row>
    <row r="1120" spans="1:13" x14ac:dyDescent="0.45">
      <c r="A1120" s="10">
        <v>299</v>
      </c>
      <c r="B1120" s="10">
        <v>122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3.2056</v>
      </c>
      <c r="G1120" s="12">
        <f ca="1">(RANDBETWEEN(50,100)/100)*(dict_DQ_Meth_max[[#This Row],[Vergleich_ub]]-dict_DQ_Meth_max[[#This Row],[Vergleich_lb]])+dict_DQ_Meth_max[[#This Row],[Vergleich_lb]]</f>
        <v>5.5884</v>
      </c>
      <c r="H1120" s="11" t="str">
        <f ca="1">VLOOKUP(VLOOKUP(dict_DQ_Meth_max[[#This Row],[ID_DataQualities]],table_DataQualities[],3),table_Units[],2)</f>
        <v>+/- W</v>
      </c>
      <c r="I1120" s="10"/>
      <c r="J1120" s="10"/>
      <c r="K1120" s="10"/>
      <c r="L1120" s="10">
        <f ca="1">VLOOKUP(dict_DQ_Meth_max[[#This Row],[ID_DataQualities]],table_DataQualities[],8,FALSE)</f>
        <v>0.05</v>
      </c>
      <c r="M1120" s="10">
        <f ca="1">VLOOKUP(dict_DQ_Meth_max[[#This Row],[ID_DataQualities]],table_DataQualities[],9,FALSE)</f>
        <v>6.49</v>
      </c>
    </row>
    <row r="1121" spans="1:13" x14ac:dyDescent="0.45">
      <c r="A1121" s="10">
        <v>299</v>
      </c>
      <c r="B1121" s="10">
        <v>483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0.62960000000000005</v>
      </c>
      <c r="G1121" s="12">
        <f ca="1">(RANDBETWEEN(50,100)/100)*(dict_DQ_Meth_max[[#This Row],[Vergleich_ub]]-dict_DQ_Meth_max[[#This Row],[Vergleich_lb]])+dict_DQ_Meth_max[[#This Row],[Vergleich_lb]]</f>
        <v>3.3344</v>
      </c>
      <c r="H1121" s="11" t="str">
        <f ca="1">VLOOKUP(VLOOKUP(dict_DQ_Meth_max[[#This Row],[ID_DataQualities]],table_DataQualities[],3),table_Units[],2)</f>
        <v>+/- W</v>
      </c>
      <c r="I1121" s="10"/>
      <c r="J1121" s="10"/>
      <c r="K1121" s="10"/>
      <c r="L1121" s="10">
        <f ca="1">VLOOKUP(dict_DQ_Meth_max[[#This Row],[ID_DataQualities]],table_DataQualities[],8,FALSE)</f>
        <v>0.05</v>
      </c>
      <c r="M1121" s="10">
        <f ca="1">VLOOKUP(dict_DQ_Meth_max[[#This Row],[ID_DataQualities]],table_DataQualities[],9,FALSE)</f>
        <v>6.49</v>
      </c>
    </row>
    <row r="1122" spans="1:13" x14ac:dyDescent="0.45">
      <c r="A1122" s="10">
        <v>300</v>
      </c>
      <c r="B1122" s="10">
        <v>264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1105.9407000000001</v>
      </c>
      <c r="G1122" s="12">
        <f ca="1">(RANDBETWEEN(50,100)/100)*(dict_DQ_Meth_max[[#This Row],[Vergleich_ub]]-dict_DQ_Meth_max[[#This Row],[Vergleich_lb]])+dict_DQ_Meth_max[[#This Row],[Vergleich_lb]]</f>
        <v>4623.0452000000005</v>
      </c>
      <c r="H1122" s="11" t="str">
        <f ca="1">VLOOKUP(VLOOKUP(dict_DQ_Meth_max[[#This Row],[ID_DataQualities]],table_DataQualities[],3),table_Units[],2)</f>
        <v>Hz</v>
      </c>
      <c r="I1122" s="10"/>
      <c r="J1122" s="10"/>
      <c r="K1122" s="10"/>
      <c r="L1122" s="10">
        <f ca="1">VLOOKUP(dict_DQ_Meth_max[[#This Row],[ID_DataQualities]],table_DataQualities[],8,FALSE)</f>
        <v>0.56499999999999995</v>
      </c>
      <c r="M1122" s="10">
        <f ca="1">VLOOKUP(dict_DQ_Meth_max[[#This Row],[ID_DataQualities]],table_DataQualities[],9,FALSE)</f>
        <v>5025</v>
      </c>
    </row>
    <row r="1123" spans="1:13" x14ac:dyDescent="0.45">
      <c r="A1123" s="10">
        <v>300</v>
      </c>
      <c r="B1123" s="10">
        <v>149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2110.8277000000003</v>
      </c>
      <c r="G1123" s="12">
        <f ca="1">(RANDBETWEEN(50,100)/100)*(dict_DQ_Meth_max[[#This Row],[Vergleich_ub]]-dict_DQ_Meth_max[[#This Row],[Vergleich_lb]])+dict_DQ_Meth_max[[#This Row],[Vergleich_lb]]</f>
        <v>4974.7556500000001</v>
      </c>
      <c r="H1123" s="11" t="str">
        <f ca="1">VLOOKUP(VLOOKUP(dict_DQ_Meth_max[[#This Row],[ID_DataQualities]],table_DataQualities[],3),table_Units[],2)</f>
        <v>Hz</v>
      </c>
      <c r="I1123" s="10"/>
      <c r="J1123" s="10"/>
      <c r="K1123" s="10"/>
      <c r="L1123" s="10">
        <f ca="1">VLOOKUP(dict_DQ_Meth_max[[#This Row],[ID_DataQualities]],table_DataQualities[],8,FALSE)</f>
        <v>0.56499999999999995</v>
      </c>
      <c r="M1123" s="10">
        <f ca="1">VLOOKUP(dict_DQ_Meth_max[[#This Row],[ID_DataQualities]],table_DataQualities[],9,FALSE)</f>
        <v>5025</v>
      </c>
    </row>
    <row r="1124" spans="1:13" x14ac:dyDescent="0.45">
      <c r="A1124" s="10">
        <v>300</v>
      </c>
      <c r="B1124" s="10">
        <v>47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1306.9181000000001</v>
      </c>
      <c r="G1124" s="12">
        <f ca="1">(RANDBETWEEN(50,100)/100)*(dict_DQ_Meth_max[[#This Row],[Vergleich_ub]]-dict_DQ_Meth_max[[#This Row],[Vergleich_lb]])+dict_DQ_Meth_max[[#This Row],[Vergleich_lb]]</f>
        <v>4070.3573500000007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0.56499999999999995</v>
      </c>
      <c r="M1124" s="10">
        <f ca="1">VLOOKUP(dict_DQ_Meth_max[[#This Row],[ID_DataQualities]],table_DataQualities[],9,FALSE)</f>
        <v>5025</v>
      </c>
    </row>
    <row r="1125" spans="1:13" x14ac:dyDescent="0.45">
      <c r="A1125" s="10">
        <v>300</v>
      </c>
      <c r="B1125" s="10">
        <v>602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2110.8277000000003</v>
      </c>
      <c r="G1125" s="12">
        <f ca="1">(RANDBETWEEN(50,100)/100)*(dict_DQ_Meth_max[[#This Row],[Vergleich_ub]]-dict_DQ_Meth_max[[#This Row],[Vergleich_lb]])+dict_DQ_Meth_max[[#This Row],[Vergleich_lb]]</f>
        <v>4924.5113000000001</v>
      </c>
      <c r="H1125" s="11" t="str">
        <f ca="1">VLOOKUP(VLOOKUP(dict_DQ_Meth_max[[#This Row],[ID_DataQualities]],table_DataQualities[],3),table_Units[],2)</f>
        <v>Hz</v>
      </c>
      <c r="I1125" s="10"/>
      <c r="J1125" s="10"/>
      <c r="K1125" s="10"/>
      <c r="L1125" s="10">
        <f ca="1">VLOOKUP(dict_DQ_Meth_max[[#This Row],[ID_DataQualities]],table_DataQualities[],8,FALSE)</f>
        <v>0.56499999999999995</v>
      </c>
      <c r="M1125" s="10">
        <f ca="1">VLOOKUP(dict_DQ_Meth_max[[#This Row],[ID_DataQualities]],table_DataQualities[],9,FALSE)</f>
        <v>5025</v>
      </c>
    </row>
    <row r="1126" spans="1:13" x14ac:dyDescent="0.45">
      <c r="A1126" s="10">
        <v>301</v>
      </c>
      <c r="B1126" s="10">
        <v>264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1.4460000000000002</v>
      </c>
      <c r="G1126" s="12">
        <f ca="1">(RANDBETWEEN(50,100)/100)*(dict_DQ_Meth_max[[#This Row],[Vergleich_ub]]-dict_DQ_Meth_max[[#This Row],[Vergleich_lb]])+dict_DQ_Meth_max[[#This Row],[Vergleich_lb]]</f>
        <v>1.992</v>
      </c>
      <c r="H1126" s="11" t="str">
        <f ca="1">VLOOKUP(VLOOKUP(dict_DQ_Meth_max[[#This Row],[ID_DataQualities]],table_DataQualities[],3),table_Units[],2)</f>
        <v>+/- °C</v>
      </c>
      <c r="I1126" s="10"/>
      <c r="J1126" s="10"/>
      <c r="K1126" s="10"/>
      <c r="L1126" s="10">
        <f ca="1">VLOOKUP(dict_DQ_Meth_max[[#This Row],[ID_DataQualities]],table_DataQualities[],8,FALSE)</f>
        <v>0.9</v>
      </c>
      <c r="M1126" s="10">
        <f ca="1">VLOOKUP(dict_DQ_Meth_max[[#This Row],[ID_DataQualities]],table_DataQualities[],9,FALSE)</f>
        <v>3</v>
      </c>
    </row>
    <row r="1127" spans="1:13" x14ac:dyDescent="0.45">
      <c r="A1127" s="10">
        <v>301</v>
      </c>
      <c r="B1127" s="10">
        <v>149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1.8240000000000001</v>
      </c>
      <c r="G1127" s="12">
        <f ca="1">(RANDBETWEEN(50,100)/100)*(dict_DQ_Meth_max[[#This Row],[Vergleich_ub]]-dict_DQ_Meth_max[[#This Row],[Vergleich_lb]])+dict_DQ_Meth_max[[#This Row],[Vergleich_lb]]</f>
        <v>2.6219999999999999</v>
      </c>
      <c r="H1127" s="11" t="str">
        <f ca="1">VLOOKUP(VLOOKUP(dict_DQ_Meth_max[[#This Row],[ID_DataQualities]],table_DataQualities[],3),table_Units[],2)</f>
        <v>+/- °C</v>
      </c>
      <c r="I1127" s="10"/>
      <c r="J1127" s="10"/>
      <c r="K1127" s="10"/>
      <c r="L1127" s="10">
        <f ca="1">VLOOKUP(dict_DQ_Meth_max[[#This Row],[ID_DataQualities]],table_DataQualities[],8,FALSE)</f>
        <v>0.9</v>
      </c>
      <c r="M1127" s="10">
        <f ca="1">VLOOKUP(dict_DQ_Meth_max[[#This Row],[ID_DataQualities]],table_DataQualities[],9,FALSE)</f>
        <v>3</v>
      </c>
    </row>
    <row r="1128" spans="1:13" x14ac:dyDescent="0.45">
      <c r="A1128" s="10">
        <v>301</v>
      </c>
      <c r="B1128" s="10">
        <v>47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1.4039999999999999</v>
      </c>
      <c r="G1128" s="12">
        <f ca="1">(RANDBETWEEN(50,100)/100)*(dict_DQ_Meth_max[[#This Row],[Vergleich_ub]]-dict_DQ_Meth_max[[#This Row],[Vergleich_lb]])+dict_DQ_Meth_max[[#This Row],[Vergleich_lb]]</f>
        <v>2.181</v>
      </c>
      <c r="H1128" s="11" t="str">
        <f ca="1">VLOOKUP(VLOOKUP(dict_DQ_Meth_max[[#This Row],[ID_DataQualities]],table_DataQualities[],3),table_Units[],2)</f>
        <v>+/- °C</v>
      </c>
      <c r="I1128" s="10"/>
      <c r="J1128" s="10"/>
      <c r="K1128" s="10"/>
      <c r="L1128" s="10">
        <f ca="1">VLOOKUP(dict_DQ_Meth_max[[#This Row],[ID_DataQualities]],table_DataQualities[],8,FALSE)</f>
        <v>0.9</v>
      </c>
      <c r="M1128" s="10">
        <f ca="1">VLOOKUP(dict_DQ_Meth_max[[#This Row],[ID_DataQualities]],table_DataQualities[],9,FALSE)</f>
        <v>3</v>
      </c>
    </row>
    <row r="1129" spans="1:13" x14ac:dyDescent="0.45">
      <c r="A1129" s="10">
        <v>301</v>
      </c>
      <c r="B1129" s="10">
        <v>602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1.2150000000000001</v>
      </c>
      <c r="G1129" s="12">
        <f ca="1">(RANDBETWEEN(50,100)/100)*(dict_DQ_Meth_max[[#This Row],[Vergleich_ub]]-dict_DQ_Meth_max[[#This Row],[Vergleich_lb]])+dict_DQ_Meth_max[[#This Row],[Vergleich_lb]]</f>
        <v>1.992</v>
      </c>
      <c r="H1129" s="11" t="str">
        <f ca="1">VLOOKUP(VLOOKUP(dict_DQ_Meth_max[[#This Row],[ID_DataQualities]],table_DataQualities[],3),table_Units[],2)</f>
        <v>+/- °C</v>
      </c>
      <c r="I1129" s="10"/>
      <c r="J1129" s="10"/>
      <c r="K1129" s="10"/>
      <c r="L1129" s="10">
        <f ca="1">VLOOKUP(dict_DQ_Meth_max[[#This Row],[ID_DataQualities]],table_DataQualities[],8,FALSE)</f>
        <v>0.9</v>
      </c>
      <c r="M1129" s="10">
        <f ca="1">VLOOKUP(dict_DQ_Meth_max[[#This Row],[ID_DataQualities]],table_DataQualities[],9,FALSE)</f>
        <v>3</v>
      </c>
    </row>
    <row r="1130" spans="1:13" x14ac:dyDescent="0.45">
      <c r="A1130" s="10">
        <v>302</v>
      </c>
      <c r="B1130" s="10">
        <v>47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1350.7273600000001</v>
      </c>
      <c r="G1130" s="12">
        <f ca="1">(RANDBETWEEN(50,100)/100)*(dict_DQ_Meth_max[[#This Row],[Vergleich_ub]]-dict_DQ_Meth_max[[#This Row],[Vergleich_lb]])+dict_DQ_Meth_max[[#This Row],[Vergleich_lb]]</f>
        <v>2827.9191599999999</v>
      </c>
      <c r="H1130" s="11" t="str">
        <f ca="1">VLOOKUP(VLOOKUP(dict_DQ_Meth_max[[#This Row],[ID_DataQualities]],table_DataQualities[],3),table_Units[],2)</f>
        <v>Hz</v>
      </c>
      <c r="I1130" s="10"/>
      <c r="J1130" s="10"/>
      <c r="K1130" s="10"/>
      <c r="L1130" s="10">
        <f ca="1">VLOOKUP(dict_DQ_Meth_max[[#This Row],[ID_DataQualities]],table_DataQualities[],8,FALSE)</f>
        <v>0.152</v>
      </c>
      <c r="M1130" s="10">
        <f ca="1">VLOOKUP(dict_DQ_Meth_max[[#This Row],[ID_DataQualities]],table_DataQualities[],9,FALSE)</f>
        <v>4220.7</v>
      </c>
    </row>
    <row r="1131" spans="1:13" x14ac:dyDescent="0.45">
      <c r="A1131" s="10">
        <v>302</v>
      </c>
      <c r="B1131" s="10">
        <v>311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1013.0835199999999</v>
      </c>
      <c r="G1131" s="12">
        <f ca="1">(RANDBETWEEN(50,100)/100)*(dict_DQ_Meth_max[[#This Row],[Vergleich_ub]]-dict_DQ_Meth_max[[#This Row],[Vergleich_lb]])+dict_DQ_Meth_max[[#This Row],[Vergleich_lb]]</f>
        <v>4220.7</v>
      </c>
      <c r="H1131" s="11" t="str">
        <f ca="1">VLOOKUP(VLOOKUP(dict_DQ_Meth_max[[#This Row],[ID_DataQualities]],table_DataQualities[],3),table_Units[],2)</f>
        <v>Hz</v>
      </c>
      <c r="I1131" s="10"/>
      <c r="J1131" s="10"/>
      <c r="K1131" s="10"/>
      <c r="L1131" s="10">
        <f ca="1">VLOOKUP(dict_DQ_Meth_max[[#This Row],[ID_DataQualities]],table_DataQualities[],8,FALSE)</f>
        <v>0.152</v>
      </c>
      <c r="M1131" s="10">
        <f ca="1">VLOOKUP(dict_DQ_Meth_max[[#This Row],[ID_DataQualities]],table_DataQualities[],9,FALSE)</f>
        <v>4220.7</v>
      </c>
    </row>
    <row r="1132" spans="1:13" x14ac:dyDescent="0.45">
      <c r="A1132" s="10">
        <v>302</v>
      </c>
      <c r="B1132" s="10">
        <v>495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970.87804000000006</v>
      </c>
      <c r="G1132" s="12">
        <f ca="1">(RANDBETWEEN(50,100)/100)*(dict_DQ_Meth_max[[#This Row],[Vergleich_ub]]-dict_DQ_Meth_max[[#This Row],[Vergleich_lb]])+dict_DQ_Meth_max[[#This Row],[Vergleich_lb]]</f>
        <v>3629.8232799999996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0.152</v>
      </c>
      <c r="M1132" s="10">
        <f ca="1">VLOOKUP(dict_DQ_Meth_max[[#This Row],[ID_DataQualities]],table_DataQualities[],9,FALSE)</f>
        <v>4220.7</v>
      </c>
    </row>
    <row r="1133" spans="1:13" x14ac:dyDescent="0.45">
      <c r="A1133" s="10">
        <v>302</v>
      </c>
      <c r="B1133" s="10">
        <v>1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1814.9876399999998</v>
      </c>
      <c r="G1133" s="12">
        <f ca="1">(RANDBETWEEN(50,100)/100)*(dict_DQ_Meth_max[[#This Row],[Vergleich_ub]]-dict_DQ_Meth_max[[#This Row],[Vergleich_lb]])+dict_DQ_Meth_max[[#This Row],[Vergleich_lb]]</f>
        <v>2954.5355999999997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0.152</v>
      </c>
      <c r="M1133" s="10">
        <f ca="1">VLOOKUP(dict_DQ_Meth_max[[#This Row],[ID_DataQualities]],table_DataQualities[],9,FALSE)</f>
        <v>4220.7</v>
      </c>
    </row>
    <row r="1134" spans="1:13" x14ac:dyDescent="0.45">
      <c r="A1134" s="10">
        <v>303</v>
      </c>
      <c r="B1134" s="10">
        <v>47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1.9740699999999998</v>
      </c>
      <c r="G1134" s="12">
        <f ca="1">(RANDBETWEEN(50,100)/100)*(dict_DQ_Meth_max[[#This Row],[Vergleich_ub]]-dict_DQ_Meth_max[[#This Row],[Vergleich_lb]])+dict_DQ_Meth_max[[#This Row],[Vergleich_lb]]</f>
        <v>4.6826800000000004</v>
      </c>
      <c r="H1134" s="11" t="str">
        <f ca="1">VLOOKUP(VLOOKUP(dict_DQ_Meth_max[[#This Row],[ID_DataQualities]],table_DataQualities[],3),table_Units[],2)</f>
        <v>+/- mm</v>
      </c>
      <c r="I1134" s="10"/>
      <c r="J1134" s="10"/>
      <c r="K1134" s="10"/>
      <c r="L1134" s="10">
        <f ca="1">VLOOKUP(dict_DQ_Meth_max[[#This Row],[ID_DataQualities]],table_DataQualities[],8,FALSE)</f>
        <v>8.9999999999999993E-3</v>
      </c>
      <c r="M1134" s="10">
        <f ca="1">VLOOKUP(dict_DQ_Meth_max[[#This Row],[ID_DataQualities]],table_DataQualities[],9,FALSE)</f>
        <v>5.32</v>
      </c>
    </row>
    <row r="1135" spans="1:13" x14ac:dyDescent="0.45">
      <c r="A1135" s="10">
        <v>303</v>
      </c>
      <c r="B1135" s="10">
        <v>1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1.6554099999999998</v>
      </c>
      <c r="G1135" s="12">
        <f ca="1">(RANDBETWEEN(50,100)/100)*(dict_DQ_Meth_max[[#This Row],[Vergleich_ub]]-dict_DQ_Meth_max[[#This Row],[Vergleich_lb]])+dict_DQ_Meth_max[[#This Row],[Vergleich_lb]]</f>
        <v>3.6735899999999995</v>
      </c>
      <c r="H1135" s="11" t="str">
        <f ca="1">VLOOKUP(VLOOKUP(dict_DQ_Meth_max[[#This Row],[ID_DataQualities]],table_DataQualities[],3),table_Units[],2)</f>
        <v>+/- mm</v>
      </c>
      <c r="I1135" s="10"/>
      <c r="J1135" s="10"/>
      <c r="K1135" s="10"/>
      <c r="L1135" s="10">
        <f ca="1">VLOOKUP(dict_DQ_Meth_max[[#This Row],[ID_DataQualities]],table_DataQualities[],8,FALSE)</f>
        <v>8.9999999999999993E-3</v>
      </c>
      <c r="M1135" s="10">
        <f ca="1">VLOOKUP(dict_DQ_Meth_max[[#This Row],[ID_DataQualities]],table_DataQualities[],9,FALSE)</f>
        <v>5.32</v>
      </c>
    </row>
    <row r="1136" spans="1:13" x14ac:dyDescent="0.45">
      <c r="A1136" s="10">
        <v>303</v>
      </c>
      <c r="B1136" s="10">
        <v>495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2.6113899999999997</v>
      </c>
      <c r="G1136" s="12">
        <f ca="1">(RANDBETWEEN(50,100)/100)*(dict_DQ_Meth_max[[#This Row],[Vergleich_ub]]-dict_DQ_Meth_max[[#This Row],[Vergleich_lb]])+dict_DQ_Meth_max[[#This Row],[Vergleich_lb]]</f>
        <v>3.1955999999999998</v>
      </c>
      <c r="H1136" s="11" t="str">
        <f ca="1">VLOOKUP(VLOOKUP(dict_DQ_Meth_max[[#This Row],[ID_DataQualities]],table_DataQualities[],3),table_Units[],2)</f>
        <v>+/- mm</v>
      </c>
      <c r="I1136" s="10"/>
      <c r="J1136" s="10"/>
      <c r="K1136" s="10"/>
      <c r="L1136" s="10">
        <f ca="1">VLOOKUP(dict_DQ_Meth_max[[#This Row],[ID_DataQualities]],table_DataQualities[],8,FALSE)</f>
        <v>8.9999999999999993E-3</v>
      </c>
      <c r="M1136" s="10">
        <f ca="1">VLOOKUP(dict_DQ_Meth_max[[#This Row],[ID_DataQualities]],table_DataQualities[],9,FALSE)</f>
        <v>5.32</v>
      </c>
    </row>
    <row r="1137" spans="1:13" x14ac:dyDescent="0.45">
      <c r="A1137" s="10">
        <v>303</v>
      </c>
      <c r="B1137" s="10">
        <v>311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0.22144</v>
      </c>
      <c r="G1137" s="12">
        <f ca="1">(RANDBETWEEN(50,100)/100)*(dict_DQ_Meth_max[[#This Row],[Vergleich_ub]]-dict_DQ_Meth_max[[#This Row],[Vergleich_lb]])+dict_DQ_Meth_max[[#This Row],[Vergleich_lb]]</f>
        <v>3.7266999999999997</v>
      </c>
      <c r="H1137" s="11" t="str">
        <f ca="1">VLOOKUP(VLOOKUP(dict_DQ_Meth_max[[#This Row],[ID_DataQualities]],table_DataQualities[],3),table_Units[],2)</f>
        <v>+/- mm</v>
      </c>
      <c r="I1137" s="10"/>
      <c r="J1137" s="10"/>
      <c r="K1137" s="10"/>
      <c r="L1137" s="10">
        <f ca="1">VLOOKUP(dict_DQ_Meth_max[[#This Row],[ID_DataQualities]],table_DataQualities[],8,FALSE)</f>
        <v>8.9999999999999993E-3</v>
      </c>
      <c r="M1137" s="10">
        <f ca="1">VLOOKUP(dict_DQ_Meth_max[[#This Row],[ID_DataQualities]],table_DataQualities[],9,FALSE)</f>
        <v>5.32</v>
      </c>
    </row>
    <row r="1138" spans="1:13" x14ac:dyDescent="0.45">
      <c r="A1138" s="10">
        <v>304</v>
      </c>
      <c r="B1138" s="10">
        <v>624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254.44863999999998</v>
      </c>
      <c r="G1138" s="12">
        <f ca="1">(RANDBETWEEN(50,100)/100)*(dict_DQ_Meth_max[[#This Row],[Vergleich_ub]]-dict_DQ_Meth_max[[#This Row],[Vergleich_lb]])+dict_DQ_Meth_max[[#This Row],[Vergleich_lb]]</f>
        <v>2030.14312</v>
      </c>
      <c r="H1138" s="11" t="str">
        <f ca="1">VLOOKUP(VLOOKUP(dict_DQ_Meth_max[[#This Row],[ID_DataQualities]],table_DataQualities[],3),table_Units[],2)</f>
        <v>Hz</v>
      </c>
      <c r="I1138" s="10"/>
      <c r="J1138" s="10"/>
      <c r="K1138" s="10"/>
      <c r="L1138" s="10">
        <f ca="1">VLOOKUP(dict_DQ_Meth_max[[#This Row],[ID_DataQualities]],table_DataQualities[],8,FALSE)</f>
        <v>0.77800000000000002</v>
      </c>
      <c r="M1138" s="10">
        <f ca="1">VLOOKUP(dict_DQ_Meth_max[[#This Row],[ID_DataQualities]],table_DataQualities[],9,FALSE)</f>
        <v>2114.6999999999998</v>
      </c>
    </row>
    <row r="1139" spans="1:13" x14ac:dyDescent="0.45">
      <c r="A1139" s="10">
        <v>304</v>
      </c>
      <c r="B1139" s="10">
        <v>23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656.09382000000005</v>
      </c>
      <c r="G1139" s="12">
        <f ca="1">(RANDBETWEEN(50,100)/100)*(dict_DQ_Meth_max[[#This Row],[Vergleich_ub]]-dict_DQ_Meth_max[[#This Row],[Vergleich_lb]])+dict_DQ_Meth_max[[#This Row],[Vergleich_lb]]</f>
        <v>1459.38418</v>
      </c>
      <c r="H1139" s="11" t="str">
        <f ca="1">VLOOKUP(VLOOKUP(dict_DQ_Meth_max[[#This Row],[ID_DataQualities]],table_DataQualities[],3),table_Units[],2)</f>
        <v>Hz</v>
      </c>
      <c r="I1139" s="10"/>
      <c r="J1139" s="10"/>
      <c r="K1139" s="10"/>
      <c r="L1139" s="10">
        <f ca="1">VLOOKUP(dict_DQ_Meth_max[[#This Row],[ID_DataQualities]],table_DataQualities[],8,FALSE)</f>
        <v>0.77800000000000002</v>
      </c>
      <c r="M1139" s="10">
        <f ca="1">VLOOKUP(dict_DQ_Meth_max[[#This Row],[ID_DataQualities]],table_DataQualities[],9,FALSE)</f>
        <v>2114.6999999999998</v>
      </c>
    </row>
    <row r="1140" spans="1:13" x14ac:dyDescent="0.45">
      <c r="A1140" s="10">
        <v>304</v>
      </c>
      <c r="B1140" s="10">
        <v>572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339.00552000000005</v>
      </c>
      <c r="G1140" s="12">
        <f ca="1">(RANDBETWEEN(50,100)/100)*(dict_DQ_Meth_max[[#This Row],[Vergleich_ub]]-dict_DQ_Meth_max[[#This Row],[Vergleich_lb]])+dict_DQ_Meth_max[[#This Row],[Vergleich_lb]]</f>
        <v>1142.2958800000001</v>
      </c>
      <c r="H1140" s="11" t="str">
        <f ca="1">VLOOKUP(VLOOKUP(dict_DQ_Meth_max[[#This Row],[ID_DataQualities]],table_DataQualities[],3),table_Units[],2)</f>
        <v>Hz</v>
      </c>
      <c r="I1140" s="10"/>
      <c r="J1140" s="10"/>
      <c r="K1140" s="10"/>
      <c r="L1140" s="10">
        <f ca="1">VLOOKUP(dict_DQ_Meth_max[[#This Row],[ID_DataQualities]],table_DataQualities[],8,FALSE)</f>
        <v>0.77800000000000002</v>
      </c>
      <c r="M1140" s="10">
        <f ca="1">VLOOKUP(dict_DQ_Meth_max[[#This Row],[ID_DataQualities]],table_DataQualities[],9,FALSE)</f>
        <v>2114.6999999999998</v>
      </c>
    </row>
    <row r="1141" spans="1:13" x14ac:dyDescent="0.45">
      <c r="A1141" s="10">
        <v>304</v>
      </c>
      <c r="B1141" s="10">
        <v>482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846.34680000000003</v>
      </c>
      <c r="G1141" s="12">
        <f ca="1">(RANDBETWEEN(50,100)/100)*(dict_DQ_Meth_max[[#This Row],[Vergleich_ub]]-dict_DQ_Meth_max[[#This Row],[Vergleich_lb]])+dict_DQ_Meth_max[[#This Row],[Vergleich_lb]]</f>
        <v>1332.5488600000001</v>
      </c>
      <c r="H1141" s="11" t="str">
        <f ca="1">VLOOKUP(VLOOKUP(dict_DQ_Meth_max[[#This Row],[ID_DataQualities]],table_DataQualities[],3),table_Units[],2)</f>
        <v>Hz</v>
      </c>
      <c r="I1141" s="10"/>
      <c r="J1141" s="10"/>
      <c r="K1141" s="10"/>
      <c r="L1141" s="10">
        <f ca="1">VLOOKUP(dict_DQ_Meth_max[[#This Row],[ID_DataQualities]],table_DataQualities[],8,FALSE)</f>
        <v>0.77800000000000002</v>
      </c>
      <c r="M1141" s="10">
        <f ca="1">VLOOKUP(dict_DQ_Meth_max[[#This Row],[ID_DataQualities]],table_DataQualities[],9,FALSE)</f>
        <v>2114.6999999999998</v>
      </c>
    </row>
    <row r="1142" spans="1:13" x14ac:dyDescent="0.45">
      <c r="A1142" s="10">
        <v>305</v>
      </c>
      <c r="B1142" s="10">
        <v>572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0.89</v>
      </c>
      <c r="G1142" s="12">
        <f ca="1">(RANDBETWEEN(50,100)/100)*(dict_DQ_Meth_max[[#This Row],[Vergleich_ub]]-dict_DQ_Meth_max[[#This Row],[Vergleich_lb]])+dict_DQ_Meth_max[[#This Row],[Vergleich_lb]]</f>
        <v>3.1213000000000002</v>
      </c>
      <c r="H1142" s="11" t="str">
        <f ca="1">VLOOKUP(VLOOKUP(dict_DQ_Meth_max[[#This Row],[ID_DataQualities]],table_DataQualities[],3),table_Units[],2)</f>
        <v>+/- mm/s</v>
      </c>
      <c r="I1142" s="10"/>
      <c r="J1142" s="10"/>
      <c r="K1142" s="10"/>
      <c r="L1142" s="10">
        <f ca="1">VLOOKUP(dict_DQ_Meth_max[[#This Row],[ID_DataQualities]],table_DataQualities[],8,FALSE)</f>
        <v>0.89</v>
      </c>
      <c r="M1142" s="10">
        <f ca="1">VLOOKUP(dict_DQ_Meth_max[[#This Row],[ID_DataQualities]],table_DataQualities[],9,FALSE)</f>
        <v>5.0999999999999996</v>
      </c>
    </row>
    <row r="1143" spans="1:13" x14ac:dyDescent="0.45">
      <c r="A1143" s="10">
        <v>305</v>
      </c>
      <c r="B1143" s="10">
        <v>482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1.7741</v>
      </c>
      <c r="G1143" s="12">
        <f ca="1">(RANDBETWEEN(50,100)/100)*(dict_DQ_Meth_max[[#This Row],[Vergleich_ub]]-dict_DQ_Meth_max[[#This Row],[Vergleich_lb]])+dict_DQ_Meth_max[[#This Row],[Vergleich_lb]]</f>
        <v>4.6790000000000003</v>
      </c>
      <c r="H1143" s="11" t="str">
        <f ca="1">VLOOKUP(VLOOKUP(dict_DQ_Meth_max[[#This Row],[ID_DataQualities]],table_DataQualities[],3),table_Units[],2)</f>
        <v>+/- mm/s</v>
      </c>
      <c r="I1143" s="10"/>
      <c r="J1143" s="10"/>
      <c r="K1143" s="10"/>
      <c r="L1143" s="10">
        <f ca="1">VLOOKUP(dict_DQ_Meth_max[[#This Row],[ID_DataQualities]],table_DataQualities[],8,FALSE)</f>
        <v>0.89</v>
      </c>
      <c r="M1143" s="10">
        <f ca="1">VLOOKUP(dict_DQ_Meth_max[[#This Row],[ID_DataQualities]],table_DataQualities[],9,FALSE)</f>
        <v>5.0999999999999996</v>
      </c>
    </row>
    <row r="1144" spans="1:13" x14ac:dyDescent="0.45">
      <c r="A1144" s="10">
        <v>305</v>
      </c>
      <c r="B1144" s="10">
        <v>624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2.9108000000000001</v>
      </c>
      <c r="G1144" s="12">
        <f ca="1">(RANDBETWEEN(50,100)/100)*(dict_DQ_Meth_max[[#This Row],[Vergleich_ub]]-dict_DQ_Meth_max[[#This Row],[Vergleich_lb]])+dict_DQ_Meth_max[[#This Row],[Vergleich_lb]]</f>
        <v>3.6686000000000001</v>
      </c>
      <c r="H1144" s="11" t="str">
        <f ca="1">VLOOKUP(VLOOKUP(dict_DQ_Meth_max[[#This Row],[ID_DataQualities]],table_DataQualities[],3),table_Units[],2)</f>
        <v>+/- mm/s</v>
      </c>
      <c r="I1144" s="10"/>
      <c r="J1144" s="10"/>
      <c r="K1144" s="10"/>
      <c r="L1144" s="10">
        <f ca="1">VLOOKUP(dict_DQ_Meth_max[[#This Row],[ID_DataQualities]],table_DataQualities[],8,FALSE)</f>
        <v>0.89</v>
      </c>
      <c r="M1144" s="10">
        <f ca="1">VLOOKUP(dict_DQ_Meth_max[[#This Row],[ID_DataQualities]],table_DataQualities[],9,FALSE)</f>
        <v>5.0999999999999996</v>
      </c>
    </row>
    <row r="1145" spans="1:13" x14ac:dyDescent="0.45">
      <c r="A1145" s="10">
        <v>305</v>
      </c>
      <c r="B1145" s="10">
        <v>23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2.0688</v>
      </c>
      <c r="G1145" s="12">
        <f ca="1">(RANDBETWEEN(50,100)/100)*(dict_DQ_Meth_max[[#This Row],[Vergleich_ub]]-dict_DQ_Meth_max[[#This Row],[Vergleich_lb]])+dict_DQ_Meth_max[[#This Row],[Vergleich_lb]]</f>
        <v>3.2896999999999998</v>
      </c>
      <c r="H1145" s="11" t="str">
        <f ca="1">VLOOKUP(VLOOKUP(dict_DQ_Meth_max[[#This Row],[ID_DataQualities]],table_DataQualities[],3),table_Units[],2)</f>
        <v>+/- mm/s</v>
      </c>
      <c r="I1145" s="10"/>
      <c r="J1145" s="10"/>
      <c r="K1145" s="10"/>
      <c r="L1145" s="10">
        <f ca="1">VLOOKUP(dict_DQ_Meth_max[[#This Row],[ID_DataQualities]],table_DataQualities[],8,FALSE)</f>
        <v>0.89</v>
      </c>
      <c r="M1145" s="10">
        <f ca="1">VLOOKUP(dict_DQ_Meth_max[[#This Row],[ID_DataQualities]],table_DataQualities[],9,FALSE)</f>
        <v>5.0999999999999996</v>
      </c>
    </row>
    <row r="1146" spans="1:13" x14ac:dyDescent="0.45">
      <c r="A1146" s="10">
        <v>306</v>
      </c>
      <c r="B1146" s="10">
        <v>13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14.37518</v>
      </c>
      <c r="G1146" s="12">
        <f ca="1">(RANDBETWEEN(50,100)/100)*(dict_DQ_Meth_max[[#This Row],[Vergleich_ub]]-dict_DQ_Meth_max[[#This Row],[Vergleich_lb]])+dict_DQ_Meth_max[[#This Row],[Vergleich_lb]]</f>
        <v>1084.15004</v>
      </c>
      <c r="H1146" s="11" t="str">
        <f ca="1">VLOOKUP(VLOOKUP(dict_DQ_Meth_max[[#This Row],[ID_DataQualities]],table_DataQualities[],3),table_Units[],2)</f>
        <v>Hz</v>
      </c>
      <c r="I1146" s="10"/>
      <c r="J1146" s="10"/>
      <c r="K1146" s="10"/>
      <c r="L1146" s="10">
        <f ca="1">VLOOKUP(dict_DQ_Meth_max[[#This Row],[ID_DataQualities]],table_DataQualities[],8,FALSE)</f>
        <v>0.48199999999999998</v>
      </c>
      <c r="M1146" s="10">
        <f ca="1">VLOOKUP(dict_DQ_Meth_max[[#This Row],[ID_DataQualities]],table_DataQualities[],9,FALSE)</f>
        <v>1389.8</v>
      </c>
    </row>
    <row r="1147" spans="1:13" x14ac:dyDescent="0.45">
      <c r="A1147" s="10">
        <v>306</v>
      </c>
      <c r="B1147" s="10">
        <v>579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445.06376000000006</v>
      </c>
      <c r="G1147" s="12">
        <f ca="1">(RANDBETWEEN(50,100)/100)*(dict_DQ_Meth_max[[#This Row],[Vergleich_ub]]-dict_DQ_Meth_max[[#This Row],[Vergleich_lb]])+dict_DQ_Meth_max[[#This Row],[Vergleich_lb]]</f>
        <v>1056.3636799999999</v>
      </c>
      <c r="H1147" s="11" t="str">
        <f ca="1">VLOOKUP(VLOOKUP(dict_DQ_Meth_max[[#This Row],[ID_DataQualities]],table_DataQualities[],3),table_Units[],2)</f>
        <v>Hz</v>
      </c>
      <c r="I1147" s="10"/>
      <c r="J1147" s="10"/>
      <c r="K1147" s="10"/>
      <c r="L1147" s="10">
        <f ca="1">VLOOKUP(dict_DQ_Meth_max[[#This Row],[ID_DataQualities]],table_DataQualities[],8,FALSE)</f>
        <v>0.48199999999999998</v>
      </c>
      <c r="M1147" s="10">
        <f ca="1">VLOOKUP(dict_DQ_Meth_max[[#This Row],[ID_DataQualities]],table_DataQualities[],9,FALSE)</f>
        <v>1389.8</v>
      </c>
    </row>
    <row r="1148" spans="1:13" x14ac:dyDescent="0.45">
      <c r="A1148" s="10">
        <v>306</v>
      </c>
      <c r="B1148" s="10">
        <v>78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292.23878000000002</v>
      </c>
      <c r="G1148" s="12">
        <f ca="1">(RANDBETWEEN(50,100)/100)*(dict_DQ_Meth_max[[#This Row],[Vergleich_ub]]-dict_DQ_Meth_max[[#This Row],[Vergleich_lb]])+dict_DQ_Meth_max[[#This Row],[Vergleich_lb]]</f>
        <v>1056.3636799999999</v>
      </c>
      <c r="H1148" s="11" t="str">
        <f ca="1">VLOOKUP(VLOOKUP(dict_DQ_Meth_max[[#This Row],[ID_DataQualities]],table_DataQualities[],3),table_Units[],2)</f>
        <v>Hz</v>
      </c>
      <c r="I1148" s="10"/>
      <c r="J1148" s="10"/>
      <c r="K1148" s="10"/>
      <c r="L1148" s="10">
        <f ca="1">VLOOKUP(dict_DQ_Meth_max[[#This Row],[ID_DataQualities]],table_DataQualities[],8,FALSE)</f>
        <v>0.48199999999999998</v>
      </c>
      <c r="M1148" s="10">
        <f ca="1">VLOOKUP(dict_DQ_Meth_max[[#This Row],[ID_DataQualities]],table_DataQualities[],9,FALSE)</f>
        <v>1389.8</v>
      </c>
    </row>
    <row r="1149" spans="1:13" x14ac:dyDescent="0.45">
      <c r="A1149" s="10">
        <v>307</v>
      </c>
      <c r="B1149" s="10">
        <v>13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0.39100000000000001</v>
      </c>
      <c r="G1149" s="12">
        <f ca="1">(RANDBETWEEN(50,100)/100)*(dict_DQ_Meth_max[[#This Row],[Vergleich_ub]]-dict_DQ_Meth_max[[#This Row],[Vergleich_lb]])+dict_DQ_Meth_max[[#This Row],[Vergleich_lb]]</f>
        <v>1.5520000000000003</v>
      </c>
      <c r="H1149" s="11" t="str">
        <f ca="1">VLOOKUP(VLOOKUP(dict_DQ_Meth_max[[#This Row],[ID_DataQualities]],table_DataQualities[],3),table_Units[],2)</f>
        <v>+/- mm</v>
      </c>
      <c r="I1149" s="10"/>
      <c r="J1149" s="10"/>
      <c r="K1149" s="10"/>
      <c r="L1149" s="10">
        <f ca="1">VLOOKUP(dict_DQ_Meth_max[[#This Row],[ID_DataQualities]],table_DataQualities[],8,FALSE)</f>
        <v>0.04</v>
      </c>
      <c r="M1149" s="10">
        <f ca="1">VLOOKUP(dict_DQ_Meth_max[[#This Row],[ID_DataQualities]],table_DataQualities[],9,FALSE)</f>
        <v>2.74</v>
      </c>
    </row>
    <row r="1150" spans="1:13" x14ac:dyDescent="0.45">
      <c r="A1150" s="10">
        <v>307</v>
      </c>
      <c r="B1150" s="10">
        <v>579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0.20200000000000001</v>
      </c>
      <c r="G1150" s="12">
        <f ca="1">(RANDBETWEEN(50,100)/100)*(dict_DQ_Meth_max[[#This Row],[Vergleich_ub]]-dict_DQ_Meth_max[[#This Row],[Vergleich_lb]])+dict_DQ_Meth_max[[#This Row],[Vergleich_lb]]</f>
        <v>2.6320000000000001</v>
      </c>
      <c r="H1150" s="11" t="str">
        <f ca="1">VLOOKUP(VLOOKUP(dict_DQ_Meth_max[[#This Row],[ID_DataQualities]],table_DataQualities[],3),table_Units[],2)</f>
        <v>+/- mm</v>
      </c>
      <c r="I1150" s="10"/>
      <c r="J1150" s="10"/>
      <c r="K1150" s="10"/>
      <c r="L1150" s="10">
        <f ca="1">VLOOKUP(dict_DQ_Meth_max[[#This Row],[ID_DataQualities]],table_DataQualities[],8,FALSE)</f>
        <v>0.04</v>
      </c>
      <c r="M1150" s="10">
        <f ca="1">VLOOKUP(dict_DQ_Meth_max[[#This Row],[ID_DataQualities]],table_DataQualities[],9,FALSE)</f>
        <v>2.74</v>
      </c>
    </row>
    <row r="1151" spans="1:13" x14ac:dyDescent="0.45">
      <c r="A1151" s="10">
        <v>307</v>
      </c>
      <c r="B1151" s="10">
        <v>78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0.82300000000000006</v>
      </c>
      <c r="G1151" s="12">
        <f ca="1">(RANDBETWEEN(50,100)/100)*(dict_DQ_Meth_max[[#This Row],[Vergleich_ub]]-dict_DQ_Meth_max[[#This Row],[Vergleich_lb]])+dict_DQ_Meth_max[[#This Row],[Vergleich_lb]]</f>
        <v>2.5779999999999998</v>
      </c>
      <c r="H1151" s="11" t="str">
        <f ca="1">VLOOKUP(VLOOKUP(dict_DQ_Meth_max[[#This Row],[ID_DataQualities]],table_DataQualities[],3),table_Units[],2)</f>
        <v>+/- mm</v>
      </c>
      <c r="I1151" s="10"/>
      <c r="J1151" s="10"/>
      <c r="K1151" s="10"/>
      <c r="L1151" s="10">
        <f ca="1">VLOOKUP(dict_DQ_Meth_max[[#This Row],[ID_DataQualities]],table_DataQualities[],8,FALSE)</f>
        <v>0.04</v>
      </c>
      <c r="M1151" s="10">
        <f ca="1">VLOOKUP(dict_DQ_Meth_max[[#This Row],[ID_DataQualities]],table_DataQualities[],9,FALSE)</f>
        <v>2.74</v>
      </c>
    </row>
    <row r="1152" spans="1:13" x14ac:dyDescent="0.45">
      <c r="A1152" s="10">
        <v>308</v>
      </c>
      <c r="B1152" s="10">
        <v>376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567.02133000000003</v>
      </c>
      <c r="G1152" s="12">
        <f ca="1">(RANDBETWEEN(50,100)/100)*(dict_DQ_Meth_max[[#This Row],[Vergleich_ub]]-dict_DQ_Meth_max[[#This Row],[Vergleich_lb]])+dict_DQ_Meth_max[[#This Row],[Vergleich_lb]]</f>
        <v>2528.5447799999997</v>
      </c>
      <c r="H1152" s="11" t="str">
        <f ca="1">VLOOKUP(VLOOKUP(dict_DQ_Meth_max[[#This Row],[ID_DataQualities]],table_DataQualities[],3),table_Units[],2)</f>
        <v>Hz</v>
      </c>
      <c r="I1152" s="10"/>
      <c r="J1152" s="10"/>
      <c r="K1152" s="10"/>
      <c r="L1152" s="10">
        <f ca="1">VLOOKUP(dict_DQ_Meth_max[[#This Row],[ID_DataQualities]],table_DataQualities[],8,FALSE)</f>
        <v>0.35899999999999999</v>
      </c>
      <c r="M1152" s="10">
        <f ca="1">VLOOKUP(dict_DQ_Meth_max[[#This Row],[ID_DataQualities]],table_DataQualities[],9,FALSE)</f>
        <v>4359.3</v>
      </c>
    </row>
    <row r="1153" spans="1:13" x14ac:dyDescent="0.45">
      <c r="A1153" s="10">
        <v>308</v>
      </c>
      <c r="B1153" s="10">
        <v>645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1046.5048399999998</v>
      </c>
      <c r="G1153" s="12">
        <f ca="1">(RANDBETWEEN(50,100)/100)*(dict_DQ_Meth_max[[#This Row],[Vergleich_ub]]-dict_DQ_Meth_max[[#This Row],[Vergleich_lb]])+dict_DQ_Meth_max[[#This Row],[Vergleich_lb]]</f>
        <v>3051.6176999999998</v>
      </c>
      <c r="H1153" s="11" t="str">
        <f ca="1">VLOOKUP(VLOOKUP(dict_DQ_Meth_max[[#This Row],[ID_DataQualities]],table_DataQualities[],3),table_Units[],2)</f>
        <v>Hz</v>
      </c>
      <c r="I1153" s="10"/>
      <c r="J1153" s="10"/>
      <c r="K1153" s="10"/>
      <c r="L1153" s="10">
        <f ca="1">VLOOKUP(dict_DQ_Meth_max[[#This Row],[ID_DataQualities]],table_DataQualities[],8,FALSE)</f>
        <v>0.35899999999999999</v>
      </c>
      <c r="M1153" s="10">
        <f ca="1">VLOOKUP(dict_DQ_Meth_max[[#This Row],[ID_DataQualities]],table_DataQualities[],9,FALSE)</f>
        <v>4359.3</v>
      </c>
    </row>
    <row r="1154" spans="1:13" x14ac:dyDescent="0.45">
      <c r="A1154" s="10">
        <v>308</v>
      </c>
      <c r="B1154" s="10">
        <v>63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915.73660999999993</v>
      </c>
      <c r="G1154" s="12">
        <f ca="1">(RANDBETWEEN(50,100)/100)*(dict_DQ_Meth_max[[#This Row],[Vergleich_ub]]-dict_DQ_Meth_max[[#This Row],[Vergleich_lb]])+dict_DQ_Meth_max[[#This Row],[Vergleich_lb]]</f>
        <v>2920.8494700000001</v>
      </c>
      <c r="H1154" s="11" t="str">
        <f ca="1">VLOOKUP(VLOOKUP(dict_DQ_Meth_max[[#This Row],[ID_DataQualities]],table_DataQualities[],3),table_Units[],2)</f>
        <v>Hz</v>
      </c>
      <c r="I1154" s="10"/>
      <c r="J1154" s="10"/>
      <c r="K1154" s="10"/>
      <c r="L1154" s="10">
        <f ca="1">VLOOKUP(dict_DQ_Meth_max[[#This Row],[ID_DataQualities]],table_DataQualities[],8,FALSE)</f>
        <v>0.35899999999999999</v>
      </c>
      <c r="M1154" s="10">
        <f ca="1">VLOOKUP(dict_DQ_Meth_max[[#This Row],[ID_DataQualities]],table_DataQualities[],9,FALSE)</f>
        <v>4359.3</v>
      </c>
    </row>
    <row r="1155" spans="1:13" x14ac:dyDescent="0.45">
      <c r="A1155" s="10">
        <v>308</v>
      </c>
      <c r="B1155" s="10">
        <v>625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1482.39894</v>
      </c>
      <c r="G1155" s="12">
        <f ca="1">(RANDBETWEEN(50,100)/100)*(dict_DQ_Meth_max[[#This Row],[Vergleich_ub]]-dict_DQ_Meth_max[[#This Row],[Vergleich_lb]])+dict_DQ_Meth_max[[#This Row],[Vergleich_lb]]</f>
        <v>2441.3659600000001</v>
      </c>
      <c r="H1155" s="11" t="str">
        <f ca="1">VLOOKUP(VLOOKUP(dict_DQ_Meth_max[[#This Row],[ID_DataQualities]],table_DataQualities[],3),table_Units[],2)</f>
        <v>Hz</v>
      </c>
      <c r="I1155" s="10"/>
      <c r="J1155" s="10"/>
      <c r="K1155" s="10"/>
      <c r="L1155" s="10">
        <f ca="1">VLOOKUP(dict_DQ_Meth_max[[#This Row],[ID_DataQualities]],table_DataQualities[],8,FALSE)</f>
        <v>0.35899999999999999</v>
      </c>
      <c r="M1155" s="10">
        <f ca="1">VLOOKUP(dict_DQ_Meth_max[[#This Row],[ID_DataQualities]],table_DataQualities[],9,FALSE)</f>
        <v>4359.3</v>
      </c>
    </row>
    <row r="1156" spans="1:13" x14ac:dyDescent="0.45">
      <c r="A1156" s="10">
        <v>309</v>
      </c>
      <c r="B1156" s="10">
        <v>376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2.7232999999999996</v>
      </c>
      <c r="G1156" s="12">
        <f ca="1">(RANDBETWEEN(50,100)/100)*(dict_DQ_Meth_max[[#This Row],[Vergleich_ub]]-dict_DQ_Meth_max[[#This Row],[Vergleich_lb]])+dict_DQ_Meth_max[[#This Row],[Vergleich_lb]]</f>
        <v>5.5017800000000001</v>
      </c>
      <c r="H1156" s="11" t="str">
        <f ca="1">VLOOKUP(VLOOKUP(dict_DQ_Meth_max[[#This Row],[ID_DataQualities]],table_DataQualities[],3),table_Units[],2)</f>
        <v>+/- mm</v>
      </c>
      <c r="I1156" s="10"/>
      <c r="J1156" s="10"/>
      <c r="K1156" s="10"/>
      <c r="L1156" s="10">
        <f ca="1">VLOOKUP(dict_DQ_Meth_max[[#This Row],[ID_DataQualities]],table_DataQualities[],8,FALSE)</f>
        <v>2.1999999999999999E-2</v>
      </c>
      <c r="M1156" s="10">
        <f ca="1">VLOOKUP(dict_DQ_Meth_max[[#This Row],[ID_DataQualities]],table_DataQualities[],9,FALSE)</f>
        <v>7.74</v>
      </c>
    </row>
    <row r="1157" spans="1:13" x14ac:dyDescent="0.45">
      <c r="A1157" s="10">
        <v>309</v>
      </c>
      <c r="B1157" s="10">
        <v>645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0.79380000000000006</v>
      </c>
      <c r="G1157" s="12">
        <f ca="1">(RANDBETWEEN(50,100)/100)*(dict_DQ_Meth_max[[#This Row],[Vergleich_ub]]-dict_DQ_Meth_max[[#This Row],[Vergleich_lb]])+dict_DQ_Meth_max[[#This Row],[Vergleich_lb]]</f>
        <v>5.73332</v>
      </c>
      <c r="H1157" s="11" t="str">
        <f ca="1">VLOOKUP(VLOOKUP(dict_DQ_Meth_max[[#This Row],[ID_DataQualities]],table_DataQualities[],3),table_Units[],2)</f>
        <v>+/- mm</v>
      </c>
      <c r="I1157" s="10"/>
      <c r="J1157" s="10"/>
      <c r="K1157" s="10"/>
      <c r="L1157" s="10">
        <f ca="1">VLOOKUP(dict_DQ_Meth_max[[#This Row],[ID_DataQualities]],table_DataQualities[],8,FALSE)</f>
        <v>2.1999999999999999E-2</v>
      </c>
      <c r="M1157" s="10">
        <f ca="1">VLOOKUP(dict_DQ_Meth_max[[#This Row],[ID_DataQualities]],table_DataQualities[],9,FALSE)</f>
        <v>7.74</v>
      </c>
    </row>
    <row r="1158" spans="1:13" x14ac:dyDescent="0.45">
      <c r="A1158" s="10">
        <v>309</v>
      </c>
      <c r="B1158" s="10">
        <v>63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0.17635999999999999</v>
      </c>
      <c r="G1158" s="12">
        <f ca="1">(RANDBETWEEN(50,100)/100)*(dict_DQ_Meth_max[[#This Row],[Vergleich_ub]]-dict_DQ_Meth_max[[#This Row],[Vergleich_lb]])+dict_DQ_Meth_max[[#This Row],[Vergleich_lb]]</f>
        <v>5.1158800000000006</v>
      </c>
      <c r="H1158" s="11" t="str">
        <f ca="1">VLOOKUP(VLOOKUP(dict_DQ_Meth_max[[#This Row],[ID_DataQualities]],table_DataQualities[],3),table_Units[],2)</f>
        <v>+/- mm</v>
      </c>
      <c r="I1158" s="10"/>
      <c r="J1158" s="10"/>
      <c r="K1158" s="10"/>
      <c r="L1158" s="10">
        <f ca="1">VLOOKUP(dict_DQ_Meth_max[[#This Row],[ID_DataQualities]],table_DataQualities[],8,FALSE)</f>
        <v>2.1999999999999999E-2</v>
      </c>
      <c r="M1158" s="10">
        <f ca="1">VLOOKUP(dict_DQ_Meth_max[[#This Row],[ID_DataQualities]],table_DataQualities[],9,FALSE)</f>
        <v>7.74</v>
      </c>
    </row>
    <row r="1159" spans="1:13" x14ac:dyDescent="0.45">
      <c r="A1159" s="10">
        <v>309</v>
      </c>
      <c r="B1159" s="10">
        <v>625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1.5656000000000001</v>
      </c>
      <c r="G1159" s="12">
        <f ca="1">(RANDBETWEEN(50,100)/100)*(dict_DQ_Meth_max[[#This Row],[Vergleich_ub]]-dict_DQ_Meth_max[[#This Row],[Vergleich_lb]])+dict_DQ_Meth_max[[#This Row],[Vergleich_lb]]</f>
        <v>7.5084600000000004</v>
      </c>
      <c r="H1159" s="11" t="str">
        <f ca="1">VLOOKUP(VLOOKUP(dict_DQ_Meth_max[[#This Row],[ID_DataQualities]],table_DataQualities[],3),table_Units[],2)</f>
        <v>+/- mm</v>
      </c>
      <c r="I1159" s="10"/>
      <c r="J1159" s="10"/>
      <c r="K1159" s="10"/>
      <c r="L1159" s="10">
        <f ca="1">VLOOKUP(dict_DQ_Meth_max[[#This Row],[ID_DataQualities]],table_DataQualities[],8,FALSE)</f>
        <v>2.1999999999999999E-2</v>
      </c>
      <c r="M1159" s="10">
        <f ca="1">VLOOKUP(dict_DQ_Meth_max[[#This Row],[ID_DataQualities]],table_DataQualities[],9,FALSE)</f>
        <v>7.74</v>
      </c>
    </row>
    <row r="1160" spans="1:13" x14ac:dyDescent="0.45">
      <c r="A1160" s="10">
        <v>310</v>
      </c>
      <c r="B1160" s="10">
        <v>493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2745.7222000000002</v>
      </c>
      <c r="G1160" s="12">
        <f ca="1">(RANDBETWEEN(50,100)/100)*(dict_DQ_Meth_max[[#This Row],[Vergleich_ub]]-dict_DQ_Meth_max[[#This Row],[Vergleich_lb]])+dict_DQ_Meth_max[[#This Row],[Vergleich_lb]]</f>
        <v>6588.4214799999991</v>
      </c>
      <c r="H1160" s="11" t="str">
        <f ca="1">VLOOKUP(VLOOKUP(dict_DQ_Meth_max[[#This Row],[ID_DataQualities]],table_DataQualities[],3),table_Units[],2)</f>
        <v>Hz</v>
      </c>
      <c r="I1160" s="10"/>
      <c r="J1160" s="10"/>
      <c r="K1160" s="10"/>
      <c r="L1160" s="10">
        <f ca="1">VLOOKUP(dict_DQ_Meth_max[[#This Row],[ID_DataQualities]],table_DataQualities[],8,FALSE)</f>
        <v>0.93700000000000006</v>
      </c>
      <c r="M1160" s="10">
        <f ca="1">VLOOKUP(dict_DQ_Meth_max[[#This Row],[ID_DataQualities]],table_DataQualities[],9,FALSE)</f>
        <v>6862.9</v>
      </c>
    </row>
    <row r="1161" spans="1:13" x14ac:dyDescent="0.45">
      <c r="A1161" s="10">
        <v>310</v>
      </c>
      <c r="B1161" s="10">
        <v>3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3226.0596099999998</v>
      </c>
      <c r="G1161" s="12">
        <f ca="1">(RANDBETWEEN(50,100)/100)*(dict_DQ_Meth_max[[#This Row],[Vergleich_ub]]-dict_DQ_Meth_max[[#This Row],[Vergleich_lb]])+dict_DQ_Meth_max[[#This Row],[Vergleich_lb]]</f>
        <v>5078.7896199999996</v>
      </c>
      <c r="H1161" s="11" t="str">
        <f ca="1">VLOOKUP(VLOOKUP(dict_DQ_Meth_max[[#This Row],[ID_DataQualities]],table_DataQualities[],3),table_Units[],2)</f>
        <v>Hz</v>
      </c>
      <c r="I1161" s="10"/>
      <c r="J1161" s="10"/>
      <c r="K1161" s="10"/>
      <c r="L1161" s="10">
        <f ca="1">VLOOKUP(dict_DQ_Meth_max[[#This Row],[ID_DataQualities]],table_DataQualities[],8,FALSE)</f>
        <v>0.93700000000000006</v>
      </c>
      <c r="M1161" s="10">
        <f ca="1">VLOOKUP(dict_DQ_Meth_max[[#This Row],[ID_DataQualities]],table_DataQualities[],9,FALSE)</f>
        <v>6862.9</v>
      </c>
    </row>
    <row r="1162" spans="1:13" x14ac:dyDescent="0.45">
      <c r="A1162" s="10">
        <v>310</v>
      </c>
      <c r="B1162" s="10">
        <v>642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2608.4829399999999</v>
      </c>
      <c r="G1162" s="12">
        <f ca="1">(RANDBETWEEN(50,100)/100)*(dict_DQ_Meth_max[[#This Row],[Vergleich_ub]]-dict_DQ_Meth_max[[#This Row],[Vergleich_lb]])+dict_DQ_Meth_max[[#This Row],[Vergleich_lb]]</f>
        <v>4323.9736899999998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0.93700000000000006</v>
      </c>
      <c r="M1162" s="10">
        <f ca="1">VLOOKUP(dict_DQ_Meth_max[[#This Row],[ID_DataQualities]],table_DataQualities[],9,FALSE)</f>
        <v>6862.9</v>
      </c>
    </row>
    <row r="1163" spans="1:13" x14ac:dyDescent="0.45">
      <c r="A1163" s="10">
        <v>310</v>
      </c>
      <c r="B1163" s="10">
        <v>245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2539.8633099999997</v>
      </c>
      <c r="G1163" s="12">
        <f ca="1">(RANDBETWEEN(50,100)/100)*(dict_DQ_Meth_max[[#This Row],[Vergleich_ub]]-dict_DQ_Meth_max[[#This Row],[Vergleich_lb]])+dict_DQ_Meth_max[[#This Row],[Vergleich_lb]]</f>
        <v>4735.6914699999998</v>
      </c>
      <c r="H1163" s="11" t="str">
        <f ca="1">VLOOKUP(VLOOKUP(dict_DQ_Meth_max[[#This Row],[ID_DataQualities]],table_DataQualities[],3),table_Units[],2)</f>
        <v>Hz</v>
      </c>
      <c r="I1163" s="10"/>
      <c r="J1163" s="10"/>
      <c r="K1163" s="10"/>
      <c r="L1163" s="10">
        <f ca="1">VLOOKUP(dict_DQ_Meth_max[[#This Row],[ID_DataQualities]],table_DataQualities[],8,FALSE)</f>
        <v>0.93700000000000006</v>
      </c>
      <c r="M1163" s="10">
        <f ca="1">VLOOKUP(dict_DQ_Meth_max[[#This Row],[ID_DataQualities]],table_DataQualities[],9,FALSE)</f>
        <v>6862.9</v>
      </c>
    </row>
    <row r="1164" spans="1:13" x14ac:dyDescent="0.45">
      <c r="A1164" s="10">
        <v>310</v>
      </c>
      <c r="B1164" s="10">
        <v>84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2745.7222000000002</v>
      </c>
      <c r="G1164" s="12">
        <f ca="1">(RANDBETWEEN(50,100)/100)*(dict_DQ_Meth_max[[#This Row],[Vergleich_ub]]-dict_DQ_Meth_max[[#This Row],[Vergleich_lb]])+dict_DQ_Meth_max[[#This Row],[Vergleich_lb]]</f>
        <v>4529.8325800000002</v>
      </c>
      <c r="H1164" s="11" t="str">
        <f ca="1">VLOOKUP(VLOOKUP(dict_DQ_Meth_max[[#This Row],[ID_DataQualities]],table_DataQualities[],3),table_Units[],2)</f>
        <v>Hz</v>
      </c>
      <c r="I1164" s="10"/>
      <c r="J1164" s="10"/>
      <c r="K1164" s="10"/>
      <c r="L1164" s="10">
        <f ca="1">VLOOKUP(dict_DQ_Meth_max[[#This Row],[ID_DataQualities]],table_DataQualities[],8,FALSE)</f>
        <v>0.93700000000000006</v>
      </c>
      <c r="M1164" s="10">
        <f ca="1">VLOOKUP(dict_DQ_Meth_max[[#This Row],[ID_DataQualities]],table_DataQualities[],9,FALSE)</f>
        <v>6862.9</v>
      </c>
    </row>
    <row r="1165" spans="1:13" x14ac:dyDescent="0.45">
      <c r="A1165" s="10">
        <v>311</v>
      </c>
      <c r="B1165" s="10">
        <v>3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2.1900000000000004</v>
      </c>
      <c r="G1165" s="12">
        <f ca="1">(RANDBETWEEN(50,100)/100)*(dict_DQ_Meth_max[[#This Row],[Vergleich_ub]]-dict_DQ_Meth_max[[#This Row],[Vergleich_lb]])+dict_DQ_Meth_max[[#This Row],[Vergleich_lb]]</f>
        <v>5.13</v>
      </c>
      <c r="H1165" s="11" t="str">
        <f ca="1">VLOOKUP(VLOOKUP(dict_DQ_Meth_max[[#This Row],[ID_DataQualities]],table_DataQualities[],3),table_Units[],2)</f>
        <v>+/- °C</v>
      </c>
      <c r="I1165" s="10"/>
      <c r="J1165" s="10"/>
      <c r="K1165" s="10"/>
      <c r="L1165" s="10">
        <f ca="1">VLOOKUP(dict_DQ_Meth_max[[#This Row],[ID_DataQualities]],table_DataQualities[],8,FALSE)</f>
        <v>1</v>
      </c>
      <c r="M1165" s="10">
        <f ca="1">VLOOKUP(dict_DQ_Meth_max[[#This Row],[ID_DataQualities]],table_DataQualities[],9,FALSE)</f>
        <v>8</v>
      </c>
    </row>
    <row r="1166" spans="1:13" x14ac:dyDescent="0.45">
      <c r="A1166" s="10">
        <v>311</v>
      </c>
      <c r="B1166" s="10">
        <v>493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1.98</v>
      </c>
      <c r="G1166" s="12">
        <f ca="1">(RANDBETWEEN(50,100)/100)*(dict_DQ_Meth_max[[#This Row],[Vergleich_ub]]-dict_DQ_Meth_max[[#This Row],[Vergleich_lb]])+dict_DQ_Meth_max[[#This Row],[Vergleich_lb]]</f>
        <v>5.55</v>
      </c>
      <c r="H1166" s="11" t="str">
        <f ca="1">VLOOKUP(VLOOKUP(dict_DQ_Meth_max[[#This Row],[ID_DataQualities]],table_DataQualities[],3),table_Units[],2)</f>
        <v>+/- °C</v>
      </c>
      <c r="I1166" s="10"/>
      <c r="J1166" s="10"/>
      <c r="K1166" s="10"/>
      <c r="L1166" s="10">
        <f ca="1">VLOOKUP(dict_DQ_Meth_max[[#This Row],[ID_DataQualities]],table_DataQualities[],8,FALSE)</f>
        <v>1</v>
      </c>
      <c r="M1166" s="10">
        <f ca="1">VLOOKUP(dict_DQ_Meth_max[[#This Row],[ID_DataQualities]],table_DataQualities[],9,FALSE)</f>
        <v>8</v>
      </c>
    </row>
    <row r="1167" spans="1:13" x14ac:dyDescent="0.45">
      <c r="A1167" s="10">
        <v>311</v>
      </c>
      <c r="B1167" s="10">
        <v>642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4.29</v>
      </c>
      <c r="G1167" s="12">
        <f ca="1">(RANDBETWEEN(50,100)/100)*(dict_DQ_Meth_max[[#This Row],[Vergleich_ub]]-dict_DQ_Meth_max[[#This Row],[Vergleich_lb]])+dict_DQ_Meth_max[[#This Row],[Vergleich_lb]]</f>
        <v>7.93</v>
      </c>
      <c r="H1167" s="11" t="str">
        <f ca="1">VLOOKUP(VLOOKUP(dict_DQ_Meth_max[[#This Row],[ID_DataQualities]],table_DataQualities[],3),table_Units[],2)</f>
        <v>+/- °C</v>
      </c>
      <c r="I1167" s="10"/>
      <c r="J1167" s="10"/>
      <c r="K1167" s="10"/>
      <c r="L1167" s="10">
        <f ca="1">VLOOKUP(dict_DQ_Meth_max[[#This Row],[ID_DataQualities]],table_DataQualities[],8,FALSE)</f>
        <v>1</v>
      </c>
      <c r="M1167" s="10">
        <f ca="1">VLOOKUP(dict_DQ_Meth_max[[#This Row],[ID_DataQualities]],table_DataQualities[],9,FALSE)</f>
        <v>8</v>
      </c>
    </row>
    <row r="1168" spans="1:13" x14ac:dyDescent="0.45">
      <c r="A1168" s="10">
        <v>311</v>
      </c>
      <c r="B1168" s="10">
        <v>245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4.08</v>
      </c>
      <c r="G1168" s="12">
        <f ca="1">(RANDBETWEEN(50,100)/100)*(dict_DQ_Meth_max[[#This Row],[Vergleich_ub]]-dict_DQ_Meth_max[[#This Row],[Vergleich_lb]])+dict_DQ_Meth_max[[#This Row],[Vergleich_lb]]</f>
        <v>6.18</v>
      </c>
      <c r="H1168" s="11" t="str">
        <f ca="1">VLOOKUP(VLOOKUP(dict_DQ_Meth_max[[#This Row],[ID_DataQualities]],table_DataQualities[],3),table_Units[],2)</f>
        <v>+/- °C</v>
      </c>
      <c r="I1168" s="10"/>
      <c r="J1168" s="10"/>
      <c r="K1168" s="10"/>
      <c r="L1168" s="10">
        <f ca="1">VLOOKUP(dict_DQ_Meth_max[[#This Row],[ID_DataQualities]],table_DataQualities[],8,FALSE)</f>
        <v>1</v>
      </c>
      <c r="M1168" s="10">
        <f ca="1">VLOOKUP(dict_DQ_Meth_max[[#This Row],[ID_DataQualities]],table_DataQualities[],9,FALSE)</f>
        <v>8</v>
      </c>
    </row>
    <row r="1169" spans="1:13" x14ac:dyDescent="0.45">
      <c r="A1169" s="10">
        <v>311</v>
      </c>
      <c r="B1169" s="10">
        <v>84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4.3599999999999994</v>
      </c>
      <c r="G1169" s="12">
        <f ca="1">(RANDBETWEEN(50,100)/100)*(dict_DQ_Meth_max[[#This Row],[Vergleich_ub]]-dict_DQ_Meth_max[[#This Row],[Vergleich_lb]])+dict_DQ_Meth_max[[#This Row],[Vergleich_lb]]</f>
        <v>5.41</v>
      </c>
      <c r="H1169" s="11" t="str">
        <f ca="1">VLOOKUP(VLOOKUP(dict_DQ_Meth_max[[#This Row],[ID_DataQualities]],table_DataQualities[],3),table_Units[],2)</f>
        <v>+/- °C</v>
      </c>
      <c r="I1169" s="10"/>
      <c r="J1169" s="10"/>
      <c r="K1169" s="10"/>
      <c r="L1169" s="10">
        <f ca="1">VLOOKUP(dict_DQ_Meth_max[[#This Row],[ID_DataQualities]],table_DataQualities[],8,FALSE)</f>
        <v>1</v>
      </c>
      <c r="M1169" s="10">
        <f ca="1">VLOOKUP(dict_DQ_Meth_max[[#This Row],[ID_DataQualities]],table_DataQualities[],9,FALSE)</f>
        <v>8</v>
      </c>
    </row>
    <row r="1170" spans="1:13" x14ac:dyDescent="0.45">
      <c r="A1170" s="10">
        <v>312</v>
      </c>
      <c r="B1170" s="10">
        <v>477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749.07359999999994</v>
      </c>
      <c r="G1170" s="12">
        <f ca="1">(RANDBETWEEN(50,100)/100)*(dict_DQ_Meth_max[[#This Row],[Vergleich_ub]]-dict_DQ_Meth_max[[#This Row],[Vergleich_lb]])+dict_DQ_Meth_max[[#This Row],[Vergleich_lb]]</f>
        <v>6926.6207999999997</v>
      </c>
      <c r="H1170" s="11" t="str">
        <f ca="1">VLOOKUP(VLOOKUP(dict_DQ_Meth_max[[#This Row],[ID_DataQualities]],table_DataQualities[],3),table_Units[],2)</f>
        <v>Hz</v>
      </c>
      <c r="I1170" s="10"/>
      <c r="J1170" s="10"/>
      <c r="K1170" s="10"/>
      <c r="L1170" s="10">
        <f ca="1">VLOOKUP(dict_DQ_Meth_max[[#This Row],[ID_DataQualities]],table_DataQualities[],8,FALSE)</f>
        <v>0.28000000000000003</v>
      </c>
      <c r="M1170" s="10">
        <f ca="1">VLOOKUP(dict_DQ_Meth_max[[#This Row],[ID_DataQualities]],table_DataQualities[],9,FALSE)</f>
        <v>9360.2000000000007</v>
      </c>
    </row>
    <row r="1171" spans="1:13" x14ac:dyDescent="0.45">
      <c r="A1171" s="10">
        <v>312</v>
      </c>
      <c r="B1171" s="10">
        <v>82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4305.8432000000003</v>
      </c>
      <c r="G1171" s="12">
        <f ca="1">(RANDBETWEEN(50,100)/100)*(dict_DQ_Meth_max[[#This Row],[Vergleich_ub]]-dict_DQ_Meth_max[[#This Row],[Vergleich_lb]])+dict_DQ_Meth_max[[#This Row],[Vergleich_lb]]</f>
        <v>8611.4064000000017</v>
      </c>
      <c r="H1171" s="11" t="str">
        <f ca="1">VLOOKUP(VLOOKUP(dict_DQ_Meth_max[[#This Row],[ID_DataQualities]],table_DataQualities[],3),table_Units[],2)</f>
        <v>Hz</v>
      </c>
      <c r="I1171" s="10"/>
      <c r="J1171" s="10"/>
      <c r="K1171" s="10"/>
      <c r="L1171" s="10">
        <f ca="1">VLOOKUP(dict_DQ_Meth_max[[#This Row],[ID_DataQualities]],table_DataQualities[],8,FALSE)</f>
        <v>0.28000000000000003</v>
      </c>
      <c r="M1171" s="10">
        <f ca="1">VLOOKUP(dict_DQ_Meth_max[[#This Row],[ID_DataQualities]],table_DataQualities[],9,FALSE)</f>
        <v>9360.2000000000007</v>
      </c>
    </row>
    <row r="1172" spans="1:13" x14ac:dyDescent="0.45">
      <c r="A1172" s="10">
        <v>312</v>
      </c>
      <c r="B1172" s="10">
        <v>620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4212.2439999999997</v>
      </c>
      <c r="G1172" s="12">
        <f ca="1">(RANDBETWEEN(50,100)/100)*(dict_DQ_Meth_max[[#This Row],[Vergleich_ub]]-dict_DQ_Meth_max[[#This Row],[Vergleich_lb]])+dict_DQ_Meth_max[[#This Row],[Vergleich_lb]]</f>
        <v>8143.4103999999998</v>
      </c>
      <c r="H1172" s="11" t="str">
        <f ca="1">VLOOKUP(VLOOKUP(dict_DQ_Meth_max[[#This Row],[ID_DataQualities]],table_DataQualities[],3),table_Units[],2)</f>
        <v>Hz</v>
      </c>
      <c r="I1172" s="10"/>
      <c r="J1172" s="10"/>
      <c r="K1172" s="10"/>
      <c r="L1172" s="10">
        <f ca="1">VLOOKUP(dict_DQ_Meth_max[[#This Row],[ID_DataQualities]],table_DataQualities[],8,FALSE)</f>
        <v>0.28000000000000003</v>
      </c>
      <c r="M1172" s="10">
        <f ca="1">VLOOKUP(dict_DQ_Meth_max[[#This Row],[ID_DataQualities]],table_DataQualities[],9,FALSE)</f>
        <v>9360.2000000000007</v>
      </c>
    </row>
    <row r="1173" spans="1:13" x14ac:dyDescent="0.45">
      <c r="A1173" s="10">
        <v>313</v>
      </c>
      <c r="B1173" s="10">
        <v>477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1.5859999999999999</v>
      </c>
      <c r="G1173" s="12">
        <f ca="1">(RANDBETWEEN(50,100)/100)*(dict_DQ_Meth_max[[#This Row],[Vergleich_ub]]-dict_DQ_Meth_max[[#This Row],[Vergleich_lb]])+dict_DQ_Meth_max[[#This Row],[Vergleich_lb]]</f>
        <v>3.048</v>
      </c>
      <c r="H1173" s="11" t="str">
        <f ca="1">VLOOKUP(VLOOKUP(dict_DQ_Meth_max[[#This Row],[ID_DataQualities]],table_DataQualities[],3),table_Units[],2)</f>
        <v>+/- °C</v>
      </c>
      <c r="I1173" s="10"/>
      <c r="J1173" s="10"/>
      <c r="K1173" s="10"/>
      <c r="L1173" s="10">
        <f ca="1">VLOOKUP(dict_DQ_Meth_max[[#This Row],[ID_DataQualities]],table_DataQualities[],8,FALSE)</f>
        <v>0.6</v>
      </c>
      <c r="M1173" s="10">
        <f ca="1">VLOOKUP(dict_DQ_Meth_max[[#This Row],[ID_DataQualities]],table_DataQualities[],9,FALSE)</f>
        <v>4</v>
      </c>
    </row>
    <row r="1174" spans="1:13" x14ac:dyDescent="0.45">
      <c r="A1174" s="10">
        <v>313</v>
      </c>
      <c r="B1174" s="10">
        <v>620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0.97399999999999998</v>
      </c>
      <c r="G1174" s="12">
        <f ca="1">(RANDBETWEEN(50,100)/100)*(dict_DQ_Meth_max[[#This Row],[Vergleich_ub]]-dict_DQ_Meth_max[[#This Row],[Vergleich_lb]])+dict_DQ_Meth_max[[#This Row],[Vergleich_lb]]</f>
        <v>3.5579999999999998</v>
      </c>
      <c r="H1174" s="11" t="str">
        <f ca="1">VLOOKUP(VLOOKUP(dict_DQ_Meth_max[[#This Row],[ID_DataQualities]],table_DataQualities[],3),table_Units[],2)</f>
        <v>+/- °C</v>
      </c>
      <c r="I1174" s="10"/>
      <c r="J1174" s="10"/>
      <c r="K1174" s="10"/>
      <c r="L1174" s="10">
        <f ca="1">VLOOKUP(dict_DQ_Meth_max[[#This Row],[ID_DataQualities]],table_DataQualities[],8,FALSE)</f>
        <v>0.6</v>
      </c>
      <c r="M1174" s="10">
        <f ca="1">VLOOKUP(dict_DQ_Meth_max[[#This Row],[ID_DataQualities]],table_DataQualities[],9,FALSE)</f>
        <v>4</v>
      </c>
    </row>
    <row r="1175" spans="1:13" x14ac:dyDescent="0.45">
      <c r="A1175" s="10">
        <v>313</v>
      </c>
      <c r="B1175" s="10">
        <v>82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0.70199999999999996</v>
      </c>
      <c r="G1175" s="12">
        <f ca="1">(RANDBETWEEN(50,100)/100)*(dict_DQ_Meth_max[[#This Row],[Vergleich_ub]]-dict_DQ_Meth_max[[#This Row],[Vergleich_lb]])+dict_DQ_Meth_max[[#This Row],[Vergleich_lb]]</f>
        <v>3.7280000000000002</v>
      </c>
      <c r="H1175" s="11" t="str">
        <f ca="1">VLOOKUP(VLOOKUP(dict_DQ_Meth_max[[#This Row],[ID_DataQualities]],table_DataQualities[],3),table_Units[],2)</f>
        <v>+/- °C</v>
      </c>
      <c r="I1175" s="10"/>
      <c r="J1175" s="10"/>
      <c r="K1175" s="10"/>
      <c r="L1175" s="10">
        <f ca="1">VLOOKUP(dict_DQ_Meth_max[[#This Row],[ID_DataQualities]],table_DataQualities[],8,FALSE)</f>
        <v>0.6</v>
      </c>
      <c r="M1175" s="10">
        <f ca="1">VLOOKUP(dict_DQ_Meth_max[[#This Row],[ID_DataQualities]],table_DataQualities[],9,FALSE)</f>
        <v>4</v>
      </c>
    </row>
    <row r="1176" spans="1:13" x14ac:dyDescent="0.45">
      <c r="A1176" s="10">
        <v>314</v>
      </c>
      <c r="B1176" s="10">
        <v>467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2611.9278399999994</v>
      </c>
      <c r="G1176" s="12">
        <f ca="1">(RANDBETWEEN(50,100)/100)*(dict_DQ_Meth_max[[#This Row],[Vergleich_ub]]-dict_DQ_Meth_max[[#This Row],[Vergleich_lb]])+dict_DQ_Meth_max[[#This Row],[Vergleich_lb]]</f>
        <v>3591.2912799999999</v>
      </c>
      <c r="H1176" s="11" t="str">
        <f ca="1">VLOOKUP(VLOOKUP(dict_DQ_Meth_max[[#This Row],[ID_DataQualities]],table_DataQualities[],3),table_Units[],2)</f>
        <v>Hz</v>
      </c>
      <c r="I1176" s="10"/>
      <c r="J1176" s="10"/>
      <c r="K1176" s="10"/>
      <c r="L1176" s="10">
        <f ca="1">VLOOKUP(dict_DQ_Meth_max[[#This Row],[ID_DataQualities]],table_DataQualities[],8,FALSE)</f>
        <v>0.29199999999999998</v>
      </c>
      <c r="M1176" s="10">
        <f ca="1">VLOOKUP(dict_DQ_Meth_max[[#This Row],[ID_DataQualities]],table_DataQualities[],9,FALSE)</f>
        <v>5441.2</v>
      </c>
    </row>
    <row r="1177" spans="1:13" x14ac:dyDescent="0.45">
      <c r="A1177" s="10">
        <v>314</v>
      </c>
      <c r="B1177" s="10">
        <v>597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381.15555999999998</v>
      </c>
      <c r="G1177" s="12">
        <f ca="1">(RANDBETWEEN(50,100)/100)*(dict_DQ_Meth_max[[#This Row],[Vergleich_ub]]-dict_DQ_Meth_max[[#This Row],[Vergleich_lb]])+dict_DQ_Meth_max[[#This Row],[Vergleich_lb]]</f>
        <v>4842.7001199999995</v>
      </c>
      <c r="H1177" s="11" t="str">
        <f ca="1">VLOOKUP(VLOOKUP(dict_DQ_Meth_max[[#This Row],[ID_DataQualities]],table_DataQualities[],3),table_Units[],2)</f>
        <v>Hz</v>
      </c>
      <c r="I1177" s="10"/>
      <c r="J1177" s="10"/>
      <c r="K1177" s="10"/>
      <c r="L1177" s="10">
        <f ca="1">VLOOKUP(dict_DQ_Meth_max[[#This Row],[ID_DataQualities]],table_DataQualities[],8,FALSE)</f>
        <v>0.29199999999999998</v>
      </c>
      <c r="M1177" s="10">
        <f ca="1">VLOOKUP(dict_DQ_Meth_max[[#This Row],[ID_DataQualities]],table_DataQualities[],9,FALSE)</f>
        <v>5441.2</v>
      </c>
    </row>
    <row r="1178" spans="1:13" x14ac:dyDescent="0.45">
      <c r="A1178" s="10">
        <v>314</v>
      </c>
      <c r="B1178" s="10">
        <v>532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2231.0642799999996</v>
      </c>
      <c r="G1178" s="12">
        <f ca="1">(RANDBETWEEN(50,100)/100)*(dict_DQ_Meth_max[[#This Row],[Vergleich_ub]]-dict_DQ_Meth_max[[#This Row],[Vergleich_lb]])+dict_DQ_Meth_max[[#This Row],[Vergleich_lb]]</f>
        <v>5169.1545999999998</v>
      </c>
      <c r="H1178" s="11" t="str">
        <f ca="1">VLOOKUP(VLOOKUP(dict_DQ_Meth_max[[#This Row],[ID_DataQualities]],table_DataQualities[],3),table_Units[],2)</f>
        <v>Hz</v>
      </c>
      <c r="I1178" s="10"/>
      <c r="J1178" s="10"/>
      <c r="K1178" s="10"/>
      <c r="L1178" s="10">
        <f ca="1">VLOOKUP(dict_DQ_Meth_max[[#This Row],[ID_DataQualities]],table_DataQualities[],8,FALSE)</f>
        <v>0.29199999999999998</v>
      </c>
      <c r="M1178" s="10">
        <f ca="1">VLOOKUP(dict_DQ_Meth_max[[#This Row],[ID_DataQualities]],table_DataQualities[],9,FALSE)</f>
        <v>5441.2</v>
      </c>
    </row>
    <row r="1179" spans="1:13" x14ac:dyDescent="0.45">
      <c r="A1179" s="10">
        <v>315</v>
      </c>
      <c r="B1179" s="10">
        <v>467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4.2575000000000003</v>
      </c>
      <c r="G1179" s="12">
        <f ca="1">(RANDBETWEEN(50,100)/100)*(dict_DQ_Meth_max[[#This Row],[Vergleich_ub]]-dict_DQ_Meth_max[[#This Row],[Vergleich_lb]])+dict_DQ_Meth_max[[#This Row],[Vergleich_lb]]</f>
        <v>6.9575000000000005</v>
      </c>
      <c r="H1179" s="11" t="str">
        <f ca="1">VLOOKUP(VLOOKUP(dict_DQ_Meth_max[[#This Row],[ID_DataQualities]],table_DataQualities[],3),table_Units[],2)</f>
        <v>+/- mm/s</v>
      </c>
      <c r="I1179" s="10"/>
      <c r="J1179" s="10"/>
      <c r="K1179" s="10"/>
      <c r="L1179" s="10">
        <f ca="1">VLOOKUP(dict_DQ_Meth_max[[#This Row],[ID_DataQualities]],table_DataQualities[],8,FALSE)</f>
        <v>0.95</v>
      </c>
      <c r="M1179" s="10">
        <f ca="1">VLOOKUP(dict_DQ_Meth_max[[#This Row],[ID_DataQualities]],table_DataQualities[],9,FALSE)</f>
        <v>7.7</v>
      </c>
    </row>
    <row r="1180" spans="1:13" x14ac:dyDescent="0.45">
      <c r="A1180" s="10">
        <v>315</v>
      </c>
      <c r="B1180" s="10">
        <v>597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1.4224999999999999</v>
      </c>
      <c r="G1180" s="12">
        <f ca="1">(RANDBETWEEN(50,100)/100)*(dict_DQ_Meth_max[[#This Row],[Vergleich_ub]]-dict_DQ_Meth_max[[#This Row],[Vergleich_lb]])+dict_DQ_Meth_max[[#This Row],[Vergleich_lb]]</f>
        <v>6.2150000000000007</v>
      </c>
      <c r="H1180" s="11" t="str">
        <f ca="1">VLOOKUP(VLOOKUP(dict_DQ_Meth_max[[#This Row],[ID_DataQualities]],table_DataQualities[],3),table_Units[],2)</f>
        <v>+/- mm/s</v>
      </c>
      <c r="I1180" s="10"/>
      <c r="J1180" s="10"/>
      <c r="K1180" s="10"/>
      <c r="L1180" s="10">
        <f ca="1">VLOOKUP(dict_DQ_Meth_max[[#This Row],[ID_DataQualities]],table_DataQualities[],8,FALSE)</f>
        <v>0.95</v>
      </c>
      <c r="M1180" s="10">
        <f ca="1">VLOOKUP(dict_DQ_Meth_max[[#This Row],[ID_DataQualities]],table_DataQualities[],9,FALSE)</f>
        <v>7.7</v>
      </c>
    </row>
    <row r="1181" spans="1:13" x14ac:dyDescent="0.45">
      <c r="A1181" s="10">
        <v>315</v>
      </c>
      <c r="B1181" s="10">
        <v>532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0.95</v>
      </c>
      <c r="G1181" s="12">
        <f ca="1">(RANDBETWEEN(50,100)/100)*(dict_DQ_Meth_max[[#This Row],[Vergleich_ub]]-dict_DQ_Meth_max[[#This Row],[Vergleich_lb]])+dict_DQ_Meth_max[[#This Row],[Vergleich_lb]]</f>
        <v>7.0250000000000004</v>
      </c>
      <c r="H1181" s="11" t="str">
        <f ca="1">VLOOKUP(VLOOKUP(dict_DQ_Meth_max[[#This Row],[ID_DataQualities]],table_DataQualities[],3),table_Units[],2)</f>
        <v>+/- mm/s</v>
      </c>
      <c r="I1181" s="10"/>
      <c r="J1181" s="10"/>
      <c r="K1181" s="10"/>
      <c r="L1181" s="10">
        <f ca="1">VLOOKUP(dict_DQ_Meth_max[[#This Row],[ID_DataQualities]],table_DataQualities[],8,FALSE)</f>
        <v>0.95</v>
      </c>
      <c r="M1181" s="10">
        <f ca="1">VLOOKUP(dict_DQ_Meth_max[[#This Row],[ID_DataQualities]],table_DataQualities[],9,FALSE)</f>
        <v>7.7</v>
      </c>
    </row>
    <row r="1182" spans="1:13" x14ac:dyDescent="0.45">
      <c r="A1182" s="10">
        <v>316</v>
      </c>
      <c r="B1182" s="10">
        <v>279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3273.6181899999997</v>
      </c>
      <c r="G1182" s="12">
        <f ca="1">(RANDBETWEEN(50,100)/100)*(dict_DQ_Meth_max[[#This Row],[Vergleich_ub]]-dict_DQ_Meth_max[[#This Row],[Vergleich_lb]])+dict_DQ_Meth_max[[#This Row],[Vergleich_lb]]</f>
        <v>4071.9540900000002</v>
      </c>
      <c r="H1182" s="11" t="str">
        <f ca="1">VLOOKUP(VLOOKUP(dict_DQ_Meth_max[[#This Row],[ID_DataQualities]],table_DataQualities[],3),table_Units[],2)</f>
        <v>Hz</v>
      </c>
      <c r="I1182" s="10"/>
      <c r="J1182" s="10"/>
      <c r="K1182" s="10"/>
      <c r="L1182" s="10">
        <f ca="1">VLOOKUP(dict_DQ_Meth_max[[#This Row],[ID_DataQualities]],table_DataQualities[],8,FALSE)</f>
        <v>0.441</v>
      </c>
      <c r="M1182" s="10">
        <f ca="1">VLOOKUP(dict_DQ_Meth_max[[#This Row],[ID_DataQualities]],table_DataQualities[],9,FALSE)</f>
        <v>7983.8</v>
      </c>
    </row>
    <row r="1183" spans="1:13" x14ac:dyDescent="0.45">
      <c r="A1183" s="10">
        <v>316</v>
      </c>
      <c r="B1183" s="10">
        <v>29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1836.6135700000002</v>
      </c>
      <c r="G1183" s="12">
        <f ca="1">(RANDBETWEEN(50,100)/100)*(dict_DQ_Meth_max[[#This Row],[Vergleich_ub]]-dict_DQ_Meth_max[[#This Row],[Vergleich_lb]])+dict_DQ_Meth_max[[#This Row],[Vergleich_lb]]</f>
        <v>5588.7923000000001</v>
      </c>
      <c r="H1183" s="11" t="str">
        <f ca="1">VLOOKUP(VLOOKUP(dict_DQ_Meth_max[[#This Row],[ID_DataQualities]],table_DataQualities[],3),table_Units[],2)</f>
        <v>Hz</v>
      </c>
      <c r="I1183" s="10"/>
      <c r="J1183" s="10"/>
      <c r="K1183" s="10"/>
      <c r="L1183" s="10">
        <f ca="1">VLOOKUP(dict_DQ_Meth_max[[#This Row],[ID_DataQualities]],table_DataQualities[],8,FALSE)</f>
        <v>0.441</v>
      </c>
      <c r="M1183" s="10">
        <f ca="1">VLOOKUP(dict_DQ_Meth_max[[#This Row],[ID_DataQualities]],table_DataQualities[],9,FALSE)</f>
        <v>7983.8</v>
      </c>
    </row>
    <row r="1184" spans="1:13" x14ac:dyDescent="0.45">
      <c r="A1184" s="10">
        <v>316</v>
      </c>
      <c r="B1184" s="10">
        <v>670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3592.95255</v>
      </c>
      <c r="G1184" s="12">
        <f ca="1">(RANDBETWEEN(50,100)/100)*(dict_DQ_Meth_max[[#This Row],[Vergleich_ub]]-dict_DQ_Meth_max[[#This Row],[Vergleich_lb]])+dict_DQ_Meth_max[[#This Row],[Vergleich_lb]]</f>
        <v>5109.7907599999999</v>
      </c>
      <c r="H1184" s="11" t="str">
        <f ca="1">VLOOKUP(VLOOKUP(dict_DQ_Meth_max[[#This Row],[ID_DataQualities]],table_DataQualities[],3),table_Units[],2)</f>
        <v>Hz</v>
      </c>
      <c r="I1184" s="10"/>
      <c r="J1184" s="10"/>
      <c r="K1184" s="10"/>
      <c r="L1184" s="10">
        <f ca="1">VLOOKUP(dict_DQ_Meth_max[[#This Row],[ID_DataQualities]],table_DataQualities[],8,FALSE)</f>
        <v>0.441</v>
      </c>
      <c r="M1184" s="10">
        <f ca="1">VLOOKUP(dict_DQ_Meth_max[[#This Row],[ID_DataQualities]],table_DataQualities[],9,FALSE)</f>
        <v>7983.8</v>
      </c>
    </row>
    <row r="1185" spans="1:13" x14ac:dyDescent="0.45">
      <c r="A1185" s="10">
        <v>316</v>
      </c>
      <c r="B1185" s="10">
        <v>416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2874.4502399999997</v>
      </c>
      <c r="G1185" s="12">
        <f ca="1">(RANDBETWEEN(50,100)/100)*(dict_DQ_Meth_max[[#This Row],[Vergleich_ub]]-dict_DQ_Meth_max[[#This Row],[Vergleich_lb]])+dict_DQ_Meth_max[[#This Row],[Vergleich_lb]]</f>
        <v>4630.7892199999997</v>
      </c>
      <c r="H1185" s="11" t="str">
        <f ca="1">VLOOKUP(VLOOKUP(dict_DQ_Meth_max[[#This Row],[ID_DataQualities]],table_DataQualities[],3),table_Units[],2)</f>
        <v>Hz</v>
      </c>
      <c r="I1185" s="10"/>
      <c r="J1185" s="10"/>
      <c r="K1185" s="10"/>
      <c r="L1185" s="10">
        <f ca="1">VLOOKUP(dict_DQ_Meth_max[[#This Row],[ID_DataQualities]],table_DataQualities[],8,FALSE)</f>
        <v>0.441</v>
      </c>
      <c r="M1185" s="10">
        <f ca="1">VLOOKUP(dict_DQ_Meth_max[[#This Row],[ID_DataQualities]],table_DataQualities[],9,FALSE)</f>
        <v>7983.8</v>
      </c>
    </row>
    <row r="1186" spans="1:13" x14ac:dyDescent="0.45">
      <c r="A1186" s="10">
        <v>316</v>
      </c>
      <c r="B1186" s="10">
        <v>502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2874.4502399999997</v>
      </c>
      <c r="G1186" s="12">
        <f ca="1">(RANDBETWEEN(50,100)/100)*(dict_DQ_Meth_max[[#This Row],[Vergleich_ub]]-dict_DQ_Meth_max[[#This Row],[Vergleich_lb]])+dict_DQ_Meth_max[[#This Row],[Vergleich_lb]]</f>
        <v>6626.6289699999998</v>
      </c>
      <c r="H1186" s="11" t="str">
        <f ca="1">VLOOKUP(VLOOKUP(dict_DQ_Meth_max[[#This Row],[ID_DataQualities]],table_DataQualities[],3),table_Units[],2)</f>
        <v>Hz</v>
      </c>
      <c r="I1186" s="10"/>
      <c r="J1186" s="10"/>
      <c r="K1186" s="10"/>
      <c r="L1186" s="10">
        <f ca="1">VLOOKUP(dict_DQ_Meth_max[[#This Row],[ID_DataQualities]],table_DataQualities[],8,FALSE)</f>
        <v>0.441</v>
      </c>
      <c r="M1186" s="10">
        <f ca="1">VLOOKUP(dict_DQ_Meth_max[[#This Row],[ID_DataQualities]],table_DataQualities[],9,FALSE)</f>
        <v>7983.8</v>
      </c>
    </row>
    <row r="1187" spans="1:13" x14ac:dyDescent="0.45">
      <c r="A1187" s="10">
        <v>317</v>
      </c>
      <c r="B1187" s="10">
        <v>29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0.58279999999999998</v>
      </c>
      <c r="G1187" s="12">
        <f ca="1">(RANDBETWEEN(50,100)/100)*(dict_DQ_Meth_max[[#This Row],[Vergleich_ub]]-dict_DQ_Meth_max[[#This Row],[Vergleich_lb]])+dict_DQ_Meth_max[[#This Row],[Vergleich_lb]]</f>
        <v>1.6853</v>
      </c>
      <c r="H1187" s="11" t="str">
        <f ca="1">VLOOKUP(VLOOKUP(dict_DQ_Meth_max[[#This Row],[ID_DataQualities]],table_DataQualities[],3),table_Units[],2)</f>
        <v>+/- mm/s</v>
      </c>
      <c r="I1187" s="10"/>
      <c r="J1187" s="10"/>
      <c r="K1187" s="10"/>
      <c r="L1187" s="10">
        <f ca="1">VLOOKUP(dict_DQ_Meth_max[[#This Row],[ID_DataQualities]],table_DataQualities[],8,FALSE)</f>
        <v>0.23</v>
      </c>
      <c r="M1187" s="10">
        <f ca="1">VLOOKUP(dict_DQ_Meth_max[[#This Row],[ID_DataQualities]],table_DataQualities[],9,FALSE)</f>
        <v>1.7</v>
      </c>
    </row>
    <row r="1188" spans="1:13" x14ac:dyDescent="0.45">
      <c r="A1188" s="10">
        <v>317</v>
      </c>
      <c r="B1188" s="10">
        <v>279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0.47989999999999999</v>
      </c>
      <c r="G1188" s="12">
        <f ca="1">(RANDBETWEEN(50,100)/100)*(dict_DQ_Meth_max[[#This Row],[Vergleich_ub]]-dict_DQ_Meth_max[[#This Row],[Vergleich_lb]])+dict_DQ_Meth_max[[#This Row],[Vergleich_lb]]</f>
        <v>1.4500999999999999</v>
      </c>
      <c r="H1188" s="11" t="str">
        <f ca="1">VLOOKUP(VLOOKUP(dict_DQ_Meth_max[[#This Row],[ID_DataQualities]],table_DataQualities[],3),table_Units[],2)</f>
        <v>+/- mm/s</v>
      </c>
      <c r="I1188" s="10"/>
      <c r="J1188" s="10"/>
      <c r="K1188" s="10"/>
      <c r="L1188" s="10">
        <f ca="1">VLOOKUP(dict_DQ_Meth_max[[#This Row],[ID_DataQualities]],table_DataQualities[],8,FALSE)</f>
        <v>0.23</v>
      </c>
      <c r="M1188" s="10">
        <f ca="1">VLOOKUP(dict_DQ_Meth_max[[#This Row],[ID_DataQualities]],table_DataQualities[],9,FALSE)</f>
        <v>1.7</v>
      </c>
    </row>
    <row r="1189" spans="1:13" x14ac:dyDescent="0.45">
      <c r="A1189" s="10">
        <v>317</v>
      </c>
      <c r="B1189" s="10">
        <v>502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0.58279999999999998</v>
      </c>
      <c r="G1189" s="12">
        <f ca="1">(RANDBETWEEN(50,100)/100)*(dict_DQ_Meth_max[[#This Row],[Vergleich_ub]]-dict_DQ_Meth_max[[#This Row],[Vergleich_lb]])+dict_DQ_Meth_max[[#This Row],[Vergleich_lb]]</f>
        <v>1.1120000000000001</v>
      </c>
      <c r="H1189" s="11" t="str">
        <f ca="1">VLOOKUP(VLOOKUP(dict_DQ_Meth_max[[#This Row],[ID_DataQualities]],table_DataQualities[],3),table_Units[],2)</f>
        <v>+/- mm/s</v>
      </c>
      <c r="I1189" s="10"/>
      <c r="J1189" s="10"/>
      <c r="K1189" s="10"/>
      <c r="L1189" s="10">
        <f ca="1">VLOOKUP(dict_DQ_Meth_max[[#This Row],[ID_DataQualities]],table_DataQualities[],8,FALSE)</f>
        <v>0.23</v>
      </c>
      <c r="M1189" s="10">
        <f ca="1">VLOOKUP(dict_DQ_Meth_max[[#This Row],[ID_DataQualities]],table_DataQualities[],9,FALSE)</f>
        <v>1.7</v>
      </c>
    </row>
    <row r="1190" spans="1:13" x14ac:dyDescent="0.45">
      <c r="A1190" s="10">
        <v>317</v>
      </c>
      <c r="B1190" s="10">
        <v>416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0.90620000000000001</v>
      </c>
      <c r="G1190" s="12">
        <f ca="1">(RANDBETWEEN(50,100)/100)*(dict_DQ_Meth_max[[#This Row],[Vergleich_ub]]-dict_DQ_Meth_max[[#This Row],[Vergleich_lb]])+dict_DQ_Meth_max[[#This Row],[Vergleich_lb]]</f>
        <v>0.99439999999999995</v>
      </c>
      <c r="H1190" s="11" t="str">
        <f ca="1">VLOOKUP(VLOOKUP(dict_DQ_Meth_max[[#This Row],[ID_DataQualities]],table_DataQualities[],3),table_Units[],2)</f>
        <v>+/- mm/s</v>
      </c>
      <c r="I1190" s="10"/>
      <c r="J1190" s="10"/>
      <c r="K1190" s="10"/>
      <c r="L1190" s="10">
        <f ca="1">VLOOKUP(dict_DQ_Meth_max[[#This Row],[ID_DataQualities]],table_DataQualities[],8,FALSE)</f>
        <v>0.23</v>
      </c>
      <c r="M1190" s="10">
        <f ca="1">VLOOKUP(dict_DQ_Meth_max[[#This Row],[ID_DataQualities]],table_DataQualities[],9,FALSE)</f>
        <v>1.7</v>
      </c>
    </row>
    <row r="1191" spans="1:13" x14ac:dyDescent="0.45">
      <c r="A1191" s="10">
        <v>317</v>
      </c>
      <c r="B1191" s="10">
        <v>670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0.45050000000000001</v>
      </c>
      <c r="G1191" s="12">
        <f ca="1">(RANDBETWEEN(50,100)/100)*(dict_DQ_Meth_max[[#This Row],[Vergleich_ub]]-dict_DQ_Meth_max[[#This Row],[Vergleich_lb]])+dict_DQ_Meth_max[[#This Row],[Vergleich_lb]]</f>
        <v>1.2884</v>
      </c>
      <c r="H1191" s="11" t="str">
        <f ca="1">VLOOKUP(VLOOKUP(dict_DQ_Meth_max[[#This Row],[ID_DataQualities]],table_DataQualities[],3),table_Units[],2)</f>
        <v>+/- mm/s</v>
      </c>
      <c r="I1191" s="10"/>
      <c r="J1191" s="10"/>
      <c r="K1191" s="10"/>
      <c r="L1191" s="10">
        <f ca="1">VLOOKUP(dict_DQ_Meth_max[[#This Row],[ID_DataQualities]],table_DataQualities[],8,FALSE)</f>
        <v>0.23</v>
      </c>
      <c r="M1191" s="10">
        <f ca="1">VLOOKUP(dict_DQ_Meth_max[[#This Row],[ID_DataQualities]],table_DataQualities[],9,FALSE)</f>
        <v>1.7</v>
      </c>
    </row>
    <row r="1192" spans="1:13" x14ac:dyDescent="0.45">
      <c r="A1192" s="10">
        <v>318</v>
      </c>
      <c r="B1192" s="10">
        <v>258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208.88734000000002</v>
      </c>
      <c r="G1192" s="12">
        <f ca="1">(RANDBETWEEN(50,100)/100)*(dict_DQ_Meth_max[[#This Row],[Vergleich_ub]]-dict_DQ_Meth_max[[#This Row],[Vergleich_lb]])+dict_DQ_Meth_max[[#This Row],[Vergleich_lb]]</f>
        <v>6655.8128800000004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0.92200000000000004</v>
      </c>
      <c r="M1192" s="10">
        <f ca="1">VLOOKUP(dict_DQ_Meth_max[[#This Row],[ID_DataQualities]],table_DataQualities[],9,FALSE)</f>
        <v>6933.1</v>
      </c>
    </row>
    <row r="1193" spans="1:13" x14ac:dyDescent="0.45">
      <c r="A1193" s="10">
        <v>318</v>
      </c>
      <c r="B1193" s="10">
        <v>194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2219.2189600000002</v>
      </c>
      <c r="G1193" s="12">
        <f ca="1">(RANDBETWEEN(50,100)/100)*(dict_DQ_Meth_max[[#This Row],[Vergleich_ub]]-dict_DQ_Meth_max[[#This Row],[Vergleich_lb]])+dict_DQ_Meth_max[[#This Row],[Vergleich_lb]]</f>
        <v>3813.6199000000006</v>
      </c>
      <c r="H1193" s="11" t="str">
        <f ca="1">VLOOKUP(VLOOKUP(dict_DQ_Meth_max[[#This Row],[ID_DataQualities]],table_DataQualities[],3),table_Units[],2)</f>
        <v>Hz</v>
      </c>
      <c r="I1193" s="10"/>
      <c r="J1193" s="10"/>
      <c r="K1193" s="10"/>
      <c r="L1193" s="10">
        <f ca="1">VLOOKUP(dict_DQ_Meth_max[[#This Row],[ID_DataQualities]],table_DataQualities[],8,FALSE)</f>
        <v>0.92200000000000004</v>
      </c>
      <c r="M1193" s="10">
        <f ca="1">VLOOKUP(dict_DQ_Meth_max[[#This Row],[ID_DataQualities]],table_DataQualities[],9,FALSE)</f>
        <v>6933.1</v>
      </c>
    </row>
    <row r="1194" spans="1:13" x14ac:dyDescent="0.45">
      <c r="A1194" s="10">
        <v>318</v>
      </c>
      <c r="B1194" s="10">
        <v>621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3259.0456600000002</v>
      </c>
      <c r="G1194" s="12">
        <f ca="1">(RANDBETWEEN(50,100)/100)*(dict_DQ_Meth_max[[#This Row],[Vergleich_ub]]-dict_DQ_Meth_max[[#This Row],[Vergleich_lb]])+dict_DQ_Meth_max[[#This Row],[Vergleich_lb]]</f>
        <v>6517.16932</v>
      </c>
      <c r="H1194" s="11" t="str">
        <f ca="1">VLOOKUP(VLOOKUP(dict_DQ_Meth_max[[#This Row],[ID_DataQualities]],table_DataQualities[],3),table_Units[],2)</f>
        <v>Hz</v>
      </c>
      <c r="I1194" s="10"/>
      <c r="J1194" s="10"/>
      <c r="K1194" s="10"/>
      <c r="L1194" s="10">
        <f ca="1">VLOOKUP(dict_DQ_Meth_max[[#This Row],[ID_DataQualities]],table_DataQualities[],8,FALSE)</f>
        <v>0.92200000000000004</v>
      </c>
      <c r="M1194" s="10">
        <f ca="1">VLOOKUP(dict_DQ_Meth_max[[#This Row],[ID_DataQualities]],table_DataQualities[],9,FALSE)</f>
        <v>6933.1</v>
      </c>
    </row>
    <row r="1195" spans="1:13" x14ac:dyDescent="0.45">
      <c r="A1195" s="10">
        <v>319</v>
      </c>
      <c r="B1195" s="10">
        <v>258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2.12</v>
      </c>
      <c r="G1195" s="12">
        <f ca="1">(RANDBETWEEN(50,100)/100)*(dict_DQ_Meth_max[[#This Row],[Vergleich_ub]]-dict_DQ_Meth_max[[#This Row],[Vergleich_lb]])+dict_DQ_Meth_max[[#This Row],[Vergleich_lb]]</f>
        <v>5.32</v>
      </c>
      <c r="H1195" s="11" t="str">
        <f ca="1">VLOOKUP(VLOOKUP(dict_DQ_Meth_max[[#This Row],[ID_DataQualities]],table_DataQualities[],3),table_Units[],2)</f>
        <v>+/- °C</v>
      </c>
      <c r="I1195" s="10"/>
      <c r="J1195" s="10"/>
      <c r="K1195" s="10"/>
      <c r="L1195" s="10">
        <f ca="1">VLOOKUP(dict_DQ_Meth_max[[#This Row],[ID_DataQualities]],table_DataQualities[],8,FALSE)</f>
        <v>1</v>
      </c>
      <c r="M1195" s="10">
        <f ca="1">VLOOKUP(dict_DQ_Meth_max[[#This Row],[ID_DataQualities]],table_DataQualities[],9,FALSE)</f>
        <v>9</v>
      </c>
    </row>
    <row r="1196" spans="1:13" x14ac:dyDescent="0.45">
      <c r="A1196" s="10">
        <v>319</v>
      </c>
      <c r="B1196" s="10">
        <v>621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3.8</v>
      </c>
      <c r="G1196" s="12">
        <f ca="1">(RANDBETWEEN(50,100)/100)*(dict_DQ_Meth_max[[#This Row],[Vergleich_ub]]-dict_DQ_Meth_max[[#This Row],[Vergleich_lb]])+dict_DQ_Meth_max[[#This Row],[Vergleich_lb]]</f>
        <v>6.36</v>
      </c>
      <c r="H1196" s="11" t="str">
        <f ca="1">VLOOKUP(VLOOKUP(dict_DQ_Meth_max[[#This Row],[ID_DataQualities]],table_DataQualities[],3),table_Units[],2)</f>
        <v>+/- °C</v>
      </c>
      <c r="I1196" s="10"/>
      <c r="J1196" s="10"/>
      <c r="K1196" s="10"/>
      <c r="L1196" s="10">
        <f ca="1">VLOOKUP(dict_DQ_Meth_max[[#This Row],[ID_DataQualities]],table_DataQualities[],8,FALSE)</f>
        <v>1</v>
      </c>
      <c r="M1196" s="10">
        <f ca="1">VLOOKUP(dict_DQ_Meth_max[[#This Row],[ID_DataQualities]],table_DataQualities[],9,FALSE)</f>
        <v>9</v>
      </c>
    </row>
    <row r="1197" spans="1:13" x14ac:dyDescent="0.45">
      <c r="A1197" s="10">
        <v>319</v>
      </c>
      <c r="B1197" s="10">
        <v>194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3.8</v>
      </c>
      <c r="G1197" s="12">
        <f ca="1">(RANDBETWEEN(50,100)/100)*(dict_DQ_Meth_max[[#This Row],[Vergleich_ub]]-dict_DQ_Meth_max[[#This Row],[Vergleich_lb]])+dict_DQ_Meth_max[[#This Row],[Vergleich_lb]]</f>
        <v>9</v>
      </c>
      <c r="H1197" s="11" t="str">
        <f ca="1">VLOOKUP(VLOOKUP(dict_DQ_Meth_max[[#This Row],[ID_DataQualities]],table_DataQualities[],3),table_Units[],2)</f>
        <v>+/- °C</v>
      </c>
      <c r="I1197" s="10"/>
      <c r="J1197" s="10"/>
      <c r="K1197" s="10"/>
      <c r="L1197" s="10">
        <f ca="1">VLOOKUP(dict_DQ_Meth_max[[#This Row],[ID_DataQualities]],table_DataQualities[],8,FALSE)</f>
        <v>1</v>
      </c>
      <c r="M1197" s="10">
        <f ca="1">VLOOKUP(dict_DQ_Meth_max[[#This Row],[ID_DataQualities]],table_DataQualities[],9,FALSE)</f>
        <v>9</v>
      </c>
    </row>
    <row r="1198" spans="1:13" x14ac:dyDescent="0.45">
      <c r="A1198" s="10">
        <v>320</v>
      </c>
      <c r="B1198" s="10">
        <v>172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625.96636999999998</v>
      </c>
      <c r="G1198" s="12">
        <f ca="1">(RANDBETWEEN(50,100)/100)*(dict_DQ_Meth_max[[#This Row],[Vergleich_ub]]-dict_DQ_Meth_max[[#This Row],[Vergleich_lb]])+dict_DQ_Meth_max[[#This Row],[Vergleich_lb]]</f>
        <v>1942.1347000000003</v>
      </c>
      <c r="H1198" s="11" t="str">
        <f ca="1">VLOOKUP(VLOOKUP(dict_DQ_Meth_max[[#This Row],[ID_DataQualities]],table_DataQualities[],3),table_Units[],2)</f>
        <v>Hz</v>
      </c>
      <c r="I1198" s="10"/>
      <c r="J1198" s="10"/>
      <c r="K1198" s="10"/>
      <c r="L1198" s="10">
        <f ca="1">VLOOKUP(dict_DQ_Meth_max[[#This Row],[ID_DataQualities]],table_DataQualities[],8,FALSE)</f>
        <v>0.247</v>
      </c>
      <c r="M1198" s="10">
        <f ca="1">VLOOKUP(dict_DQ_Meth_max[[#This Row],[ID_DataQualities]],table_DataQualities[],9,FALSE)</f>
        <v>2157.9</v>
      </c>
    </row>
    <row r="1199" spans="1:13" x14ac:dyDescent="0.45">
      <c r="A1199" s="10">
        <v>320</v>
      </c>
      <c r="B1199" s="10">
        <v>124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431.77760000000006</v>
      </c>
      <c r="G1199" s="12">
        <f ca="1">(RANDBETWEEN(50,100)/100)*(dict_DQ_Meth_max[[#This Row],[Vergleich_ub]]-dict_DQ_Meth_max[[#This Row],[Vergleich_lb]])+dict_DQ_Meth_max[[#This Row],[Vergleich_lb]]</f>
        <v>1359.5683900000001</v>
      </c>
      <c r="H1199" s="11" t="str">
        <f ca="1">VLOOKUP(VLOOKUP(dict_DQ_Meth_max[[#This Row],[ID_DataQualities]],table_DataQualities[],3),table_Units[],2)</f>
        <v>Hz</v>
      </c>
      <c r="I1199" s="10"/>
      <c r="J1199" s="10"/>
      <c r="K1199" s="10"/>
      <c r="L1199" s="10">
        <f ca="1">VLOOKUP(dict_DQ_Meth_max[[#This Row],[ID_DataQualities]],table_DataQualities[],8,FALSE)</f>
        <v>0.247</v>
      </c>
      <c r="M1199" s="10">
        <f ca="1">VLOOKUP(dict_DQ_Meth_max[[#This Row],[ID_DataQualities]],table_DataQualities[],9,FALSE)</f>
        <v>2157.9</v>
      </c>
    </row>
    <row r="1200" spans="1:13" x14ac:dyDescent="0.45">
      <c r="A1200" s="10">
        <v>320</v>
      </c>
      <c r="B1200" s="10">
        <v>356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237.58883000000003</v>
      </c>
      <c r="G1200" s="12">
        <f ca="1">(RANDBETWEEN(50,100)/100)*(dict_DQ_Meth_max[[#This Row],[Vergleich_ub]]-dict_DQ_Meth_max[[#This Row],[Vergleich_lb]])+dict_DQ_Meth_max[[#This Row],[Vergleich_lb]]</f>
        <v>1316.4153300000003</v>
      </c>
      <c r="H1200" s="11" t="str">
        <f ca="1">VLOOKUP(VLOOKUP(dict_DQ_Meth_max[[#This Row],[ID_DataQualities]],table_DataQualities[],3),table_Units[],2)</f>
        <v>Hz</v>
      </c>
      <c r="I1200" s="10"/>
      <c r="J1200" s="10"/>
      <c r="K1200" s="10"/>
      <c r="L1200" s="10">
        <f ca="1">VLOOKUP(dict_DQ_Meth_max[[#This Row],[ID_DataQualities]],table_DataQualities[],8,FALSE)</f>
        <v>0.247</v>
      </c>
      <c r="M1200" s="10">
        <f ca="1">VLOOKUP(dict_DQ_Meth_max[[#This Row],[ID_DataQualities]],table_DataQualities[],9,FALSE)</f>
        <v>2157.9</v>
      </c>
    </row>
    <row r="1201" spans="1:13" x14ac:dyDescent="0.45">
      <c r="A1201" s="10">
        <v>320</v>
      </c>
      <c r="B1201" s="10">
        <v>545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539.66025000000002</v>
      </c>
      <c r="G1201" s="12">
        <f ca="1">(RANDBETWEEN(50,100)/100)*(dict_DQ_Meth_max[[#This Row],[Vergleich_ub]]-dict_DQ_Meth_max[[#This Row],[Vergleich_lb]])+dict_DQ_Meth_max[[#This Row],[Vergleich_lb]]</f>
        <v>1575.3336900000002</v>
      </c>
      <c r="H1201" s="11" t="str">
        <f ca="1">VLOOKUP(VLOOKUP(dict_DQ_Meth_max[[#This Row],[ID_DataQualities]],table_DataQualities[],3),table_Units[],2)</f>
        <v>Hz</v>
      </c>
      <c r="I1201" s="10"/>
      <c r="J1201" s="10"/>
      <c r="K1201" s="10"/>
      <c r="L1201" s="10">
        <f ca="1">VLOOKUP(dict_DQ_Meth_max[[#This Row],[ID_DataQualities]],table_DataQualities[],8,FALSE)</f>
        <v>0.247</v>
      </c>
      <c r="M1201" s="10">
        <f ca="1">VLOOKUP(dict_DQ_Meth_max[[#This Row],[ID_DataQualities]],table_DataQualities[],9,FALSE)</f>
        <v>2157.9</v>
      </c>
    </row>
    <row r="1202" spans="1:13" x14ac:dyDescent="0.45">
      <c r="A1202" s="10">
        <v>321</v>
      </c>
      <c r="B1202" s="10">
        <v>172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0.38050000000000006</v>
      </c>
      <c r="G1202" s="12">
        <f ca="1">(RANDBETWEEN(50,100)/100)*(dict_DQ_Meth_max[[#This Row],[Vergleich_ub]]-dict_DQ_Meth_max[[#This Row],[Vergleich_lb]])+dict_DQ_Meth_max[[#This Row],[Vergleich_lb]]</f>
        <v>2.3844000000000003</v>
      </c>
      <c r="H1202" s="11" t="str">
        <f ca="1">VLOOKUP(VLOOKUP(dict_DQ_Meth_max[[#This Row],[ID_DataQualities]],table_DataQualities[],3),table_Units[],2)</f>
        <v>+/- W</v>
      </c>
      <c r="I1202" s="10"/>
      <c r="J1202" s="10"/>
      <c r="K1202" s="10"/>
      <c r="L1202" s="10">
        <f ca="1">VLOOKUP(dict_DQ_Meth_max[[#This Row],[ID_DataQualities]],table_DataQualities[],8,FALSE)</f>
        <v>3.5000000000000003E-2</v>
      </c>
      <c r="M1202" s="10">
        <f ca="1">VLOOKUP(dict_DQ_Meth_max[[#This Row],[ID_DataQualities]],table_DataQualities[],9,FALSE)</f>
        <v>3.49</v>
      </c>
    </row>
    <row r="1203" spans="1:13" x14ac:dyDescent="0.45">
      <c r="A1203" s="10">
        <v>321</v>
      </c>
      <c r="B1203" s="10">
        <v>356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0.17320000000000002</v>
      </c>
      <c r="G1203" s="12">
        <f ca="1">(RANDBETWEEN(50,100)/100)*(dict_DQ_Meth_max[[#This Row],[Vergleich_ub]]-dict_DQ_Meth_max[[#This Row],[Vergleich_lb]])+dict_DQ_Meth_max[[#This Row],[Vergleich_lb]]</f>
        <v>3.3863500000000002</v>
      </c>
      <c r="H1203" s="11" t="str">
        <f ca="1">VLOOKUP(VLOOKUP(dict_DQ_Meth_max[[#This Row],[ID_DataQualities]],table_DataQualities[],3),table_Units[],2)</f>
        <v>+/- W</v>
      </c>
      <c r="I1203" s="10"/>
      <c r="J1203" s="10"/>
      <c r="K1203" s="10"/>
      <c r="L1203" s="10">
        <f ca="1">VLOOKUP(dict_DQ_Meth_max[[#This Row],[ID_DataQualities]],table_DataQualities[],8,FALSE)</f>
        <v>3.5000000000000003E-2</v>
      </c>
      <c r="M1203" s="10">
        <f ca="1">VLOOKUP(dict_DQ_Meth_max[[#This Row],[ID_DataQualities]],table_DataQualities[],9,FALSE)</f>
        <v>3.49</v>
      </c>
    </row>
    <row r="1204" spans="1:13" x14ac:dyDescent="0.45">
      <c r="A1204" s="10">
        <v>321</v>
      </c>
      <c r="B1204" s="10">
        <v>545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0.13865</v>
      </c>
      <c r="G1204" s="12">
        <f ca="1">(RANDBETWEEN(50,100)/100)*(dict_DQ_Meth_max[[#This Row],[Vergleich_ub]]-dict_DQ_Meth_max[[#This Row],[Vergleich_lb]])+dict_DQ_Meth_max[[#This Row],[Vergleich_lb]]</f>
        <v>2.2807500000000003</v>
      </c>
      <c r="H1204" s="11" t="str">
        <f ca="1">VLOOKUP(VLOOKUP(dict_DQ_Meth_max[[#This Row],[ID_DataQualities]],table_DataQualities[],3),table_Units[],2)</f>
        <v>+/- W</v>
      </c>
      <c r="I1204" s="10"/>
      <c r="J1204" s="10"/>
      <c r="K1204" s="10"/>
      <c r="L1204" s="10">
        <f ca="1">VLOOKUP(dict_DQ_Meth_max[[#This Row],[ID_DataQualities]],table_DataQualities[],8,FALSE)</f>
        <v>3.5000000000000003E-2</v>
      </c>
      <c r="M1204" s="10">
        <f ca="1">VLOOKUP(dict_DQ_Meth_max[[#This Row],[ID_DataQualities]],table_DataQualities[],9,FALSE)</f>
        <v>3.49</v>
      </c>
    </row>
    <row r="1205" spans="1:13" x14ac:dyDescent="0.45">
      <c r="A1205" s="10">
        <v>321</v>
      </c>
      <c r="B1205" s="10">
        <v>124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0.82965000000000011</v>
      </c>
      <c r="G1205" s="12">
        <f ca="1">(RANDBETWEEN(50,100)/100)*(dict_DQ_Meth_max[[#This Row],[Vergleich_ub]]-dict_DQ_Meth_max[[#This Row],[Vergleich_lb]])+dict_DQ_Meth_max[[#This Row],[Vergleich_lb]]</f>
        <v>1.86615</v>
      </c>
      <c r="H1205" s="11" t="str">
        <f ca="1">VLOOKUP(VLOOKUP(dict_DQ_Meth_max[[#This Row],[ID_DataQualities]],table_DataQualities[],3),table_Units[],2)</f>
        <v>+/- W</v>
      </c>
      <c r="I1205" s="10"/>
      <c r="J1205" s="10"/>
      <c r="K1205" s="10"/>
      <c r="L1205" s="10">
        <f ca="1">VLOOKUP(dict_DQ_Meth_max[[#This Row],[ID_DataQualities]],table_DataQualities[],8,FALSE)</f>
        <v>3.5000000000000003E-2</v>
      </c>
      <c r="M1205" s="10">
        <f ca="1">VLOOKUP(dict_DQ_Meth_max[[#This Row],[ID_DataQualities]],table_DataQualities[],9,FALSE)</f>
        <v>3.49</v>
      </c>
    </row>
    <row r="1206" spans="1:13" x14ac:dyDescent="0.45">
      <c r="A1206" s="10">
        <v>322</v>
      </c>
      <c r="B1206" s="10">
        <v>260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1305.34672</v>
      </c>
      <c r="G1206" s="12">
        <f ca="1">(RANDBETWEEN(50,100)/100)*(dict_DQ_Meth_max[[#This Row],[Vergleich_ub]]-dict_DQ_Meth_max[[#This Row],[Vergleich_lb]])+dict_DQ_Meth_max[[#This Row],[Vergleich_lb]]</f>
        <v>2936.64012</v>
      </c>
      <c r="H1206" s="11" t="str">
        <f ca="1">VLOOKUP(VLOOKUP(dict_DQ_Meth_max[[#This Row],[ID_DataQualities]],table_DataQualities[],3),table_Units[],2)</f>
        <v>Hz</v>
      </c>
      <c r="I1206" s="10"/>
      <c r="J1206" s="10"/>
      <c r="K1206" s="10"/>
      <c r="L1206" s="10">
        <f ca="1">VLOOKUP(dict_DQ_Meth_max[[#This Row],[ID_DataQualities]],table_DataQualities[],8,FALSE)</f>
        <v>0.312</v>
      </c>
      <c r="M1206" s="10">
        <f ca="1">VLOOKUP(dict_DQ_Meth_max[[#This Row],[ID_DataQualities]],table_DataQualities[],9,FALSE)</f>
        <v>2966.3</v>
      </c>
    </row>
    <row r="1207" spans="1:13" x14ac:dyDescent="0.45">
      <c r="A1207" s="10">
        <v>322</v>
      </c>
      <c r="B1207" s="10">
        <v>141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563.84972000000005</v>
      </c>
      <c r="G1207" s="12">
        <f ca="1">(RANDBETWEEN(50,100)/100)*(dict_DQ_Meth_max[[#This Row],[Vergleich_ub]]-dict_DQ_Meth_max[[#This Row],[Vergleich_lb]])+dict_DQ_Meth_max[[#This Row],[Vergleich_lb]]</f>
        <v>2966.3</v>
      </c>
      <c r="H1207" s="11" t="str">
        <f ca="1">VLOOKUP(VLOOKUP(dict_DQ_Meth_max[[#This Row],[ID_DataQualities]],table_DataQualities[],3),table_Units[],2)</f>
        <v>Hz</v>
      </c>
      <c r="I1207" s="10"/>
      <c r="J1207" s="10"/>
      <c r="K1207" s="10"/>
      <c r="L1207" s="10">
        <f ca="1">VLOOKUP(dict_DQ_Meth_max[[#This Row],[ID_DataQualities]],table_DataQualities[],8,FALSE)</f>
        <v>0.312</v>
      </c>
      <c r="M1207" s="10">
        <f ca="1">VLOOKUP(dict_DQ_Meth_max[[#This Row],[ID_DataQualities]],table_DataQualities[],9,FALSE)</f>
        <v>2966.3</v>
      </c>
    </row>
    <row r="1208" spans="1:13" x14ac:dyDescent="0.45">
      <c r="A1208" s="10">
        <v>323</v>
      </c>
      <c r="B1208" s="10">
        <v>260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677.09</v>
      </c>
      <c r="G1208" s="12">
        <f ca="1">(RANDBETWEEN(50,100)/100)*(dict_DQ_Meth_max[[#This Row],[Vergleich_ub]]-dict_DQ_Meth_max[[#This Row],[Vergleich_lb]])+dict_DQ_Meth_max[[#This Row],[Vergleich_lb]]</f>
        <v>2322.5100000000002</v>
      </c>
      <c r="H1208" s="11" t="str">
        <f ca="1">VLOOKUP(VLOOKUP(dict_DQ_Meth_max[[#This Row],[ID_DataQualities]],table_DataQualities[],3),table_Units[],2)</f>
        <v>bit</v>
      </c>
      <c r="I1208" s="10"/>
      <c r="J1208" s="10"/>
      <c r="K1208" s="10"/>
      <c r="L1208" s="10">
        <f ca="1">VLOOKUP(dict_DQ_Meth_max[[#This Row],[ID_DataQualities]],table_DataQualities[],8,FALSE)</f>
        <v>69</v>
      </c>
      <c r="M1208" s="10">
        <f ca="1">VLOOKUP(dict_DQ_Meth_max[[#This Row],[ID_DataQualities]],table_DataQualities[],9,FALSE)</f>
        <v>3646</v>
      </c>
    </row>
    <row r="1209" spans="1:13" x14ac:dyDescent="0.45">
      <c r="A1209" s="10">
        <v>323</v>
      </c>
      <c r="B1209" s="10">
        <v>141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390.93</v>
      </c>
      <c r="G1209" s="12">
        <f ca="1">(RANDBETWEEN(50,100)/100)*(dict_DQ_Meth_max[[#This Row],[Vergleich_ub]]-dict_DQ_Meth_max[[#This Row],[Vergleich_lb]])+dict_DQ_Meth_max[[#This Row],[Vergleich_lb]]</f>
        <v>2358.2800000000002</v>
      </c>
      <c r="H1209" s="11" t="str">
        <f ca="1">VLOOKUP(VLOOKUP(dict_DQ_Meth_max[[#This Row],[ID_DataQualities]],table_DataQualities[],3),table_Units[],2)</f>
        <v>bit</v>
      </c>
      <c r="I1209" s="10"/>
      <c r="J1209" s="10"/>
      <c r="K1209" s="10"/>
      <c r="L1209" s="10">
        <f ca="1">VLOOKUP(dict_DQ_Meth_max[[#This Row],[ID_DataQualities]],table_DataQualities[],8,FALSE)</f>
        <v>69</v>
      </c>
      <c r="M1209" s="10">
        <f ca="1">VLOOKUP(dict_DQ_Meth_max[[#This Row],[ID_DataQualities]],table_DataQualities[],9,FALSE)</f>
        <v>3646</v>
      </c>
    </row>
    <row r="1210" spans="1:13" x14ac:dyDescent="0.45">
      <c r="A1210" s="10">
        <v>324</v>
      </c>
      <c r="B1210" s="10">
        <v>669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807.57279999999992</v>
      </c>
      <c r="G1210" s="12">
        <f ca="1">(RANDBETWEEN(50,100)/100)*(dict_DQ_Meth_max[[#This Row],[Vergleich_ub]]-dict_DQ_Meth_max[[#This Row],[Vergleich_lb]])+dict_DQ_Meth_max[[#This Row],[Vergleich_lb]]</f>
        <v>5383.7620000000006</v>
      </c>
      <c r="H1210" s="11" t="str">
        <f ca="1">VLOOKUP(VLOOKUP(dict_DQ_Meth_max[[#This Row],[ID_DataQualities]],table_DataQualities[],3),table_Units[],2)</f>
        <v>Hz</v>
      </c>
      <c r="I1210" s="10"/>
      <c r="J1210" s="10"/>
      <c r="K1210" s="10"/>
      <c r="L1210" s="10">
        <f ca="1">VLOOKUP(dict_DQ_Meth_max[[#This Row],[ID_DataQualities]],table_DataQualities[],8,FALSE)</f>
        <v>0.01</v>
      </c>
      <c r="M1210" s="10">
        <f ca="1">VLOOKUP(dict_DQ_Meth_max[[#This Row],[ID_DataQualities]],table_DataQualities[],9,FALSE)</f>
        <v>6729.7</v>
      </c>
    </row>
    <row r="1211" spans="1:13" x14ac:dyDescent="0.45">
      <c r="A1211" s="10">
        <v>324</v>
      </c>
      <c r="B1211" s="10">
        <v>587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1682.4324999999999</v>
      </c>
      <c r="G1211" s="12">
        <f ca="1">(RANDBETWEEN(50,100)/100)*(dict_DQ_Meth_max[[#This Row],[Vergleich_ub]]-dict_DQ_Meth_max[[#This Row],[Vergleich_lb]])+dict_DQ_Meth_max[[#This Row],[Vergleich_lb]]</f>
        <v>4172.4178000000002</v>
      </c>
      <c r="H1211" s="11" t="str">
        <f ca="1">VLOOKUP(VLOOKUP(dict_DQ_Meth_max[[#This Row],[ID_DataQualities]],table_DataQualities[],3),table_Units[],2)</f>
        <v>Hz</v>
      </c>
      <c r="I1211" s="10"/>
      <c r="J1211" s="10"/>
      <c r="K1211" s="10"/>
      <c r="L1211" s="10">
        <f ca="1">VLOOKUP(dict_DQ_Meth_max[[#This Row],[ID_DataQualities]],table_DataQualities[],8,FALSE)</f>
        <v>0.01</v>
      </c>
      <c r="M1211" s="10">
        <f ca="1">VLOOKUP(dict_DQ_Meth_max[[#This Row],[ID_DataQualities]],table_DataQualities[],9,FALSE)</f>
        <v>6729.7</v>
      </c>
    </row>
    <row r="1212" spans="1:13" x14ac:dyDescent="0.45">
      <c r="A1212" s="10">
        <v>324</v>
      </c>
      <c r="B1212" s="10">
        <v>10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0.01</v>
      </c>
      <c r="G1212" s="12">
        <f ca="1">(RANDBETWEEN(50,100)/100)*(dict_DQ_Meth_max[[#This Row],[Vergleich_ub]]-dict_DQ_Meth_max[[#This Row],[Vergleich_lb]])+dict_DQ_Meth_max[[#This Row],[Vergleich_lb]]</f>
        <v>5383.7620000000006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0.01</v>
      </c>
      <c r="M1212" s="10">
        <f ca="1">VLOOKUP(dict_DQ_Meth_max[[#This Row],[ID_DataQualities]],table_DataQualities[],9,FALSE)</f>
        <v>6729.7</v>
      </c>
    </row>
    <row r="1213" spans="1:13" x14ac:dyDescent="0.45">
      <c r="A1213" s="10">
        <v>324</v>
      </c>
      <c r="B1213" s="10">
        <v>135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3364.855</v>
      </c>
      <c r="G1213" s="12">
        <f ca="1">(RANDBETWEEN(50,100)/100)*(dict_DQ_Meth_max[[#This Row],[Vergleich_ub]]-dict_DQ_Meth_max[[#This Row],[Vergleich_lb]])+dict_DQ_Meth_max[[#This Row],[Vergleich_lb]]</f>
        <v>6393.2154999999993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0.01</v>
      </c>
      <c r="M1213" s="10">
        <f ca="1">VLOOKUP(dict_DQ_Meth_max[[#This Row],[ID_DataQualities]],table_DataQualities[],9,FALSE)</f>
        <v>6729.7</v>
      </c>
    </row>
    <row r="1214" spans="1:13" x14ac:dyDescent="0.45">
      <c r="A1214" s="10">
        <v>324</v>
      </c>
      <c r="B1214" s="10">
        <v>603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471.0883</v>
      </c>
      <c r="G1214" s="12">
        <f ca="1">(RANDBETWEEN(50,100)/100)*(dict_DQ_Meth_max[[#This Row],[Vergleich_ub]]-dict_DQ_Meth_max[[#This Row],[Vergleich_lb]])+dict_DQ_Meth_max[[#This Row],[Vergleich_lb]]</f>
        <v>5181.8712999999998</v>
      </c>
      <c r="H1214" s="11" t="str">
        <f ca="1">VLOOKUP(VLOOKUP(dict_DQ_Meth_max[[#This Row],[ID_DataQualities]],table_DataQualities[],3),table_Units[],2)</f>
        <v>Hz</v>
      </c>
      <c r="I1214" s="10"/>
      <c r="J1214" s="10"/>
      <c r="K1214" s="10"/>
      <c r="L1214" s="10">
        <f ca="1">VLOOKUP(dict_DQ_Meth_max[[#This Row],[ID_DataQualities]],table_DataQualities[],8,FALSE)</f>
        <v>0.01</v>
      </c>
      <c r="M1214" s="10">
        <f ca="1">VLOOKUP(dict_DQ_Meth_max[[#This Row],[ID_DataQualities]],table_DataQualities[],9,FALSE)</f>
        <v>6729.7</v>
      </c>
    </row>
    <row r="1215" spans="1:13" x14ac:dyDescent="0.45">
      <c r="A1215" s="10">
        <v>324</v>
      </c>
      <c r="B1215" s="10">
        <v>249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672.97900000000004</v>
      </c>
      <c r="G1215" s="12">
        <f ca="1">(RANDBETWEEN(50,100)/100)*(dict_DQ_Meth_max[[#This Row],[Vergleich_ub]]-dict_DQ_Meth_max[[#This Row],[Vergleich_lb]])+dict_DQ_Meth_max[[#This Row],[Vergleich_lb]]</f>
        <v>5989.4341000000004</v>
      </c>
      <c r="H1215" s="11" t="str">
        <f ca="1">VLOOKUP(VLOOKUP(dict_DQ_Meth_max[[#This Row],[ID_DataQualities]],table_DataQualities[],3),table_Units[],2)</f>
        <v>Hz</v>
      </c>
      <c r="I1215" s="10"/>
      <c r="J1215" s="10"/>
      <c r="K1215" s="10"/>
      <c r="L1215" s="10">
        <f ca="1">VLOOKUP(dict_DQ_Meth_max[[#This Row],[ID_DataQualities]],table_DataQualities[],8,FALSE)</f>
        <v>0.01</v>
      </c>
      <c r="M1215" s="10">
        <f ca="1">VLOOKUP(dict_DQ_Meth_max[[#This Row],[ID_DataQualities]],table_DataQualities[],9,FALSE)</f>
        <v>6729.7</v>
      </c>
    </row>
    <row r="1216" spans="1:13" x14ac:dyDescent="0.45">
      <c r="A1216" s="10">
        <v>325</v>
      </c>
      <c r="B1216" s="10">
        <v>669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7.0621000000000003E-2</v>
      </c>
      <c r="G1216" s="12">
        <f ca="1">(RANDBETWEEN(50,100)/100)*(dict_DQ_Meth_max[[#This Row],[Vergleich_ub]]-dict_DQ_Meth_max[[#This Row],[Vergleich_lb]])+dict_DQ_Meth_max[[#This Row],[Vergleich_lb]]</f>
        <v>0.79834599999999989</v>
      </c>
      <c r="H1216" s="11" t="str">
        <f ca="1">VLOOKUP(VLOOKUP(dict_DQ_Meth_max[[#This Row],[ID_DataQualities]],table_DataQualities[],3),table_Units[],2)</f>
        <v>+/- cm³/s</v>
      </c>
      <c r="I1216" s="10"/>
      <c r="J1216" s="10"/>
      <c r="K1216" s="10"/>
      <c r="L1216" s="10">
        <f ca="1">VLOOKUP(dict_DQ_Meth_max[[#This Row],[ID_DataQualities]],table_DataQualities[],8,FALSE)</f>
        <v>2.7000000000000001E-3</v>
      </c>
      <c r="M1216" s="10">
        <f ca="1">VLOOKUP(dict_DQ_Meth_max[[#This Row],[ID_DataQualities]],table_DataQualities[],9,FALSE)</f>
        <v>0.97299999999999998</v>
      </c>
    </row>
    <row r="1217" spans="1:13" x14ac:dyDescent="0.45">
      <c r="A1217" s="10">
        <v>325</v>
      </c>
      <c r="B1217" s="10">
        <v>10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0.41022599999999992</v>
      </c>
      <c r="G1217" s="12">
        <f ca="1">(RANDBETWEEN(50,100)/100)*(dict_DQ_Meth_max[[#This Row],[Vergleich_ub]]-dict_DQ_Meth_max[[#This Row],[Vergleich_lb]])+dict_DQ_Meth_max[[#This Row],[Vergleich_lb]]</f>
        <v>0.49755299999999997</v>
      </c>
      <c r="H1217" s="11" t="str">
        <f ca="1">VLOOKUP(VLOOKUP(dict_DQ_Meth_max[[#This Row],[ID_DataQualities]],table_DataQualities[],3),table_Units[],2)</f>
        <v>+/- cm³/s</v>
      </c>
      <c r="I1217" s="10"/>
      <c r="J1217" s="10"/>
      <c r="K1217" s="10"/>
      <c r="L1217" s="10">
        <f ca="1">VLOOKUP(dict_DQ_Meth_max[[#This Row],[ID_DataQualities]],table_DataQualities[],8,FALSE)</f>
        <v>2.7000000000000001E-3</v>
      </c>
      <c r="M1217" s="10">
        <f ca="1">VLOOKUP(dict_DQ_Meth_max[[#This Row],[ID_DataQualities]],table_DataQualities[],9,FALSE)</f>
        <v>0.97299999999999998</v>
      </c>
    </row>
    <row r="1218" spans="1:13" x14ac:dyDescent="0.45">
      <c r="A1218" s="10">
        <v>325</v>
      </c>
      <c r="B1218" s="10">
        <v>587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0.36171099999999995</v>
      </c>
      <c r="G1218" s="12">
        <f ca="1">(RANDBETWEEN(50,100)/100)*(dict_DQ_Meth_max[[#This Row],[Vergleich_ub]]-dict_DQ_Meth_max[[#This Row],[Vergleich_lb]])+dict_DQ_Meth_max[[#This Row],[Vergleich_lb]]</f>
        <v>0.70131599999999994</v>
      </c>
      <c r="H1218" s="11" t="str">
        <f ca="1">VLOOKUP(VLOOKUP(dict_DQ_Meth_max[[#This Row],[ID_DataQualities]],table_DataQualities[],3),table_Units[],2)</f>
        <v>+/- cm³/s</v>
      </c>
      <c r="I1218" s="10"/>
      <c r="J1218" s="10"/>
      <c r="K1218" s="10"/>
      <c r="L1218" s="10">
        <f ca="1">VLOOKUP(dict_DQ_Meth_max[[#This Row],[ID_DataQualities]],table_DataQualities[],8,FALSE)</f>
        <v>2.7000000000000001E-3</v>
      </c>
      <c r="M1218" s="10">
        <f ca="1">VLOOKUP(dict_DQ_Meth_max[[#This Row],[ID_DataQualities]],table_DataQualities[],9,FALSE)</f>
        <v>0.97299999999999998</v>
      </c>
    </row>
    <row r="1219" spans="1:13" x14ac:dyDescent="0.45">
      <c r="A1219" s="10">
        <v>325</v>
      </c>
      <c r="B1219" s="10">
        <v>603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9.0026999999999982E-2</v>
      </c>
      <c r="G1219" s="12">
        <f ca="1">(RANDBETWEEN(50,100)/100)*(dict_DQ_Meth_max[[#This Row],[Vergleich_ub]]-dict_DQ_Meth_max[[#This Row],[Vergleich_lb]])+dict_DQ_Meth_max[[#This Row],[Vergleich_lb]]</f>
        <v>0.71101899999999996</v>
      </c>
      <c r="H1219" s="11" t="str">
        <f ca="1">VLOOKUP(VLOOKUP(dict_DQ_Meth_max[[#This Row],[ID_DataQualities]],table_DataQualities[],3),table_Units[],2)</f>
        <v>+/- cm³/s</v>
      </c>
      <c r="I1219" s="10"/>
      <c r="J1219" s="10"/>
      <c r="K1219" s="10"/>
      <c r="L1219" s="10">
        <f ca="1">VLOOKUP(dict_DQ_Meth_max[[#This Row],[ID_DataQualities]],table_DataQualities[],8,FALSE)</f>
        <v>2.7000000000000001E-3</v>
      </c>
      <c r="M1219" s="10">
        <f ca="1">VLOOKUP(dict_DQ_Meth_max[[#This Row],[ID_DataQualities]],table_DataQualities[],9,FALSE)</f>
        <v>0.97299999999999998</v>
      </c>
    </row>
    <row r="1220" spans="1:13" x14ac:dyDescent="0.45">
      <c r="A1220" s="10">
        <v>325</v>
      </c>
      <c r="B1220" s="10">
        <v>249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0.41022599999999992</v>
      </c>
      <c r="G1220" s="12">
        <f ca="1">(RANDBETWEEN(50,100)/100)*(dict_DQ_Meth_max[[#This Row],[Vergleich_ub]]-dict_DQ_Meth_max[[#This Row],[Vergleich_lb]])+dict_DQ_Meth_max[[#This Row],[Vergleich_lb]]</f>
        <v>0.54606800000000011</v>
      </c>
      <c r="H1220" s="11" t="str">
        <f ca="1">VLOOKUP(VLOOKUP(dict_DQ_Meth_max[[#This Row],[ID_DataQualities]],table_DataQualities[],3),table_Units[],2)</f>
        <v>+/- cm³/s</v>
      </c>
      <c r="I1220" s="10"/>
      <c r="J1220" s="10"/>
      <c r="K1220" s="10"/>
      <c r="L1220" s="10">
        <f ca="1">VLOOKUP(dict_DQ_Meth_max[[#This Row],[ID_DataQualities]],table_DataQualities[],8,FALSE)</f>
        <v>2.7000000000000001E-3</v>
      </c>
      <c r="M1220" s="10">
        <f ca="1">VLOOKUP(dict_DQ_Meth_max[[#This Row],[ID_DataQualities]],table_DataQualities[],9,FALSE)</f>
        <v>0.97299999999999998</v>
      </c>
    </row>
    <row r="1221" spans="1:13" x14ac:dyDescent="0.45">
      <c r="A1221" s="10">
        <v>325</v>
      </c>
      <c r="B1221" s="10">
        <v>135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5.1215000000000004E-2</v>
      </c>
      <c r="G1221" s="12">
        <f ca="1">(RANDBETWEEN(50,100)/100)*(dict_DQ_Meth_max[[#This Row],[Vergleich_ub]]-dict_DQ_Meth_max[[#This Row],[Vergleich_lb]])+dict_DQ_Meth_max[[#This Row],[Vergleich_lb]]</f>
        <v>0.61398900000000001</v>
      </c>
      <c r="H1221" s="11" t="str">
        <f ca="1">VLOOKUP(VLOOKUP(dict_DQ_Meth_max[[#This Row],[ID_DataQualities]],table_DataQualities[],3),table_Units[],2)</f>
        <v>+/- cm³/s</v>
      </c>
      <c r="I1221" s="10"/>
      <c r="J1221" s="10"/>
      <c r="K1221" s="10"/>
      <c r="L1221" s="10">
        <f ca="1">VLOOKUP(dict_DQ_Meth_max[[#This Row],[ID_DataQualities]],table_DataQualities[],8,FALSE)</f>
        <v>2.7000000000000001E-3</v>
      </c>
      <c r="M1221" s="10">
        <f ca="1">VLOOKUP(dict_DQ_Meth_max[[#This Row],[ID_DataQualities]],table_DataQualities[],9,FALSE)</f>
        <v>0.97299999999999998</v>
      </c>
    </row>
    <row r="1222" spans="1:13" x14ac:dyDescent="0.45">
      <c r="A1222" s="10">
        <v>326</v>
      </c>
      <c r="B1222" s="10">
        <v>598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1753.8395</v>
      </c>
      <c r="G1222" s="12">
        <f ca="1">(RANDBETWEEN(50,100)/100)*(dict_DQ_Meth_max[[#This Row],[Vergleich_ub]]-dict_DQ_Meth_max[[#This Row],[Vergleich_lb]])+dict_DQ_Meth_max[[#This Row],[Vergleich_lb]]</f>
        <v>4208.8144000000002</v>
      </c>
      <c r="H1222" s="11" t="str">
        <f ca="1">VLOOKUP(VLOOKUP(dict_DQ_Meth_max[[#This Row],[ID_DataQualities]],table_DataQualities[],3),table_Units[],2)</f>
        <v>Hz</v>
      </c>
      <c r="I1222" s="10"/>
      <c r="J1222" s="10"/>
      <c r="K1222" s="10"/>
      <c r="L1222" s="10">
        <f ca="1">VLOOKUP(dict_DQ_Meth_max[[#This Row],[ID_DataQualities]],table_DataQualities[],8,FALSE)</f>
        <v>0.28599999999999998</v>
      </c>
      <c r="M1222" s="10">
        <f ca="1">VLOOKUP(dict_DQ_Meth_max[[#This Row],[ID_DataQualities]],table_DataQualities[],9,FALSE)</f>
        <v>7014.5</v>
      </c>
    </row>
    <row r="1223" spans="1:13" x14ac:dyDescent="0.45">
      <c r="A1223" s="10">
        <v>326</v>
      </c>
      <c r="B1223" s="10">
        <v>33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1192.7023800000002</v>
      </c>
      <c r="G1223" s="12">
        <f ca="1">(RANDBETWEEN(50,100)/100)*(dict_DQ_Meth_max[[#This Row],[Vergleich_ub]]-dict_DQ_Meth_max[[#This Row],[Vergleich_lb]])+dict_DQ_Meth_max[[#This Row],[Vergleich_lb]]</f>
        <v>6102.65218</v>
      </c>
      <c r="H1223" s="11" t="str">
        <f ca="1">VLOOKUP(VLOOKUP(dict_DQ_Meth_max[[#This Row],[ID_DataQualities]],table_DataQualities[],3),table_Units[],2)</f>
        <v>Hz</v>
      </c>
      <c r="I1223" s="10"/>
      <c r="J1223" s="10"/>
      <c r="K1223" s="10"/>
      <c r="L1223" s="10">
        <f ca="1">VLOOKUP(dict_DQ_Meth_max[[#This Row],[ID_DataQualities]],table_DataQualities[],8,FALSE)</f>
        <v>0.28599999999999998</v>
      </c>
      <c r="M1223" s="10">
        <f ca="1">VLOOKUP(dict_DQ_Meth_max[[#This Row],[ID_DataQualities]],table_DataQualities[],9,FALSE)</f>
        <v>7014.5</v>
      </c>
    </row>
    <row r="1224" spans="1:13" x14ac:dyDescent="0.45">
      <c r="A1224" s="10">
        <v>326</v>
      </c>
      <c r="B1224" s="10">
        <v>90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1823.9816400000002</v>
      </c>
      <c r="G1224" s="12">
        <f ca="1">(RANDBETWEEN(50,100)/100)*(dict_DQ_Meth_max[[#This Row],[Vergleich_ub]]-dict_DQ_Meth_max[[#This Row],[Vergleich_lb]])+dict_DQ_Meth_max[[#This Row],[Vergleich_lb]]</f>
        <v>4769.9515200000005</v>
      </c>
      <c r="H1224" s="11" t="str">
        <f ca="1">VLOOKUP(VLOOKUP(dict_DQ_Meth_max[[#This Row],[ID_DataQualities]],table_DataQualities[],3),table_Units[],2)</f>
        <v>Hz</v>
      </c>
      <c r="I1224" s="10"/>
      <c r="J1224" s="10"/>
      <c r="K1224" s="10"/>
      <c r="L1224" s="10">
        <f ca="1">VLOOKUP(dict_DQ_Meth_max[[#This Row],[ID_DataQualities]],table_DataQualities[],8,FALSE)</f>
        <v>0.28599999999999998</v>
      </c>
      <c r="M1224" s="10">
        <f ca="1">VLOOKUP(dict_DQ_Meth_max[[#This Row],[ID_DataQualities]],table_DataQualities[],9,FALSE)</f>
        <v>7014.5</v>
      </c>
    </row>
    <row r="1225" spans="1:13" x14ac:dyDescent="0.45">
      <c r="A1225" s="10">
        <v>327</v>
      </c>
      <c r="B1225" s="10">
        <v>598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0.48087000000000002</v>
      </c>
      <c r="G1225" s="12">
        <f ca="1">(RANDBETWEEN(50,100)/100)*(dict_DQ_Meth_max[[#This Row],[Vergleich_ub]]-dict_DQ_Meth_max[[#This Row],[Vergleich_lb]])+dict_DQ_Meth_max[[#This Row],[Vergleich_lb]]</f>
        <v>1.58907</v>
      </c>
      <c r="H1225" s="11" t="str">
        <f ca="1">VLOOKUP(VLOOKUP(dict_DQ_Meth_max[[#This Row],[ID_DataQualities]],table_DataQualities[],3),table_Units[],2)</f>
        <v>+/- W</v>
      </c>
      <c r="I1225" s="10"/>
      <c r="J1225" s="10"/>
      <c r="K1225" s="10"/>
      <c r="L1225" s="10">
        <f ca="1">VLOOKUP(dict_DQ_Meth_max[[#This Row],[ID_DataQualities]],table_DataQualities[],8,FALSE)</f>
        <v>9.2999999999999999E-2</v>
      </c>
      <c r="M1225" s="10">
        <f ca="1">VLOOKUP(dict_DQ_Meth_max[[#This Row],[ID_DataQualities]],table_DataQualities[],9,FALSE)</f>
        <v>1.94</v>
      </c>
    </row>
    <row r="1226" spans="1:13" x14ac:dyDescent="0.45">
      <c r="A1226" s="10">
        <v>327</v>
      </c>
      <c r="B1226" s="10">
        <v>33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0.53627999999999998</v>
      </c>
      <c r="G1226" s="12">
        <f ca="1">(RANDBETWEEN(50,100)/100)*(dict_DQ_Meth_max[[#This Row],[Vergleich_ub]]-dict_DQ_Meth_max[[#This Row],[Vergleich_lb]])+dict_DQ_Meth_max[[#This Row],[Vergleich_lb]]</f>
        <v>1.27508</v>
      </c>
      <c r="H1226" s="11" t="str">
        <f ca="1">VLOOKUP(VLOOKUP(dict_DQ_Meth_max[[#This Row],[ID_DataQualities]],table_DataQualities[],3),table_Units[],2)</f>
        <v>+/- W</v>
      </c>
      <c r="I1226" s="10"/>
      <c r="J1226" s="10"/>
      <c r="K1226" s="10"/>
      <c r="L1226" s="10">
        <f ca="1">VLOOKUP(dict_DQ_Meth_max[[#This Row],[ID_DataQualities]],table_DataQualities[],8,FALSE)</f>
        <v>9.2999999999999999E-2</v>
      </c>
      <c r="M1226" s="10">
        <f ca="1">VLOOKUP(dict_DQ_Meth_max[[#This Row],[ID_DataQualities]],table_DataQualities[],9,FALSE)</f>
        <v>1.94</v>
      </c>
    </row>
    <row r="1227" spans="1:13" x14ac:dyDescent="0.45">
      <c r="A1227" s="10">
        <v>327</v>
      </c>
      <c r="B1227" s="10">
        <v>90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0.85026999999999997</v>
      </c>
      <c r="G1227" s="12">
        <f ca="1">(RANDBETWEEN(50,100)/100)*(dict_DQ_Meth_max[[#This Row],[Vergleich_ub]]-dict_DQ_Meth_max[[#This Row],[Vergleich_lb]])+dict_DQ_Meth_max[[#This Row],[Vergleich_lb]]</f>
        <v>1.29355</v>
      </c>
      <c r="H1227" s="11" t="str">
        <f ca="1">VLOOKUP(VLOOKUP(dict_DQ_Meth_max[[#This Row],[ID_DataQualities]],table_DataQualities[],3),table_Units[],2)</f>
        <v>+/- W</v>
      </c>
      <c r="I1227" s="10"/>
      <c r="J1227" s="10"/>
      <c r="K1227" s="10"/>
      <c r="L1227" s="10">
        <f ca="1">VLOOKUP(dict_DQ_Meth_max[[#This Row],[ID_DataQualities]],table_DataQualities[],8,FALSE)</f>
        <v>9.2999999999999999E-2</v>
      </c>
      <c r="M1227" s="10">
        <f ca="1">VLOOKUP(dict_DQ_Meth_max[[#This Row],[ID_DataQualities]],table_DataQualities[],9,FALSE)</f>
        <v>1.94</v>
      </c>
    </row>
    <row r="1228" spans="1:13" x14ac:dyDescent="0.45">
      <c r="A1228" s="10">
        <v>328</v>
      </c>
      <c r="B1228" s="10">
        <v>641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425.88276000000002</v>
      </c>
      <c r="G1228" s="12">
        <f ca="1">(RANDBETWEEN(50,100)/100)*(dict_DQ_Meth_max[[#This Row],[Vergleich_ub]]-dict_DQ_Meth_max[[#This Row],[Vergleich_lb]])+dict_DQ_Meth_max[[#This Row],[Vergleich_lb]]</f>
        <v>1523.1907200000001</v>
      </c>
      <c r="H1228" s="11" t="str">
        <f ca="1">VLOOKUP(VLOOKUP(dict_DQ_Meth_max[[#This Row],[ID_DataQualities]],table_DataQualities[],3),table_Units[],2)</f>
        <v>Hz</v>
      </c>
      <c r="I1228" s="10"/>
      <c r="J1228" s="10"/>
      <c r="K1228" s="10"/>
      <c r="L1228" s="10">
        <f ca="1">VLOOKUP(dict_DQ_Meth_max[[#This Row],[ID_DataQualities]],table_DataQualities[],8,FALSE)</f>
        <v>0.39600000000000002</v>
      </c>
      <c r="M1228" s="10">
        <f ca="1">VLOOKUP(dict_DQ_Meth_max[[#This Row],[ID_DataQualities]],table_DataQualities[],9,FALSE)</f>
        <v>2239.8000000000002</v>
      </c>
    </row>
    <row r="1229" spans="1:13" x14ac:dyDescent="0.45">
      <c r="A1229" s="10">
        <v>328</v>
      </c>
      <c r="B1229" s="10">
        <v>549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1097.7039599999998</v>
      </c>
      <c r="G1229" s="12">
        <f ca="1">(RANDBETWEEN(50,100)/100)*(dict_DQ_Meth_max[[#This Row],[Vergleich_ub]]-dict_DQ_Meth_max[[#This Row],[Vergleich_lb]])+dict_DQ_Meth_max[[#This Row],[Vergleich_lb]]</f>
        <v>1747.13112</v>
      </c>
      <c r="H1229" s="11" t="str">
        <f ca="1">VLOOKUP(VLOOKUP(dict_DQ_Meth_max[[#This Row],[ID_DataQualities]],table_DataQualities[],3),table_Units[],2)</f>
        <v>Hz</v>
      </c>
      <c r="I1229" s="10"/>
      <c r="J1229" s="10"/>
      <c r="K1229" s="10"/>
      <c r="L1229" s="10">
        <f ca="1">VLOOKUP(dict_DQ_Meth_max[[#This Row],[ID_DataQualities]],table_DataQualities[],8,FALSE)</f>
        <v>0.39600000000000002</v>
      </c>
      <c r="M1229" s="10">
        <f ca="1">VLOOKUP(dict_DQ_Meth_max[[#This Row],[ID_DataQualities]],table_DataQualities[],9,FALSE)</f>
        <v>2239.8000000000002</v>
      </c>
    </row>
    <row r="1230" spans="1:13" x14ac:dyDescent="0.45">
      <c r="A1230" s="10">
        <v>328</v>
      </c>
      <c r="B1230" s="10">
        <v>288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1008.1278</v>
      </c>
      <c r="G1230" s="12">
        <f ca="1">(RANDBETWEEN(50,100)/100)*(dict_DQ_Meth_max[[#This Row],[Vergleich_ub]]-dict_DQ_Meth_max[[#This Row],[Vergleich_lb]])+dict_DQ_Meth_max[[#This Row],[Vergleich_lb]]</f>
        <v>2015.8596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0.39600000000000002</v>
      </c>
      <c r="M1230" s="10">
        <f ca="1">VLOOKUP(dict_DQ_Meth_max[[#This Row],[ID_DataQualities]],table_DataQualities[],9,FALSE)</f>
        <v>2239.8000000000002</v>
      </c>
    </row>
    <row r="1231" spans="1:13" x14ac:dyDescent="0.45">
      <c r="A1231" s="10">
        <v>328</v>
      </c>
      <c r="B1231" s="10">
        <v>266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873.76355999999998</v>
      </c>
      <c r="G1231" s="12">
        <f ca="1">(RANDBETWEEN(50,100)/100)*(dict_DQ_Meth_max[[#This Row],[Vergleich_ub]]-dict_DQ_Meth_max[[#This Row],[Vergleich_lb]])+dict_DQ_Meth_max[[#This Row],[Vergleich_lb]]</f>
        <v>2015.8596</v>
      </c>
      <c r="H1231" s="11" t="str">
        <f ca="1">VLOOKUP(VLOOKUP(dict_DQ_Meth_max[[#This Row],[ID_DataQualities]],table_DataQualities[],3),table_Units[],2)</f>
        <v>Hz</v>
      </c>
      <c r="I1231" s="10"/>
      <c r="J1231" s="10"/>
      <c r="K1231" s="10"/>
      <c r="L1231" s="10">
        <f ca="1">VLOOKUP(dict_DQ_Meth_max[[#This Row],[ID_DataQualities]],table_DataQualities[],8,FALSE)</f>
        <v>0.39600000000000002</v>
      </c>
      <c r="M1231" s="10">
        <f ca="1">VLOOKUP(dict_DQ_Meth_max[[#This Row],[ID_DataQualities]],table_DataQualities[],9,FALSE)</f>
        <v>2239.8000000000002</v>
      </c>
    </row>
    <row r="1232" spans="1:13" x14ac:dyDescent="0.45">
      <c r="A1232" s="10">
        <v>328</v>
      </c>
      <c r="B1232" s="10">
        <v>507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761.79336000000001</v>
      </c>
      <c r="G1232" s="12">
        <f ca="1">(RANDBETWEEN(50,100)/100)*(dict_DQ_Meth_max[[#This Row],[Vergleich_ub]]-dict_DQ_Meth_max[[#This Row],[Vergleich_lb]])+dict_DQ_Meth_max[[#This Row],[Vergleich_lb]]</f>
        <v>1388.8264799999999</v>
      </c>
      <c r="H1232" s="11" t="str">
        <f ca="1">VLOOKUP(VLOOKUP(dict_DQ_Meth_max[[#This Row],[ID_DataQualities]],table_DataQualities[],3),table_Units[],2)</f>
        <v>Hz</v>
      </c>
      <c r="I1232" s="10"/>
      <c r="J1232" s="10"/>
      <c r="K1232" s="10"/>
      <c r="L1232" s="10">
        <f ca="1">VLOOKUP(dict_DQ_Meth_max[[#This Row],[ID_DataQualities]],table_DataQualities[],8,FALSE)</f>
        <v>0.39600000000000002</v>
      </c>
      <c r="M1232" s="10">
        <f ca="1">VLOOKUP(dict_DQ_Meth_max[[#This Row],[ID_DataQualities]],table_DataQualities[],9,FALSE)</f>
        <v>2239.8000000000002</v>
      </c>
    </row>
    <row r="1233" spans="1:13" x14ac:dyDescent="0.45">
      <c r="A1233" s="10">
        <v>329</v>
      </c>
      <c r="B1233" s="10">
        <v>288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2.1695100000000003</v>
      </c>
      <c r="G1233" s="12">
        <f ca="1">(RANDBETWEEN(50,100)/100)*(dict_DQ_Meth_max[[#This Row],[Vergleich_ub]]-dict_DQ_Meth_max[[#This Row],[Vergleich_lb]])+dict_DQ_Meth_max[[#This Row],[Vergleich_lb]]</f>
        <v>5.1775799999999998</v>
      </c>
      <c r="H1233" s="11" t="str">
        <f ca="1">VLOOKUP(VLOOKUP(dict_DQ_Meth_max[[#This Row],[ID_DataQualities]],table_DataQualities[],3),table_Units[],2)</f>
        <v>+/- mm</v>
      </c>
      <c r="I1233" s="10"/>
      <c r="J1233" s="10"/>
      <c r="K1233" s="10"/>
      <c r="L1233" s="10">
        <f ca="1">VLOOKUP(dict_DQ_Meth_max[[#This Row],[ID_DataQualities]],table_DataQualities[],8,FALSE)</f>
        <v>8.6999999999999994E-2</v>
      </c>
      <c r="M1233" s="10">
        <f ca="1">VLOOKUP(dict_DQ_Meth_max[[#This Row],[ID_DataQualities]],table_DataQualities[],9,FALSE)</f>
        <v>7.8</v>
      </c>
    </row>
    <row r="1234" spans="1:13" x14ac:dyDescent="0.45">
      <c r="A1234" s="10">
        <v>329</v>
      </c>
      <c r="B1234" s="10">
        <v>266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0.31838999999999995</v>
      </c>
      <c r="G1234" s="12">
        <f ca="1">(RANDBETWEEN(50,100)/100)*(dict_DQ_Meth_max[[#This Row],[Vergleich_ub]]-dict_DQ_Meth_max[[#This Row],[Vergleich_lb]])+dict_DQ_Meth_max[[#This Row],[Vergleich_lb]]</f>
        <v>6.0260100000000003</v>
      </c>
      <c r="H1234" s="11" t="str">
        <f ca="1">VLOOKUP(VLOOKUP(dict_DQ_Meth_max[[#This Row],[ID_DataQualities]],table_DataQualities[],3),table_Units[],2)</f>
        <v>+/- mm</v>
      </c>
      <c r="I1234" s="10"/>
      <c r="J1234" s="10"/>
      <c r="K1234" s="10"/>
      <c r="L1234" s="10">
        <f ca="1">VLOOKUP(dict_DQ_Meth_max[[#This Row],[ID_DataQualities]],table_DataQualities[],8,FALSE)</f>
        <v>8.6999999999999994E-2</v>
      </c>
      <c r="M1234" s="10">
        <f ca="1">VLOOKUP(dict_DQ_Meth_max[[#This Row],[ID_DataQualities]],table_DataQualities[],9,FALSE)</f>
        <v>7.8</v>
      </c>
    </row>
    <row r="1235" spans="1:13" x14ac:dyDescent="0.45">
      <c r="A1235" s="10">
        <v>329</v>
      </c>
      <c r="B1235" s="10">
        <v>549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2.4780300000000004</v>
      </c>
      <c r="G1235" s="12">
        <f ca="1">(RANDBETWEEN(50,100)/100)*(dict_DQ_Meth_max[[#This Row],[Vergleich_ub]]-dict_DQ_Meth_max[[#This Row],[Vergleich_lb]])+dict_DQ_Meth_max[[#This Row],[Vergleich_lb]]</f>
        <v>6.5659199999999993</v>
      </c>
      <c r="H1235" s="11" t="str">
        <f ca="1">VLOOKUP(VLOOKUP(dict_DQ_Meth_max[[#This Row],[ID_DataQualities]],table_DataQualities[],3),table_Units[],2)</f>
        <v>+/- mm</v>
      </c>
      <c r="I1235" s="10"/>
      <c r="J1235" s="10"/>
      <c r="K1235" s="10"/>
      <c r="L1235" s="10">
        <f ca="1">VLOOKUP(dict_DQ_Meth_max[[#This Row],[ID_DataQualities]],table_DataQualities[],8,FALSE)</f>
        <v>8.6999999999999994E-2</v>
      </c>
      <c r="M1235" s="10">
        <f ca="1">VLOOKUP(dict_DQ_Meth_max[[#This Row],[ID_DataQualities]],table_DataQualities[],9,FALSE)</f>
        <v>7.8</v>
      </c>
    </row>
    <row r="1236" spans="1:13" x14ac:dyDescent="0.45">
      <c r="A1236" s="10">
        <v>329</v>
      </c>
      <c r="B1236" s="10">
        <v>507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1.78386</v>
      </c>
      <c r="G1236" s="12">
        <f ca="1">(RANDBETWEEN(50,100)/100)*(dict_DQ_Meth_max[[#This Row],[Vergleich_ub]]-dict_DQ_Meth_max[[#This Row],[Vergleich_lb]])+dict_DQ_Meth_max[[#This Row],[Vergleich_lb]]</f>
        <v>7.1829600000000005</v>
      </c>
      <c r="H1236" s="11" t="str">
        <f ca="1">VLOOKUP(VLOOKUP(dict_DQ_Meth_max[[#This Row],[ID_DataQualities]],table_DataQualities[],3),table_Units[],2)</f>
        <v>+/- mm</v>
      </c>
      <c r="I1236" s="10"/>
      <c r="J1236" s="10"/>
      <c r="K1236" s="10"/>
      <c r="L1236" s="10">
        <f ca="1">VLOOKUP(dict_DQ_Meth_max[[#This Row],[ID_DataQualities]],table_DataQualities[],8,FALSE)</f>
        <v>8.6999999999999994E-2</v>
      </c>
      <c r="M1236" s="10">
        <f ca="1">VLOOKUP(dict_DQ_Meth_max[[#This Row],[ID_DataQualities]],table_DataQualities[],9,FALSE)</f>
        <v>7.8</v>
      </c>
    </row>
    <row r="1237" spans="1:13" x14ac:dyDescent="0.45">
      <c r="A1237" s="10">
        <v>329</v>
      </c>
      <c r="B1237" s="10">
        <v>641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3.6349800000000005</v>
      </c>
      <c r="G1237" s="12">
        <f ca="1">(RANDBETWEEN(50,100)/100)*(dict_DQ_Meth_max[[#This Row],[Vergleich_ub]]-dict_DQ_Meth_max[[#This Row],[Vergleich_lb]])+dict_DQ_Meth_max[[#This Row],[Vergleich_lb]]</f>
        <v>5.1775799999999998</v>
      </c>
      <c r="H1237" s="11" t="str">
        <f ca="1">VLOOKUP(VLOOKUP(dict_DQ_Meth_max[[#This Row],[ID_DataQualities]],table_DataQualities[],3),table_Units[],2)</f>
        <v>+/- mm</v>
      </c>
      <c r="I1237" s="10"/>
      <c r="J1237" s="10"/>
      <c r="K1237" s="10"/>
      <c r="L1237" s="10">
        <f ca="1">VLOOKUP(dict_DQ_Meth_max[[#This Row],[ID_DataQualities]],table_DataQualities[],8,FALSE)</f>
        <v>8.6999999999999994E-2</v>
      </c>
      <c r="M1237" s="10">
        <f ca="1">VLOOKUP(dict_DQ_Meth_max[[#This Row],[ID_DataQualities]],table_DataQualities[],9,FALSE)</f>
        <v>7.8</v>
      </c>
    </row>
    <row r="1238" spans="1:13" x14ac:dyDescent="0.45">
      <c r="A1238" s="10">
        <v>330</v>
      </c>
      <c r="B1238" s="10">
        <v>79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890.88872000000003</v>
      </c>
      <c r="G1238" s="12">
        <f ca="1">(RANDBETWEEN(50,100)/100)*(dict_DQ_Meth_max[[#This Row],[Vergleich_ub]]-dict_DQ_Meth_max[[#This Row],[Vergleich_lb]])+dict_DQ_Meth_max[[#This Row],[Vergleich_lb]]</f>
        <v>7200.5075699999998</v>
      </c>
      <c r="H1238" s="11" t="str">
        <f ca="1">VLOOKUP(VLOOKUP(dict_DQ_Meth_max[[#This Row],[ID_DataQualities]],table_DataQualities[],3),table_Units[],2)</f>
        <v>Hz</v>
      </c>
      <c r="I1238" s="10"/>
      <c r="J1238" s="10"/>
      <c r="K1238" s="10"/>
      <c r="L1238" s="10">
        <f ca="1">VLOOKUP(dict_DQ_Meth_max[[#This Row],[ID_DataQualities]],table_DataQualities[],8,FALSE)</f>
        <v>0.11899999999999999</v>
      </c>
      <c r="M1238" s="10">
        <f ca="1">VLOOKUP(dict_DQ_Meth_max[[#This Row],[ID_DataQualities]],table_DataQualities[],9,FALSE)</f>
        <v>7423.2</v>
      </c>
    </row>
    <row r="1239" spans="1:13" x14ac:dyDescent="0.45">
      <c r="A1239" s="10">
        <v>330</v>
      </c>
      <c r="B1239" s="10">
        <v>417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2598.1973499999999</v>
      </c>
      <c r="G1239" s="12">
        <f ca="1">(RANDBETWEEN(50,100)/100)*(dict_DQ_Meth_max[[#This Row],[Vergleich_ub]]-dict_DQ_Meth_max[[#This Row],[Vergleich_lb]])+dict_DQ_Meth_max[[#This Row],[Vergleich_lb]]</f>
        <v>4676.66003</v>
      </c>
      <c r="H1239" s="11" t="str">
        <f ca="1">VLOOKUP(VLOOKUP(dict_DQ_Meth_max[[#This Row],[ID_DataQualities]],table_DataQualities[],3),table_Units[],2)</f>
        <v>Hz</v>
      </c>
      <c r="I1239" s="10"/>
      <c r="J1239" s="10"/>
      <c r="K1239" s="10"/>
      <c r="L1239" s="10">
        <f ca="1">VLOOKUP(dict_DQ_Meth_max[[#This Row],[ID_DataQualities]],table_DataQualities[],8,FALSE)</f>
        <v>0.11899999999999999</v>
      </c>
      <c r="M1239" s="10">
        <f ca="1">VLOOKUP(dict_DQ_Meth_max[[#This Row],[ID_DataQualities]],table_DataQualities[],9,FALSE)</f>
        <v>7423.2</v>
      </c>
    </row>
    <row r="1240" spans="1:13" x14ac:dyDescent="0.45">
      <c r="A1240" s="10">
        <v>331</v>
      </c>
      <c r="B1240" s="10">
        <v>79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0.11223599999999999</v>
      </c>
      <c r="G1240" s="12">
        <f ca="1">(RANDBETWEEN(50,100)/100)*(dict_DQ_Meth_max[[#This Row],[Vergleich_ub]]-dict_DQ_Meth_max[[#This Row],[Vergleich_lb]])+dict_DQ_Meth_max[[#This Row],[Vergleich_lb]]</f>
        <v>0.24674500000000002</v>
      </c>
      <c r="H1240" s="11" t="str">
        <f ca="1">VLOOKUP(VLOOKUP(dict_DQ_Meth_max[[#This Row],[ID_DataQualities]],table_DataQualities[],3),table_Units[],2)</f>
        <v>+/- cm³/s</v>
      </c>
      <c r="I1240" s="10"/>
      <c r="J1240" s="10"/>
      <c r="K1240" s="10"/>
      <c r="L1240" s="10">
        <f ca="1">VLOOKUP(dict_DQ_Meth_max[[#This Row],[ID_DataQualities]],table_DataQualities[],8,FALSE)</f>
        <v>8.0999999999999996E-3</v>
      </c>
      <c r="M1240" s="10">
        <f ca="1">VLOOKUP(dict_DQ_Meth_max[[#This Row],[ID_DataQualities]],table_DataQualities[],9,FALSE)</f>
        <v>0.442</v>
      </c>
    </row>
    <row r="1241" spans="1:13" x14ac:dyDescent="0.45">
      <c r="A1241" s="10">
        <v>331</v>
      </c>
      <c r="B1241" s="10">
        <v>417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0.16864299999999999</v>
      </c>
      <c r="G1241" s="12">
        <f ca="1">(RANDBETWEEN(50,100)/100)*(dict_DQ_Meth_max[[#This Row],[Vergleich_ub]]-dict_DQ_Meth_max[[#This Row],[Vergleich_lb]])+dict_DQ_Meth_max[[#This Row],[Vergleich_lb]]</f>
        <v>0.337864</v>
      </c>
      <c r="H1241" s="11" t="str">
        <f ca="1">VLOOKUP(VLOOKUP(dict_DQ_Meth_max[[#This Row],[ID_DataQualities]],table_DataQualities[],3),table_Units[],2)</f>
        <v>+/- cm³/s</v>
      </c>
      <c r="I1241" s="10"/>
      <c r="J1241" s="10"/>
      <c r="K1241" s="10"/>
      <c r="L1241" s="10">
        <f ca="1">VLOOKUP(dict_DQ_Meth_max[[#This Row],[ID_DataQualities]],table_DataQualities[],8,FALSE)</f>
        <v>8.0999999999999996E-3</v>
      </c>
      <c r="M1241" s="10">
        <f ca="1">VLOOKUP(dict_DQ_Meth_max[[#This Row],[ID_DataQualities]],table_DataQualities[],9,FALSE)</f>
        <v>0.442</v>
      </c>
    </row>
    <row r="1242" spans="1:13" x14ac:dyDescent="0.45">
      <c r="A1242" s="10">
        <v>332</v>
      </c>
      <c r="B1242" s="10">
        <v>447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1255.2074</v>
      </c>
      <c r="G1242" s="12">
        <f ca="1">(RANDBETWEEN(50,100)/100)*(dict_DQ_Meth_max[[#This Row],[Vergleich_ub]]-dict_DQ_Meth_max[[#This Row],[Vergleich_lb]])+dict_DQ_Meth_max[[#This Row],[Vergleich_lb]]</f>
        <v>2447.3893800000001</v>
      </c>
      <c r="H1242" s="11" t="str">
        <f ca="1">VLOOKUP(VLOOKUP(dict_DQ_Meth_max[[#This Row],[ID_DataQualities]],table_DataQualities[],3),table_Units[],2)</f>
        <v>Hz</v>
      </c>
      <c r="I1242" s="10"/>
      <c r="J1242" s="10"/>
      <c r="K1242" s="10"/>
      <c r="L1242" s="10">
        <f ca="1">VLOOKUP(dict_DQ_Meth_max[[#This Row],[ID_DataQualities]],table_DataQualities[],8,FALSE)</f>
        <v>0.27900000000000003</v>
      </c>
      <c r="M1242" s="10">
        <f ca="1">VLOOKUP(dict_DQ_Meth_max[[#This Row],[ID_DataQualities]],table_DataQualities[],9,FALSE)</f>
        <v>3137.6</v>
      </c>
    </row>
    <row r="1243" spans="1:13" x14ac:dyDescent="0.45">
      <c r="A1243" s="10">
        <v>332</v>
      </c>
      <c r="B1243" s="10">
        <v>208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94.398629999999997</v>
      </c>
      <c r="G1243" s="12">
        <f ca="1">(RANDBETWEEN(50,100)/100)*(dict_DQ_Meth_max[[#This Row],[Vergleich_ub]]-dict_DQ_Meth_max[[#This Row],[Vergleich_lb]])+dict_DQ_Meth_max[[#This Row],[Vergleich_lb]]</f>
        <v>1788.5519699999998</v>
      </c>
      <c r="H1243" s="11" t="str">
        <f ca="1">VLOOKUP(VLOOKUP(dict_DQ_Meth_max[[#This Row],[ID_DataQualities]],table_DataQualities[],3),table_Units[],2)</f>
        <v>Hz</v>
      </c>
      <c r="I1243" s="10"/>
      <c r="J1243" s="10"/>
      <c r="K1243" s="10"/>
      <c r="L1243" s="10">
        <f ca="1">VLOOKUP(dict_DQ_Meth_max[[#This Row],[ID_DataQualities]],table_DataQualities[],8,FALSE)</f>
        <v>0.27900000000000003</v>
      </c>
      <c r="M1243" s="10">
        <f ca="1">VLOOKUP(dict_DQ_Meth_max[[#This Row],[ID_DataQualities]],table_DataQualities[],9,FALSE)</f>
        <v>3137.6</v>
      </c>
    </row>
    <row r="1244" spans="1:13" x14ac:dyDescent="0.45">
      <c r="A1244" s="10">
        <v>332</v>
      </c>
      <c r="B1244" s="10">
        <v>686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847.35567000000003</v>
      </c>
      <c r="G1244" s="12">
        <f ca="1">(RANDBETWEEN(50,100)/100)*(dict_DQ_Meth_max[[#This Row],[Vergleich_ub]]-dict_DQ_Meth_max[[#This Row],[Vergleich_lb]])+dict_DQ_Meth_max[[#This Row],[Vergleich_lb]]</f>
        <v>1914.0448099999999</v>
      </c>
      <c r="H1244" s="11" t="str">
        <f ca="1">VLOOKUP(VLOOKUP(dict_DQ_Meth_max[[#This Row],[ID_DataQualities]],table_DataQualities[],3),table_Units[],2)</f>
        <v>Hz</v>
      </c>
      <c r="I1244" s="10"/>
      <c r="J1244" s="10"/>
      <c r="K1244" s="10"/>
      <c r="L1244" s="10">
        <f ca="1">VLOOKUP(dict_DQ_Meth_max[[#This Row],[ID_DataQualities]],table_DataQualities[],8,FALSE)</f>
        <v>0.27900000000000003</v>
      </c>
      <c r="M1244" s="10">
        <f ca="1">VLOOKUP(dict_DQ_Meth_max[[#This Row],[ID_DataQualities]],table_DataQualities[],9,FALSE)</f>
        <v>3137.6</v>
      </c>
    </row>
    <row r="1245" spans="1:13" x14ac:dyDescent="0.45">
      <c r="A1245" s="10">
        <v>332</v>
      </c>
      <c r="B1245" s="10">
        <v>662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0.27900000000000003</v>
      </c>
      <c r="G1245" s="12">
        <f ca="1">(RANDBETWEEN(50,100)/100)*(dict_DQ_Meth_max[[#This Row],[Vergleich_ub]]-dict_DQ_Meth_max[[#This Row],[Vergleich_lb]])+dict_DQ_Meth_max[[#This Row],[Vergleich_lb]]</f>
        <v>2070.91086</v>
      </c>
      <c r="H1245" s="11" t="str">
        <f ca="1">VLOOKUP(VLOOKUP(dict_DQ_Meth_max[[#This Row],[ID_DataQualities]],table_DataQualities[],3),table_Units[],2)</f>
        <v>Hz</v>
      </c>
      <c r="I1245" s="10"/>
      <c r="J1245" s="10"/>
      <c r="K1245" s="10"/>
      <c r="L1245" s="10">
        <f ca="1">VLOOKUP(dict_DQ_Meth_max[[#This Row],[ID_DataQualities]],table_DataQualities[],8,FALSE)</f>
        <v>0.27900000000000003</v>
      </c>
      <c r="M1245" s="10">
        <f ca="1">VLOOKUP(dict_DQ_Meth_max[[#This Row],[ID_DataQualities]],table_DataQualities[],9,FALSE)</f>
        <v>3137.6</v>
      </c>
    </row>
    <row r="1246" spans="1:13" x14ac:dyDescent="0.45">
      <c r="A1246" s="10">
        <v>333</v>
      </c>
      <c r="B1246" s="10">
        <v>447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1311</v>
      </c>
      <c r="G1246" s="12">
        <f ca="1">(RANDBETWEEN(50,100)/100)*(dict_DQ_Meth_max[[#This Row],[Vergleich_ub]]-dict_DQ_Meth_max[[#This Row],[Vergleich_lb]])+dict_DQ_Meth_max[[#This Row],[Vergleich_lb]]</f>
        <v>3147</v>
      </c>
      <c r="H1246" s="11" t="str">
        <f ca="1">VLOOKUP(VLOOKUP(dict_DQ_Meth_max[[#This Row],[ID_DataQualities]],table_DataQualities[],3),table_Units[],2)</f>
        <v>bit</v>
      </c>
      <c r="I1246" s="10"/>
      <c r="J1246" s="10"/>
      <c r="K1246" s="10"/>
      <c r="L1246" s="10">
        <f ca="1">VLOOKUP(dict_DQ_Meth_max[[#This Row],[ID_DataQualities]],table_DataQualities[],8,FALSE)</f>
        <v>87</v>
      </c>
      <c r="M1246" s="10">
        <f ca="1">VLOOKUP(dict_DQ_Meth_max[[#This Row],[ID_DataQualities]],table_DataQualities[],9,FALSE)</f>
        <v>3687</v>
      </c>
    </row>
    <row r="1247" spans="1:13" x14ac:dyDescent="0.45">
      <c r="A1247" s="10">
        <v>333</v>
      </c>
      <c r="B1247" s="10">
        <v>208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1563</v>
      </c>
      <c r="G1247" s="12">
        <f ca="1">(RANDBETWEEN(50,100)/100)*(dict_DQ_Meth_max[[#This Row],[Vergleich_ub]]-dict_DQ_Meth_max[[#This Row],[Vergleich_lb]])+dict_DQ_Meth_max[[#This Row],[Vergleich_lb]]</f>
        <v>2499</v>
      </c>
      <c r="H1247" s="11" t="str">
        <f ca="1">VLOOKUP(VLOOKUP(dict_DQ_Meth_max[[#This Row],[ID_DataQualities]],table_DataQualities[],3),table_Units[],2)</f>
        <v>bit</v>
      </c>
      <c r="I1247" s="10"/>
      <c r="J1247" s="10"/>
      <c r="K1247" s="10"/>
      <c r="L1247" s="10">
        <f ca="1">VLOOKUP(dict_DQ_Meth_max[[#This Row],[ID_DataQualities]],table_DataQualities[],8,FALSE)</f>
        <v>87</v>
      </c>
      <c r="M1247" s="10">
        <f ca="1">VLOOKUP(dict_DQ_Meth_max[[#This Row],[ID_DataQualities]],table_DataQualities[],9,FALSE)</f>
        <v>3687</v>
      </c>
    </row>
    <row r="1248" spans="1:13" x14ac:dyDescent="0.45">
      <c r="A1248" s="10">
        <v>333</v>
      </c>
      <c r="B1248" s="10">
        <v>662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1635</v>
      </c>
      <c r="G1248" s="12">
        <f ca="1">(RANDBETWEEN(50,100)/100)*(dict_DQ_Meth_max[[#This Row],[Vergleich_ub]]-dict_DQ_Meth_max[[#This Row],[Vergleich_lb]])+dict_DQ_Meth_max[[#This Row],[Vergleich_lb]]</f>
        <v>2931</v>
      </c>
      <c r="H1248" s="11" t="str">
        <f ca="1">VLOOKUP(VLOOKUP(dict_DQ_Meth_max[[#This Row],[ID_DataQualities]],table_DataQualities[],3),table_Units[],2)</f>
        <v>bit</v>
      </c>
      <c r="I1248" s="10"/>
      <c r="J1248" s="10"/>
      <c r="K1248" s="10"/>
      <c r="L1248" s="10">
        <f ca="1">VLOOKUP(dict_DQ_Meth_max[[#This Row],[ID_DataQualities]],table_DataQualities[],8,FALSE)</f>
        <v>87</v>
      </c>
      <c r="M1248" s="10">
        <f ca="1">VLOOKUP(dict_DQ_Meth_max[[#This Row],[ID_DataQualities]],table_DataQualities[],9,FALSE)</f>
        <v>3687</v>
      </c>
    </row>
    <row r="1249" spans="1:13" x14ac:dyDescent="0.45">
      <c r="A1249" s="10">
        <v>333</v>
      </c>
      <c r="B1249" s="10">
        <v>686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195</v>
      </c>
      <c r="G1249" s="12">
        <f ca="1">(RANDBETWEEN(50,100)/100)*(dict_DQ_Meth_max[[#This Row],[Vergleich_ub]]-dict_DQ_Meth_max[[#This Row],[Vergleich_lb]])+dict_DQ_Meth_max[[#This Row],[Vergleich_lb]]</f>
        <v>2715</v>
      </c>
      <c r="H1249" s="11" t="str">
        <f ca="1">VLOOKUP(VLOOKUP(dict_DQ_Meth_max[[#This Row],[ID_DataQualities]],table_DataQualities[],3),table_Units[],2)</f>
        <v>bit</v>
      </c>
      <c r="I1249" s="10"/>
      <c r="J1249" s="10"/>
      <c r="K1249" s="10"/>
      <c r="L1249" s="10">
        <f ca="1">VLOOKUP(dict_DQ_Meth_max[[#This Row],[ID_DataQualities]],table_DataQualities[],8,FALSE)</f>
        <v>87</v>
      </c>
      <c r="M1249" s="10">
        <f ca="1">VLOOKUP(dict_DQ_Meth_max[[#This Row],[ID_DataQualities]],table_DataQualities[],9,FALSE)</f>
        <v>3687</v>
      </c>
    </row>
    <row r="1250" spans="1:13" x14ac:dyDescent="0.45">
      <c r="A1250" s="10">
        <v>334</v>
      </c>
      <c r="B1250" s="10">
        <v>43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226.78016</v>
      </c>
      <c r="G1250" s="12">
        <f ca="1">(RANDBETWEEN(50,100)/100)*(dict_DQ_Meth_max[[#This Row],[Vergleich_ub]]-dict_DQ_Meth_max[[#This Row],[Vergleich_lb]])+dict_DQ_Meth_max[[#This Row],[Vergleich_lb]]</f>
        <v>435.392</v>
      </c>
      <c r="H1250" s="11" t="str">
        <f ca="1">VLOOKUP(VLOOKUP(dict_DQ_Meth_max[[#This Row],[ID_DataQualities]],table_DataQualities[],3),table_Units[],2)</f>
        <v>Hz</v>
      </c>
      <c r="I1250" s="10"/>
      <c r="J1250" s="10"/>
      <c r="K1250" s="10"/>
      <c r="L1250" s="10">
        <f ca="1">VLOOKUP(dict_DQ_Meth_max[[#This Row],[ID_DataQualities]],table_DataQualities[],8,FALSE)</f>
        <v>0.78400000000000003</v>
      </c>
      <c r="M1250" s="10">
        <f ca="1">VLOOKUP(dict_DQ_Meth_max[[#This Row],[ID_DataQualities]],table_DataQualities[],9,FALSE)</f>
        <v>870</v>
      </c>
    </row>
    <row r="1251" spans="1:13" x14ac:dyDescent="0.45">
      <c r="A1251" s="10">
        <v>334</v>
      </c>
      <c r="B1251" s="10">
        <v>428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70.321280000000002</v>
      </c>
      <c r="G1251" s="12">
        <f ca="1">(RANDBETWEEN(50,100)/100)*(dict_DQ_Meth_max[[#This Row],[Vergleich_ub]]-dict_DQ_Meth_max[[#This Row],[Vergleich_lb]])+dict_DQ_Meth_max[[#This Row],[Vergleich_lb]]</f>
        <v>478.85280000000006</v>
      </c>
      <c r="H1251" s="11" t="str">
        <f ca="1">VLOOKUP(VLOOKUP(dict_DQ_Meth_max[[#This Row],[ID_DataQualities]],table_DataQualities[],3),table_Units[],2)</f>
        <v>Hz</v>
      </c>
      <c r="I1251" s="10"/>
      <c r="J1251" s="10"/>
      <c r="K1251" s="10"/>
      <c r="L1251" s="10">
        <f ca="1">VLOOKUP(dict_DQ_Meth_max[[#This Row],[ID_DataQualities]],table_DataQualities[],8,FALSE)</f>
        <v>0.78400000000000003</v>
      </c>
      <c r="M1251" s="10">
        <f ca="1">VLOOKUP(dict_DQ_Meth_max[[#This Row],[ID_DataQualities]],table_DataQualities[],9,FALSE)</f>
        <v>870</v>
      </c>
    </row>
    <row r="1252" spans="1:13" x14ac:dyDescent="0.45">
      <c r="A1252" s="10">
        <v>334</v>
      </c>
      <c r="B1252" s="10">
        <v>503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261.54879999999997</v>
      </c>
      <c r="G1252" s="12">
        <f ca="1">(RANDBETWEEN(50,100)/100)*(dict_DQ_Meth_max[[#This Row],[Vergleich_ub]]-dict_DQ_Meth_max[[#This Row],[Vergleich_lb]])+dict_DQ_Meth_max[[#This Row],[Vergleich_lb]]</f>
        <v>704.84896000000003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0.78400000000000003</v>
      </c>
      <c r="M1252" s="10">
        <f ca="1">VLOOKUP(dict_DQ_Meth_max[[#This Row],[ID_DataQualities]],table_DataQualities[],9,FALSE)</f>
        <v>870</v>
      </c>
    </row>
    <row r="1253" spans="1:13" x14ac:dyDescent="0.45">
      <c r="A1253" s="10">
        <v>335</v>
      </c>
      <c r="B1253" s="10">
        <v>43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4.548</v>
      </c>
      <c r="G1253" s="12">
        <f ca="1">(RANDBETWEEN(50,100)/100)*(dict_DQ_Meth_max[[#This Row],[Vergleich_ub]]-dict_DQ_Meth_max[[#This Row],[Vergleich_lb]])+dict_DQ_Meth_max[[#This Row],[Vergleich_lb]]</f>
        <v>5.5559999999999992</v>
      </c>
      <c r="H1253" s="11" t="str">
        <f ca="1">VLOOKUP(VLOOKUP(dict_DQ_Meth_max[[#This Row],[ID_DataQualities]],table_DataQualities[],3),table_Units[],2)</f>
        <v>+/- °C</v>
      </c>
      <c r="I1253" s="10"/>
      <c r="J1253" s="10"/>
      <c r="K1253" s="10"/>
      <c r="L1253" s="10">
        <f ca="1">VLOOKUP(dict_DQ_Meth_max[[#This Row],[ID_DataQualities]],table_DataQualities[],8,FALSE)</f>
        <v>0.6</v>
      </c>
      <c r="M1253" s="10">
        <f ca="1">VLOOKUP(dict_DQ_Meth_max[[#This Row],[ID_DataQualities]],table_DataQualities[],9,FALSE)</f>
        <v>9</v>
      </c>
    </row>
    <row r="1254" spans="1:13" x14ac:dyDescent="0.45">
      <c r="A1254" s="10">
        <v>335</v>
      </c>
      <c r="B1254" s="10">
        <v>503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3.6240000000000001</v>
      </c>
      <c r="G1254" s="12">
        <f ca="1">(RANDBETWEEN(50,100)/100)*(dict_DQ_Meth_max[[#This Row],[Vergleich_ub]]-dict_DQ_Meth_max[[#This Row],[Vergleich_lb]])+dict_DQ_Meth_max[[#This Row],[Vergleich_lb]]</f>
        <v>6.984</v>
      </c>
      <c r="H1254" s="11" t="str">
        <f ca="1">VLOOKUP(VLOOKUP(dict_DQ_Meth_max[[#This Row],[ID_DataQualities]],table_DataQualities[],3),table_Units[],2)</f>
        <v>+/- °C</v>
      </c>
      <c r="I1254" s="10"/>
      <c r="J1254" s="10"/>
      <c r="K1254" s="10"/>
      <c r="L1254" s="10">
        <f ca="1">VLOOKUP(dict_DQ_Meth_max[[#This Row],[ID_DataQualities]],table_DataQualities[],8,FALSE)</f>
        <v>0.6</v>
      </c>
      <c r="M1254" s="10">
        <f ca="1">VLOOKUP(dict_DQ_Meth_max[[#This Row],[ID_DataQualities]],table_DataQualities[],9,FALSE)</f>
        <v>9</v>
      </c>
    </row>
    <row r="1255" spans="1:13" x14ac:dyDescent="0.45">
      <c r="A1255" s="10">
        <v>335</v>
      </c>
      <c r="B1255" s="10">
        <v>428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2.3639999999999999</v>
      </c>
      <c r="G1255" s="12">
        <f ca="1">(RANDBETWEEN(50,100)/100)*(dict_DQ_Meth_max[[#This Row],[Vergleich_ub]]-dict_DQ_Meth_max[[#This Row],[Vergleich_lb]])+dict_DQ_Meth_max[[#This Row],[Vergleich_lb]]</f>
        <v>6.4799999999999995</v>
      </c>
      <c r="H1255" s="11" t="str">
        <f ca="1">VLOOKUP(VLOOKUP(dict_DQ_Meth_max[[#This Row],[ID_DataQualities]],table_DataQualities[],3),table_Units[],2)</f>
        <v>+/- °C</v>
      </c>
      <c r="I1255" s="10"/>
      <c r="J1255" s="10"/>
      <c r="K1255" s="10"/>
      <c r="L1255" s="10">
        <f ca="1">VLOOKUP(dict_DQ_Meth_max[[#This Row],[ID_DataQualities]],table_DataQualities[],8,FALSE)</f>
        <v>0.6</v>
      </c>
      <c r="M1255" s="10">
        <f ca="1">VLOOKUP(dict_DQ_Meth_max[[#This Row],[ID_DataQualities]],table_DataQualities[],9,FALSE)</f>
        <v>9</v>
      </c>
    </row>
    <row r="1256" spans="1:13" x14ac:dyDescent="0.45">
      <c r="A1256" s="10">
        <v>336</v>
      </c>
      <c r="B1256" s="10">
        <v>261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2170.5589999999997</v>
      </c>
      <c r="G1256" s="12">
        <f ca="1">(RANDBETWEEN(50,100)/100)*(dict_DQ_Meth_max[[#This Row],[Vergleich_ub]]-dict_DQ_Meth_max[[#This Row],[Vergleich_lb]])+dict_DQ_Meth_max[[#This Row],[Vergleich_lb]]</f>
        <v>6249.6833599999991</v>
      </c>
      <c r="H1256" s="11" t="str">
        <f ca="1">VLOOKUP(VLOOKUP(dict_DQ_Meth_max[[#This Row],[ID_DataQualities]],table_DataQualities[],3),table_Units[],2)</f>
        <v>Hz</v>
      </c>
      <c r="I1256" s="10"/>
      <c r="J1256" s="10"/>
      <c r="K1256" s="10"/>
      <c r="L1256" s="10">
        <f ca="1">VLOOKUP(dict_DQ_Meth_max[[#This Row],[ID_DataQualities]],table_DataQualities[],8,FALSE)</f>
        <v>0.81200000000000006</v>
      </c>
      <c r="M1256" s="10">
        <f ca="1">VLOOKUP(dict_DQ_Meth_max[[#This Row],[ID_DataQualities]],table_DataQualities[],9,FALSE)</f>
        <v>8679.7999999999993</v>
      </c>
    </row>
    <row r="1257" spans="1:13" x14ac:dyDescent="0.45">
      <c r="A1257" s="10">
        <v>336</v>
      </c>
      <c r="B1257" s="10">
        <v>25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2257.34888</v>
      </c>
      <c r="G1257" s="12">
        <f ca="1">(RANDBETWEEN(50,100)/100)*(dict_DQ_Meth_max[[#This Row],[Vergleich_ub]]-dict_DQ_Meth_max[[#This Row],[Vergleich_lb]])+dict_DQ_Meth_max[[#This Row],[Vergleich_lb]]</f>
        <v>6162.8934799999988</v>
      </c>
      <c r="H1257" s="11" t="str">
        <f ca="1">VLOOKUP(VLOOKUP(dict_DQ_Meth_max[[#This Row],[ID_DataQualities]],table_DataQualities[],3),table_Units[],2)</f>
        <v>Hz</v>
      </c>
      <c r="I1257" s="10"/>
      <c r="J1257" s="10"/>
      <c r="K1257" s="10"/>
      <c r="L1257" s="10">
        <f ca="1">VLOOKUP(dict_DQ_Meth_max[[#This Row],[ID_DataQualities]],table_DataQualities[],8,FALSE)</f>
        <v>0.81200000000000006</v>
      </c>
      <c r="M1257" s="10">
        <f ca="1">VLOOKUP(dict_DQ_Meth_max[[#This Row],[ID_DataQualities]],table_DataQualities[],9,FALSE)</f>
        <v>8679.7999999999993</v>
      </c>
    </row>
    <row r="1258" spans="1:13" x14ac:dyDescent="0.45">
      <c r="A1258" s="10">
        <v>336</v>
      </c>
      <c r="B1258" s="10">
        <v>411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3038.4577999999997</v>
      </c>
      <c r="G1258" s="12">
        <f ca="1">(RANDBETWEEN(50,100)/100)*(dict_DQ_Meth_max[[#This Row],[Vergleich_ub]]-dict_DQ_Meth_max[[#This Row],[Vergleich_lb]])+dict_DQ_Meth_max[[#This Row],[Vergleich_lb]]</f>
        <v>8332.6404799999982</v>
      </c>
      <c r="H1258" s="11" t="str">
        <f ca="1">VLOOKUP(VLOOKUP(dict_DQ_Meth_max[[#This Row],[ID_DataQualities]],table_DataQualities[],3),table_Units[],2)</f>
        <v>Hz</v>
      </c>
      <c r="I1258" s="10"/>
      <c r="J1258" s="10"/>
      <c r="K1258" s="10"/>
      <c r="L1258" s="10">
        <f ca="1">VLOOKUP(dict_DQ_Meth_max[[#This Row],[ID_DataQualities]],table_DataQualities[],8,FALSE)</f>
        <v>0.81200000000000006</v>
      </c>
      <c r="M1258" s="10">
        <f ca="1">VLOOKUP(dict_DQ_Meth_max[[#This Row],[ID_DataQualities]],table_DataQualities[],9,FALSE)</f>
        <v>8679.7999999999993</v>
      </c>
    </row>
    <row r="1259" spans="1:13" x14ac:dyDescent="0.45">
      <c r="A1259" s="10">
        <v>336</v>
      </c>
      <c r="B1259" s="10">
        <v>300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1649.8197199999997</v>
      </c>
      <c r="G1259" s="12">
        <f ca="1">(RANDBETWEEN(50,100)/100)*(dict_DQ_Meth_max[[#This Row],[Vergleich_ub]]-dict_DQ_Meth_max[[#This Row],[Vergleich_lb]])+dict_DQ_Meth_max[[#This Row],[Vergleich_lb]]</f>
        <v>7204.3720399999993</v>
      </c>
      <c r="H1259" s="11" t="str">
        <f ca="1">VLOOKUP(VLOOKUP(dict_DQ_Meth_max[[#This Row],[ID_DataQualities]],table_DataQualities[],3),table_Units[],2)</f>
        <v>Hz</v>
      </c>
      <c r="I1259" s="10"/>
      <c r="J1259" s="10"/>
      <c r="K1259" s="10"/>
      <c r="L1259" s="10">
        <f ca="1">VLOOKUP(dict_DQ_Meth_max[[#This Row],[ID_DataQualities]],table_DataQualities[],8,FALSE)</f>
        <v>0.81200000000000006</v>
      </c>
      <c r="M1259" s="10">
        <f ca="1">VLOOKUP(dict_DQ_Meth_max[[#This Row],[ID_DataQualities]],table_DataQualities[],9,FALSE)</f>
        <v>8679.7999999999993</v>
      </c>
    </row>
    <row r="1260" spans="1:13" x14ac:dyDescent="0.45">
      <c r="A1260" s="10">
        <v>336</v>
      </c>
      <c r="B1260" s="10">
        <v>292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4340.3059999999996</v>
      </c>
      <c r="G1260" s="12">
        <f ca="1">(RANDBETWEEN(50,100)/100)*(dict_DQ_Meth_max[[#This Row],[Vergleich_ub]]-dict_DQ_Meth_max[[#This Row],[Vergleich_lb]])+dict_DQ_Meth_max[[#This Row],[Vergleich_lb]]</f>
        <v>7551.5315599999994</v>
      </c>
      <c r="H1260" s="11" t="str">
        <f ca="1">VLOOKUP(VLOOKUP(dict_DQ_Meth_max[[#This Row],[ID_DataQualities]],table_DataQualities[],3),table_Units[],2)</f>
        <v>Hz</v>
      </c>
      <c r="I1260" s="10"/>
      <c r="J1260" s="10"/>
      <c r="K1260" s="10"/>
      <c r="L1260" s="10">
        <f ca="1">VLOOKUP(dict_DQ_Meth_max[[#This Row],[ID_DataQualities]],table_DataQualities[],8,FALSE)</f>
        <v>0.81200000000000006</v>
      </c>
      <c r="M1260" s="10">
        <f ca="1">VLOOKUP(dict_DQ_Meth_max[[#This Row],[ID_DataQualities]],table_DataQualities[],9,FALSE)</f>
        <v>8679.7999999999993</v>
      </c>
    </row>
    <row r="1261" spans="1:13" x14ac:dyDescent="0.45">
      <c r="A1261" s="10">
        <v>337</v>
      </c>
      <c r="B1261" s="10">
        <v>261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0.68</v>
      </c>
      <c r="G1261" s="12">
        <f ca="1">(RANDBETWEEN(50,100)/100)*(dict_DQ_Meth_max[[#This Row],[Vergleich_ub]]-dict_DQ_Meth_max[[#This Row],[Vergleich_lb]])+dict_DQ_Meth_max[[#This Row],[Vergleich_lb]]</f>
        <v>1.8459999999999999</v>
      </c>
      <c r="H1261" s="11" t="str">
        <f ca="1">VLOOKUP(VLOOKUP(dict_DQ_Meth_max[[#This Row],[ID_DataQualities]],table_DataQualities[],3),table_Units[],2)</f>
        <v>+/- mm/s</v>
      </c>
      <c r="I1261" s="10"/>
      <c r="J1261" s="10"/>
      <c r="K1261" s="10"/>
      <c r="L1261" s="10">
        <f ca="1">VLOOKUP(dict_DQ_Meth_max[[#This Row],[ID_DataQualities]],table_DataQualities[],8,FALSE)</f>
        <v>0.15</v>
      </c>
      <c r="M1261" s="10">
        <f ca="1">VLOOKUP(dict_DQ_Meth_max[[#This Row],[ID_DataQualities]],table_DataQualities[],9,FALSE)</f>
        <v>2.8</v>
      </c>
    </row>
    <row r="1262" spans="1:13" x14ac:dyDescent="0.45">
      <c r="A1262" s="10">
        <v>337</v>
      </c>
      <c r="B1262" s="10">
        <v>292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0.22949999999999998</v>
      </c>
      <c r="G1262" s="12">
        <f ca="1">(RANDBETWEEN(50,100)/100)*(dict_DQ_Meth_max[[#This Row],[Vergleich_ub]]-dict_DQ_Meth_max[[#This Row],[Vergleich_lb]])+dict_DQ_Meth_max[[#This Row],[Vergleich_lb]]</f>
        <v>2.1374999999999997</v>
      </c>
      <c r="H1262" s="11" t="str">
        <f ca="1">VLOOKUP(VLOOKUP(dict_DQ_Meth_max[[#This Row],[ID_DataQualities]],table_DataQualities[],3),table_Units[],2)</f>
        <v>+/- mm/s</v>
      </c>
      <c r="I1262" s="10"/>
      <c r="J1262" s="10"/>
      <c r="K1262" s="10"/>
      <c r="L1262" s="10">
        <f ca="1">VLOOKUP(dict_DQ_Meth_max[[#This Row],[ID_DataQualities]],table_DataQualities[],8,FALSE)</f>
        <v>0.15</v>
      </c>
      <c r="M1262" s="10">
        <f ca="1">VLOOKUP(dict_DQ_Meth_max[[#This Row],[ID_DataQualities]],table_DataQualities[],9,FALSE)</f>
        <v>2.8</v>
      </c>
    </row>
    <row r="1263" spans="1:13" x14ac:dyDescent="0.45">
      <c r="A1263" s="10">
        <v>337</v>
      </c>
      <c r="B1263" s="10">
        <v>25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1.4219999999999999</v>
      </c>
      <c r="G1263" s="12">
        <f ca="1">(RANDBETWEEN(50,100)/100)*(dict_DQ_Meth_max[[#This Row],[Vergleich_ub]]-dict_DQ_Meth_max[[#This Row],[Vergleich_lb]])+dict_DQ_Meth_max[[#This Row],[Vergleich_lb]]</f>
        <v>1.7399999999999998</v>
      </c>
      <c r="H1263" s="11" t="str">
        <f ca="1">VLOOKUP(VLOOKUP(dict_DQ_Meth_max[[#This Row],[ID_DataQualities]],table_DataQualities[],3),table_Units[],2)</f>
        <v>+/- mm/s</v>
      </c>
      <c r="I1263" s="10"/>
      <c r="J1263" s="10"/>
      <c r="K1263" s="10"/>
      <c r="L1263" s="10">
        <f ca="1">VLOOKUP(dict_DQ_Meth_max[[#This Row],[ID_DataQualities]],table_DataQualities[],8,FALSE)</f>
        <v>0.15</v>
      </c>
      <c r="M1263" s="10">
        <f ca="1">VLOOKUP(dict_DQ_Meth_max[[#This Row],[ID_DataQualities]],table_DataQualities[],9,FALSE)</f>
        <v>2.8</v>
      </c>
    </row>
    <row r="1264" spans="1:13" x14ac:dyDescent="0.45">
      <c r="A1264" s="10">
        <v>337</v>
      </c>
      <c r="B1264" s="10">
        <v>300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0.86550000000000005</v>
      </c>
      <c r="G1264" s="12">
        <f ca="1">(RANDBETWEEN(50,100)/100)*(dict_DQ_Meth_max[[#This Row],[Vergleich_ub]]-dict_DQ_Meth_max[[#This Row],[Vergleich_lb]])+dict_DQ_Meth_max[[#This Row],[Vergleich_lb]]</f>
        <v>2.1109999999999998</v>
      </c>
      <c r="H1264" s="11" t="str">
        <f ca="1">VLOOKUP(VLOOKUP(dict_DQ_Meth_max[[#This Row],[ID_DataQualities]],table_DataQualities[],3),table_Units[],2)</f>
        <v>+/- mm/s</v>
      </c>
      <c r="I1264" s="10"/>
      <c r="J1264" s="10"/>
      <c r="K1264" s="10"/>
      <c r="L1264" s="10">
        <f ca="1">VLOOKUP(dict_DQ_Meth_max[[#This Row],[ID_DataQualities]],table_DataQualities[],8,FALSE)</f>
        <v>0.15</v>
      </c>
      <c r="M1264" s="10">
        <f ca="1">VLOOKUP(dict_DQ_Meth_max[[#This Row],[ID_DataQualities]],table_DataQualities[],9,FALSE)</f>
        <v>2.8</v>
      </c>
    </row>
    <row r="1265" spans="1:13" x14ac:dyDescent="0.45">
      <c r="A1265" s="10">
        <v>337</v>
      </c>
      <c r="B1265" s="10">
        <v>411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1.21</v>
      </c>
      <c r="G1265" s="12">
        <f ca="1">(RANDBETWEEN(50,100)/100)*(dict_DQ_Meth_max[[#This Row],[Vergleich_ub]]-dict_DQ_Meth_max[[#This Row],[Vergleich_lb]])+dict_DQ_Meth_max[[#This Row],[Vergleich_lb]]</f>
        <v>2.7469999999999999</v>
      </c>
      <c r="H1265" s="11" t="str">
        <f ca="1">VLOOKUP(VLOOKUP(dict_DQ_Meth_max[[#This Row],[ID_DataQualities]],table_DataQualities[],3),table_Units[],2)</f>
        <v>+/- mm/s</v>
      </c>
      <c r="I1265" s="10"/>
      <c r="J1265" s="10"/>
      <c r="K1265" s="10"/>
      <c r="L1265" s="10">
        <f ca="1">VLOOKUP(dict_DQ_Meth_max[[#This Row],[ID_DataQualities]],table_DataQualities[],8,FALSE)</f>
        <v>0.15</v>
      </c>
      <c r="M1265" s="10">
        <f ca="1">VLOOKUP(dict_DQ_Meth_max[[#This Row],[ID_DataQualities]],table_DataQualities[],9,FALSE)</f>
        <v>2.8</v>
      </c>
    </row>
    <row r="1266" spans="1:13" x14ac:dyDescent="0.45">
      <c r="A1266" s="10">
        <v>338</v>
      </c>
      <c r="B1266" s="10">
        <v>537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51.778070000000007</v>
      </c>
      <c r="G1266" s="12">
        <f ca="1">(RANDBETWEEN(50,100)/100)*(dict_DQ_Meth_max[[#This Row],[Vergleich_ub]]-dict_DQ_Meth_max[[#This Row],[Vergleich_lb]])+dict_DQ_Meth_max[[#This Row],[Vergleich_lb]]</f>
        <v>2883.4569200000005</v>
      </c>
      <c r="H1266" s="11" t="str">
        <f ca="1">VLOOKUP(VLOOKUP(dict_DQ_Meth_max[[#This Row],[ID_DataQualities]],table_DataQualities[],3),table_Units[],2)</f>
        <v>Hz</v>
      </c>
      <c r="I1266" s="10"/>
      <c r="J1266" s="10"/>
      <c r="K1266" s="10"/>
      <c r="L1266" s="10">
        <f ca="1">VLOOKUP(dict_DQ_Meth_max[[#This Row],[ID_DataQualities]],table_DataQualities[],8,FALSE)</f>
        <v>0.29299999999999998</v>
      </c>
      <c r="M1266" s="10">
        <f ca="1">VLOOKUP(dict_DQ_Meth_max[[#This Row],[ID_DataQualities]],table_DataQualities[],9,FALSE)</f>
        <v>5148.8</v>
      </c>
    </row>
    <row r="1267" spans="1:13" x14ac:dyDescent="0.45">
      <c r="A1267" s="10">
        <v>338</v>
      </c>
      <c r="B1267" s="10">
        <v>647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1184.4496100000001</v>
      </c>
      <c r="G1267" s="12">
        <f ca="1">(RANDBETWEEN(50,100)/100)*(dict_DQ_Meth_max[[#This Row],[Vergleich_ub]]-dict_DQ_Meth_max[[#This Row],[Vergleich_lb]])+dict_DQ_Meth_max[[#This Row],[Vergleich_lb]]</f>
        <v>5097.3149300000005</v>
      </c>
      <c r="H1267" s="11" t="str">
        <f ca="1">VLOOKUP(VLOOKUP(dict_DQ_Meth_max[[#This Row],[ID_DataQualities]],table_DataQualities[],3),table_Units[],2)</f>
        <v>Hz</v>
      </c>
      <c r="I1267" s="10"/>
      <c r="J1267" s="10"/>
      <c r="K1267" s="10"/>
      <c r="L1267" s="10">
        <f ca="1">VLOOKUP(dict_DQ_Meth_max[[#This Row],[ID_DataQualities]],table_DataQualities[],8,FALSE)</f>
        <v>0.29299999999999998</v>
      </c>
      <c r="M1267" s="10">
        <f ca="1">VLOOKUP(dict_DQ_Meth_max[[#This Row],[ID_DataQualities]],table_DataQualities[],9,FALSE)</f>
        <v>5148.8</v>
      </c>
    </row>
    <row r="1268" spans="1:13" x14ac:dyDescent="0.45">
      <c r="A1268" s="10">
        <v>338</v>
      </c>
      <c r="B1268" s="10">
        <v>210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1441.8749600000001</v>
      </c>
      <c r="G1268" s="12">
        <f ca="1">(RANDBETWEEN(50,100)/100)*(dict_DQ_Meth_max[[#This Row],[Vergleich_ub]]-dict_DQ_Meth_max[[#This Row],[Vergleich_lb]])+dict_DQ_Meth_max[[#This Row],[Vergleich_lb]]</f>
        <v>4942.8597200000004</v>
      </c>
      <c r="H1268" s="11" t="str">
        <f ca="1">VLOOKUP(VLOOKUP(dict_DQ_Meth_max[[#This Row],[ID_DataQualities]],table_DataQualities[],3),table_Units[],2)</f>
        <v>Hz</v>
      </c>
      <c r="I1268" s="10"/>
      <c r="J1268" s="10"/>
      <c r="K1268" s="10"/>
      <c r="L1268" s="10">
        <f ca="1">VLOOKUP(dict_DQ_Meth_max[[#This Row],[ID_DataQualities]],table_DataQualities[],8,FALSE)</f>
        <v>0.29299999999999998</v>
      </c>
      <c r="M1268" s="10">
        <f ca="1">VLOOKUP(dict_DQ_Meth_max[[#This Row],[ID_DataQualities]],table_DataQualities[],9,FALSE)</f>
        <v>5148.8</v>
      </c>
    </row>
    <row r="1269" spans="1:13" x14ac:dyDescent="0.45">
      <c r="A1269" s="10">
        <v>339</v>
      </c>
      <c r="B1269" s="10">
        <v>647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3.3147999999999995</v>
      </c>
      <c r="G1269" s="12">
        <f ca="1">(RANDBETWEEN(50,100)/100)*(dict_DQ_Meth_max[[#This Row],[Vergleich_ub]]-dict_DQ_Meth_max[[#This Row],[Vergleich_lb]])+dict_DQ_Meth_max[[#This Row],[Vergleich_lb]]</f>
        <v>3.5752000000000002</v>
      </c>
      <c r="H1269" s="11" t="str">
        <f ca="1">VLOOKUP(VLOOKUP(dict_DQ_Meth_max[[#This Row],[ID_DataQualities]],table_DataQualities[],3),table_Units[],2)</f>
        <v>+/- mm/s</v>
      </c>
      <c r="I1269" s="10"/>
      <c r="J1269" s="10"/>
      <c r="K1269" s="10"/>
      <c r="L1269" s="10">
        <f ca="1">VLOOKUP(dict_DQ_Meth_max[[#This Row],[ID_DataQualities]],table_DataQualities[],8,FALSE)</f>
        <v>0.19</v>
      </c>
      <c r="M1269" s="10">
        <f ca="1">VLOOKUP(dict_DQ_Meth_max[[#This Row],[ID_DataQualities]],table_DataQualities[],9,FALSE)</f>
        <v>6.7</v>
      </c>
    </row>
    <row r="1270" spans="1:13" x14ac:dyDescent="0.45">
      <c r="A1270" s="10">
        <v>339</v>
      </c>
      <c r="B1270" s="10">
        <v>210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3.3798999999999997</v>
      </c>
      <c r="G1270" s="12">
        <f ca="1">(RANDBETWEEN(50,100)/100)*(dict_DQ_Meth_max[[#This Row],[Vergleich_ub]]-dict_DQ_Meth_max[[#This Row],[Vergleich_lb]])+dict_DQ_Meth_max[[#This Row],[Vergleich_lb]]</f>
        <v>3.4449999999999998</v>
      </c>
      <c r="H1270" s="11" t="str">
        <f ca="1">VLOOKUP(VLOOKUP(dict_DQ_Meth_max[[#This Row],[ID_DataQualities]],table_DataQualities[],3),table_Units[],2)</f>
        <v>+/- mm/s</v>
      </c>
      <c r="I1270" s="10"/>
      <c r="J1270" s="10"/>
      <c r="K1270" s="10"/>
      <c r="L1270" s="10">
        <f ca="1">VLOOKUP(dict_DQ_Meth_max[[#This Row],[ID_DataQualities]],table_DataQualities[],8,FALSE)</f>
        <v>0.19</v>
      </c>
      <c r="M1270" s="10">
        <f ca="1">VLOOKUP(dict_DQ_Meth_max[[#This Row],[ID_DataQualities]],table_DataQualities[],9,FALSE)</f>
        <v>6.7</v>
      </c>
    </row>
    <row r="1271" spans="1:13" x14ac:dyDescent="0.45">
      <c r="A1271" s="10">
        <v>339</v>
      </c>
      <c r="B1271" s="10">
        <v>537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1.7523999999999997</v>
      </c>
      <c r="G1271" s="12">
        <f ca="1">(RANDBETWEEN(50,100)/100)*(dict_DQ_Meth_max[[#This Row],[Vergleich_ub]]-dict_DQ_Meth_max[[#This Row],[Vergleich_lb]])+dict_DQ_Meth_max[[#This Row],[Vergleich_lb]]</f>
        <v>6.2443000000000008</v>
      </c>
      <c r="H1271" s="11" t="str">
        <f ca="1">VLOOKUP(VLOOKUP(dict_DQ_Meth_max[[#This Row],[ID_DataQualities]],table_DataQualities[],3),table_Units[],2)</f>
        <v>+/- mm/s</v>
      </c>
      <c r="I1271" s="10"/>
      <c r="J1271" s="10"/>
      <c r="K1271" s="10"/>
      <c r="L1271" s="10">
        <f ca="1">VLOOKUP(dict_DQ_Meth_max[[#This Row],[ID_DataQualities]],table_DataQualities[],8,FALSE)</f>
        <v>0.19</v>
      </c>
      <c r="M1271" s="10">
        <f ca="1">VLOOKUP(dict_DQ_Meth_max[[#This Row],[ID_DataQualities]],table_DataQualities[],9,FALSE)</f>
        <v>6.7</v>
      </c>
    </row>
    <row r="1272" spans="1:13" x14ac:dyDescent="0.45">
      <c r="A1272" s="10">
        <v>340</v>
      </c>
      <c r="B1272" s="10">
        <v>2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522.95839999999998</v>
      </c>
      <c r="G1272" s="12">
        <f ca="1">(RANDBETWEEN(50,100)/100)*(dict_DQ_Meth_max[[#This Row],[Vergleich_ub]]-dict_DQ_Meth_max[[#This Row],[Vergleich_lb]])+dict_DQ_Meth_max[[#This Row],[Vergleich_lb]]</f>
        <v>967.41863999999987</v>
      </c>
      <c r="H1272" s="11" t="str">
        <f ca="1">VLOOKUP(VLOOKUP(dict_DQ_Meth_max[[#This Row],[ID_DataQualities]],table_DataQualities[],3),table_Units[],2)</f>
        <v>Hz</v>
      </c>
      <c r="I1272" s="10"/>
      <c r="J1272" s="10"/>
      <c r="K1272" s="10"/>
      <c r="L1272" s="10">
        <f ca="1">VLOOKUP(dict_DQ_Meth_max[[#This Row],[ID_DataQualities]],table_DataQualities[],8,FALSE)</f>
        <v>6.4000000000000001E-2</v>
      </c>
      <c r="M1272" s="10">
        <f ca="1">VLOOKUP(dict_DQ_Meth_max[[#This Row],[ID_DataQualities]],table_DataQualities[],9,FALSE)</f>
        <v>1307.3</v>
      </c>
    </row>
    <row r="1273" spans="1:13" x14ac:dyDescent="0.45">
      <c r="A1273" s="10">
        <v>340</v>
      </c>
      <c r="B1273" s="10">
        <v>67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379.16243999999995</v>
      </c>
      <c r="G1273" s="12">
        <f ca="1">(RANDBETWEEN(50,100)/100)*(dict_DQ_Meth_max[[#This Row],[Vergleich_ub]]-dict_DQ_Meth_max[[#This Row],[Vergleich_lb]])+dict_DQ_Meth_max[[#This Row],[Vergleich_lb]]</f>
        <v>888.98447999999996</v>
      </c>
      <c r="H1273" s="11" t="str">
        <f ca="1">VLOOKUP(VLOOKUP(dict_DQ_Meth_max[[#This Row],[ID_DataQualities]],table_DataQualities[],3),table_Units[],2)</f>
        <v>Hz</v>
      </c>
      <c r="I1273" s="10"/>
      <c r="J1273" s="10"/>
      <c r="K1273" s="10"/>
      <c r="L1273" s="10">
        <f ca="1">VLOOKUP(dict_DQ_Meth_max[[#This Row],[ID_DataQualities]],table_DataQualities[],8,FALSE)</f>
        <v>6.4000000000000001E-2</v>
      </c>
      <c r="M1273" s="10">
        <f ca="1">VLOOKUP(dict_DQ_Meth_max[[#This Row],[ID_DataQualities]],table_DataQualities[],9,FALSE)</f>
        <v>1307.3</v>
      </c>
    </row>
    <row r="1274" spans="1:13" x14ac:dyDescent="0.45">
      <c r="A1274" s="10">
        <v>340</v>
      </c>
      <c r="B1274" s="10">
        <v>682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248.43883999999997</v>
      </c>
      <c r="G1274" s="12">
        <f ca="1">(RANDBETWEEN(50,100)/100)*(dict_DQ_Meth_max[[#This Row],[Vergleich_ub]]-dict_DQ_Meth_max[[#This Row],[Vergleich_lb]])+dict_DQ_Meth_max[[#This Row],[Vergleich_lb]]</f>
        <v>915.12919999999986</v>
      </c>
      <c r="H1274" s="11" t="str">
        <f ca="1">VLOOKUP(VLOOKUP(dict_DQ_Meth_max[[#This Row],[ID_DataQualities]],table_DataQualities[],3),table_Units[],2)</f>
        <v>Hz</v>
      </c>
      <c r="I1274" s="10"/>
      <c r="J1274" s="10"/>
      <c r="K1274" s="10"/>
      <c r="L1274" s="10">
        <f ca="1">VLOOKUP(dict_DQ_Meth_max[[#This Row],[ID_DataQualities]],table_DataQualities[],8,FALSE)</f>
        <v>6.4000000000000001E-2</v>
      </c>
      <c r="M1274" s="10">
        <f ca="1">VLOOKUP(dict_DQ_Meth_max[[#This Row],[ID_DataQualities]],table_DataQualities[],9,FALSE)</f>
        <v>1307.3</v>
      </c>
    </row>
    <row r="1275" spans="1:13" x14ac:dyDescent="0.45">
      <c r="A1275" s="10">
        <v>341</v>
      </c>
      <c r="B1275" s="10">
        <v>67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1.0963000000000001</v>
      </c>
      <c r="G1275" s="12">
        <f ca="1">(RANDBETWEEN(50,100)/100)*(dict_DQ_Meth_max[[#This Row],[Vergleich_ub]]-dict_DQ_Meth_max[[#This Row],[Vergleich_lb]])+dict_DQ_Meth_max[[#This Row],[Vergleich_lb]]</f>
        <v>1.7498200000000002</v>
      </c>
      <c r="H1275" s="11" t="str">
        <f ca="1">VLOOKUP(VLOOKUP(dict_DQ_Meth_max[[#This Row],[ID_DataQualities]],table_DataQualities[],3),table_Units[],2)</f>
        <v>+/- W</v>
      </c>
      <c r="I1275" s="10"/>
      <c r="J1275" s="10"/>
      <c r="K1275" s="10"/>
      <c r="L1275" s="10">
        <f ca="1">VLOOKUP(dict_DQ_Meth_max[[#This Row],[ID_DataQualities]],table_DataQualities[],8,FALSE)</f>
        <v>4.5999999999999999E-2</v>
      </c>
      <c r="M1275" s="10">
        <f ca="1">VLOOKUP(dict_DQ_Meth_max[[#This Row],[ID_DataQualities]],table_DataQualities[],9,FALSE)</f>
        <v>2.38</v>
      </c>
    </row>
    <row r="1276" spans="1:13" x14ac:dyDescent="0.45">
      <c r="A1276" s="10">
        <v>341</v>
      </c>
      <c r="B1276" s="10">
        <v>682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0.16270000000000001</v>
      </c>
      <c r="G1276" s="12">
        <f ca="1">(RANDBETWEEN(50,100)/100)*(dict_DQ_Meth_max[[#This Row],[Vergleich_ub]]-dict_DQ_Meth_max[[#This Row],[Vergleich_lb]])+dict_DQ_Meth_max[[#This Row],[Vergleich_lb]]</f>
        <v>1.7498200000000002</v>
      </c>
      <c r="H1276" s="11" t="str">
        <f ca="1">VLOOKUP(VLOOKUP(dict_DQ_Meth_max[[#This Row],[ID_DataQualities]],table_DataQualities[],3),table_Units[],2)</f>
        <v>+/- W</v>
      </c>
      <c r="I1276" s="10"/>
      <c r="J1276" s="10"/>
      <c r="K1276" s="10"/>
      <c r="L1276" s="10">
        <f ca="1">VLOOKUP(dict_DQ_Meth_max[[#This Row],[ID_DataQualities]],table_DataQualities[],8,FALSE)</f>
        <v>4.5999999999999999E-2</v>
      </c>
      <c r="M1276" s="10">
        <f ca="1">VLOOKUP(dict_DQ_Meth_max[[#This Row],[ID_DataQualities]],table_DataQualities[],9,FALSE)</f>
        <v>2.38</v>
      </c>
    </row>
    <row r="1277" spans="1:13" x14ac:dyDescent="0.45">
      <c r="A1277" s="10">
        <v>341</v>
      </c>
      <c r="B1277" s="10">
        <v>2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0.72286000000000006</v>
      </c>
      <c r="G1277" s="12">
        <f ca="1">(RANDBETWEEN(50,100)/100)*(dict_DQ_Meth_max[[#This Row],[Vergleich_ub]]-dict_DQ_Meth_max[[#This Row],[Vergleich_lb]])+dict_DQ_Meth_max[[#This Row],[Vergleich_lb]]</f>
        <v>1.7031400000000001</v>
      </c>
      <c r="H1277" s="11" t="str">
        <f ca="1">VLOOKUP(VLOOKUP(dict_DQ_Meth_max[[#This Row],[ID_DataQualities]],table_DataQualities[],3),table_Units[],2)</f>
        <v>+/- W</v>
      </c>
      <c r="I1277" s="10"/>
      <c r="J1277" s="10"/>
      <c r="K1277" s="10"/>
      <c r="L1277" s="10">
        <f ca="1">VLOOKUP(dict_DQ_Meth_max[[#This Row],[ID_DataQualities]],table_DataQualities[],8,FALSE)</f>
        <v>4.5999999999999999E-2</v>
      </c>
      <c r="M1277" s="10">
        <f ca="1">VLOOKUP(dict_DQ_Meth_max[[#This Row],[ID_DataQualities]],table_DataQualities[],9,FALSE)</f>
        <v>2.38</v>
      </c>
    </row>
    <row r="1278" spans="1:13" x14ac:dyDescent="0.45">
      <c r="A1278" s="10">
        <v>342</v>
      </c>
      <c r="B1278" s="10">
        <v>296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200.01805000000004</v>
      </c>
      <c r="G1278" s="12">
        <f ca="1">(RANDBETWEEN(50,100)/100)*(dict_DQ_Meth_max[[#This Row],[Vergleich_ub]]-dict_DQ_Meth_max[[#This Row],[Vergleich_lb]])+dict_DQ_Meth_max[[#This Row],[Vergleich_lb]]</f>
        <v>2364.2054499999999</v>
      </c>
      <c r="H1278" s="11" t="str">
        <f ca="1">VLOOKUP(VLOOKUP(dict_DQ_Meth_max[[#This Row],[ID_DataQualities]],table_DataQualities[],3),table_Units[],2)</f>
        <v>Hz</v>
      </c>
      <c r="I1278" s="10"/>
      <c r="J1278" s="10"/>
      <c r="K1278" s="10"/>
      <c r="L1278" s="10">
        <f ca="1">VLOOKUP(dict_DQ_Meth_max[[#This Row],[ID_DataQualities]],table_DataQualities[],8,FALSE)</f>
        <v>0.68500000000000005</v>
      </c>
      <c r="M1278" s="10">
        <f ca="1">VLOOKUP(dict_DQ_Meth_max[[#This Row],[ID_DataQualities]],table_DataQualities[],9,FALSE)</f>
        <v>2848.3</v>
      </c>
    </row>
    <row r="1279" spans="1:13" x14ac:dyDescent="0.45">
      <c r="A1279" s="10">
        <v>342</v>
      </c>
      <c r="B1279" s="10">
        <v>589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256.97035</v>
      </c>
      <c r="G1279" s="12">
        <f ca="1">(RANDBETWEEN(50,100)/100)*(dict_DQ_Meth_max[[#This Row],[Vergleich_ub]]-dict_DQ_Meth_max[[#This Row],[Vergleich_lb]])+dict_DQ_Meth_max[[#This Row],[Vergleich_lb]]</f>
        <v>2705.9192499999999</v>
      </c>
      <c r="H1279" s="11" t="str">
        <f ca="1">VLOOKUP(VLOOKUP(dict_DQ_Meth_max[[#This Row],[ID_DataQualities]],table_DataQualities[],3),table_Units[],2)</f>
        <v>Hz</v>
      </c>
      <c r="I1279" s="10"/>
      <c r="J1279" s="10"/>
      <c r="K1279" s="10"/>
      <c r="L1279" s="10">
        <f ca="1">VLOOKUP(dict_DQ_Meth_max[[#This Row],[ID_DataQualities]],table_DataQualities[],8,FALSE)</f>
        <v>0.68500000000000005</v>
      </c>
      <c r="M1279" s="10">
        <f ca="1">VLOOKUP(dict_DQ_Meth_max[[#This Row],[ID_DataQualities]],table_DataQualities[],9,FALSE)</f>
        <v>2848.3</v>
      </c>
    </row>
    <row r="1280" spans="1:13" x14ac:dyDescent="0.45">
      <c r="A1280" s="10">
        <v>342</v>
      </c>
      <c r="B1280" s="10">
        <v>5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228.49420000000003</v>
      </c>
      <c r="G1280" s="12">
        <f ca="1">(RANDBETWEEN(50,100)/100)*(dict_DQ_Meth_max[[#This Row],[Vergleich_ub]]-dict_DQ_Meth_max[[#This Row],[Vergleich_lb]])+dict_DQ_Meth_max[[#This Row],[Vergleich_lb]]</f>
        <v>2506.5862000000002</v>
      </c>
      <c r="H1280" s="11" t="str">
        <f ca="1">VLOOKUP(VLOOKUP(dict_DQ_Meth_max[[#This Row],[ID_DataQualities]],table_DataQualities[],3),table_Units[],2)</f>
        <v>Hz</v>
      </c>
      <c r="I1280" s="10"/>
      <c r="J1280" s="10"/>
      <c r="K1280" s="10"/>
      <c r="L1280" s="10">
        <f ca="1">VLOOKUP(dict_DQ_Meth_max[[#This Row],[ID_DataQualities]],table_DataQualities[],8,FALSE)</f>
        <v>0.68500000000000005</v>
      </c>
      <c r="M1280" s="10">
        <f ca="1">VLOOKUP(dict_DQ_Meth_max[[#This Row],[ID_DataQualities]],table_DataQualities[],9,FALSE)</f>
        <v>2848.3</v>
      </c>
    </row>
    <row r="1281" spans="1:13" x14ac:dyDescent="0.45">
      <c r="A1281" s="10">
        <v>342</v>
      </c>
      <c r="B1281" s="10">
        <v>25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1282.11175</v>
      </c>
      <c r="G1281" s="12">
        <f ca="1">(RANDBETWEEN(50,100)/100)*(dict_DQ_Meth_max[[#This Row],[Vergleich_ub]]-dict_DQ_Meth_max[[#This Row],[Vergleich_lb]])+dict_DQ_Meth_max[[#This Row],[Vergleich_lb]]</f>
        <v>2734.3953999999999</v>
      </c>
      <c r="H1281" s="11" t="str">
        <f ca="1">VLOOKUP(VLOOKUP(dict_DQ_Meth_max[[#This Row],[ID_DataQualities]],table_DataQualities[],3),table_Units[],2)</f>
        <v>Hz</v>
      </c>
      <c r="I1281" s="10"/>
      <c r="J1281" s="10"/>
      <c r="K1281" s="10"/>
      <c r="L1281" s="10">
        <f ca="1">VLOOKUP(dict_DQ_Meth_max[[#This Row],[ID_DataQualities]],table_DataQualities[],8,FALSE)</f>
        <v>0.68500000000000005</v>
      </c>
      <c r="M1281" s="10">
        <f ca="1">VLOOKUP(dict_DQ_Meth_max[[#This Row],[ID_DataQualities]],table_DataQualities[],9,FALSE)</f>
        <v>2848.3</v>
      </c>
    </row>
    <row r="1282" spans="1:13" x14ac:dyDescent="0.45">
      <c r="A1282" s="10">
        <v>342</v>
      </c>
      <c r="B1282" s="10">
        <v>83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655.63645000000008</v>
      </c>
      <c r="G1282" s="12">
        <f ca="1">(RANDBETWEEN(50,100)/100)*(dict_DQ_Meth_max[[#This Row],[Vergleich_ub]]-dict_DQ_Meth_max[[#This Row],[Vergleich_lb]])+dict_DQ_Meth_max[[#This Row],[Vergleich_lb]]</f>
        <v>2705.9192499999999</v>
      </c>
      <c r="H1282" s="11" t="str">
        <f ca="1">VLOOKUP(VLOOKUP(dict_DQ_Meth_max[[#This Row],[ID_DataQualities]],table_DataQualities[],3),table_Units[],2)</f>
        <v>Hz</v>
      </c>
      <c r="I1282" s="10"/>
      <c r="J1282" s="10"/>
      <c r="K1282" s="10"/>
      <c r="L1282" s="10">
        <f ca="1">VLOOKUP(dict_DQ_Meth_max[[#This Row],[ID_DataQualities]],table_DataQualities[],8,FALSE)</f>
        <v>0.68500000000000005</v>
      </c>
      <c r="M1282" s="10">
        <f ca="1">VLOOKUP(dict_DQ_Meth_max[[#This Row],[ID_DataQualities]],table_DataQualities[],9,FALSE)</f>
        <v>2848.3</v>
      </c>
    </row>
    <row r="1283" spans="1:13" x14ac:dyDescent="0.45">
      <c r="A1283" s="10">
        <v>343</v>
      </c>
      <c r="B1283" s="10">
        <v>25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1.0528</v>
      </c>
      <c r="G1283" s="12">
        <f ca="1">(RANDBETWEEN(50,100)/100)*(dict_DQ_Meth_max[[#This Row],[Vergleich_ub]]-dict_DQ_Meth_max[[#This Row],[Vergleich_lb]])+dict_DQ_Meth_max[[#This Row],[Vergleich_lb]]</f>
        <v>1.8969999999999998</v>
      </c>
      <c r="H1283" s="11" t="str">
        <f ca="1">VLOOKUP(VLOOKUP(dict_DQ_Meth_max[[#This Row],[ID_DataQualities]],table_DataQualities[],3),table_Units[],2)</f>
        <v>+/- mm/s</v>
      </c>
      <c r="I1283" s="10"/>
      <c r="J1283" s="10"/>
      <c r="K1283" s="10"/>
      <c r="L1283" s="10">
        <f ca="1">VLOOKUP(dict_DQ_Meth_max[[#This Row],[ID_DataQualities]],table_DataQualities[],8,FALSE)</f>
        <v>0.49</v>
      </c>
      <c r="M1283" s="10">
        <f ca="1">VLOOKUP(dict_DQ_Meth_max[[#This Row],[ID_DataQualities]],table_DataQualities[],9,FALSE)</f>
        <v>2.5</v>
      </c>
    </row>
    <row r="1284" spans="1:13" x14ac:dyDescent="0.45">
      <c r="A1284" s="10">
        <v>343</v>
      </c>
      <c r="B1284" s="10">
        <v>296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0.57040000000000002</v>
      </c>
      <c r="G1284" s="12">
        <f ca="1">(RANDBETWEEN(50,100)/100)*(dict_DQ_Meth_max[[#This Row],[Vergleich_ub]]-dict_DQ_Meth_max[[#This Row],[Vergleich_lb]])+dict_DQ_Meth_max[[#This Row],[Vergleich_lb]]</f>
        <v>1.5351999999999999</v>
      </c>
      <c r="H1284" s="11" t="str">
        <f ca="1">VLOOKUP(VLOOKUP(dict_DQ_Meth_max[[#This Row],[ID_DataQualities]],table_DataQualities[],3),table_Units[],2)</f>
        <v>+/- mm/s</v>
      </c>
      <c r="I1284" s="10"/>
      <c r="J1284" s="10"/>
      <c r="K1284" s="10"/>
      <c r="L1284" s="10">
        <f ca="1">VLOOKUP(dict_DQ_Meth_max[[#This Row],[ID_DataQualities]],table_DataQualities[],8,FALSE)</f>
        <v>0.49</v>
      </c>
      <c r="M1284" s="10">
        <f ca="1">VLOOKUP(dict_DQ_Meth_max[[#This Row],[ID_DataQualities]],table_DataQualities[],9,FALSE)</f>
        <v>2.5</v>
      </c>
    </row>
    <row r="1285" spans="1:13" x14ac:dyDescent="0.45">
      <c r="A1285" s="10">
        <v>343</v>
      </c>
      <c r="B1285" s="10">
        <v>5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0.77139999999999997</v>
      </c>
      <c r="G1285" s="12">
        <f ca="1">(RANDBETWEEN(50,100)/100)*(dict_DQ_Meth_max[[#This Row],[Vergleich_ub]]-dict_DQ_Meth_max[[#This Row],[Vergleich_lb]])+dict_DQ_Meth_max[[#This Row],[Vergleich_lb]]</f>
        <v>1.5150999999999999</v>
      </c>
      <c r="H1285" s="11" t="str">
        <f ca="1">VLOOKUP(VLOOKUP(dict_DQ_Meth_max[[#This Row],[ID_DataQualities]],table_DataQualities[],3),table_Units[],2)</f>
        <v>+/- mm/s</v>
      </c>
      <c r="I1285" s="10"/>
      <c r="J1285" s="10"/>
      <c r="K1285" s="10"/>
      <c r="L1285" s="10">
        <f ca="1">VLOOKUP(dict_DQ_Meth_max[[#This Row],[ID_DataQualities]],table_DataQualities[],8,FALSE)</f>
        <v>0.49</v>
      </c>
      <c r="M1285" s="10">
        <f ca="1">VLOOKUP(dict_DQ_Meth_max[[#This Row],[ID_DataQualities]],table_DataQualities[],9,FALSE)</f>
        <v>2.5</v>
      </c>
    </row>
    <row r="1286" spans="1:13" x14ac:dyDescent="0.45">
      <c r="A1286" s="10">
        <v>343</v>
      </c>
      <c r="B1286" s="10">
        <v>589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0.8718999999999999</v>
      </c>
      <c r="G1286" s="12">
        <f ca="1">(RANDBETWEEN(50,100)/100)*(dict_DQ_Meth_max[[#This Row],[Vergleich_ub]]-dict_DQ_Meth_max[[#This Row],[Vergleich_lb]])+dict_DQ_Meth_max[[#This Row],[Vergleich_lb]]</f>
        <v>2.3190999999999997</v>
      </c>
      <c r="H1286" s="11" t="str">
        <f ca="1">VLOOKUP(VLOOKUP(dict_DQ_Meth_max[[#This Row],[ID_DataQualities]],table_DataQualities[],3),table_Units[],2)</f>
        <v>+/- mm/s</v>
      </c>
      <c r="I1286" s="10"/>
      <c r="J1286" s="10"/>
      <c r="K1286" s="10"/>
      <c r="L1286" s="10">
        <f ca="1">VLOOKUP(dict_DQ_Meth_max[[#This Row],[ID_DataQualities]],table_DataQualities[],8,FALSE)</f>
        <v>0.49</v>
      </c>
      <c r="M1286" s="10">
        <f ca="1">VLOOKUP(dict_DQ_Meth_max[[#This Row],[ID_DataQualities]],table_DataQualities[],9,FALSE)</f>
        <v>2.5</v>
      </c>
    </row>
    <row r="1287" spans="1:13" x14ac:dyDescent="0.45">
      <c r="A1287" s="10">
        <v>343</v>
      </c>
      <c r="B1287" s="10">
        <v>83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0.65080000000000005</v>
      </c>
      <c r="G1287" s="12">
        <f ca="1">(RANDBETWEEN(50,100)/100)*(dict_DQ_Meth_max[[#This Row],[Vergleich_ub]]-dict_DQ_Meth_max[[#This Row],[Vergleich_lb]])+dict_DQ_Meth_max[[#This Row],[Vergleich_lb]]</f>
        <v>1.7563</v>
      </c>
      <c r="H1287" s="11" t="str">
        <f ca="1">VLOOKUP(VLOOKUP(dict_DQ_Meth_max[[#This Row],[ID_DataQualities]],table_DataQualities[],3),table_Units[],2)</f>
        <v>+/- mm/s</v>
      </c>
      <c r="I1287" s="10"/>
      <c r="J1287" s="10"/>
      <c r="K1287" s="10"/>
      <c r="L1287" s="10">
        <f ca="1">VLOOKUP(dict_DQ_Meth_max[[#This Row],[ID_DataQualities]],table_DataQualities[],8,FALSE)</f>
        <v>0.49</v>
      </c>
      <c r="M1287" s="10">
        <f ca="1">VLOOKUP(dict_DQ_Meth_max[[#This Row],[ID_DataQualities]],table_DataQualities[],9,FALSE)</f>
        <v>2.5</v>
      </c>
    </row>
    <row r="1288" spans="1:13" x14ac:dyDescent="0.45">
      <c r="A1288" s="10">
        <v>344</v>
      </c>
      <c r="B1288" s="10">
        <v>584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1394.6028700000002</v>
      </c>
      <c r="G1288" s="12">
        <f ca="1">(RANDBETWEEN(50,100)/100)*(dict_DQ_Meth_max[[#This Row],[Vergleich_ub]]-dict_DQ_Meth_max[[#This Row],[Vergleich_lb]])+dict_DQ_Meth_max[[#This Row],[Vergleich_lb]]</f>
        <v>2538.83743</v>
      </c>
      <c r="H1288" s="11" t="str">
        <f ca="1">VLOOKUP(VLOOKUP(dict_DQ_Meth_max[[#This Row],[ID_DataQualities]],table_DataQualities[],3),table_Units[],2)</f>
        <v>Hz</v>
      </c>
      <c r="I1288" s="10"/>
      <c r="J1288" s="10"/>
      <c r="K1288" s="10"/>
      <c r="L1288" s="10">
        <f ca="1">VLOOKUP(dict_DQ_Meth_max[[#This Row],[ID_DataQualities]],table_DataQualities[],8,FALSE)</f>
        <v>6.7000000000000004E-2</v>
      </c>
      <c r="M1288" s="10">
        <f ca="1">VLOOKUP(dict_DQ_Meth_max[[#This Row],[ID_DataQualities]],table_DataQualities[],9,FALSE)</f>
        <v>3575.8</v>
      </c>
    </row>
    <row r="1289" spans="1:13" x14ac:dyDescent="0.45">
      <c r="A1289" s="10">
        <v>344</v>
      </c>
      <c r="B1289" s="10">
        <v>463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1573.3895200000002</v>
      </c>
      <c r="G1289" s="12">
        <f ca="1">(RANDBETWEEN(50,100)/100)*(dict_DQ_Meth_max[[#This Row],[Vergleich_ub]]-dict_DQ_Meth_max[[#This Row],[Vergleich_lb]])+dict_DQ_Meth_max[[#This Row],[Vergleich_lb]]</f>
        <v>3146.7120400000003</v>
      </c>
      <c r="H1289" s="11" t="str">
        <f ca="1">VLOOKUP(VLOOKUP(dict_DQ_Meth_max[[#This Row],[ID_DataQualities]],table_DataQualities[],3),table_Units[],2)</f>
        <v>Hz</v>
      </c>
      <c r="I1289" s="10"/>
      <c r="J1289" s="10"/>
      <c r="K1289" s="10"/>
      <c r="L1289" s="10">
        <f ca="1">VLOOKUP(dict_DQ_Meth_max[[#This Row],[ID_DataQualities]],table_DataQualities[],8,FALSE)</f>
        <v>6.7000000000000004E-2</v>
      </c>
      <c r="M1289" s="10">
        <f ca="1">VLOOKUP(dict_DQ_Meth_max[[#This Row],[ID_DataQualities]],table_DataQualities[],9,FALSE)</f>
        <v>3575.8</v>
      </c>
    </row>
    <row r="1290" spans="1:13" x14ac:dyDescent="0.45">
      <c r="A1290" s="10">
        <v>344</v>
      </c>
      <c r="B1290" s="10">
        <v>413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107.33899</v>
      </c>
      <c r="G1290" s="12">
        <f ca="1">(RANDBETWEEN(50,100)/100)*(dict_DQ_Meth_max[[#This Row],[Vergleich_ub]]-dict_DQ_Meth_max[[#This Row],[Vergleich_lb]])+dict_DQ_Meth_max[[#This Row],[Vergleich_lb]]</f>
        <v>1966.7201500000003</v>
      </c>
      <c r="H1290" s="11" t="str">
        <f ca="1">VLOOKUP(VLOOKUP(dict_DQ_Meth_max[[#This Row],[ID_DataQualities]],table_DataQualities[],3),table_Units[],2)</f>
        <v>Hz</v>
      </c>
      <c r="I1290" s="10"/>
      <c r="J1290" s="10"/>
      <c r="K1290" s="10"/>
      <c r="L1290" s="10">
        <f ca="1">VLOOKUP(dict_DQ_Meth_max[[#This Row],[ID_DataQualities]],table_DataQualities[],8,FALSE)</f>
        <v>6.7000000000000004E-2</v>
      </c>
      <c r="M1290" s="10">
        <f ca="1">VLOOKUP(dict_DQ_Meth_max[[#This Row],[ID_DataQualities]],table_DataQualities[],9,FALSE)</f>
        <v>3575.8</v>
      </c>
    </row>
    <row r="1291" spans="1:13" x14ac:dyDescent="0.45">
      <c r="A1291" s="10">
        <v>344</v>
      </c>
      <c r="B1291" s="10">
        <v>317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607.94161000000008</v>
      </c>
      <c r="G1291" s="12">
        <f ca="1">(RANDBETWEEN(50,100)/100)*(dict_DQ_Meth_max[[#This Row],[Vergleich_ub]]-dict_DQ_Meth_max[[#This Row],[Vergleich_lb]])+dict_DQ_Meth_max[[#This Row],[Vergleich_lb]]</f>
        <v>2860.6534000000001</v>
      </c>
      <c r="H1291" s="11" t="str">
        <f ca="1">VLOOKUP(VLOOKUP(dict_DQ_Meth_max[[#This Row],[ID_DataQualities]],table_DataQualities[],3),table_Units[],2)</f>
        <v>Hz</v>
      </c>
      <c r="I1291" s="10"/>
      <c r="J1291" s="10"/>
      <c r="K1291" s="10"/>
      <c r="L1291" s="10">
        <f ca="1">VLOOKUP(dict_DQ_Meth_max[[#This Row],[ID_DataQualities]],table_DataQualities[],8,FALSE)</f>
        <v>6.7000000000000004E-2</v>
      </c>
      <c r="M1291" s="10">
        <f ca="1">VLOOKUP(dict_DQ_Meth_max[[#This Row],[ID_DataQualities]],table_DataQualities[],9,FALSE)</f>
        <v>3575.8</v>
      </c>
    </row>
    <row r="1292" spans="1:13" x14ac:dyDescent="0.45">
      <c r="A1292" s="10">
        <v>345</v>
      </c>
      <c r="B1292" s="10">
        <v>463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1.4558</v>
      </c>
      <c r="G1292" s="12">
        <f ca="1">(RANDBETWEEN(50,100)/100)*(dict_DQ_Meth_max[[#This Row],[Vergleich_ub]]-dict_DQ_Meth_max[[#This Row],[Vergleich_lb]])+dict_DQ_Meth_max[[#This Row],[Vergleich_lb]]</f>
        <v>7.8006999999999991</v>
      </c>
      <c r="H1292" s="11" t="str">
        <f ca="1">VLOOKUP(VLOOKUP(dict_DQ_Meth_max[[#This Row],[ID_DataQualities]],table_DataQualities[],3),table_Units[],2)</f>
        <v>+/- mm/s</v>
      </c>
      <c r="I1292" s="10"/>
      <c r="J1292" s="10"/>
      <c r="K1292" s="10"/>
      <c r="L1292" s="10">
        <f ca="1">VLOOKUP(dict_DQ_Meth_max[[#This Row],[ID_DataQualities]],table_DataQualities[],8,FALSE)</f>
        <v>0.13</v>
      </c>
      <c r="M1292" s="10">
        <f ca="1">VLOOKUP(dict_DQ_Meth_max[[#This Row],[ID_DataQualities]],table_DataQualities[],9,FALSE)</f>
        <v>9.6</v>
      </c>
    </row>
    <row r="1293" spans="1:13" x14ac:dyDescent="0.45">
      <c r="A1293" s="10">
        <v>345</v>
      </c>
      <c r="B1293" s="10">
        <v>413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3.4444999999999992</v>
      </c>
      <c r="G1293" s="12">
        <f ca="1">(RANDBETWEEN(50,100)/100)*(dict_DQ_Meth_max[[#This Row],[Vergleich_ub]]-dict_DQ_Meth_max[[#This Row],[Vergleich_lb]])+dict_DQ_Meth_max[[#This Row],[Vergleich_lb]]</f>
        <v>6.664299999999999</v>
      </c>
      <c r="H1293" s="11" t="str">
        <f ca="1">VLOOKUP(VLOOKUP(dict_DQ_Meth_max[[#This Row],[ID_DataQualities]],table_DataQualities[],3),table_Units[],2)</f>
        <v>+/- mm/s</v>
      </c>
      <c r="I1293" s="10"/>
      <c r="J1293" s="10"/>
      <c r="K1293" s="10"/>
      <c r="L1293" s="10">
        <f ca="1">VLOOKUP(dict_DQ_Meth_max[[#This Row],[ID_DataQualities]],table_DataQualities[],8,FALSE)</f>
        <v>0.13</v>
      </c>
      <c r="M1293" s="10">
        <f ca="1">VLOOKUP(dict_DQ_Meth_max[[#This Row],[ID_DataQualities]],table_DataQualities[],9,FALSE)</f>
        <v>9.6</v>
      </c>
    </row>
    <row r="1294" spans="1:13" x14ac:dyDescent="0.45">
      <c r="A1294" s="10">
        <v>345</v>
      </c>
      <c r="B1294" s="10">
        <v>584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0.79289999999999994</v>
      </c>
      <c r="G1294" s="12">
        <f ca="1">(RANDBETWEEN(50,100)/100)*(dict_DQ_Meth_max[[#This Row],[Vergleich_ub]]-dict_DQ_Meth_max[[#This Row],[Vergleich_lb]])+dict_DQ_Meth_max[[#This Row],[Vergleich_lb]]</f>
        <v>7.3271999999999995</v>
      </c>
      <c r="H1294" s="11" t="str">
        <f ca="1">VLOOKUP(VLOOKUP(dict_DQ_Meth_max[[#This Row],[ID_DataQualities]],table_DataQualities[],3),table_Units[],2)</f>
        <v>+/- mm/s</v>
      </c>
      <c r="I1294" s="10"/>
      <c r="J1294" s="10"/>
      <c r="K1294" s="10"/>
      <c r="L1294" s="10">
        <f ca="1">VLOOKUP(dict_DQ_Meth_max[[#This Row],[ID_DataQualities]],table_DataQualities[],8,FALSE)</f>
        <v>0.13</v>
      </c>
      <c r="M1294" s="10">
        <f ca="1">VLOOKUP(dict_DQ_Meth_max[[#This Row],[ID_DataQualities]],table_DataQualities[],9,FALSE)</f>
        <v>9.6</v>
      </c>
    </row>
    <row r="1295" spans="1:13" x14ac:dyDescent="0.45">
      <c r="A1295" s="10">
        <v>345</v>
      </c>
      <c r="B1295" s="10">
        <v>317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4.2967999999999993</v>
      </c>
      <c r="G1295" s="12">
        <f ca="1">(RANDBETWEEN(50,100)/100)*(dict_DQ_Meth_max[[#This Row],[Vergleich_ub]]-dict_DQ_Meth_max[[#This Row],[Vergleich_lb]])+dict_DQ_Meth_max[[#This Row],[Vergleich_lb]]</f>
        <v>5.3384999999999998</v>
      </c>
      <c r="H1295" s="11" t="str">
        <f ca="1">VLOOKUP(VLOOKUP(dict_DQ_Meth_max[[#This Row],[ID_DataQualities]],table_DataQualities[],3),table_Units[],2)</f>
        <v>+/- mm/s</v>
      </c>
      <c r="I1295" s="10"/>
      <c r="J1295" s="10"/>
      <c r="K1295" s="10"/>
      <c r="L1295" s="10">
        <f ca="1">VLOOKUP(dict_DQ_Meth_max[[#This Row],[ID_DataQualities]],table_DataQualities[],8,FALSE)</f>
        <v>0.13</v>
      </c>
      <c r="M1295" s="10">
        <f ca="1">VLOOKUP(dict_DQ_Meth_max[[#This Row],[ID_DataQualities]],table_DataQualities[],9,FALSE)</f>
        <v>9.6</v>
      </c>
    </row>
    <row r="1296" spans="1:13" x14ac:dyDescent="0.45">
      <c r="A1296" s="10">
        <v>346</v>
      </c>
      <c r="B1296" s="10">
        <v>636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2301.4280000000003</v>
      </c>
      <c r="G1296" s="12">
        <f ca="1">(RANDBETWEEN(50,100)/100)*(dict_DQ_Meth_max[[#This Row],[Vergleich_ub]]-dict_DQ_Meth_max[[#This Row],[Vergleich_lb]])+dict_DQ_Meth_max[[#This Row],[Vergleich_lb]]</f>
        <v>4141.7864</v>
      </c>
      <c r="H1296" s="11" t="str">
        <f ca="1">VLOOKUP(VLOOKUP(dict_DQ_Meth_max[[#This Row],[ID_DataQualities]],table_DataQualities[],3),table_Units[],2)</f>
        <v>Hz</v>
      </c>
      <c r="I1296" s="10"/>
      <c r="J1296" s="10"/>
      <c r="K1296" s="10"/>
      <c r="L1296" s="10">
        <f ca="1">VLOOKUP(dict_DQ_Meth_max[[#This Row],[ID_DataQualities]],table_DataQualities[],8,FALSE)</f>
        <v>0.98</v>
      </c>
      <c r="M1296" s="10">
        <f ca="1">VLOOKUP(dict_DQ_Meth_max[[#This Row],[ID_DataQualities]],table_DataQualities[],9,FALSE)</f>
        <v>5752.1</v>
      </c>
    </row>
    <row r="1297" spans="1:13" x14ac:dyDescent="0.45">
      <c r="A1297" s="10">
        <v>346</v>
      </c>
      <c r="B1297" s="10">
        <v>692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518.58080000000007</v>
      </c>
      <c r="G1297" s="12">
        <f ca="1">(RANDBETWEEN(50,100)/100)*(dict_DQ_Meth_max[[#This Row],[Vergleich_ub]]-dict_DQ_Meth_max[[#This Row],[Vergleich_lb]])+dict_DQ_Meth_max[[#This Row],[Vergleich_lb]]</f>
        <v>3969.2528000000002</v>
      </c>
      <c r="H1297" s="11" t="str">
        <f ca="1">VLOOKUP(VLOOKUP(dict_DQ_Meth_max[[#This Row],[ID_DataQualities]],table_DataQualities[],3),table_Units[],2)</f>
        <v>Hz</v>
      </c>
      <c r="I1297" s="10"/>
      <c r="J1297" s="10"/>
      <c r="K1297" s="10"/>
      <c r="L1297" s="10">
        <f ca="1">VLOOKUP(dict_DQ_Meth_max[[#This Row],[ID_DataQualities]],table_DataQualities[],8,FALSE)</f>
        <v>0.98</v>
      </c>
      <c r="M1297" s="10">
        <f ca="1">VLOOKUP(dict_DQ_Meth_max[[#This Row],[ID_DataQualities]],table_DataQualities[],9,FALSE)</f>
        <v>5752.1</v>
      </c>
    </row>
    <row r="1298" spans="1:13" x14ac:dyDescent="0.45">
      <c r="A1298" s="10">
        <v>347</v>
      </c>
      <c r="B1298" s="10">
        <v>636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2.5700000000000003</v>
      </c>
      <c r="G1298" s="12">
        <f ca="1">(RANDBETWEEN(50,100)/100)*(dict_DQ_Meth_max[[#This Row],[Vergleich_ub]]-dict_DQ_Meth_max[[#This Row],[Vergleich_lb]])+dict_DQ_Meth_max[[#This Row],[Vergleich_lb]]</f>
        <v>7.1008000000000004</v>
      </c>
      <c r="H1298" s="11" t="str">
        <f ca="1">VLOOKUP(VLOOKUP(dict_DQ_Meth_max[[#This Row],[ID_DataQualities]],table_DataQualities[],3),table_Units[],2)</f>
        <v>+/- mm/s</v>
      </c>
      <c r="I1298" s="10"/>
      <c r="J1298" s="10"/>
      <c r="K1298" s="10"/>
      <c r="L1298" s="10">
        <f ca="1">VLOOKUP(dict_DQ_Meth_max[[#This Row],[ID_DataQualities]],table_DataQualities[],8,FALSE)</f>
        <v>0.16</v>
      </c>
      <c r="M1298" s="10">
        <f ca="1">VLOOKUP(dict_DQ_Meth_max[[#This Row],[ID_DataQualities]],table_DataQualities[],9,FALSE)</f>
        <v>9.8000000000000007</v>
      </c>
    </row>
    <row r="1299" spans="1:13" x14ac:dyDescent="0.45">
      <c r="A1299" s="10">
        <v>347</v>
      </c>
      <c r="B1299" s="10">
        <v>692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2.1844000000000001</v>
      </c>
      <c r="G1299" s="12">
        <f ca="1">(RANDBETWEEN(50,100)/100)*(dict_DQ_Meth_max[[#This Row],[Vergleich_ub]]-dict_DQ_Meth_max[[#This Row],[Vergleich_lb]])+dict_DQ_Meth_max[[#This Row],[Vergleich_lb]]</f>
        <v>5.8475999999999999</v>
      </c>
      <c r="H1299" s="11" t="str">
        <f ca="1">VLOOKUP(VLOOKUP(dict_DQ_Meth_max[[#This Row],[ID_DataQualities]],table_DataQualities[],3),table_Units[],2)</f>
        <v>+/- mm/s</v>
      </c>
      <c r="I1299" s="10"/>
      <c r="J1299" s="10"/>
      <c r="K1299" s="10"/>
      <c r="L1299" s="10">
        <f ca="1">VLOOKUP(dict_DQ_Meth_max[[#This Row],[ID_DataQualities]],table_DataQualities[],8,FALSE)</f>
        <v>0.16</v>
      </c>
      <c r="M1299" s="10">
        <f ca="1">VLOOKUP(dict_DQ_Meth_max[[#This Row],[ID_DataQualities]],table_DataQualities[],9,FALSE)</f>
        <v>9.8000000000000007</v>
      </c>
    </row>
    <row r="1300" spans="1:13" x14ac:dyDescent="0.45">
      <c r="A1300" s="10">
        <v>348</v>
      </c>
      <c r="B1300" s="10">
        <v>118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1984.00666</v>
      </c>
      <c r="G1300" s="12">
        <f ca="1">(RANDBETWEEN(50,100)/100)*(dict_DQ_Meth_max[[#This Row],[Vergleich_ub]]-dict_DQ_Meth_max[[#This Row],[Vergleich_lb]])+dict_DQ_Meth_max[[#This Row],[Vergleich_lb]]</f>
        <v>4176.8086000000003</v>
      </c>
      <c r="H1300" s="11" t="str">
        <f ca="1">VLOOKUP(VLOOKUP(dict_DQ_Meth_max[[#This Row],[ID_DataQualities]],table_DataQualities[],3),table_Units[],2)</f>
        <v>Hz</v>
      </c>
      <c r="I1300" s="10"/>
      <c r="J1300" s="10"/>
      <c r="K1300" s="10"/>
      <c r="L1300" s="10">
        <f ca="1">VLOOKUP(dict_DQ_Meth_max[[#This Row],[ID_DataQualities]],table_DataQualities[],8,FALSE)</f>
        <v>4.2999999999999997E-2</v>
      </c>
      <c r="M1300" s="10">
        <f ca="1">VLOOKUP(dict_DQ_Meth_max[[#This Row],[ID_DataQualities]],table_DataQualities[],9,FALSE)</f>
        <v>5221</v>
      </c>
    </row>
    <row r="1301" spans="1:13" x14ac:dyDescent="0.45">
      <c r="A1301" s="10">
        <v>348</v>
      </c>
      <c r="B1301" s="10">
        <v>273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1984.00666</v>
      </c>
      <c r="G1301" s="12">
        <f ca="1">(RANDBETWEEN(50,100)/100)*(dict_DQ_Meth_max[[#This Row],[Vergleich_ub]]-dict_DQ_Meth_max[[#This Row],[Vergleich_lb]])+dict_DQ_Meth_max[[#This Row],[Vergleich_lb]]</f>
        <v>4803.3234400000001</v>
      </c>
      <c r="H1301" s="11" t="str">
        <f ca="1">VLOOKUP(VLOOKUP(dict_DQ_Meth_max[[#This Row],[ID_DataQualities]],table_DataQualities[],3),table_Units[],2)</f>
        <v>Hz</v>
      </c>
      <c r="I1301" s="10"/>
      <c r="J1301" s="10"/>
      <c r="K1301" s="10"/>
      <c r="L1301" s="10">
        <f ca="1">VLOOKUP(dict_DQ_Meth_max[[#This Row],[ID_DataQualities]],table_DataQualities[],8,FALSE)</f>
        <v>4.2999999999999997E-2</v>
      </c>
      <c r="M1301" s="10">
        <f ca="1">VLOOKUP(dict_DQ_Meth_max[[#This Row],[ID_DataQualities]],table_DataQualities[],9,FALSE)</f>
        <v>5221</v>
      </c>
    </row>
    <row r="1302" spans="1:13" x14ac:dyDescent="0.45">
      <c r="A1302" s="10">
        <v>348</v>
      </c>
      <c r="B1302" s="10">
        <v>691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208.88128000000003</v>
      </c>
      <c r="G1302" s="12">
        <f ca="1">(RANDBETWEEN(50,100)/100)*(dict_DQ_Meth_max[[#This Row],[Vergleich_ub]]-dict_DQ_Meth_max[[#This Row],[Vergleich_lb]])+dict_DQ_Meth_max[[#This Row],[Vergleich_lb]]</f>
        <v>4072.3894600000003</v>
      </c>
      <c r="H1302" s="11" t="str">
        <f ca="1">VLOOKUP(VLOOKUP(dict_DQ_Meth_max[[#This Row],[ID_DataQualities]],table_DataQualities[],3),table_Units[],2)</f>
        <v>Hz</v>
      </c>
      <c r="I1302" s="10"/>
      <c r="J1302" s="10"/>
      <c r="K1302" s="10"/>
      <c r="L1302" s="10">
        <f ca="1">VLOOKUP(dict_DQ_Meth_max[[#This Row],[ID_DataQualities]],table_DataQualities[],8,FALSE)</f>
        <v>4.2999999999999997E-2</v>
      </c>
      <c r="M1302" s="10">
        <f ca="1">VLOOKUP(dict_DQ_Meth_max[[#This Row],[ID_DataQualities]],table_DataQualities[],9,FALSE)</f>
        <v>5221</v>
      </c>
    </row>
    <row r="1303" spans="1:13" x14ac:dyDescent="0.45">
      <c r="A1303" s="10">
        <v>348</v>
      </c>
      <c r="B1303" s="10">
        <v>144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1670.7492400000001</v>
      </c>
      <c r="G1303" s="12">
        <f ca="1">(RANDBETWEEN(50,100)/100)*(dict_DQ_Meth_max[[#This Row],[Vergleich_ub]]-dict_DQ_Meth_max[[#This Row],[Vergleich_lb]])+dict_DQ_Meth_max[[#This Row],[Vergleich_lb]]</f>
        <v>4959.9521500000001</v>
      </c>
      <c r="H1303" s="11" t="str">
        <f ca="1">VLOOKUP(VLOOKUP(dict_DQ_Meth_max[[#This Row],[ID_DataQualities]],table_DataQualities[],3),table_Units[],2)</f>
        <v>Hz</v>
      </c>
      <c r="I1303" s="10"/>
      <c r="J1303" s="10"/>
      <c r="K1303" s="10"/>
      <c r="L1303" s="10">
        <f ca="1">VLOOKUP(dict_DQ_Meth_max[[#This Row],[ID_DataQualities]],table_DataQualities[],8,FALSE)</f>
        <v>4.2999999999999997E-2</v>
      </c>
      <c r="M1303" s="10">
        <f ca="1">VLOOKUP(dict_DQ_Meth_max[[#This Row],[ID_DataQualities]],table_DataQualities[],9,FALSE)</f>
        <v>5221</v>
      </c>
    </row>
    <row r="1304" spans="1:13" x14ac:dyDescent="0.45">
      <c r="A1304" s="10">
        <v>348</v>
      </c>
      <c r="B1304" s="10">
        <v>608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2192.8449400000004</v>
      </c>
      <c r="G1304" s="12">
        <f ca="1">(RANDBETWEEN(50,100)/100)*(dict_DQ_Meth_max[[#This Row],[Vergleich_ub]]-dict_DQ_Meth_max[[#This Row],[Vergleich_lb]])+dict_DQ_Meth_max[[#This Row],[Vergleich_lb]]</f>
        <v>3132.6172000000001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4.2999999999999997E-2</v>
      </c>
      <c r="M1304" s="10">
        <f ca="1">VLOOKUP(dict_DQ_Meth_max[[#This Row],[ID_DataQualities]],table_DataQualities[],9,FALSE)</f>
        <v>5221</v>
      </c>
    </row>
    <row r="1305" spans="1:13" x14ac:dyDescent="0.45">
      <c r="A1305" s="10">
        <v>349</v>
      </c>
      <c r="B1305" s="10">
        <v>273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0.41972000000000009</v>
      </c>
      <c r="G1305" s="12">
        <f ca="1">(RANDBETWEEN(50,100)/100)*(dict_DQ_Meth_max[[#This Row],[Vergleich_ub]]-dict_DQ_Meth_max[[#This Row],[Vergleich_lb]])+dict_DQ_Meth_max[[#This Row],[Vergleich_lb]]</f>
        <v>1.9666000000000001</v>
      </c>
      <c r="H1305" s="11" t="str">
        <f ca="1">VLOOKUP(VLOOKUP(dict_DQ_Meth_max[[#This Row],[ID_DataQualities]],table_DataQualities[],3),table_Units[],2)</f>
        <v>+/- mm</v>
      </c>
      <c r="I1305" s="10"/>
      <c r="J1305" s="10"/>
      <c r="K1305" s="10"/>
      <c r="L1305" s="10">
        <f ca="1">VLOOKUP(dict_DQ_Meth_max[[#This Row],[ID_DataQualities]],table_DataQualities[],8,FALSE)</f>
        <v>3.3000000000000002E-2</v>
      </c>
      <c r="M1305" s="10">
        <f ca="1">VLOOKUP(dict_DQ_Meth_max[[#This Row],[ID_DataQualities]],table_DataQualities[],9,FALSE)</f>
        <v>2.4500000000000002</v>
      </c>
    </row>
    <row r="1306" spans="1:13" x14ac:dyDescent="0.45">
      <c r="A1306" s="10">
        <v>349</v>
      </c>
      <c r="B1306" s="10">
        <v>608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0.99980000000000013</v>
      </c>
      <c r="G1306" s="12">
        <f ca="1">(RANDBETWEEN(50,100)/100)*(dict_DQ_Meth_max[[#This Row],[Vergleich_ub]]-dict_DQ_Meth_max[[#This Row],[Vergleich_lb]])+dict_DQ_Meth_max[[#This Row],[Vergleich_lb]]</f>
        <v>1.7007300000000001</v>
      </c>
      <c r="H1306" s="11" t="str">
        <f ca="1">VLOOKUP(VLOOKUP(dict_DQ_Meth_max[[#This Row],[ID_DataQualities]],table_DataQualities[],3),table_Units[],2)</f>
        <v>+/- mm</v>
      </c>
      <c r="I1306" s="10"/>
      <c r="J1306" s="10"/>
      <c r="K1306" s="10"/>
      <c r="L1306" s="10">
        <f ca="1">VLOOKUP(dict_DQ_Meth_max[[#This Row],[ID_DataQualities]],table_DataQualities[],8,FALSE)</f>
        <v>3.3000000000000002E-2</v>
      </c>
      <c r="M1306" s="10">
        <f ca="1">VLOOKUP(dict_DQ_Meth_max[[#This Row],[ID_DataQualities]],table_DataQualities[],9,FALSE)</f>
        <v>2.4500000000000002</v>
      </c>
    </row>
    <row r="1307" spans="1:13" x14ac:dyDescent="0.45">
      <c r="A1307" s="10">
        <v>349</v>
      </c>
      <c r="B1307" s="10">
        <v>144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1.1448200000000002</v>
      </c>
      <c r="G1307" s="12">
        <f ca="1">(RANDBETWEEN(50,100)/100)*(dict_DQ_Meth_max[[#This Row],[Vergleich_ub]]-dict_DQ_Meth_max[[#This Row],[Vergleich_lb]])+dict_DQ_Meth_max[[#This Row],[Vergleich_lb]]</f>
        <v>1.7490700000000001</v>
      </c>
      <c r="H1307" s="11" t="str">
        <f ca="1">VLOOKUP(VLOOKUP(dict_DQ_Meth_max[[#This Row],[ID_DataQualities]],table_DataQualities[],3),table_Units[],2)</f>
        <v>+/- mm</v>
      </c>
      <c r="I1307" s="10"/>
      <c r="J1307" s="10"/>
      <c r="K1307" s="10"/>
      <c r="L1307" s="10">
        <f ca="1">VLOOKUP(dict_DQ_Meth_max[[#This Row],[ID_DataQualities]],table_DataQualities[],8,FALSE)</f>
        <v>3.3000000000000002E-2</v>
      </c>
      <c r="M1307" s="10">
        <f ca="1">VLOOKUP(dict_DQ_Meth_max[[#This Row],[ID_DataQualities]],table_DataQualities[],9,FALSE)</f>
        <v>2.4500000000000002</v>
      </c>
    </row>
    <row r="1308" spans="1:13" x14ac:dyDescent="0.45">
      <c r="A1308" s="10">
        <v>349</v>
      </c>
      <c r="B1308" s="10">
        <v>691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0.92729000000000017</v>
      </c>
      <c r="G1308" s="12">
        <f ca="1">(RANDBETWEEN(50,100)/100)*(dict_DQ_Meth_max[[#This Row],[Vergleich_ub]]-dict_DQ_Meth_max[[#This Row],[Vergleich_lb]])+dict_DQ_Meth_max[[#This Row],[Vergleich_lb]]</f>
        <v>1.6040500000000002</v>
      </c>
      <c r="H1308" s="11" t="str">
        <f ca="1">VLOOKUP(VLOOKUP(dict_DQ_Meth_max[[#This Row],[ID_DataQualities]],table_DataQualities[],3),table_Units[],2)</f>
        <v>+/- mm</v>
      </c>
      <c r="I1308" s="10"/>
      <c r="J1308" s="10"/>
      <c r="K1308" s="10"/>
      <c r="L1308" s="10">
        <f ca="1">VLOOKUP(dict_DQ_Meth_max[[#This Row],[ID_DataQualities]],table_DataQualities[],8,FALSE)</f>
        <v>3.3000000000000002E-2</v>
      </c>
      <c r="M1308" s="10">
        <f ca="1">VLOOKUP(dict_DQ_Meth_max[[#This Row],[ID_DataQualities]],table_DataQualities[],9,FALSE)</f>
        <v>2.4500000000000002</v>
      </c>
    </row>
    <row r="1309" spans="1:13" x14ac:dyDescent="0.45">
      <c r="A1309" s="10">
        <v>349</v>
      </c>
      <c r="B1309" s="10">
        <v>118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0.85478000000000021</v>
      </c>
      <c r="G1309" s="12">
        <f ca="1">(RANDBETWEEN(50,100)/100)*(dict_DQ_Meth_max[[#This Row],[Vergleich_ub]]-dict_DQ_Meth_max[[#This Row],[Vergleich_lb]])+dict_DQ_Meth_max[[#This Row],[Vergleich_lb]]</f>
        <v>1.3381800000000001</v>
      </c>
      <c r="H1309" s="11" t="str">
        <f ca="1">VLOOKUP(VLOOKUP(dict_DQ_Meth_max[[#This Row],[ID_DataQualities]],table_DataQualities[],3),table_Units[],2)</f>
        <v>+/- mm</v>
      </c>
      <c r="I1309" s="10"/>
      <c r="J1309" s="10"/>
      <c r="K1309" s="10"/>
      <c r="L1309" s="10">
        <f ca="1">VLOOKUP(dict_DQ_Meth_max[[#This Row],[ID_DataQualities]],table_DataQualities[],8,FALSE)</f>
        <v>3.3000000000000002E-2</v>
      </c>
      <c r="M1309" s="10">
        <f ca="1">VLOOKUP(dict_DQ_Meth_max[[#This Row],[ID_DataQualities]],table_DataQualities[],9,FALSE)</f>
        <v>2.4500000000000002</v>
      </c>
    </row>
    <row r="1310" spans="1:13" x14ac:dyDescent="0.45">
      <c r="A1310" s="10">
        <v>350</v>
      </c>
      <c r="B1310" s="10">
        <v>251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2133.56952</v>
      </c>
      <c r="G1310" s="12">
        <f ca="1">(RANDBETWEEN(50,100)/100)*(dict_DQ_Meth_max[[#This Row],[Vergleich_ub]]-dict_DQ_Meth_max[[#This Row],[Vergleich_lb]])+dict_DQ_Meth_max[[#This Row],[Vergleich_lb]]</f>
        <v>4642.8607199999997</v>
      </c>
      <c r="H1310" s="11" t="str">
        <f ca="1">VLOOKUP(VLOOKUP(dict_DQ_Meth_max[[#This Row],[ID_DataQualities]],table_DataQualities[],3),table_Units[],2)</f>
        <v>Hz</v>
      </c>
      <c r="I1310" s="10"/>
      <c r="J1310" s="10"/>
      <c r="K1310" s="10"/>
      <c r="L1310" s="10">
        <f ca="1">VLOOKUP(dict_DQ_Meth_max[[#This Row],[ID_DataQualities]],table_DataQualities[],8,FALSE)</f>
        <v>0.67200000000000004</v>
      </c>
      <c r="M1310" s="10">
        <f ca="1">VLOOKUP(dict_DQ_Meth_max[[#This Row],[ID_DataQualities]],table_DataQualities[],9,FALSE)</f>
        <v>6273.9</v>
      </c>
    </row>
    <row r="1311" spans="1:13" x14ac:dyDescent="0.45">
      <c r="A1311" s="10">
        <v>350</v>
      </c>
      <c r="B1311" s="10">
        <v>419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2008.1049600000001</v>
      </c>
      <c r="G1311" s="12">
        <f ca="1">(RANDBETWEEN(50,100)/100)*(dict_DQ_Meth_max[[#This Row],[Vergleich_ub]]-dict_DQ_Meth_max[[#This Row],[Vergleich_lb]])+dict_DQ_Meth_max[[#This Row],[Vergleich_lb]]</f>
        <v>3450.9474000000005</v>
      </c>
      <c r="H1311" s="11" t="str">
        <f ca="1">VLOOKUP(VLOOKUP(dict_DQ_Meth_max[[#This Row],[ID_DataQualities]],table_DataQualities[],3),table_Units[],2)</f>
        <v>Hz</v>
      </c>
      <c r="I1311" s="10"/>
      <c r="J1311" s="10"/>
      <c r="K1311" s="10"/>
      <c r="L1311" s="10">
        <f ca="1">VLOOKUP(dict_DQ_Meth_max[[#This Row],[ID_DataQualities]],table_DataQualities[],8,FALSE)</f>
        <v>0.67200000000000004</v>
      </c>
      <c r="M1311" s="10">
        <f ca="1">VLOOKUP(dict_DQ_Meth_max[[#This Row],[ID_DataQualities]],table_DataQualities[],9,FALSE)</f>
        <v>6273.9</v>
      </c>
    </row>
    <row r="1312" spans="1:13" x14ac:dyDescent="0.45">
      <c r="A1312" s="10">
        <v>350</v>
      </c>
      <c r="B1312" s="10">
        <v>202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1380.78216</v>
      </c>
      <c r="G1312" s="12">
        <f ca="1">(RANDBETWEEN(50,100)/100)*(dict_DQ_Meth_max[[#This Row],[Vergleich_ub]]-dict_DQ_Meth_max[[#This Row],[Vergleich_lb]])+dict_DQ_Meth_max[[#This Row],[Vergleich_lb]]</f>
        <v>5144.7189599999992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0.67200000000000004</v>
      </c>
      <c r="M1312" s="10">
        <f ca="1">VLOOKUP(dict_DQ_Meth_max[[#This Row],[ID_DataQualities]],table_DataQualities[],9,FALSE)</f>
        <v>6273.9</v>
      </c>
    </row>
    <row r="1313" spans="1:13" x14ac:dyDescent="0.45">
      <c r="A1313" s="10">
        <v>351</v>
      </c>
      <c r="B1313" s="10">
        <v>251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2.3246399999999996</v>
      </c>
      <c r="G1313" s="12">
        <f ca="1">(RANDBETWEEN(50,100)/100)*(dict_DQ_Meth_max[[#This Row],[Vergleich_ub]]-dict_DQ_Meth_max[[#This Row],[Vergleich_lb]])+dict_DQ_Meth_max[[#This Row],[Vergleich_lb]]</f>
        <v>4.0813600000000001</v>
      </c>
      <c r="H1313" s="11" t="str">
        <f ca="1">VLOOKUP(VLOOKUP(dict_DQ_Meth_max[[#This Row],[ID_DataQualities]],table_DataQualities[],3),table_Units[],2)</f>
        <v>+/- W</v>
      </c>
      <c r="I1313" s="10"/>
      <c r="J1313" s="10"/>
      <c r="K1313" s="10"/>
      <c r="L1313" s="10">
        <f ca="1">VLOOKUP(dict_DQ_Meth_max[[#This Row],[ID_DataQualities]],table_DataQualities[],8,FALSE)</f>
        <v>6.6000000000000003E-2</v>
      </c>
      <c r="M1313" s="10">
        <f ca="1">VLOOKUP(dict_DQ_Meth_max[[#This Row],[ID_DataQualities]],table_DataQualities[],9,FALSE)</f>
        <v>6.34</v>
      </c>
    </row>
    <row r="1314" spans="1:13" x14ac:dyDescent="0.45">
      <c r="A1314" s="10">
        <v>351</v>
      </c>
      <c r="B1314" s="10">
        <v>202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2.5128599999999999</v>
      </c>
      <c r="G1314" s="12">
        <f ca="1">(RANDBETWEEN(50,100)/100)*(dict_DQ_Meth_max[[#This Row],[Vergleich_ub]]-dict_DQ_Meth_max[[#This Row],[Vergleich_lb]])+dict_DQ_Meth_max[[#This Row],[Vergleich_lb]]</f>
        <v>3.6421799999999998</v>
      </c>
      <c r="H1314" s="11" t="str">
        <f ca="1">VLOOKUP(VLOOKUP(dict_DQ_Meth_max[[#This Row],[ID_DataQualities]],table_DataQualities[],3),table_Units[],2)</f>
        <v>+/- W</v>
      </c>
      <c r="I1314" s="10"/>
      <c r="J1314" s="10"/>
      <c r="K1314" s="10"/>
      <c r="L1314" s="10">
        <f ca="1">VLOOKUP(dict_DQ_Meth_max[[#This Row],[ID_DataQualities]],table_DataQualities[],8,FALSE)</f>
        <v>6.6000000000000003E-2</v>
      </c>
      <c r="M1314" s="10">
        <f ca="1">VLOOKUP(dict_DQ_Meth_max[[#This Row],[ID_DataQualities]],table_DataQualities[],9,FALSE)</f>
        <v>6.34</v>
      </c>
    </row>
    <row r="1315" spans="1:13" x14ac:dyDescent="0.45">
      <c r="A1315" s="10">
        <v>351</v>
      </c>
      <c r="B1315" s="10">
        <v>419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2.0109399999999997</v>
      </c>
      <c r="G1315" s="12">
        <f ca="1">(RANDBETWEEN(50,100)/100)*(dict_DQ_Meth_max[[#This Row],[Vergleich_ub]]-dict_DQ_Meth_max[[#This Row],[Vergleich_lb]])+dict_DQ_Meth_max[[#This Row],[Vergleich_lb]]</f>
        <v>5.9008200000000004</v>
      </c>
      <c r="H1315" s="11" t="str">
        <f ca="1">VLOOKUP(VLOOKUP(dict_DQ_Meth_max[[#This Row],[ID_DataQualities]],table_DataQualities[],3),table_Units[],2)</f>
        <v>+/- W</v>
      </c>
      <c r="I1315" s="10"/>
      <c r="J1315" s="10"/>
      <c r="K1315" s="10"/>
      <c r="L1315" s="10">
        <f ca="1">VLOOKUP(dict_DQ_Meth_max[[#This Row],[ID_DataQualities]],table_DataQualities[],8,FALSE)</f>
        <v>6.6000000000000003E-2</v>
      </c>
      <c r="M1315" s="10">
        <f ca="1">VLOOKUP(dict_DQ_Meth_max[[#This Row],[ID_DataQualities]],table_DataQualities[],9,FALSE)</f>
        <v>6.34</v>
      </c>
    </row>
    <row r="1316" spans="1:13" x14ac:dyDescent="0.45">
      <c r="A1316" s="10">
        <v>352</v>
      </c>
      <c r="B1316" s="10">
        <v>221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576.67282</v>
      </c>
      <c r="G1316" s="12">
        <f ca="1">(RANDBETWEEN(50,100)/100)*(dict_DQ_Meth_max[[#This Row],[Vergleich_ub]]-dict_DQ_Meth_max[[#This Row],[Vergleich_lb]])+dict_DQ_Meth_max[[#This Row],[Vergleich_lb]]</f>
        <v>1196.9587799999999</v>
      </c>
      <c r="H1316" s="11" t="str">
        <f ca="1">VLOOKUP(VLOOKUP(dict_DQ_Meth_max[[#This Row],[ID_DataQualities]],table_DataQualities[],3),table_Units[],2)</f>
        <v>Hz</v>
      </c>
      <c r="I1316" s="10"/>
      <c r="J1316" s="10"/>
      <c r="K1316" s="10"/>
      <c r="L1316" s="10">
        <f ca="1">VLOOKUP(dict_DQ_Meth_max[[#This Row],[ID_DataQualities]],table_DataQualities[],8,FALSE)</f>
        <v>0.69299999999999995</v>
      </c>
      <c r="M1316" s="10">
        <f ca="1">VLOOKUP(dict_DQ_Meth_max[[#This Row],[ID_DataQualities]],table_DataQualities[],9,FALSE)</f>
        <v>2216</v>
      </c>
    </row>
    <row r="1317" spans="1:13" x14ac:dyDescent="0.45">
      <c r="A1317" s="10">
        <v>352</v>
      </c>
      <c r="B1317" s="10">
        <v>446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687.4381699999999</v>
      </c>
      <c r="G1317" s="12">
        <f ca="1">(RANDBETWEEN(50,100)/100)*(dict_DQ_Meth_max[[#This Row],[Vergleich_ub]]-dict_DQ_Meth_max[[#This Row],[Vergleich_lb]])+dict_DQ_Meth_max[[#This Row],[Vergleich_lb]]</f>
        <v>1684.3263199999999</v>
      </c>
      <c r="H1317" s="11" t="str">
        <f ca="1">VLOOKUP(VLOOKUP(dict_DQ_Meth_max[[#This Row],[ID_DataQualities]],table_DataQualities[],3),table_Units[],2)</f>
        <v>Hz</v>
      </c>
      <c r="I1317" s="10"/>
      <c r="J1317" s="10"/>
      <c r="K1317" s="10"/>
      <c r="L1317" s="10">
        <f ca="1">VLOOKUP(dict_DQ_Meth_max[[#This Row],[ID_DataQualities]],table_DataQualities[],8,FALSE)</f>
        <v>0.69299999999999995</v>
      </c>
      <c r="M1317" s="10">
        <f ca="1">VLOOKUP(dict_DQ_Meth_max[[#This Row],[ID_DataQualities]],table_DataQualities[],9,FALSE)</f>
        <v>2216</v>
      </c>
    </row>
    <row r="1318" spans="1:13" x14ac:dyDescent="0.45">
      <c r="A1318" s="10">
        <v>352</v>
      </c>
      <c r="B1318" s="10">
        <v>515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44.999139999999997</v>
      </c>
      <c r="G1318" s="12">
        <f ca="1">(RANDBETWEEN(50,100)/100)*(dict_DQ_Meth_max[[#This Row],[Vergleich_ub]]-dict_DQ_Meth_max[[#This Row],[Vergleich_lb]])+dict_DQ_Meth_max[[#This Row],[Vergleich_lb]]</f>
        <v>2016.6223699999998</v>
      </c>
      <c r="H1318" s="11" t="str">
        <f ca="1">VLOOKUP(VLOOKUP(dict_DQ_Meth_max[[#This Row],[ID_DataQualities]],table_DataQualities[],3),table_Units[],2)</f>
        <v>Hz</v>
      </c>
      <c r="I1318" s="10"/>
      <c r="J1318" s="10"/>
      <c r="K1318" s="10"/>
      <c r="L1318" s="10">
        <f ca="1">VLOOKUP(dict_DQ_Meth_max[[#This Row],[ID_DataQualities]],table_DataQualities[],8,FALSE)</f>
        <v>0.69299999999999995</v>
      </c>
      <c r="M1318" s="10">
        <f ca="1">VLOOKUP(dict_DQ_Meth_max[[#This Row],[ID_DataQualities]],table_DataQualities[],9,FALSE)</f>
        <v>2216</v>
      </c>
    </row>
    <row r="1319" spans="1:13" x14ac:dyDescent="0.45">
      <c r="A1319" s="10">
        <v>352</v>
      </c>
      <c r="B1319" s="10">
        <v>328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399.44825999999995</v>
      </c>
      <c r="G1319" s="12">
        <f ca="1">(RANDBETWEEN(50,100)/100)*(dict_DQ_Meth_max[[#This Row],[Vergleich_ub]]-dict_DQ_Meth_max[[#This Row],[Vergleich_lb]])+dict_DQ_Meth_max[[#This Row],[Vergleich_lb]]</f>
        <v>2216</v>
      </c>
      <c r="H1319" s="11" t="str">
        <f ca="1">VLOOKUP(VLOOKUP(dict_DQ_Meth_max[[#This Row],[ID_DataQualities]],table_DataQualities[],3),table_Units[],2)</f>
        <v>Hz</v>
      </c>
      <c r="I1319" s="10"/>
      <c r="J1319" s="10"/>
      <c r="K1319" s="10"/>
      <c r="L1319" s="10">
        <f ca="1">VLOOKUP(dict_DQ_Meth_max[[#This Row],[ID_DataQualities]],table_DataQualities[],8,FALSE)</f>
        <v>0.69299999999999995</v>
      </c>
      <c r="M1319" s="10">
        <f ca="1">VLOOKUP(dict_DQ_Meth_max[[#This Row],[ID_DataQualities]],table_DataQualities[],9,FALSE)</f>
        <v>2216</v>
      </c>
    </row>
    <row r="1320" spans="1:13" x14ac:dyDescent="0.45">
      <c r="A1320" s="10">
        <v>353</v>
      </c>
      <c r="B1320" s="10">
        <v>446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1.9692000000000001</v>
      </c>
      <c r="G1320" s="12">
        <f ca="1">(RANDBETWEEN(50,100)/100)*(dict_DQ_Meth_max[[#This Row],[Vergleich_ub]]-dict_DQ_Meth_max[[#This Row],[Vergleich_lb]])+dict_DQ_Meth_max[[#This Row],[Vergleich_lb]]</f>
        <v>7.3020000000000005</v>
      </c>
      <c r="H1320" s="11" t="str">
        <f ca="1">VLOOKUP(VLOOKUP(dict_DQ_Meth_max[[#This Row],[ID_DataQualities]],table_DataQualities[],3),table_Units[],2)</f>
        <v>+/- mm</v>
      </c>
      <c r="I1320" s="10"/>
      <c r="J1320" s="10"/>
      <c r="K1320" s="10"/>
      <c r="L1320" s="10">
        <f ca="1">VLOOKUP(dict_DQ_Meth_max[[#This Row],[ID_DataQualities]],table_DataQualities[],8,FALSE)</f>
        <v>0.03</v>
      </c>
      <c r="M1320" s="10">
        <f ca="1">VLOOKUP(dict_DQ_Meth_max[[#This Row],[ID_DataQualities]],table_DataQualities[],9,FALSE)</f>
        <v>8.11</v>
      </c>
    </row>
    <row r="1321" spans="1:13" x14ac:dyDescent="0.45">
      <c r="A1321" s="10">
        <v>353</v>
      </c>
      <c r="B1321" s="10">
        <v>221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1.9692000000000001</v>
      </c>
      <c r="G1321" s="12">
        <f ca="1">(RANDBETWEEN(50,100)/100)*(dict_DQ_Meth_max[[#This Row],[Vergleich_ub]]-dict_DQ_Meth_max[[#This Row],[Vergleich_lb]])+dict_DQ_Meth_max[[#This Row],[Vergleich_lb]]</f>
        <v>5.5244000000000009</v>
      </c>
      <c r="H1321" s="11" t="str">
        <f ca="1">VLOOKUP(VLOOKUP(dict_DQ_Meth_max[[#This Row],[ID_DataQualities]],table_DataQualities[],3),table_Units[],2)</f>
        <v>+/- mm</v>
      </c>
      <c r="I1321" s="10"/>
      <c r="J1321" s="10"/>
      <c r="K1321" s="10"/>
      <c r="L1321" s="10">
        <f ca="1">VLOOKUP(dict_DQ_Meth_max[[#This Row],[ID_DataQualities]],table_DataQualities[],8,FALSE)</f>
        <v>0.03</v>
      </c>
      <c r="M1321" s="10">
        <f ca="1">VLOOKUP(dict_DQ_Meth_max[[#This Row],[ID_DataQualities]],table_DataQualities[],9,FALSE)</f>
        <v>8.11</v>
      </c>
    </row>
    <row r="1322" spans="1:13" x14ac:dyDescent="0.45">
      <c r="A1322" s="10">
        <v>353</v>
      </c>
      <c r="B1322" s="10">
        <v>328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2.0499999999999998</v>
      </c>
      <c r="G1322" s="12">
        <f ca="1">(RANDBETWEEN(50,100)/100)*(dict_DQ_Meth_max[[#This Row],[Vergleich_ub]]-dict_DQ_Meth_max[[#This Row],[Vergleich_lb]])+dict_DQ_Meth_max[[#This Row],[Vergleich_lb]]</f>
        <v>5.6859999999999999</v>
      </c>
      <c r="H1322" s="11" t="str">
        <f ca="1">VLOOKUP(VLOOKUP(dict_DQ_Meth_max[[#This Row],[ID_DataQualities]],table_DataQualities[],3),table_Units[],2)</f>
        <v>+/- mm</v>
      </c>
      <c r="I1322" s="10"/>
      <c r="J1322" s="10"/>
      <c r="K1322" s="10"/>
      <c r="L1322" s="10">
        <f ca="1">VLOOKUP(dict_DQ_Meth_max[[#This Row],[ID_DataQualities]],table_DataQualities[],8,FALSE)</f>
        <v>0.03</v>
      </c>
      <c r="M1322" s="10">
        <f ca="1">VLOOKUP(dict_DQ_Meth_max[[#This Row],[ID_DataQualities]],table_DataQualities[],9,FALSE)</f>
        <v>8.11</v>
      </c>
    </row>
    <row r="1323" spans="1:13" x14ac:dyDescent="0.45">
      <c r="A1323" s="10">
        <v>353</v>
      </c>
      <c r="B1323" s="10">
        <v>515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2.0499999999999998</v>
      </c>
      <c r="G1323" s="12">
        <f ca="1">(RANDBETWEEN(50,100)/100)*(dict_DQ_Meth_max[[#This Row],[Vergleich_ub]]-dict_DQ_Meth_max[[#This Row],[Vergleich_lb]])+dict_DQ_Meth_max[[#This Row],[Vergleich_lb]]</f>
        <v>5.4436000000000009</v>
      </c>
      <c r="H1323" s="11" t="str">
        <f ca="1">VLOOKUP(VLOOKUP(dict_DQ_Meth_max[[#This Row],[ID_DataQualities]],table_DataQualities[],3),table_Units[],2)</f>
        <v>+/- mm</v>
      </c>
      <c r="I1323" s="10"/>
      <c r="J1323" s="10"/>
      <c r="K1323" s="10"/>
      <c r="L1323" s="10">
        <f ca="1">VLOOKUP(dict_DQ_Meth_max[[#This Row],[ID_DataQualities]],table_DataQualities[],8,FALSE)</f>
        <v>0.03</v>
      </c>
      <c r="M1323" s="10">
        <f ca="1">VLOOKUP(dict_DQ_Meth_max[[#This Row],[ID_DataQualities]],table_DataQualities[],9,FALSE)</f>
        <v>8.11</v>
      </c>
    </row>
    <row r="1324" spans="1:13" x14ac:dyDescent="0.45">
      <c r="A1324" s="10">
        <v>354</v>
      </c>
      <c r="B1324" s="10">
        <v>529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3354.4712099999997</v>
      </c>
      <c r="G1324" s="12">
        <f ca="1">(RANDBETWEEN(50,100)/100)*(dict_DQ_Meth_max[[#This Row],[Vergleich_ub]]-dict_DQ_Meth_max[[#This Row],[Vergleich_lb]])+dict_DQ_Meth_max[[#This Row],[Vergleich_lb]]</f>
        <v>7912.7568799999999</v>
      </c>
      <c r="H1324" s="11" t="str">
        <f ca="1">VLOOKUP(VLOOKUP(dict_DQ_Meth_max[[#This Row],[ID_DataQualities]],table_DataQualities[],3),table_Units[],2)</f>
        <v>Hz</v>
      </c>
      <c r="I1324" s="10"/>
      <c r="J1324" s="10"/>
      <c r="K1324" s="10"/>
      <c r="L1324" s="10">
        <f ca="1">VLOOKUP(dict_DQ_Meth_max[[#This Row],[ID_DataQualities]],table_DataQualities[],8,FALSE)</f>
        <v>0.26100000000000001</v>
      </c>
      <c r="M1324" s="10">
        <f ca="1">VLOOKUP(dict_DQ_Meth_max[[#This Row],[ID_DataQualities]],table_DataQualities[],9,FALSE)</f>
        <v>8600.7999999999993</v>
      </c>
    </row>
    <row r="1325" spans="1:13" x14ac:dyDescent="0.45">
      <c r="A1325" s="10">
        <v>354</v>
      </c>
      <c r="B1325" s="10">
        <v>677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774.30950999999982</v>
      </c>
      <c r="G1325" s="12">
        <f ca="1">(RANDBETWEEN(50,100)/100)*(dict_DQ_Meth_max[[#This Row],[Vergleich_ub]]-dict_DQ_Meth_max[[#This Row],[Vergleich_lb]])+dict_DQ_Meth_max[[#This Row],[Vergleich_lb]]</f>
        <v>5848.62752</v>
      </c>
      <c r="H1325" s="11" t="str">
        <f ca="1">VLOOKUP(VLOOKUP(dict_DQ_Meth_max[[#This Row],[ID_DataQualities]],table_DataQualities[],3),table_Units[],2)</f>
        <v>Hz</v>
      </c>
      <c r="I1325" s="10"/>
      <c r="J1325" s="10"/>
      <c r="K1325" s="10"/>
      <c r="L1325" s="10">
        <f ca="1">VLOOKUP(dict_DQ_Meth_max[[#This Row],[ID_DataQualities]],table_DataQualities[],8,FALSE)</f>
        <v>0.26100000000000001</v>
      </c>
      <c r="M1325" s="10">
        <f ca="1">VLOOKUP(dict_DQ_Meth_max[[#This Row],[ID_DataQualities]],table_DataQualities[],9,FALSE)</f>
        <v>8600.7999999999993</v>
      </c>
    </row>
    <row r="1326" spans="1:13" x14ac:dyDescent="0.45">
      <c r="A1326" s="10">
        <v>354</v>
      </c>
      <c r="B1326" s="10">
        <v>319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1032.3256799999997</v>
      </c>
      <c r="G1326" s="12">
        <f ca="1">(RANDBETWEEN(50,100)/100)*(dict_DQ_Meth_max[[#This Row],[Vergleich_ub]]-dict_DQ_Meth_max[[#This Row],[Vergleich_lb]])+dict_DQ_Meth_max[[#This Row],[Vergleich_lb]]</f>
        <v>6192.6490799999992</v>
      </c>
      <c r="H1326" s="11" t="str">
        <f ca="1">VLOOKUP(VLOOKUP(dict_DQ_Meth_max[[#This Row],[ID_DataQualities]],table_DataQualities[],3),table_Units[],2)</f>
        <v>Hz</v>
      </c>
      <c r="I1326" s="10"/>
      <c r="J1326" s="10"/>
      <c r="K1326" s="10"/>
      <c r="L1326" s="10">
        <f ca="1">VLOOKUP(dict_DQ_Meth_max[[#This Row],[ID_DataQualities]],table_DataQualities[],8,FALSE)</f>
        <v>0.26100000000000001</v>
      </c>
      <c r="M1326" s="10">
        <f ca="1">VLOOKUP(dict_DQ_Meth_max[[#This Row],[ID_DataQualities]],table_DataQualities[],9,FALSE)</f>
        <v>8600.7999999999993</v>
      </c>
    </row>
    <row r="1327" spans="1:13" x14ac:dyDescent="0.45">
      <c r="A1327" s="10">
        <v>355</v>
      </c>
      <c r="B1327" s="10">
        <v>529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1.2120000000000002</v>
      </c>
      <c r="G1327" s="12">
        <f ca="1">(RANDBETWEEN(50,100)/100)*(dict_DQ_Meth_max[[#This Row],[Vergleich_ub]]-dict_DQ_Meth_max[[#This Row],[Vergleich_lb]])+dict_DQ_Meth_max[[#This Row],[Vergleich_lb]]</f>
        <v>9.6</v>
      </c>
      <c r="H1327" s="11" t="str">
        <f ca="1">VLOOKUP(VLOOKUP(dict_DQ_Meth_max[[#This Row],[ID_DataQualities]],table_DataQualities[],3),table_Units[],2)</f>
        <v>+/- mm/s</v>
      </c>
      <c r="I1327" s="10"/>
      <c r="J1327" s="10"/>
      <c r="K1327" s="10"/>
      <c r="L1327" s="10">
        <f ca="1">VLOOKUP(dict_DQ_Meth_max[[#This Row],[ID_DataQualities]],table_DataQualities[],8,FALSE)</f>
        <v>0.28000000000000003</v>
      </c>
      <c r="M1327" s="10">
        <f ca="1">VLOOKUP(dict_DQ_Meth_max[[#This Row],[ID_DataQualities]],table_DataQualities[],9,FALSE)</f>
        <v>9.6</v>
      </c>
    </row>
    <row r="1328" spans="1:13" x14ac:dyDescent="0.45">
      <c r="A1328" s="10">
        <v>355</v>
      </c>
      <c r="B1328" s="10">
        <v>677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4.3808000000000007</v>
      </c>
      <c r="G1328" s="12">
        <f ca="1">(RANDBETWEEN(50,100)/100)*(dict_DQ_Meth_max[[#This Row],[Vergleich_ub]]-dict_DQ_Meth_max[[#This Row],[Vergleich_lb]])+dict_DQ_Meth_max[[#This Row],[Vergleich_lb]]</f>
        <v>6.8040000000000003</v>
      </c>
      <c r="H1328" s="11" t="str">
        <f ca="1">VLOOKUP(VLOOKUP(dict_DQ_Meth_max[[#This Row],[ID_DataQualities]],table_DataQualities[],3),table_Units[],2)</f>
        <v>+/- mm/s</v>
      </c>
      <c r="I1328" s="10"/>
      <c r="J1328" s="10"/>
      <c r="K1328" s="10"/>
      <c r="L1328" s="10">
        <f ca="1">VLOOKUP(dict_DQ_Meth_max[[#This Row],[ID_DataQualities]],table_DataQualities[],8,FALSE)</f>
        <v>0.28000000000000003</v>
      </c>
      <c r="M1328" s="10">
        <f ca="1">VLOOKUP(dict_DQ_Meth_max[[#This Row],[ID_DataQualities]],table_DataQualities[],9,FALSE)</f>
        <v>9.6</v>
      </c>
    </row>
    <row r="1329" spans="1:13" x14ac:dyDescent="0.45">
      <c r="A1329" s="10">
        <v>355</v>
      </c>
      <c r="B1329" s="10">
        <v>319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3.0759999999999996</v>
      </c>
      <c r="G1329" s="12">
        <f ca="1">(RANDBETWEEN(50,100)/100)*(dict_DQ_Meth_max[[#This Row],[Vergleich_ub]]-dict_DQ_Meth_max[[#This Row],[Vergleich_lb]])+dict_DQ_Meth_max[[#This Row],[Vergleich_lb]]</f>
        <v>5.0332000000000008</v>
      </c>
      <c r="H1329" s="11" t="str">
        <f ca="1">VLOOKUP(VLOOKUP(dict_DQ_Meth_max[[#This Row],[ID_DataQualities]],table_DataQualities[],3),table_Units[],2)</f>
        <v>+/- mm/s</v>
      </c>
      <c r="I1329" s="10"/>
      <c r="J1329" s="10"/>
      <c r="K1329" s="10"/>
      <c r="L1329" s="10">
        <f ca="1">VLOOKUP(dict_DQ_Meth_max[[#This Row],[ID_DataQualities]],table_DataQualities[],8,FALSE)</f>
        <v>0.28000000000000003</v>
      </c>
      <c r="M1329" s="10">
        <f ca="1">VLOOKUP(dict_DQ_Meth_max[[#This Row],[ID_DataQualities]],table_DataQualities[],9,FALSE)</f>
        <v>9.6</v>
      </c>
    </row>
    <row r="1330" spans="1:13" x14ac:dyDescent="0.45">
      <c r="A1330" s="10">
        <v>356</v>
      </c>
      <c r="B1330" s="10">
        <v>350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1887.0293499999996</v>
      </c>
      <c r="G1330" s="12">
        <f ca="1">(RANDBETWEEN(50,100)/100)*(dict_DQ_Meth_max[[#This Row],[Vergleich_ub]]-dict_DQ_Meth_max[[#This Row],[Vergleich_lb]])+dict_DQ_Meth_max[[#This Row],[Vergleich_lb]]</f>
        <v>3827.3577099999998</v>
      </c>
      <c r="H1330" s="11" t="str">
        <f ca="1">VLOOKUP(VLOOKUP(dict_DQ_Meth_max[[#This Row],[ID_DataQualities]],table_DataQualities[],3),table_Units[],2)</f>
        <v>Hz</v>
      </c>
      <c r="I1330" s="10"/>
      <c r="J1330" s="10"/>
      <c r="K1330" s="10"/>
      <c r="L1330" s="10">
        <f ca="1">VLOOKUP(dict_DQ_Meth_max[[#This Row],[ID_DataQualities]],table_DataQualities[],8,FALSE)</f>
        <v>0.59899999999999998</v>
      </c>
      <c r="M1330" s="10">
        <f ca="1">VLOOKUP(dict_DQ_Meth_max[[#This Row],[ID_DataQualities]],table_DataQualities[],9,FALSE)</f>
        <v>5390.4</v>
      </c>
    </row>
    <row r="1331" spans="1:13" x14ac:dyDescent="0.45">
      <c r="A1331" s="10">
        <v>356</v>
      </c>
      <c r="B1331" s="10">
        <v>173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2048.7233799999999</v>
      </c>
      <c r="G1331" s="12">
        <f ca="1">(RANDBETWEEN(50,100)/100)*(dict_DQ_Meth_max[[#This Row],[Vergleich_ub]]-dict_DQ_Meth_max[[#This Row],[Vergleich_lb]])+dict_DQ_Meth_max[[#This Row],[Vergleich_lb]]</f>
        <v>3557.8676599999999</v>
      </c>
      <c r="H1331" s="11" t="str">
        <f ca="1">VLOOKUP(VLOOKUP(dict_DQ_Meth_max[[#This Row],[ID_DataQualities]],table_DataQualities[],3),table_Units[],2)</f>
        <v>Hz</v>
      </c>
      <c r="I1331" s="10"/>
      <c r="J1331" s="10"/>
      <c r="K1331" s="10"/>
      <c r="L1331" s="10">
        <f ca="1">VLOOKUP(dict_DQ_Meth_max[[#This Row],[ID_DataQualities]],table_DataQualities[],8,FALSE)</f>
        <v>0.59899999999999998</v>
      </c>
      <c r="M1331" s="10">
        <f ca="1">VLOOKUP(dict_DQ_Meth_max[[#This Row],[ID_DataQualities]],table_DataQualities[],9,FALSE)</f>
        <v>5390.4</v>
      </c>
    </row>
    <row r="1332" spans="1:13" x14ac:dyDescent="0.45">
      <c r="A1332" s="10">
        <v>356</v>
      </c>
      <c r="B1332" s="10">
        <v>433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862.96716000000004</v>
      </c>
      <c r="G1332" s="12">
        <f ca="1">(RANDBETWEEN(50,100)/100)*(dict_DQ_Meth_max[[#This Row],[Vergleich_ub]]-dict_DQ_Meth_max[[#This Row],[Vergleich_lb]])+dict_DQ_Meth_max[[#This Row],[Vergleich_lb]]</f>
        <v>3450.0716400000001</v>
      </c>
      <c r="H1332" s="11" t="str">
        <f ca="1">VLOOKUP(VLOOKUP(dict_DQ_Meth_max[[#This Row],[ID_DataQualities]],table_DataQualities[],3),table_Units[],2)</f>
        <v>Hz</v>
      </c>
      <c r="I1332" s="10"/>
      <c r="J1332" s="10"/>
      <c r="K1332" s="10"/>
      <c r="L1332" s="10">
        <f ca="1">VLOOKUP(dict_DQ_Meth_max[[#This Row],[ID_DataQualities]],table_DataQualities[],8,FALSE)</f>
        <v>0.59899999999999998</v>
      </c>
      <c r="M1332" s="10">
        <f ca="1">VLOOKUP(dict_DQ_Meth_max[[#This Row],[ID_DataQualities]],table_DataQualities[],9,FALSE)</f>
        <v>5390.4</v>
      </c>
    </row>
    <row r="1333" spans="1:13" x14ac:dyDescent="0.45">
      <c r="A1333" s="10">
        <v>356</v>
      </c>
      <c r="B1333" s="10">
        <v>94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539.57910000000004</v>
      </c>
      <c r="G1333" s="12">
        <f ca="1">(RANDBETWEEN(50,100)/100)*(dict_DQ_Meth_max[[#This Row],[Vergleich_ub]]-dict_DQ_Meth_max[[#This Row],[Vergleich_lb]])+dict_DQ_Meth_max[[#This Row],[Vergleich_lb]]</f>
        <v>4366.33781</v>
      </c>
      <c r="H1333" s="11" t="str">
        <f ca="1">VLOOKUP(VLOOKUP(dict_DQ_Meth_max[[#This Row],[ID_DataQualities]],table_DataQualities[],3),table_Units[],2)</f>
        <v>Hz</v>
      </c>
      <c r="I1333" s="10"/>
      <c r="J1333" s="10"/>
      <c r="K1333" s="10"/>
      <c r="L1333" s="10">
        <f ca="1">VLOOKUP(dict_DQ_Meth_max[[#This Row],[ID_DataQualities]],table_DataQualities[],8,FALSE)</f>
        <v>0.59899999999999998</v>
      </c>
      <c r="M1333" s="10">
        <f ca="1">VLOOKUP(dict_DQ_Meth_max[[#This Row],[ID_DataQualities]],table_DataQualities[],9,FALSE)</f>
        <v>5390.4</v>
      </c>
    </row>
    <row r="1334" spans="1:13" x14ac:dyDescent="0.45">
      <c r="A1334" s="10">
        <v>356</v>
      </c>
      <c r="B1334" s="10">
        <v>632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1186.3552199999999</v>
      </c>
      <c r="G1334" s="12">
        <f ca="1">(RANDBETWEEN(50,100)/100)*(dict_DQ_Meth_max[[#This Row],[Vergleich_ub]]-dict_DQ_Meth_max[[#This Row],[Vergleich_lb]])+dict_DQ_Meth_max[[#This Row],[Vergleich_lb]]</f>
        <v>4528.0318399999996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0.59899999999999998</v>
      </c>
      <c r="M1334" s="10">
        <f ca="1">VLOOKUP(dict_DQ_Meth_max[[#This Row],[ID_DataQualities]],table_DataQualities[],9,FALSE)</f>
        <v>5390.4</v>
      </c>
    </row>
    <row r="1335" spans="1:13" x14ac:dyDescent="0.45">
      <c r="A1335" s="10">
        <v>356</v>
      </c>
      <c r="B1335" s="10">
        <v>92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2318.2134299999998</v>
      </c>
      <c r="G1335" s="12">
        <f ca="1">(RANDBETWEEN(50,100)/100)*(dict_DQ_Meth_max[[#This Row],[Vergleich_ub]]-dict_DQ_Meth_max[[#This Row],[Vergleich_lb]])+dict_DQ_Meth_max[[#This Row],[Vergleich_lb]]</f>
        <v>4959.2159199999996</v>
      </c>
      <c r="H1335" s="11" t="str">
        <f ca="1">VLOOKUP(VLOOKUP(dict_DQ_Meth_max[[#This Row],[ID_DataQualities]],table_DataQualities[],3),table_Units[],2)</f>
        <v>Hz</v>
      </c>
      <c r="I1335" s="10"/>
      <c r="J1335" s="10"/>
      <c r="K1335" s="10"/>
      <c r="L1335" s="10">
        <f ca="1">VLOOKUP(dict_DQ_Meth_max[[#This Row],[ID_DataQualities]],table_DataQualities[],8,FALSE)</f>
        <v>0.59899999999999998</v>
      </c>
      <c r="M1335" s="10">
        <f ca="1">VLOOKUP(dict_DQ_Meth_max[[#This Row],[ID_DataQualities]],table_DataQualities[],9,FALSE)</f>
        <v>5390.4</v>
      </c>
    </row>
    <row r="1336" spans="1:13" x14ac:dyDescent="0.45">
      <c r="A1336" s="10">
        <v>357</v>
      </c>
      <c r="B1336" s="10">
        <v>173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0.10581599999999999</v>
      </c>
      <c r="G1336" s="12">
        <f ca="1">(RANDBETWEEN(50,100)/100)*(dict_DQ_Meth_max[[#This Row],[Vergleich_ub]]-dict_DQ_Meth_max[[#This Row],[Vergleich_lb]])+dict_DQ_Meth_max[[#This Row],[Vergleich_lb]]</f>
        <v>0.50080799999999992</v>
      </c>
      <c r="H1336" s="11" t="str">
        <f ca="1">VLOOKUP(VLOOKUP(dict_DQ_Meth_max[[#This Row],[ID_DataQualities]],table_DataQualities[],3),table_Units[],2)</f>
        <v>+/- cm³/s</v>
      </c>
      <c r="I1336" s="10"/>
      <c r="J1336" s="10"/>
      <c r="K1336" s="10"/>
      <c r="L1336" s="10">
        <f ca="1">VLOOKUP(dict_DQ_Meth_max[[#This Row],[ID_DataQualities]],table_DataQualities[],8,FALSE)</f>
        <v>9.5999999999999992E-3</v>
      </c>
      <c r="M1336" s="10">
        <f ca="1">VLOOKUP(dict_DQ_Meth_max[[#This Row],[ID_DataQualities]],table_DataQualities[],9,FALSE)</f>
        <v>0.51600000000000001</v>
      </c>
    </row>
    <row r="1337" spans="1:13" x14ac:dyDescent="0.45">
      <c r="A1337" s="10">
        <v>357</v>
      </c>
      <c r="B1337" s="10">
        <v>433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0.14632799999999999</v>
      </c>
      <c r="G1337" s="12">
        <f ca="1">(RANDBETWEEN(50,100)/100)*(dict_DQ_Meth_max[[#This Row],[Vergleich_ub]]-dict_DQ_Meth_max[[#This Row],[Vergleich_lb]])+dict_DQ_Meth_max[[#This Row],[Vergleich_lb]]</f>
        <v>0.293184</v>
      </c>
      <c r="H1337" s="11" t="str">
        <f ca="1">VLOOKUP(VLOOKUP(dict_DQ_Meth_max[[#This Row],[ID_DataQualities]],table_DataQualities[],3),table_Units[],2)</f>
        <v>+/- cm³/s</v>
      </c>
      <c r="I1337" s="10"/>
      <c r="J1337" s="10"/>
      <c r="K1337" s="10"/>
      <c r="L1337" s="10">
        <f ca="1">VLOOKUP(dict_DQ_Meth_max[[#This Row],[ID_DataQualities]],table_DataQualities[],8,FALSE)</f>
        <v>9.5999999999999992E-3</v>
      </c>
      <c r="M1337" s="10">
        <f ca="1">VLOOKUP(dict_DQ_Meth_max[[#This Row],[ID_DataQualities]],table_DataQualities[],9,FALSE)</f>
        <v>0.51600000000000001</v>
      </c>
    </row>
    <row r="1338" spans="1:13" x14ac:dyDescent="0.45">
      <c r="A1338" s="10">
        <v>357</v>
      </c>
      <c r="B1338" s="10">
        <v>350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9.0623999999999996E-2</v>
      </c>
      <c r="G1338" s="12">
        <f ca="1">(RANDBETWEEN(50,100)/100)*(dict_DQ_Meth_max[[#This Row],[Vergleich_ub]]-dict_DQ_Meth_max[[#This Row],[Vergleich_lb]])+dict_DQ_Meth_max[[#This Row],[Vergleich_lb]]</f>
        <v>0.272928</v>
      </c>
      <c r="H1338" s="11" t="str">
        <f ca="1">VLOOKUP(VLOOKUP(dict_DQ_Meth_max[[#This Row],[ID_DataQualities]],table_DataQualities[],3),table_Units[],2)</f>
        <v>+/- cm³/s</v>
      </c>
      <c r="I1338" s="10"/>
      <c r="J1338" s="10"/>
      <c r="K1338" s="10"/>
      <c r="L1338" s="10">
        <f ca="1">VLOOKUP(dict_DQ_Meth_max[[#This Row],[ID_DataQualities]],table_DataQualities[],8,FALSE)</f>
        <v>9.5999999999999992E-3</v>
      </c>
      <c r="M1338" s="10">
        <f ca="1">VLOOKUP(dict_DQ_Meth_max[[#This Row],[ID_DataQualities]],table_DataQualities[],9,FALSE)</f>
        <v>0.51600000000000001</v>
      </c>
    </row>
    <row r="1339" spans="1:13" x14ac:dyDescent="0.45">
      <c r="A1339" s="10">
        <v>357</v>
      </c>
      <c r="B1339" s="10">
        <v>632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0.12607199999999999</v>
      </c>
      <c r="G1339" s="12">
        <f ca="1">(RANDBETWEEN(50,100)/100)*(dict_DQ_Meth_max[[#This Row],[Vergleich_ub]]-dict_DQ_Meth_max[[#This Row],[Vergleich_lb]])+dict_DQ_Meth_max[[#This Row],[Vergleich_lb]]</f>
        <v>0.31850399999999995</v>
      </c>
      <c r="H1339" s="11" t="str">
        <f ca="1">VLOOKUP(VLOOKUP(dict_DQ_Meth_max[[#This Row],[ID_DataQualities]],table_DataQualities[],3),table_Units[],2)</f>
        <v>+/- cm³/s</v>
      </c>
      <c r="I1339" s="10"/>
      <c r="J1339" s="10"/>
      <c r="K1339" s="10"/>
      <c r="L1339" s="10">
        <f ca="1">VLOOKUP(dict_DQ_Meth_max[[#This Row],[ID_DataQualities]],table_DataQualities[],8,FALSE)</f>
        <v>9.5999999999999992E-3</v>
      </c>
      <c r="M1339" s="10">
        <f ca="1">VLOOKUP(dict_DQ_Meth_max[[#This Row],[ID_DataQualities]],table_DataQualities[],9,FALSE)</f>
        <v>0.51600000000000001</v>
      </c>
    </row>
    <row r="1340" spans="1:13" x14ac:dyDescent="0.45">
      <c r="A1340" s="10">
        <v>357</v>
      </c>
      <c r="B1340" s="10">
        <v>94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0.151392</v>
      </c>
      <c r="G1340" s="12">
        <f ca="1">(RANDBETWEEN(50,100)/100)*(dict_DQ_Meth_max[[#This Row],[Vergleich_ub]]-dict_DQ_Meth_max[[#This Row],[Vergleich_lb]])+dict_DQ_Meth_max[[#This Row],[Vergleich_lb]]</f>
        <v>0.41978399999999999</v>
      </c>
      <c r="H1340" s="11" t="str">
        <f ca="1">VLOOKUP(VLOOKUP(dict_DQ_Meth_max[[#This Row],[ID_DataQualities]],table_DataQualities[],3),table_Units[],2)</f>
        <v>+/- cm³/s</v>
      </c>
      <c r="I1340" s="10"/>
      <c r="J1340" s="10"/>
      <c r="K1340" s="10"/>
      <c r="L1340" s="10">
        <f ca="1">VLOOKUP(dict_DQ_Meth_max[[#This Row],[ID_DataQualities]],table_DataQualities[],8,FALSE)</f>
        <v>9.5999999999999992E-3</v>
      </c>
      <c r="M1340" s="10">
        <f ca="1">VLOOKUP(dict_DQ_Meth_max[[#This Row],[ID_DataQualities]],table_DataQualities[],9,FALSE)</f>
        <v>0.51600000000000001</v>
      </c>
    </row>
    <row r="1341" spans="1:13" x14ac:dyDescent="0.45">
      <c r="A1341" s="10">
        <v>357</v>
      </c>
      <c r="B1341" s="10">
        <v>92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0.22735199999999997</v>
      </c>
      <c r="G1341" s="12">
        <f ca="1">(RANDBETWEEN(50,100)/100)*(dict_DQ_Meth_max[[#This Row],[Vergleich_ub]]-dict_DQ_Meth_max[[#This Row],[Vergleich_lb]])+dict_DQ_Meth_max[[#This Row],[Vergleich_lb]]</f>
        <v>0.49574399999999996</v>
      </c>
      <c r="H1341" s="11" t="str">
        <f ca="1">VLOOKUP(VLOOKUP(dict_DQ_Meth_max[[#This Row],[ID_DataQualities]],table_DataQualities[],3),table_Units[],2)</f>
        <v>+/- cm³/s</v>
      </c>
      <c r="I1341" s="10"/>
      <c r="J1341" s="10"/>
      <c r="K1341" s="10"/>
      <c r="L1341" s="10">
        <f ca="1">VLOOKUP(dict_DQ_Meth_max[[#This Row],[ID_DataQualities]],table_DataQualities[],8,FALSE)</f>
        <v>9.5999999999999992E-3</v>
      </c>
      <c r="M1341" s="10">
        <f ca="1">VLOOKUP(dict_DQ_Meth_max[[#This Row],[ID_DataQualities]],table_DataQualities[],9,FALSE)</f>
        <v>0.51600000000000001</v>
      </c>
    </row>
    <row r="1342" spans="1:13" x14ac:dyDescent="0.45">
      <c r="A1342" s="10">
        <v>358</v>
      </c>
      <c r="B1342" s="10">
        <v>282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767.06583999999998</v>
      </c>
      <c r="G1342" s="12">
        <f ca="1">(RANDBETWEEN(50,100)/100)*(dict_DQ_Meth_max[[#This Row],[Vergleich_ub]]-dict_DQ_Meth_max[[#This Row],[Vergleich_lb]])+dict_DQ_Meth_max[[#This Row],[Vergleich_lb]]</f>
        <v>2737.4739999999997</v>
      </c>
      <c r="H1342" s="11" t="str">
        <f ca="1">VLOOKUP(VLOOKUP(dict_DQ_Meth_max[[#This Row],[ID_DataQualities]],table_DataQualities[],3),table_Units[],2)</f>
        <v>Hz</v>
      </c>
      <c r="I1342" s="10"/>
      <c r="J1342" s="10"/>
      <c r="K1342" s="10"/>
      <c r="L1342" s="10">
        <f ca="1">VLOOKUP(dict_DQ_Meth_max[[#This Row],[ID_DataQualities]],table_DataQualities[],8,FALSE)</f>
        <v>0.79600000000000004</v>
      </c>
      <c r="M1342" s="10">
        <f ca="1">VLOOKUP(dict_DQ_Meth_max[[#This Row],[ID_DataQualities]],table_DataQualities[],9,FALSE)</f>
        <v>3649.7</v>
      </c>
    </row>
    <row r="1343" spans="1:13" x14ac:dyDescent="0.45">
      <c r="A1343" s="10">
        <v>358</v>
      </c>
      <c r="B1343" s="10">
        <v>193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292.70832000000001</v>
      </c>
      <c r="G1343" s="12">
        <f ca="1">(RANDBETWEEN(50,100)/100)*(dict_DQ_Meth_max[[#This Row],[Vergleich_ub]]-dict_DQ_Meth_max[[#This Row],[Vergleich_lb]])+dict_DQ_Meth_max[[#This Row],[Vergleich_lb]]</f>
        <v>2737.4739999999997</v>
      </c>
      <c r="H1343" s="11" t="str">
        <f ca="1">VLOOKUP(VLOOKUP(dict_DQ_Meth_max[[#This Row],[ID_DataQualities]],table_DataQualities[],3),table_Units[],2)</f>
        <v>Hz</v>
      </c>
      <c r="I1343" s="10"/>
      <c r="J1343" s="10"/>
      <c r="K1343" s="10"/>
      <c r="L1343" s="10">
        <f ca="1">VLOOKUP(dict_DQ_Meth_max[[#This Row],[ID_DataQualities]],table_DataQualities[],8,FALSE)</f>
        <v>0.79600000000000004</v>
      </c>
      <c r="M1343" s="10">
        <f ca="1">VLOOKUP(dict_DQ_Meth_max[[#This Row],[ID_DataQualities]],table_DataQualities[],9,FALSE)</f>
        <v>3649.7</v>
      </c>
    </row>
    <row r="1344" spans="1:13" x14ac:dyDescent="0.45">
      <c r="A1344" s="10">
        <v>359</v>
      </c>
      <c r="B1344" s="10">
        <v>193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6.4750000000000002E-2</v>
      </c>
      <c r="G1344" s="12">
        <f ca="1">(RANDBETWEEN(50,100)/100)*(dict_DQ_Meth_max[[#This Row],[Vergleich_ub]]-dict_DQ_Meth_max[[#This Row],[Vergleich_lb]])+dict_DQ_Meth_max[[#This Row],[Vergleich_lb]]</f>
        <v>0.14349999999999999</v>
      </c>
      <c r="H1344" s="11" t="str">
        <f ca="1">VLOOKUP(VLOOKUP(dict_DQ_Meth_max[[#This Row],[ID_DataQualities]],table_DataQualities[],3),table_Units[],2)</f>
        <v>+/- cm³/s</v>
      </c>
      <c r="I1344" s="10"/>
      <c r="J1344" s="10"/>
      <c r="K1344" s="10"/>
      <c r="L1344" s="10">
        <f ca="1">VLOOKUP(dict_DQ_Meth_max[[#This Row],[ID_DataQualities]],table_DataQualities[],8,FALSE)</f>
        <v>7.0000000000000001E-3</v>
      </c>
      <c r="M1344" s="10">
        <f ca="1">VLOOKUP(dict_DQ_Meth_max[[#This Row],[ID_DataQualities]],table_DataQualities[],9,FALSE)</f>
        <v>0.182</v>
      </c>
    </row>
    <row r="1345" spans="1:13" x14ac:dyDescent="0.45">
      <c r="A1345" s="10">
        <v>359</v>
      </c>
      <c r="B1345" s="10">
        <v>282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4.1999999999999996E-2</v>
      </c>
      <c r="G1345" s="12">
        <f ca="1">(RANDBETWEEN(50,100)/100)*(dict_DQ_Meth_max[[#This Row],[Vergleich_ub]]-dict_DQ_Meth_max[[#This Row],[Vergleich_lb]])+dict_DQ_Meth_max[[#This Row],[Vergleich_lb]]</f>
        <v>0.12774999999999997</v>
      </c>
      <c r="H1345" s="11" t="str">
        <f ca="1">VLOOKUP(VLOOKUP(dict_DQ_Meth_max[[#This Row],[ID_DataQualities]],table_DataQualities[],3),table_Units[],2)</f>
        <v>+/- cm³/s</v>
      </c>
      <c r="I1345" s="10"/>
      <c r="J1345" s="10"/>
      <c r="K1345" s="10"/>
      <c r="L1345" s="10">
        <f ca="1">VLOOKUP(dict_DQ_Meth_max[[#This Row],[ID_DataQualities]],table_DataQualities[],8,FALSE)</f>
        <v>7.0000000000000001E-3</v>
      </c>
      <c r="M1345" s="10">
        <f ca="1">VLOOKUP(dict_DQ_Meth_max[[#This Row],[ID_DataQualities]],table_DataQualities[],9,FALSE)</f>
        <v>0.182</v>
      </c>
    </row>
    <row r="1346" spans="1:13" x14ac:dyDescent="0.45">
      <c r="A1346" s="10">
        <v>360</v>
      </c>
      <c r="B1346" s="10">
        <v>232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1862.39193</v>
      </c>
      <c r="G1346" s="12">
        <f ca="1">(RANDBETWEEN(50,100)/100)*(dict_DQ_Meth_max[[#This Row],[Vergleich_ub]]-dict_DQ_Meth_max[[#This Row],[Vergleich_lb]])+dict_DQ_Meth_max[[#This Row],[Vergleich_lb]]</f>
        <v>8245.79169</v>
      </c>
      <c r="H1346" s="11" t="str">
        <f ca="1">VLOOKUP(VLOOKUP(dict_DQ_Meth_max[[#This Row],[ID_DataQualities]],table_DataQualities[],3),table_Units[],2)</f>
        <v>Hz</v>
      </c>
      <c r="I1346" s="10"/>
      <c r="J1346" s="10"/>
      <c r="K1346" s="10"/>
      <c r="L1346" s="10">
        <f ca="1">VLOOKUP(dict_DQ_Meth_max[[#This Row],[ID_DataQualities]],table_DataQualities[],8,FALSE)</f>
        <v>0.56699999999999995</v>
      </c>
      <c r="M1346" s="10">
        <f ca="1">VLOOKUP(dict_DQ_Meth_max[[#This Row],[ID_DataQualities]],table_DataQualities[],9,FALSE)</f>
        <v>8866.4</v>
      </c>
    </row>
    <row r="1347" spans="1:13" x14ac:dyDescent="0.45">
      <c r="A1347" s="10">
        <v>360</v>
      </c>
      <c r="B1347" s="10">
        <v>9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975.80863000000011</v>
      </c>
      <c r="G1347" s="12">
        <f ca="1">(RANDBETWEEN(50,100)/100)*(dict_DQ_Meth_max[[#This Row],[Vergleich_ub]]-dict_DQ_Meth_max[[#This Row],[Vergleich_lb]])+dict_DQ_Meth_max[[#This Row],[Vergleich_lb]]</f>
        <v>4522.1418300000005</v>
      </c>
      <c r="H1347" s="11" t="str">
        <f ca="1">VLOOKUP(VLOOKUP(dict_DQ_Meth_max[[#This Row],[ID_DataQualities]],table_DataQualities[],3),table_Units[],2)</f>
        <v>Hz</v>
      </c>
      <c r="I1347" s="10"/>
      <c r="J1347" s="10"/>
      <c r="K1347" s="10"/>
      <c r="L1347" s="10">
        <f ca="1">VLOOKUP(dict_DQ_Meth_max[[#This Row],[ID_DataQualities]],table_DataQualities[],8,FALSE)</f>
        <v>0.56699999999999995</v>
      </c>
      <c r="M1347" s="10">
        <f ca="1">VLOOKUP(dict_DQ_Meth_max[[#This Row],[ID_DataQualities]],table_DataQualities[],9,FALSE)</f>
        <v>8866.4</v>
      </c>
    </row>
    <row r="1348" spans="1:13" x14ac:dyDescent="0.45">
      <c r="A1348" s="10">
        <v>360</v>
      </c>
      <c r="B1348" s="10">
        <v>617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2571.6585700000001</v>
      </c>
      <c r="G1348" s="12">
        <f ca="1">(RANDBETWEEN(50,100)/100)*(dict_DQ_Meth_max[[#This Row],[Vergleich_ub]]-dict_DQ_Meth_max[[#This Row],[Vergleich_lb]])+dict_DQ_Meth_max[[#This Row],[Vergleich_lb]]</f>
        <v>6472.6250900000005</v>
      </c>
      <c r="H1348" s="11" t="str">
        <f ca="1">VLOOKUP(VLOOKUP(dict_DQ_Meth_max[[#This Row],[ID_DataQualities]],table_DataQualities[],3),table_Units[],2)</f>
        <v>Hz</v>
      </c>
      <c r="I1348" s="10"/>
      <c r="J1348" s="10"/>
      <c r="K1348" s="10"/>
      <c r="L1348" s="10">
        <f ca="1">VLOOKUP(dict_DQ_Meth_max[[#This Row],[ID_DataQualities]],table_DataQualities[],8,FALSE)</f>
        <v>0.56699999999999995</v>
      </c>
      <c r="M1348" s="10">
        <f ca="1">VLOOKUP(dict_DQ_Meth_max[[#This Row],[ID_DataQualities]],table_DataQualities[],9,FALSE)</f>
        <v>8866.4</v>
      </c>
    </row>
    <row r="1349" spans="1:13" x14ac:dyDescent="0.45">
      <c r="A1349" s="10">
        <v>360</v>
      </c>
      <c r="B1349" s="10">
        <v>163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887.15030000000013</v>
      </c>
      <c r="G1349" s="12">
        <f ca="1">(RANDBETWEEN(50,100)/100)*(dict_DQ_Meth_max[[#This Row],[Vergleich_ub]]-dict_DQ_Meth_max[[#This Row],[Vergleich_lb]])+dict_DQ_Meth_max[[#This Row],[Vergleich_lb]]</f>
        <v>7713.8417100000006</v>
      </c>
      <c r="H1349" s="11" t="str">
        <f ca="1">VLOOKUP(VLOOKUP(dict_DQ_Meth_max[[#This Row],[ID_DataQualities]],table_DataQualities[],3),table_Units[],2)</f>
        <v>Hz</v>
      </c>
      <c r="I1349" s="10"/>
      <c r="J1349" s="10"/>
      <c r="K1349" s="10"/>
      <c r="L1349" s="10">
        <f ca="1">VLOOKUP(dict_DQ_Meth_max[[#This Row],[ID_DataQualities]],table_DataQualities[],8,FALSE)</f>
        <v>0.56699999999999995</v>
      </c>
      <c r="M1349" s="10">
        <f ca="1">VLOOKUP(dict_DQ_Meth_max[[#This Row],[ID_DataQualities]],table_DataQualities[],9,FALSE)</f>
        <v>8866.4</v>
      </c>
    </row>
    <row r="1350" spans="1:13" x14ac:dyDescent="0.45">
      <c r="A1350" s="10">
        <v>361</v>
      </c>
      <c r="B1350" s="10">
        <v>617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1.3856000000000002</v>
      </c>
      <c r="G1350" s="12">
        <f ca="1">(RANDBETWEEN(50,100)/100)*(dict_DQ_Meth_max[[#This Row],[Vergleich_ub]]-dict_DQ_Meth_max[[#This Row],[Vergleich_lb]])+dict_DQ_Meth_max[[#This Row],[Vergleich_lb]]</f>
        <v>2.8720000000000003</v>
      </c>
      <c r="H1350" s="11" t="str">
        <f ca="1">VLOOKUP(VLOOKUP(dict_DQ_Meth_max[[#This Row],[ID_DataQualities]],table_DataQualities[],3),table_Units[],2)</f>
        <v>+/- mm</v>
      </c>
      <c r="I1350" s="10"/>
      <c r="J1350" s="10"/>
      <c r="K1350" s="10"/>
      <c r="L1350" s="10">
        <f ca="1">VLOOKUP(dict_DQ_Meth_max[[#This Row],[ID_DataQualities]],table_DataQualities[],8,FALSE)</f>
        <v>8.5000000000000006E-2</v>
      </c>
      <c r="M1350" s="10">
        <f ca="1">VLOOKUP(dict_DQ_Meth_max[[#This Row],[ID_DataQualities]],table_DataQualities[],9,FALSE)</f>
        <v>4.7300000000000004</v>
      </c>
    </row>
    <row r="1351" spans="1:13" x14ac:dyDescent="0.45">
      <c r="A1351" s="10">
        <v>361</v>
      </c>
      <c r="B1351" s="10">
        <v>163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0.1779</v>
      </c>
      <c r="G1351" s="12">
        <f ca="1">(RANDBETWEEN(50,100)/100)*(dict_DQ_Meth_max[[#This Row],[Vergleich_ub]]-dict_DQ_Meth_max[[#This Row],[Vergleich_lb]])+dict_DQ_Meth_max[[#This Row],[Vergleich_lb]]</f>
        <v>4.5906500000000001</v>
      </c>
      <c r="H1351" s="11" t="str">
        <f ca="1">VLOOKUP(VLOOKUP(dict_DQ_Meth_max[[#This Row],[ID_DataQualities]],table_DataQualities[],3),table_Units[],2)</f>
        <v>+/- mm</v>
      </c>
      <c r="I1351" s="10"/>
      <c r="J1351" s="10"/>
      <c r="K1351" s="10"/>
      <c r="L1351" s="10">
        <f ca="1">VLOOKUP(dict_DQ_Meth_max[[#This Row],[ID_DataQualities]],table_DataQualities[],8,FALSE)</f>
        <v>8.5000000000000006E-2</v>
      </c>
      <c r="M1351" s="10">
        <f ca="1">VLOOKUP(dict_DQ_Meth_max[[#This Row],[ID_DataQualities]],table_DataQualities[],9,FALSE)</f>
        <v>4.7300000000000004</v>
      </c>
    </row>
    <row r="1352" spans="1:13" x14ac:dyDescent="0.45">
      <c r="A1352" s="10">
        <v>361</v>
      </c>
      <c r="B1352" s="10">
        <v>9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1.3856000000000002</v>
      </c>
      <c r="G1352" s="12">
        <f ca="1">(RANDBETWEEN(50,100)/100)*(dict_DQ_Meth_max[[#This Row],[Vergleich_ub]]-dict_DQ_Meth_max[[#This Row],[Vergleich_lb]])+dict_DQ_Meth_max[[#This Row],[Vergleich_lb]]</f>
        <v>3.7545500000000005</v>
      </c>
      <c r="H1352" s="11" t="str">
        <f ca="1">VLOOKUP(VLOOKUP(dict_DQ_Meth_max[[#This Row],[ID_DataQualities]],table_DataQualities[],3),table_Units[],2)</f>
        <v>+/- mm</v>
      </c>
      <c r="I1352" s="10"/>
      <c r="J1352" s="10"/>
      <c r="K1352" s="10"/>
      <c r="L1352" s="10">
        <f ca="1">VLOOKUP(dict_DQ_Meth_max[[#This Row],[ID_DataQualities]],table_DataQualities[],8,FALSE)</f>
        <v>8.5000000000000006E-2</v>
      </c>
      <c r="M1352" s="10">
        <f ca="1">VLOOKUP(dict_DQ_Meth_max[[#This Row],[ID_DataQualities]],table_DataQualities[],9,FALSE)</f>
        <v>4.7300000000000004</v>
      </c>
    </row>
    <row r="1353" spans="1:13" x14ac:dyDescent="0.45">
      <c r="A1353" s="10">
        <v>361</v>
      </c>
      <c r="B1353" s="10">
        <v>232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1.2927000000000002</v>
      </c>
      <c r="G1353" s="12">
        <f ca="1">(RANDBETWEEN(50,100)/100)*(dict_DQ_Meth_max[[#This Row],[Vergleich_ub]]-dict_DQ_Meth_max[[#This Row],[Vergleich_lb]])+dict_DQ_Meth_max[[#This Row],[Vergleich_lb]]</f>
        <v>3.0578000000000003</v>
      </c>
      <c r="H1353" s="11" t="str">
        <f ca="1">VLOOKUP(VLOOKUP(dict_DQ_Meth_max[[#This Row],[ID_DataQualities]],table_DataQualities[],3),table_Units[],2)</f>
        <v>+/- mm</v>
      </c>
      <c r="I1353" s="10"/>
      <c r="J1353" s="10"/>
      <c r="K1353" s="10"/>
      <c r="L1353" s="10">
        <f ca="1">VLOOKUP(dict_DQ_Meth_max[[#This Row],[ID_DataQualities]],table_DataQualities[],8,FALSE)</f>
        <v>8.5000000000000006E-2</v>
      </c>
      <c r="M1353" s="10">
        <f ca="1">VLOOKUP(dict_DQ_Meth_max[[#This Row],[ID_DataQualities]],table_DataQualities[],9,FALSE)</f>
        <v>4.7300000000000004</v>
      </c>
    </row>
    <row r="1354" spans="1:13" x14ac:dyDescent="0.45">
      <c r="A1354" s="10">
        <v>362</v>
      </c>
      <c r="B1354" s="10">
        <v>384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1579.7186500000003</v>
      </c>
      <c r="G1354" s="12">
        <f ca="1">(RANDBETWEEN(50,100)/100)*(dict_DQ_Meth_max[[#This Row],[Vergleich_ub]]-dict_DQ_Meth_max[[#This Row],[Vergleich_lb]])+dict_DQ_Meth_max[[#This Row],[Vergleich_lb]]</f>
        <v>2417.92875</v>
      </c>
      <c r="H1354" s="11" t="str">
        <f ca="1">VLOOKUP(VLOOKUP(dict_DQ_Meth_max[[#This Row],[ID_DataQualities]],table_DataQualities[],3),table_Units[],2)</f>
        <v>Hz</v>
      </c>
      <c r="I1354" s="10"/>
      <c r="J1354" s="10"/>
      <c r="K1354" s="10"/>
      <c r="L1354" s="10">
        <f ca="1">VLOOKUP(dict_DQ_Meth_max[[#This Row],[ID_DataQualities]],table_DataQualities[],8,FALSE)</f>
        <v>1.4999999999999999E-2</v>
      </c>
      <c r="M1354" s="10">
        <f ca="1">VLOOKUP(dict_DQ_Meth_max[[#This Row],[ID_DataQualities]],table_DataQualities[],9,FALSE)</f>
        <v>3223.9</v>
      </c>
    </row>
    <row r="1355" spans="1:13" x14ac:dyDescent="0.45">
      <c r="A1355" s="10">
        <v>362</v>
      </c>
      <c r="B1355" s="10">
        <v>548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225.68695000000002</v>
      </c>
      <c r="G1355" s="12">
        <f ca="1">(RANDBETWEEN(50,100)/100)*(dict_DQ_Meth_max[[#This Row],[Vergleich_ub]]-dict_DQ_Meth_max[[#This Row],[Vergleich_lb]])+dict_DQ_Meth_max[[#This Row],[Vergleich_lb]]</f>
        <v>2385.6898999999999</v>
      </c>
      <c r="H1355" s="11" t="str">
        <f ca="1">VLOOKUP(VLOOKUP(dict_DQ_Meth_max[[#This Row],[ID_DataQualities]],table_DataQualities[],3),table_Units[],2)</f>
        <v>Hz</v>
      </c>
      <c r="I1355" s="10"/>
      <c r="J1355" s="10"/>
      <c r="K1355" s="10"/>
      <c r="L1355" s="10">
        <f ca="1">VLOOKUP(dict_DQ_Meth_max[[#This Row],[ID_DataQualities]],table_DataQualities[],8,FALSE)</f>
        <v>1.4999999999999999E-2</v>
      </c>
      <c r="M1355" s="10">
        <f ca="1">VLOOKUP(dict_DQ_Meth_max[[#This Row],[ID_DataQualities]],table_DataQualities[],9,FALSE)</f>
        <v>3223.9</v>
      </c>
    </row>
    <row r="1356" spans="1:13" x14ac:dyDescent="0.45">
      <c r="A1356" s="10">
        <v>362</v>
      </c>
      <c r="B1356" s="10">
        <v>127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322.40350000000001</v>
      </c>
      <c r="G1356" s="12">
        <f ca="1">(RANDBETWEEN(50,100)/100)*(dict_DQ_Meth_max[[#This Row],[Vergleich_ub]]-dict_DQ_Meth_max[[#This Row],[Vergleich_lb]])+dict_DQ_Meth_max[[#This Row],[Vergleich_lb]]</f>
        <v>1676.4352000000003</v>
      </c>
      <c r="H1356" s="11" t="str">
        <f ca="1">VLOOKUP(VLOOKUP(dict_DQ_Meth_max[[#This Row],[ID_DataQualities]],table_DataQualities[],3),table_Units[],2)</f>
        <v>Hz</v>
      </c>
      <c r="I1356" s="10"/>
      <c r="J1356" s="10"/>
      <c r="K1356" s="10"/>
      <c r="L1356" s="10">
        <f ca="1">VLOOKUP(dict_DQ_Meth_max[[#This Row],[ID_DataQualities]],table_DataQualities[],8,FALSE)</f>
        <v>1.4999999999999999E-2</v>
      </c>
      <c r="M1356" s="10">
        <f ca="1">VLOOKUP(dict_DQ_Meth_max[[#This Row],[ID_DataQualities]],table_DataQualities[],9,FALSE)</f>
        <v>3223.9</v>
      </c>
    </row>
    <row r="1357" spans="1:13" x14ac:dyDescent="0.45">
      <c r="A1357" s="10">
        <v>362</v>
      </c>
      <c r="B1357" s="10">
        <v>224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64.492699999999999</v>
      </c>
      <c r="G1357" s="12">
        <f ca="1">(RANDBETWEEN(50,100)/100)*(dict_DQ_Meth_max[[#This Row],[Vergleich_ub]]-dict_DQ_Meth_max[[#This Row],[Vergleich_lb]])+dict_DQ_Meth_max[[#This Row],[Vergleich_lb]]</f>
        <v>2256.7345</v>
      </c>
      <c r="H1357" s="11" t="str">
        <f ca="1">VLOOKUP(VLOOKUP(dict_DQ_Meth_max[[#This Row],[ID_DataQualities]],table_DataQualities[],3),table_Units[],2)</f>
        <v>Hz</v>
      </c>
      <c r="I1357" s="10"/>
      <c r="J1357" s="10"/>
      <c r="K1357" s="10"/>
      <c r="L1357" s="10">
        <f ca="1">VLOOKUP(dict_DQ_Meth_max[[#This Row],[ID_DataQualities]],table_DataQualities[],8,FALSE)</f>
        <v>1.4999999999999999E-2</v>
      </c>
      <c r="M1357" s="10">
        <f ca="1">VLOOKUP(dict_DQ_Meth_max[[#This Row],[ID_DataQualities]],table_DataQualities[],9,FALSE)</f>
        <v>3223.9</v>
      </c>
    </row>
    <row r="1358" spans="1:13" x14ac:dyDescent="0.45">
      <c r="A1358" s="10">
        <v>363</v>
      </c>
      <c r="B1358" s="10">
        <v>548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652.85</v>
      </c>
      <c r="G1358" s="12">
        <f ca="1">(RANDBETWEEN(50,100)/100)*(dict_DQ_Meth_max[[#This Row],[Vergleich_ub]]-dict_DQ_Meth_max[[#This Row],[Vergleich_lb]])+dict_DQ_Meth_max[[#This Row],[Vergleich_lb]]</f>
        <v>2982.44</v>
      </c>
      <c r="H1358" s="11" t="str">
        <f ca="1">VLOOKUP(VLOOKUP(dict_DQ_Meth_max[[#This Row],[ID_DataQualities]],table_DataQualities[],3),table_Units[],2)</f>
        <v>bit</v>
      </c>
      <c r="I1358" s="10"/>
      <c r="J1358" s="10"/>
      <c r="K1358" s="10"/>
      <c r="L1358" s="10">
        <f ca="1">VLOOKUP(dict_DQ_Meth_max[[#This Row],[ID_DataQualities]],table_DataQualities[],8,FALSE)</f>
        <v>80</v>
      </c>
      <c r="M1358" s="10">
        <f ca="1">VLOOKUP(dict_DQ_Meth_max[[#This Row],[ID_DataQualities]],table_DataQualities[],9,FALSE)</f>
        <v>3899</v>
      </c>
    </row>
    <row r="1359" spans="1:13" x14ac:dyDescent="0.45">
      <c r="A1359" s="10">
        <v>363</v>
      </c>
      <c r="B1359" s="10">
        <v>224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691.04</v>
      </c>
      <c r="G1359" s="12">
        <f ca="1">(RANDBETWEEN(50,100)/100)*(dict_DQ_Meth_max[[#This Row],[Vergleich_ub]]-dict_DQ_Meth_max[[#This Row],[Vergleich_lb]])+dict_DQ_Meth_max[[#This Row],[Vergleich_lb]]</f>
        <v>2867.87</v>
      </c>
      <c r="H1359" s="11" t="str">
        <f ca="1">VLOOKUP(VLOOKUP(dict_DQ_Meth_max[[#This Row],[ID_DataQualities]],table_DataQualities[],3),table_Units[],2)</f>
        <v>bit</v>
      </c>
      <c r="I1359" s="10"/>
      <c r="J1359" s="10"/>
      <c r="K1359" s="10"/>
      <c r="L1359" s="10">
        <f ca="1">VLOOKUP(dict_DQ_Meth_max[[#This Row],[ID_DataQualities]],table_DataQualities[],8,FALSE)</f>
        <v>80</v>
      </c>
      <c r="M1359" s="10">
        <f ca="1">VLOOKUP(dict_DQ_Meth_max[[#This Row],[ID_DataQualities]],table_DataQualities[],9,FALSE)</f>
        <v>3899</v>
      </c>
    </row>
    <row r="1360" spans="1:13" x14ac:dyDescent="0.45">
      <c r="A1360" s="10">
        <v>363</v>
      </c>
      <c r="B1360" s="10">
        <v>384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270.95000000000005</v>
      </c>
      <c r="G1360" s="12">
        <f ca="1">(RANDBETWEEN(50,100)/100)*(dict_DQ_Meth_max[[#This Row],[Vergleich_ub]]-dict_DQ_Meth_max[[#This Row],[Vergleich_lb]])+dict_DQ_Meth_max[[#This Row],[Vergleich_lb]]</f>
        <v>3135.2000000000003</v>
      </c>
      <c r="H1360" s="11" t="str">
        <f ca="1">VLOOKUP(VLOOKUP(dict_DQ_Meth_max[[#This Row],[ID_DataQualities]],table_DataQualities[],3),table_Units[],2)</f>
        <v>bit</v>
      </c>
      <c r="I1360" s="10"/>
      <c r="J1360" s="10"/>
      <c r="K1360" s="10"/>
      <c r="L1360" s="10">
        <f ca="1">VLOOKUP(dict_DQ_Meth_max[[#This Row],[ID_DataQualities]],table_DataQualities[],8,FALSE)</f>
        <v>80</v>
      </c>
      <c r="M1360" s="10">
        <f ca="1">VLOOKUP(dict_DQ_Meth_max[[#This Row],[ID_DataQualities]],table_DataQualities[],9,FALSE)</f>
        <v>3899</v>
      </c>
    </row>
    <row r="1361" spans="1:13" x14ac:dyDescent="0.45">
      <c r="A1361" s="10">
        <v>363</v>
      </c>
      <c r="B1361" s="10">
        <v>127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1187.51</v>
      </c>
      <c r="G1361" s="12">
        <f ca="1">(RANDBETWEEN(50,100)/100)*(dict_DQ_Meth_max[[#This Row],[Vergleich_ub]]-dict_DQ_Meth_max[[#This Row],[Vergleich_lb]])+dict_DQ_Meth_max[[#This Row],[Vergleich_lb]]</f>
        <v>3784.43</v>
      </c>
      <c r="H1361" s="11" t="str">
        <f ca="1">VLOOKUP(VLOOKUP(dict_DQ_Meth_max[[#This Row],[ID_DataQualities]],table_DataQualities[],3),table_Units[],2)</f>
        <v>bit</v>
      </c>
      <c r="I1361" s="10"/>
      <c r="J1361" s="10"/>
      <c r="K1361" s="10"/>
      <c r="L1361" s="10">
        <f ca="1">VLOOKUP(dict_DQ_Meth_max[[#This Row],[ID_DataQualities]],table_DataQualities[],8,FALSE)</f>
        <v>80</v>
      </c>
      <c r="M1361" s="10">
        <f ca="1">VLOOKUP(dict_DQ_Meth_max[[#This Row],[ID_DataQualities]],table_DataQualities[],9,FALSE)</f>
        <v>3899</v>
      </c>
    </row>
    <row r="1362" spans="1:13" x14ac:dyDescent="0.45">
      <c r="A1362" s="10">
        <v>364</v>
      </c>
      <c r="B1362" s="10">
        <v>406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338.59154000000007</v>
      </c>
      <c r="G1362" s="12">
        <f ca="1">(RANDBETWEEN(50,100)/100)*(dict_DQ_Meth_max[[#This Row],[Vergleich_ub]]-dict_DQ_Meth_max[[#This Row],[Vergleich_lb]])+dict_DQ_Meth_max[[#This Row],[Vergleich_lb]]</f>
        <v>1246.5171700000001</v>
      </c>
      <c r="H1362" s="11" t="str">
        <f ca="1">VLOOKUP(VLOOKUP(dict_DQ_Meth_max[[#This Row],[ID_DataQualities]],table_DataQualities[],3),table_Units[],2)</f>
        <v>Hz</v>
      </c>
      <c r="I1362" s="10"/>
      <c r="J1362" s="10"/>
      <c r="K1362" s="10"/>
      <c r="L1362" s="10">
        <f ca="1">VLOOKUP(dict_DQ_Meth_max[[#This Row],[ID_DataQualities]],table_DataQualities[],8,FALSE)</f>
        <v>4.2999999999999997E-2</v>
      </c>
      <c r="M1362" s="10">
        <f ca="1">VLOOKUP(dict_DQ_Meth_max[[#This Row],[ID_DataQualities]],table_DataQualities[],9,FALSE)</f>
        <v>1538.9</v>
      </c>
    </row>
    <row r="1363" spans="1:13" x14ac:dyDescent="0.45">
      <c r="A1363" s="10">
        <v>364</v>
      </c>
      <c r="B1363" s="10">
        <v>667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692.52865000000008</v>
      </c>
      <c r="G1363" s="12">
        <f ca="1">(RANDBETWEEN(50,100)/100)*(dict_DQ_Meth_max[[#This Row],[Vergleich_ub]]-dict_DQ_Meth_max[[#This Row],[Vergleich_lb]])+dict_DQ_Meth_max[[#This Row],[Vergleich_lb]]</f>
        <v>1031.0771900000002</v>
      </c>
      <c r="H1363" s="11" t="str">
        <f ca="1">VLOOKUP(VLOOKUP(dict_DQ_Meth_max[[#This Row],[ID_DataQualities]],table_DataQualities[],3),table_Units[],2)</f>
        <v>Hz</v>
      </c>
      <c r="I1363" s="10"/>
      <c r="J1363" s="10"/>
      <c r="K1363" s="10"/>
      <c r="L1363" s="10">
        <f ca="1">VLOOKUP(dict_DQ_Meth_max[[#This Row],[ID_DataQualities]],table_DataQualities[],8,FALSE)</f>
        <v>4.2999999999999997E-2</v>
      </c>
      <c r="M1363" s="10">
        <f ca="1">VLOOKUP(dict_DQ_Meth_max[[#This Row],[ID_DataQualities]],table_DataQualities[],9,FALSE)</f>
        <v>1538.9</v>
      </c>
    </row>
    <row r="1364" spans="1:13" x14ac:dyDescent="0.45">
      <c r="A1364" s="10">
        <v>364</v>
      </c>
      <c r="B1364" s="10">
        <v>272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323.20297000000005</v>
      </c>
      <c r="G1364" s="12">
        <f ca="1">(RANDBETWEEN(50,100)/100)*(dict_DQ_Meth_max[[#This Row],[Vergleich_ub]]-dict_DQ_Meth_max[[#This Row],[Vergleich_lb]])+dict_DQ_Meth_max[[#This Row],[Vergleich_lb]]</f>
        <v>1200.3514600000001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4.2999999999999997E-2</v>
      </c>
      <c r="M1364" s="10">
        <f ca="1">VLOOKUP(dict_DQ_Meth_max[[#This Row],[ID_DataQualities]],table_DataQualities[],9,FALSE)</f>
        <v>1538.9</v>
      </c>
    </row>
    <row r="1365" spans="1:13" x14ac:dyDescent="0.45">
      <c r="A1365" s="10">
        <v>364</v>
      </c>
      <c r="B1365" s="10">
        <v>387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92.374420000000015</v>
      </c>
      <c r="G1365" s="12">
        <f ca="1">(RANDBETWEEN(50,100)/100)*(dict_DQ_Meth_max[[#This Row],[Vergleich_ub]]-dict_DQ_Meth_max[[#This Row],[Vergleich_lb]])+dict_DQ_Meth_max[[#This Row],[Vergleich_lb]]</f>
        <v>846.41435000000024</v>
      </c>
      <c r="H1365" s="11" t="str">
        <f ca="1">VLOOKUP(VLOOKUP(dict_DQ_Meth_max[[#This Row],[ID_DataQualities]],table_DataQualities[],3),table_Units[],2)</f>
        <v>Hz</v>
      </c>
      <c r="I1365" s="10"/>
      <c r="J1365" s="10"/>
      <c r="K1365" s="10"/>
      <c r="L1365" s="10">
        <f ca="1">VLOOKUP(dict_DQ_Meth_max[[#This Row],[ID_DataQualities]],table_DataQualities[],8,FALSE)</f>
        <v>4.2999999999999997E-2</v>
      </c>
      <c r="M1365" s="10">
        <f ca="1">VLOOKUP(dict_DQ_Meth_max[[#This Row],[ID_DataQualities]],table_DataQualities[],9,FALSE)</f>
        <v>1538.9</v>
      </c>
    </row>
    <row r="1366" spans="1:13" x14ac:dyDescent="0.45">
      <c r="A1366" s="10">
        <v>365</v>
      </c>
      <c r="B1366" s="10">
        <v>272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5.0999999999999997E-2</v>
      </c>
      <c r="G1366" s="12">
        <f ca="1">(RANDBETWEEN(50,100)/100)*(dict_DQ_Meth_max[[#This Row],[Vergleich_ub]]-dict_DQ_Meth_max[[#This Row],[Vergleich_lb]])+dict_DQ_Meth_max[[#This Row],[Vergleich_lb]]</f>
        <v>2.54915</v>
      </c>
      <c r="H1366" s="11" t="str">
        <f ca="1">VLOOKUP(VLOOKUP(dict_DQ_Meth_max[[#This Row],[ID_DataQualities]],table_DataQualities[],3),table_Units[],2)</f>
        <v>+/- mm</v>
      </c>
      <c r="I1366" s="10"/>
      <c r="J1366" s="10"/>
      <c r="K1366" s="10"/>
      <c r="L1366" s="10">
        <f ca="1">VLOOKUP(dict_DQ_Meth_max[[#This Row],[ID_DataQualities]],table_DataQualities[],8,FALSE)</f>
        <v>5.0999999999999997E-2</v>
      </c>
      <c r="M1366" s="10">
        <f ca="1">VLOOKUP(dict_DQ_Meth_max[[#This Row],[ID_DataQualities]],table_DataQualities[],9,FALSE)</f>
        <v>2.99</v>
      </c>
    </row>
    <row r="1367" spans="1:13" x14ac:dyDescent="0.45">
      <c r="A1367" s="10">
        <v>365</v>
      </c>
      <c r="B1367" s="10">
        <v>667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1.28538</v>
      </c>
      <c r="G1367" s="12">
        <f ca="1">(RANDBETWEEN(50,100)/100)*(dict_DQ_Meth_max[[#This Row],[Vergleich_ub]]-dict_DQ_Meth_max[[#This Row],[Vergleich_lb]])+dict_DQ_Meth_max[[#This Row],[Vergleich_lb]]</f>
        <v>1.57928</v>
      </c>
      <c r="H1367" s="11" t="str">
        <f ca="1">VLOOKUP(VLOOKUP(dict_DQ_Meth_max[[#This Row],[ID_DataQualities]],table_DataQualities[],3),table_Units[],2)</f>
        <v>+/- mm</v>
      </c>
      <c r="I1367" s="10"/>
      <c r="J1367" s="10"/>
      <c r="K1367" s="10"/>
      <c r="L1367" s="10">
        <f ca="1">VLOOKUP(dict_DQ_Meth_max[[#This Row],[ID_DataQualities]],table_DataQualities[],8,FALSE)</f>
        <v>5.0999999999999997E-2</v>
      </c>
      <c r="M1367" s="10">
        <f ca="1">VLOOKUP(dict_DQ_Meth_max[[#This Row],[ID_DataQualities]],table_DataQualities[],9,FALSE)</f>
        <v>2.99</v>
      </c>
    </row>
    <row r="1368" spans="1:13" x14ac:dyDescent="0.45">
      <c r="A1368" s="10">
        <v>365</v>
      </c>
      <c r="B1368" s="10">
        <v>406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1.1678199999999999</v>
      </c>
      <c r="G1368" s="12">
        <f ca="1">(RANDBETWEEN(50,100)/100)*(dict_DQ_Meth_max[[#This Row],[Vergleich_ub]]-dict_DQ_Meth_max[[#This Row],[Vergleich_lb]])+dict_DQ_Meth_max[[#This Row],[Vergleich_lb]]</f>
        <v>2.81366</v>
      </c>
      <c r="H1368" s="11" t="str">
        <f ca="1">VLOOKUP(VLOOKUP(dict_DQ_Meth_max[[#This Row],[ID_DataQualities]],table_DataQualities[],3),table_Units[],2)</f>
        <v>+/- mm</v>
      </c>
      <c r="I1368" s="10"/>
      <c r="J1368" s="10"/>
      <c r="K1368" s="10"/>
      <c r="L1368" s="10">
        <f ca="1">VLOOKUP(dict_DQ_Meth_max[[#This Row],[ID_DataQualities]],table_DataQualities[],8,FALSE)</f>
        <v>5.0999999999999997E-2</v>
      </c>
      <c r="M1368" s="10">
        <f ca="1">VLOOKUP(dict_DQ_Meth_max[[#This Row],[ID_DataQualities]],table_DataQualities[],9,FALSE)</f>
        <v>2.99</v>
      </c>
    </row>
    <row r="1369" spans="1:13" x14ac:dyDescent="0.45">
      <c r="A1369" s="10">
        <v>365</v>
      </c>
      <c r="B1369" s="10">
        <v>387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1.05026</v>
      </c>
      <c r="G1369" s="12">
        <f ca="1">(RANDBETWEEN(50,100)/100)*(dict_DQ_Meth_max[[#This Row],[Vergleich_ub]]-dict_DQ_Meth_max[[#This Row],[Vergleich_lb]])+dict_DQ_Meth_max[[#This Row],[Vergleich_lb]]</f>
        <v>2.1670800000000003</v>
      </c>
      <c r="H1369" s="11" t="str">
        <f ca="1">VLOOKUP(VLOOKUP(dict_DQ_Meth_max[[#This Row],[ID_DataQualities]],table_DataQualities[],3),table_Units[],2)</f>
        <v>+/- mm</v>
      </c>
      <c r="I1369" s="10"/>
      <c r="J1369" s="10"/>
      <c r="K1369" s="10"/>
      <c r="L1369" s="10">
        <f ca="1">VLOOKUP(dict_DQ_Meth_max[[#This Row],[ID_DataQualities]],table_DataQualities[],8,FALSE)</f>
        <v>5.0999999999999997E-2</v>
      </c>
      <c r="M1369" s="10">
        <f ca="1">VLOOKUP(dict_DQ_Meth_max[[#This Row],[ID_DataQualities]],table_DataQualities[],9,FALSE)</f>
        <v>2.99</v>
      </c>
    </row>
    <row r="1370" spans="1:13" x14ac:dyDescent="0.45">
      <c r="A1370" s="10">
        <v>366</v>
      </c>
      <c r="B1370" s="10">
        <v>658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296.41310999999996</v>
      </c>
      <c r="G1370" s="12">
        <f ca="1">(RANDBETWEEN(50,100)/100)*(dict_DQ_Meth_max[[#This Row],[Vergleich_ub]]-dict_DQ_Meth_max[[#This Row],[Vergleich_lb]])+dict_DQ_Meth_max[[#This Row],[Vergleich_lb]]</f>
        <v>1972.5683999999999</v>
      </c>
      <c r="H1370" s="11" t="str">
        <f ca="1">VLOOKUP(VLOOKUP(dict_DQ_Meth_max[[#This Row],[ID_DataQualities]],table_DataQualities[],3),table_Units[],2)</f>
        <v>Hz</v>
      </c>
      <c r="I1370" s="10"/>
      <c r="J1370" s="10"/>
      <c r="K1370" s="10"/>
      <c r="L1370" s="10">
        <f ca="1">VLOOKUP(dict_DQ_Meth_max[[#This Row],[ID_DataQualities]],table_DataQualities[],8,FALSE)</f>
        <v>0.621</v>
      </c>
      <c r="M1370" s="10">
        <f ca="1">VLOOKUP(dict_DQ_Meth_max[[#This Row],[ID_DataQualities]],table_DataQualities[],9,FALSE)</f>
        <v>3287.2</v>
      </c>
    </row>
    <row r="1371" spans="1:13" x14ac:dyDescent="0.45">
      <c r="A1371" s="10">
        <v>366</v>
      </c>
      <c r="B1371" s="10">
        <v>15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493.60784999999993</v>
      </c>
      <c r="G1371" s="12">
        <f ca="1">(RANDBETWEEN(50,100)/100)*(dict_DQ_Meth_max[[#This Row],[Vergleich_ub]]-dict_DQ_Meth_max[[#This Row],[Vergleich_lb]])+dict_DQ_Meth_max[[#This Row],[Vergleich_lb]]</f>
        <v>2202.6289299999999</v>
      </c>
      <c r="H1371" s="11" t="str">
        <f ca="1">VLOOKUP(VLOOKUP(dict_DQ_Meth_max[[#This Row],[ID_DataQualities]],table_DataQualities[],3),table_Units[],2)</f>
        <v>Hz</v>
      </c>
      <c r="I1371" s="10"/>
      <c r="J1371" s="10"/>
      <c r="K1371" s="10"/>
      <c r="L1371" s="10">
        <f ca="1">VLOOKUP(dict_DQ_Meth_max[[#This Row],[ID_DataQualities]],table_DataQualities[],8,FALSE)</f>
        <v>0.621</v>
      </c>
      <c r="M1371" s="10">
        <f ca="1">VLOOKUP(dict_DQ_Meth_max[[#This Row],[ID_DataQualities]],table_DataQualities[],9,FALSE)</f>
        <v>3287.2</v>
      </c>
    </row>
    <row r="1372" spans="1:13" x14ac:dyDescent="0.45">
      <c r="A1372" s="10">
        <v>366</v>
      </c>
      <c r="B1372" s="10">
        <v>671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953.72890999999981</v>
      </c>
      <c r="G1372" s="12">
        <f ca="1">(RANDBETWEEN(50,100)/100)*(dict_DQ_Meth_max[[#This Row],[Vergleich_ub]]-dict_DQ_Meth_max[[#This Row],[Vergleich_lb]])+dict_DQ_Meth_max[[#This Row],[Vergleich_lb]]</f>
        <v>2662.7499900000003</v>
      </c>
      <c r="H1372" s="11" t="str">
        <f ca="1">VLOOKUP(VLOOKUP(dict_DQ_Meth_max[[#This Row],[ID_DataQualities]],table_DataQualities[],3),table_Units[],2)</f>
        <v>Hz</v>
      </c>
      <c r="I1372" s="10"/>
      <c r="J1372" s="10"/>
      <c r="K1372" s="10"/>
      <c r="L1372" s="10">
        <f ca="1">VLOOKUP(dict_DQ_Meth_max[[#This Row],[ID_DataQualities]],table_DataQualities[],8,FALSE)</f>
        <v>0.621</v>
      </c>
      <c r="M1372" s="10">
        <f ca="1">VLOOKUP(dict_DQ_Meth_max[[#This Row],[ID_DataQualities]],table_DataQualities[],9,FALSE)</f>
        <v>3287.2</v>
      </c>
    </row>
    <row r="1373" spans="1:13" x14ac:dyDescent="0.45">
      <c r="A1373" s="10">
        <v>366</v>
      </c>
      <c r="B1373" s="10">
        <v>478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1611.0447099999999</v>
      </c>
      <c r="G1373" s="12">
        <f ca="1">(RANDBETWEEN(50,100)/100)*(dict_DQ_Meth_max[[#This Row],[Vergleich_ub]]-dict_DQ_Meth_max[[#This Row],[Vergleich_lb]])+dict_DQ_Meth_max[[#This Row],[Vergleich_lb]]</f>
        <v>1643.9105</v>
      </c>
      <c r="H1373" s="11" t="str">
        <f ca="1">VLOOKUP(VLOOKUP(dict_DQ_Meth_max[[#This Row],[ID_DataQualities]],table_DataQualities[],3),table_Units[],2)</f>
        <v>Hz</v>
      </c>
      <c r="I1373" s="10"/>
      <c r="J1373" s="10"/>
      <c r="K1373" s="10"/>
      <c r="L1373" s="10">
        <f ca="1">VLOOKUP(dict_DQ_Meth_max[[#This Row],[ID_DataQualities]],table_DataQualities[],8,FALSE)</f>
        <v>0.621</v>
      </c>
      <c r="M1373" s="10">
        <f ca="1">VLOOKUP(dict_DQ_Meth_max[[#This Row],[ID_DataQualities]],table_DataQualities[],9,FALSE)</f>
        <v>3287.2</v>
      </c>
    </row>
    <row r="1374" spans="1:13" x14ac:dyDescent="0.45">
      <c r="A1374" s="10">
        <v>367</v>
      </c>
      <c r="B1374" s="10">
        <v>658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3.0230000000000001</v>
      </c>
      <c r="G1374" s="12">
        <f ca="1">(RANDBETWEEN(50,100)/100)*(dict_DQ_Meth_max[[#This Row],[Vergleich_ub]]-dict_DQ_Meth_max[[#This Row],[Vergleich_lb]])+dict_DQ_Meth_max[[#This Row],[Vergleich_lb]]</f>
        <v>7.8419999999999996</v>
      </c>
      <c r="H1374" s="11" t="str">
        <f ca="1">VLOOKUP(VLOOKUP(dict_DQ_Meth_max[[#This Row],[ID_DataQualities]],table_DataQualities[],3),table_Units[],2)</f>
        <v>+/- °C</v>
      </c>
      <c r="I1374" s="10"/>
      <c r="J1374" s="10"/>
      <c r="K1374" s="10"/>
      <c r="L1374" s="10">
        <f ca="1">VLOOKUP(dict_DQ_Meth_max[[#This Row],[ID_DataQualities]],table_DataQualities[],8,FALSE)</f>
        <v>0.1</v>
      </c>
      <c r="M1374" s="10">
        <f ca="1">VLOOKUP(dict_DQ_Meth_max[[#This Row],[ID_DataQualities]],table_DataQualities[],9,FALSE)</f>
        <v>8</v>
      </c>
    </row>
    <row r="1375" spans="1:13" x14ac:dyDescent="0.45">
      <c r="A1375" s="10">
        <v>367</v>
      </c>
      <c r="B1375" s="10">
        <v>15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2.0750000000000002</v>
      </c>
      <c r="G1375" s="12">
        <f ca="1">(RANDBETWEEN(50,100)/100)*(dict_DQ_Meth_max[[#This Row],[Vergleich_ub]]-dict_DQ_Meth_max[[#This Row],[Vergleich_lb]])+dict_DQ_Meth_max[[#This Row],[Vergleich_lb]]</f>
        <v>7.9210000000000003</v>
      </c>
      <c r="H1375" s="11" t="str">
        <f ca="1">VLOOKUP(VLOOKUP(dict_DQ_Meth_max[[#This Row],[ID_DataQualities]],table_DataQualities[],3),table_Units[],2)</f>
        <v>+/- °C</v>
      </c>
      <c r="I1375" s="10"/>
      <c r="J1375" s="10"/>
      <c r="K1375" s="10"/>
      <c r="L1375" s="10">
        <f ca="1">VLOOKUP(dict_DQ_Meth_max[[#This Row],[ID_DataQualities]],table_DataQualities[],8,FALSE)</f>
        <v>0.1</v>
      </c>
      <c r="M1375" s="10">
        <f ca="1">VLOOKUP(dict_DQ_Meth_max[[#This Row],[ID_DataQualities]],table_DataQualities[],9,FALSE)</f>
        <v>8</v>
      </c>
    </row>
    <row r="1376" spans="1:13" x14ac:dyDescent="0.45">
      <c r="A1376" s="10">
        <v>367</v>
      </c>
      <c r="B1376" s="10">
        <v>671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1.3640000000000001</v>
      </c>
      <c r="G1376" s="12">
        <f ca="1">(RANDBETWEEN(50,100)/100)*(dict_DQ_Meth_max[[#This Row],[Vergleich_ub]]-dict_DQ_Meth_max[[#This Row],[Vergleich_lb]])+dict_DQ_Meth_max[[#This Row],[Vergleich_lb]]</f>
        <v>5.1559999999999997</v>
      </c>
      <c r="H1376" s="11" t="str">
        <f ca="1">VLOOKUP(VLOOKUP(dict_DQ_Meth_max[[#This Row],[ID_DataQualities]],table_DataQualities[],3),table_Units[],2)</f>
        <v>+/- °C</v>
      </c>
      <c r="I1376" s="10"/>
      <c r="J1376" s="10"/>
      <c r="K1376" s="10"/>
      <c r="L1376" s="10">
        <f ca="1">VLOOKUP(dict_DQ_Meth_max[[#This Row],[ID_DataQualities]],table_DataQualities[],8,FALSE)</f>
        <v>0.1</v>
      </c>
      <c r="M1376" s="10">
        <f ca="1">VLOOKUP(dict_DQ_Meth_max[[#This Row],[ID_DataQualities]],table_DataQualities[],9,FALSE)</f>
        <v>8</v>
      </c>
    </row>
    <row r="1377" spans="1:13" x14ac:dyDescent="0.45">
      <c r="A1377" s="10">
        <v>367</v>
      </c>
      <c r="B1377" s="10">
        <v>478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1.2850000000000001</v>
      </c>
      <c r="G1377" s="12">
        <f ca="1">(RANDBETWEEN(50,100)/100)*(dict_DQ_Meth_max[[#This Row],[Vergleich_ub]]-dict_DQ_Meth_max[[#This Row],[Vergleich_lb]])+dict_DQ_Meth_max[[#This Row],[Vergleich_lb]]</f>
        <v>4.84</v>
      </c>
      <c r="H1377" s="11" t="str">
        <f ca="1">VLOOKUP(VLOOKUP(dict_DQ_Meth_max[[#This Row],[ID_DataQualities]],table_DataQualities[],3),table_Units[],2)</f>
        <v>+/- °C</v>
      </c>
      <c r="I1377" s="10"/>
      <c r="J1377" s="10"/>
      <c r="K1377" s="10"/>
      <c r="L1377" s="10">
        <f ca="1">VLOOKUP(dict_DQ_Meth_max[[#This Row],[ID_DataQualities]],table_DataQualities[],8,FALSE)</f>
        <v>0.1</v>
      </c>
      <c r="M1377" s="10">
        <f ca="1">VLOOKUP(dict_DQ_Meth_max[[#This Row],[ID_DataQualities]],table_DataQualities[],9,FALSE)</f>
        <v>8</v>
      </c>
    </row>
    <row r="1378" spans="1:13" x14ac:dyDescent="0.45">
      <c r="A1378" s="10">
        <v>368</v>
      </c>
      <c r="B1378" s="10">
        <v>479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922.33015999999998</v>
      </c>
      <c r="G1378" s="12">
        <f ca="1">(RANDBETWEEN(50,100)/100)*(dict_DQ_Meth_max[[#This Row],[Vergleich_ub]]-dict_DQ_Meth_max[[#This Row],[Vergleich_lb]])+dict_DQ_Meth_max[[#This Row],[Vergleich_lb]]</f>
        <v>1110.9556700000001</v>
      </c>
      <c r="H1378" s="11" t="str">
        <f ca="1">VLOOKUP(VLOOKUP(dict_DQ_Meth_max[[#This Row],[ID_DataQualities]],table_DataQualities[],3),table_Units[],2)</f>
        <v>Hz</v>
      </c>
      <c r="I1378" s="10"/>
      <c r="J1378" s="10"/>
      <c r="K1378" s="10"/>
      <c r="L1378" s="10">
        <f ca="1">VLOOKUP(dict_DQ_Meth_max[[#This Row],[ID_DataQualities]],table_DataQualities[],8,FALSE)</f>
        <v>0.161</v>
      </c>
      <c r="M1378" s="10">
        <f ca="1">VLOOKUP(dict_DQ_Meth_max[[#This Row],[ID_DataQualities]],table_DataQualities[],9,FALSE)</f>
        <v>2096</v>
      </c>
    </row>
    <row r="1379" spans="1:13" x14ac:dyDescent="0.45">
      <c r="A1379" s="10">
        <v>368</v>
      </c>
      <c r="B1379" s="10">
        <v>39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146.86973</v>
      </c>
      <c r="G1379" s="12">
        <f ca="1">(RANDBETWEEN(50,100)/100)*(dict_DQ_Meth_max[[#This Row],[Vergleich_ub]]-dict_DQ_Meth_max[[#This Row],[Vergleich_lb]])+dict_DQ_Meth_max[[#This Row],[Vergleich_lb]]</f>
        <v>1907.3744900000002</v>
      </c>
      <c r="H1379" s="11" t="str">
        <f ca="1">VLOOKUP(VLOOKUP(dict_DQ_Meth_max[[#This Row],[ID_DataQualities]],table_DataQualities[],3),table_Units[],2)</f>
        <v>Hz</v>
      </c>
      <c r="I1379" s="10"/>
      <c r="J1379" s="10"/>
      <c r="K1379" s="10"/>
      <c r="L1379" s="10">
        <f ca="1">VLOOKUP(dict_DQ_Meth_max[[#This Row],[ID_DataQualities]],table_DataQualities[],8,FALSE)</f>
        <v>0.161</v>
      </c>
      <c r="M1379" s="10">
        <f ca="1">VLOOKUP(dict_DQ_Meth_max[[#This Row],[ID_DataQualities]],table_DataQualities[],9,FALSE)</f>
        <v>2096</v>
      </c>
    </row>
    <row r="1380" spans="1:13" x14ac:dyDescent="0.45">
      <c r="A1380" s="10">
        <v>368</v>
      </c>
      <c r="B1380" s="10">
        <v>182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461.24558000000002</v>
      </c>
      <c r="G1380" s="12">
        <f ca="1">(RANDBETWEEN(50,100)/100)*(dict_DQ_Meth_max[[#This Row],[Vergleich_ub]]-dict_DQ_Meth_max[[#This Row],[Vergleich_lb]])+dict_DQ_Meth_max[[#This Row],[Vergleich_lb]]</f>
        <v>1194.7892299999999</v>
      </c>
      <c r="H1380" s="11" t="str">
        <f ca="1">VLOOKUP(VLOOKUP(dict_DQ_Meth_max[[#This Row],[ID_DataQualities]],table_DataQualities[],3),table_Units[],2)</f>
        <v>Hz</v>
      </c>
      <c r="I1380" s="10"/>
      <c r="J1380" s="10"/>
      <c r="K1380" s="10"/>
      <c r="L1380" s="10">
        <f ca="1">VLOOKUP(dict_DQ_Meth_max[[#This Row],[ID_DataQualities]],table_DataQualities[],8,FALSE)</f>
        <v>0.161</v>
      </c>
      <c r="M1380" s="10">
        <f ca="1">VLOOKUP(dict_DQ_Meth_max[[#This Row],[ID_DataQualities]],table_DataQualities[],9,FALSE)</f>
        <v>2096</v>
      </c>
    </row>
    <row r="1381" spans="1:13" x14ac:dyDescent="0.45">
      <c r="A1381" s="10">
        <v>369</v>
      </c>
      <c r="B1381" s="10">
        <v>182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0.38783999999999996</v>
      </c>
      <c r="G1381" s="12">
        <f ca="1">(RANDBETWEEN(50,100)/100)*(dict_DQ_Meth_max[[#This Row],[Vergleich_ub]]-dict_DQ_Meth_max[[#This Row],[Vergleich_lb]])+dict_DQ_Meth_max[[#This Row],[Vergleich_lb]]</f>
        <v>1.0809599999999999</v>
      </c>
      <c r="H1381" s="11" t="str">
        <f ca="1">VLOOKUP(VLOOKUP(dict_DQ_Meth_max[[#This Row],[ID_DataQualities]],table_DataQualities[],3),table_Units[],2)</f>
        <v>+/- W</v>
      </c>
      <c r="I1381" s="10"/>
      <c r="J1381" s="10"/>
      <c r="K1381" s="10"/>
      <c r="L1381" s="10">
        <f ca="1">VLOOKUP(dict_DQ_Meth_max[[#This Row],[ID_DataQualities]],table_DataQualities[],8,FALSE)</f>
        <v>9.6000000000000002E-2</v>
      </c>
      <c r="M1381" s="10">
        <f ca="1">VLOOKUP(dict_DQ_Meth_max[[#This Row],[ID_DataQualities]],table_DataQualities[],9,FALSE)</f>
        <v>1.92</v>
      </c>
    </row>
    <row r="1382" spans="1:13" x14ac:dyDescent="0.45">
      <c r="A1382" s="10">
        <v>369</v>
      </c>
      <c r="B1382" s="10">
        <v>39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0.29664000000000001</v>
      </c>
      <c r="G1382" s="12">
        <f ca="1">(RANDBETWEEN(50,100)/100)*(dict_DQ_Meth_max[[#This Row],[Vergleich_ub]]-dict_DQ_Meth_max[[#This Row],[Vergleich_lb]])+dict_DQ_Meth_max[[#This Row],[Vergleich_lb]]</f>
        <v>1.26336</v>
      </c>
      <c r="H1382" s="11" t="str">
        <f ca="1">VLOOKUP(VLOOKUP(dict_DQ_Meth_max[[#This Row],[ID_DataQualities]],table_DataQualities[],3),table_Units[],2)</f>
        <v>+/- W</v>
      </c>
      <c r="I1382" s="10"/>
      <c r="J1382" s="10"/>
      <c r="K1382" s="10"/>
      <c r="L1382" s="10">
        <f ca="1">VLOOKUP(dict_DQ_Meth_max[[#This Row],[ID_DataQualities]],table_DataQualities[],8,FALSE)</f>
        <v>9.6000000000000002E-2</v>
      </c>
      <c r="M1382" s="10">
        <f ca="1">VLOOKUP(dict_DQ_Meth_max[[#This Row],[ID_DataQualities]],table_DataQualities[],9,FALSE)</f>
        <v>1.92</v>
      </c>
    </row>
    <row r="1383" spans="1:13" x14ac:dyDescent="0.45">
      <c r="A1383" s="10">
        <v>369</v>
      </c>
      <c r="B1383" s="10">
        <v>479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0.86207999999999985</v>
      </c>
      <c r="G1383" s="12">
        <f ca="1">(RANDBETWEEN(50,100)/100)*(dict_DQ_Meth_max[[#This Row],[Vergleich_ub]]-dict_DQ_Meth_max[[#This Row],[Vergleich_lb]])+dict_DQ_Meth_max[[#This Row],[Vergleich_lb]]</f>
        <v>1.02624</v>
      </c>
      <c r="H1383" s="11" t="str">
        <f ca="1">VLOOKUP(VLOOKUP(dict_DQ_Meth_max[[#This Row],[ID_DataQualities]],table_DataQualities[],3),table_Units[],2)</f>
        <v>+/- W</v>
      </c>
      <c r="I1383" s="10"/>
      <c r="J1383" s="10"/>
      <c r="K1383" s="10"/>
      <c r="L1383" s="10">
        <f ca="1">VLOOKUP(dict_DQ_Meth_max[[#This Row],[ID_DataQualities]],table_DataQualities[],8,FALSE)</f>
        <v>9.6000000000000002E-2</v>
      </c>
      <c r="M1383" s="10">
        <f ca="1">VLOOKUP(dict_DQ_Meth_max[[#This Row],[ID_DataQualities]],table_DataQualities[],9,FALSE)</f>
        <v>1.92</v>
      </c>
    </row>
    <row r="1384" spans="1:13" x14ac:dyDescent="0.45">
      <c r="A1384" s="10">
        <v>370</v>
      </c>
      <c r="B1384" s="10">
        <v>689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819.29327999999987</v>
      </c>
      <c r="G1384" s="12">
        <f ca="1">(RANDBETWEEN(50,100)/100)*(dict_DQ_Meth_max[[#This Row],[Vergleich_ub]]-dict_DQ_Meth_max[[#This Row],[Vergleich_lb]])+dict_DQ_Meth_max[[#This Row],[Vergleich_lb]]</f>
        <v>5935.15128</v>
      </c>
      <c r="H1384" s="11" t="str">
        <f ca="1">VLOOKUP(VLOOKUP(dict_DQ_Meth_max[[#This Row],[ID_DataQualities]],table_DataQualities[],3),table_Units[],2)</f>
        <v>Hz</v>
      </c>
      <c r="I1384" s="10"/>
      <c r="J1384" s="10"/>
      <c r="K1384" s="10"/>
      <c r="L1384" s="10">
        <f ca="1">VLOOKUP(dict_DQ_Meth_max[[#This Row],[ID_DataQualities]],table_DataQualities[],8,FALSE)</f>
        <v>0.75600000000000001</v>
      </c>
      <c r="M1384" s="10">
        <f ca="1">VLOOKUP(dict_DQ_Meth_max[[#This Row],[ID_DataQualities]],table_DataQualities[],9,FALSE)</f>
        <v>6821.9</v>
      </c>
    </row>
    <row r="1385" spans="1:13" x14ac:dyDescent="0.45">
      <c r="A1385" s="10">
        <v>370</v>
      </c>
      <c r="B1385" s="10">
        <v>612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2524.5792799999995</v>
      </c>
      <c r="G1385" s="12">
        <f ca="1">(RANDBETWEEN(50,100)/100)*(dict_DQ_Meth_max[[#This Row],[Vergleich_ub]]-dict_DQ_Meth_max[[#This Row],[Vergleich_lb]])+dict_DQ_Meth_max[[#This Row],[Vergleich_lb]]</f>
        <v>6003.3627200000001</v>
      </c>
      <c r="H1385" s="11" t="str">
        <f ca="1">VLOOKUP(VLOOKUP(dict_DQ_Meth_max[[#This Row],[ID_DataQualities]],table_DataQualities[],3),table_Units[],2)</f>
        <v>Hz</v>
      </c>
      <c r="I1385" s="10"/>
      <c r="J1385" s="10"/>
      <c r="K1385" s="10"/>
      <c r="L1385" s="10">
        <f ca="1">VLOOKUP(dict_DQ_Meth_max[[#This Row],[ID_DataQualities]],table_DataQualities[],8,FALSE)</f>
        <v>0.75600000000000001</v>
      </c>
      <c r="M1385" s="10">
        <f ca="1">VLOOKUP(dict_DQ_Meth_max[[#This Row],[ID_DataQualities]],table_DataQualities[],9,FALSE)</f>
        <v>6821.9</v>
      </c>
    </row>
    <row r="1386" spans="1:13" x14ac:dyDescent="0.45">
      <c r="A1386" s="10">
        <v>370</v>
      </c>
      <c r="B1386" s="10">
        <v>30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3343.1165599999995</v>
      </c>
      <c r="G1386" s="12">
        <f ca="1">(RANDBETWEEN(50,100)/100)*(dict_DQ_Meth_max[[#This Row],[Vergleich_ub]]-dict_DQ_Meth_max[[#This Row],[Vergleich_lb]])+dict_DQ_Meth_max[[#This Row],[Vergleich_lb]]</f>
        <v>3411.3279999999995</v>
      </c>
      <c r="H1386" s="11" t="str">
        <f ca="1">VLOOKUP(VLOOKUP(dict_DQ_Meth_max[[#This Row],[ID_DataQualities]],table_DataQualities[],3),table_Units[],2)</f>
        <v>Hz</v>
      </c>
      <c r="I1386" s="10"/>
      <c r="J1386" s="10"/>
      <c r="K1386" s="10"/>
      <c r="L1386" s="10">
        <f ca="1">VLOOKUP(dict_DQ_Meth_max[[#This Row],[ID_DataQualities]],table_DataQualities[],8,FALSE)</f>
        <v>0.75600000000000001</v>
      </c>
      <c r="M1386" s="10">
        <f ca="1">VLOOKUP(dict_DQ_Meth_max[[#This Row],[ID_DataQualities]],table_DataQualities[],9,FALSE)</f>
        <v>6821.9</v>
      </c>
    </row>
    <row r="1387" spans="1:13" x14ac:dyDescent="0.45">
      <c r="A1387" s="10">
        <v>370</v>
      </c>
      <c r="B1387" s="10">
        <v>335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2933.8479199999997</v>
      </c>
      <c r="G1387" s="12">
        <f ca="1">(RANDBETWEEN(50,100)/100)*(dict_DQ_Meth_max[[#This Row],[Vergleich_ub]]-dict_DQ_Meth_max[[#This Row],[Vergleich_lb]])+dict_DQ_Meth_max[[#This Row],[Vergleich_lb]]</f>
        <v>6685.4771199999996</v>
      </c>
      <c r="H1387" s="11" t="str">
        <f ca="1">VLOOKUP(VLOOKUP(dict_DQ_Meth_max[[#This Row],[ID_DataQualities]],table_DataQualities[],3),table_Units[],2)</f>
        <v>Hz</v>
      </c>
      <c r="I1387" s="10"/>
      <c r="J1387" s="10"/>
      <c r="K1387" s="10"/>
      <c r="L1387" s="10">
        <f ca="1">VLOOKUP(dict_DQ_Meth_max[[#This Row],[ID_DataQualities]],table_DataQualities[],8,FALSE)</f>
        <v>0.75600000000000001</v>
      </c>
      <c r="M1387" s="10">
        <f ca="1">VLOOKUP(dict_DQ_Meth_max[[#This Row],[ID_DataQualities]],table_DataQualities[],9,FALSE)</f>
        <v>6821.9</v>
      </c>
    </row>
    <row r="1388" spans="1:13" x14ac:dyDescent="0.45">
      <c r="A1388" s="10">
        <v>371</v>
      </c>
      <c r="B1388" s="10">
        <v>689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1.3856000000000002</v>
      </c>
      <c r="G1388" s="12">
        <f ca="1">(RANDBETWEEN(50,100)/100)*(dict_DQ_Meth_max[[#This Row],[Vergleich_ub]]-dict_DQ_Meth_max[[#This Row],[Vergleich_lb]])+dict_DQ_Meth_max[[#This Row],[Vergleich_lb]]</f>
        <v>5.4935999999999998</v>
      </c>
      <c r="H1388" s="11" t="str">
        <f ca="1">VLOOKUP(VLOOKUP(dict_DQ_Meth_max[[#This Row],[ID_DataQualities]],table_DataQualities[],3),table_Units[],2)</f>
        <v>+/- mm/s</v>
      </c>
      <c r="I1388" s="10"/>
      <c r="J1388" s="10"/>
      <c r="K1388" s="10"/>
      <c r="L1388" s="10">
        <f ca="1">VLOOKUP(dict_DQ_Meth_max[[#This Row],[ID_DataQualities]],table_DataQualities[],8,FALSE)</f>
        <v>0.88</v>
      </c>
      <c r="M1388" s="10">
        <f ca="1">VLOOKUP(dict_DQ_Meth_max[[#This Row],[ID_DataQualities]],table_DataQualities[],9,FALSE)</f>
        <v>7.2</v>
      </c>
    </row>
    <row r="1389" spans="1:13" x14ac:dyDescent="0.45">
      <c r="A1389" s="10">
        <v>371</v>
      </c>
      <c r="B1389" s="10">
        <v>30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3.4080000000000004</v>
      </c>
      <c r="G1389" s="12">
        <f ca="1">(RANDBETWEEN(50,100)/100)*(dict_DQ_Meth_max[[#This Row],[Vergleich_ub]]-dict_DQ_Meth_max[[#This Row],[Vergleich_lb]])+dict_DQ_Meth_max[[#This Row],[Vergleich_lb]]</f>
        <v>6.5048000000000004</v>
      </c>
      <c r="H1389" s="11" t="str">
        <f ca="1">VLOOKUP(VLOOKUP(dict_DQ_Meth_max[[#This Row],[ID_DataQualities]],table_DataQualities[],3),table_Units[],2)</f>
        <v>+/- mm/s</v>
      </c>
      <c r="I1389" s="10"/>
      <c r="J1389" s="10"/>
      <c r="K1389" s="10"/>
      <c r="L1389" s="10">
        <f ca="1">VLOOKUP(dict_DQ_Meth_max[[#This Row],[ID_DataQualities]],table_DataQualities[],8,FALSE)</f>
        <v>0.88</v>
      </c>
      <c r="M1389" s="10">
        <f ca="1">VLOOKUP(dict_DQ_Meth_max[[#This Row],[ID_DataQualities]],table_DataQualities[],9,FALSE)</f>
        <v>7.2</v>
      </c>
    </row>
    <row r="1390" spans="1:13" x14ac:dyDescent="0.45">
      <c r="A1390" s="10">
        <v>371</v>
      </c>
      <c r="B1390" s="10">
        <v>612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1.5752000000000002</v>
      </c>
      <c r="G1390" s="12">
        <f ca="1">(RANDBETWEEN(50,100)/100)*(dict_DQ_Meth_max[[#This Row],[Vergleich_ub]]-dict_DQ_Meth_max[[#This Row],[Vergleich_lb]])+dict_DQ_Meth_max[[#This Row],[Vergleich_lb]]</f>
        <v>5.9360000000000008</v>
      </c>
      <c r="H1390" s="11" t="str">
        <f ca="1">VLOOKUP(VLOOKUP(dict_DQ_Meth_max[[#This Row],[ID_DataQualities]],table_DataQualities[],3),table_Units[],2)</f>
        <v>+/- mm/s</v>
      </c>
      <c r="I1390" s="10"/>
      <c r="J1390" s="10"/>
      <c r="K1390" s="10"/>
      <c r="L1390" s="10">
        <f ca="1">VLOOKUP(dict_DQ_Meth_max[[#This Row],[ID_DataQualities]],table_DataQualities[],8,FALSE)</f>
        <v>0.88</v>
      </c>
      <c r="M1390" s="10">
        <f ca="1">VLOOKUP(dict_DQ_Meth_max[[#This Row],[ID_DataQualities]],table_DataQualities[],9,FALSE)</f>
        <v>7.2</v>
      </c>
    </row>
    <row r="1391" spans="1:13" x14ac:dyDescent="0.45">
      <c r="A1391" s="10">
        <v>371</v>
      </c>
      <c r="B1391" s="10">
        <v>335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2.8391999999999999</v>
      </c>
      <c r="G1391" s="12">
        <f ca="1">(RANDBETWEEN(50,100)/100)*(dict_DQ_Meth_max[[#This Row],[Vergleich_ub]]-dict_DQ_Meth_max[[#This Row],[Vergleich_lb]])+dict_DQ_Meth_max[[#This Row],[Vergleich_lb]]</f>
        <v>5.8728000000000007</v>
      </c>
      <c r="H1391" s="11" t="str">
        <f ca="1">VLOOKUP(VLOOKUP(dict_DQ_Meth_max[[#This Row],[ID_DataQualities]],table_DataQualities[],3),table_Units[],2)</f>
        <v>+/- mm/s</v>
      </c>
      <c r="I1391" s="10"/>
      <c r="J1391" s="10"/>
      <c r="K1391" s="10"/>
      <c r="L1391" s="10">
        <f ca="1">VLOOKUP(dict_DQ_Meth_max[[#This Row],[ID_DataQualities]],table_DataQualities[],8,FALSE)</f>
        <v>0.88</v>
      </c>
      <c r="M1391" s="10">
        <f ca="1">VLOOKUP(dict_DQ_Meth_max[[#This Row],[ID_DataQualities]],table_DataQualities[],9,FALSE)</f>
        <v>7.2</v>
      </c>
    </row>
    <row r="1392" spans="1:13" x14ac:dyDescent="0.45">
      <c r="A1392" s="10">
        <v>372</v>
      </c>
      <c r="B1392" s="10">
        <v>640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1936.0421000000001</v>
      </c>
      <c r="G1392" s="12">
        <f ca="1">(RANDBETWEEN(50,100)/100)*(dict_DQ_Meth_max[[#This Row],[Vergleich_ub]]-dict_DQ_Meth_max[[#This Row],[Vergleich_lb]])+dict_DQ_Meth_max[[#This Row],[Vergleich_lb]]</f>
        <v>4322.8369900000007</v>
      </c>
      <c r="H1392" s="11" t="str">
        <f ca="1">VLOOKUP(VLOOKUP(dict_DQ_Meth_max[[#This Row],[ID_DataQualities]],table_DataQualities[],3),table_Units[],2)</f>
        <v>Hz</v>
      </c>
      <c r="I1392" s="10"/>
      <c r="J1392" s="10"/>
      <c r="K1392" s="10"/>
      <c r="L1392" s="10">
        <f ca="1">VLOOKUP(dict_DQ_Meth_max[[#This Row],[ID_DataQualities]],table_DataQualities[],8,FALSE)</f>
        <v>0.80300000000000005</v>
      </c>
      <c r="M1392" s="10">
        <f ca="1">VLOOKUP(dict_DQ_Meth_max[[#This Row],[ID_DataQualities]],table_DataQualities[],9,FALSE)</f>
        <v>6451.6</v>
      </c>
    </row>
    <row r="1393" spans="1:13" x14ac:dyDescent="0.45">
      <c r="A1393" s="10">
        <v>372</v>
      </c>
      <c r="B1393" s="10">
        <v>650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452.35879000000006</v>
      </c>
      <c r="G1393" s="12">
        <f ca="1">(RANDBETWEEN(50,100)/100)*(dict_DQ_Meth_max[[#This Row],[Vergleich_ub]]-dict_DQ_Meth_max[[#This Row],[Vergleich_lb]])+dict_DQ_Meth_max[[#This Row],[Vergleich_lb]]</f>
        <v>5742.0123300000005</v>
      </c>
      <c r="H1393" s="11" t="str">
        <f ca="1">VLOOKUP(VLOOKUP(dict_DQ_Meth_max[[#This Row],[ID_DataQualities]],table_DataQualities[],3),table_Units[],2)</f>
        <v>Hz</v>
      </c>
      <c r="I1393" s="10"/>
      <c r="J1393" s="10"/>
      <c r="K1393" s="10"/>
      <c r="L1393" s="10">
        <f ca="1">VLOOKUP(dict_DQ_Meth_max[[#This Row],[ID_DataQualities]],table_DataQualities[],8,FALSE)</f>
        <v>0.80300000000000005</v>
      </c>
      <c r="M1393" s="10">
        <f ca="1">VLOOKUP(dict_DQ_Meth_max[[#This Row],[ID_DataQualities]],table_DataQualities[],9,FALSE)</f>
        <v>6451.6</v>
      </c>
    </row>
    <row r="1394" spans="1:13" x14ac:dyDescent="0.45">
      <c r="A1394" s="10">
        <v>372</v>
      </c>
      <c r="B1394" s="10">
        <v>614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387.85082</v>
      </c>
      <c r="G1394" s="12">
        <f ca="1">(RANDBETWEEN(50,100)/100)*(dict_DQ_Meth_max[[#This Row],[Vergleich_ub]]-dict_DQ_Meth_max[[#This Row],[Vergleich_lb]])+dict_DQ_Meth_max[[#This Row],[Vergleich_lb]]</f>
        <v>3677.75729</v>
      </c>
      <c r="H1394" s="11" t="str">
        <f ca="1">VLOOKUP(VLOOKUP(dict_DQ_Meth_max[[#This Row],[ID_DataQualities]],table_DataQualities[],3),table_Units[],2)</f>
        <v>Hz</v>
      </c>
      <c r="I1394" s="10"/>
      <c r="J1394" s="10"/>
      <c r="K1394" s="10"/>
      <c r="L1394" s="10">
        <f ca="1">VLOOKUP(dict_DQ_Meth_max[[#This Row],[ID_DataQualities]],table_DataQualities[],8,FALSE)</f>
        <v>0.80300000000000005</v>
      </c>
      <c r="M1394" s="10">
        <f ca="1">VLOOKUP(dict_DQ_Meth_max[[#This Row],[ID_DataQualities]],table_DataQualities[],9,FALSE)</f>
        <v>6451.6</v>
      </c>
    </row>
    <row r="1395" spans="1:13" x14ac:dyDescent="0.45">
      <c r="A1395" s="10">
        <v>372</v>
      </c>
      <c r="B1395" s="10">
        <v>581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3032.6775899999998</v>
      </c>
      <c r="G1395" s="12">
        <f ca="1">(RANDBETWEEN(50,100)/100)*(dict_DQ_Meth_max[[#This Row],[Vergleich_ub]]-dict_DQ_Meth_max[[#This Row],[Vergleich_lb]])+dict_DQ_Meth_max[[#This Row],[Vergleich_lb]]</f>
        <v>3806.7732299999998</v>
      </c>
      <c r="H1395" s="11" t="str">
        <f ca="1">VLOOKUP(VLOOKUP(dict_DQ_Meth_max[[#This Row],[ID_DataQualities]],table_DataQualities[],3),table_Units[],2)</f>
        <v>Hz</v>
      </c>
      <c r="I1395" s="10"/>
      <c r="J1395" s="10"/>
      <c r="K1395" s="10"/>
      <c r="L1395" s="10">
        <f ca="1">VLOOKUP(dict_DQ_Meth_max[[#This Row],[ID_DataQualities]],table_DataQualities[],8,FALSE)</f>
        <v>0.80300000000000005</v>
      </c>
      <c r="M1395" s="10">
        <f ca="1">VLOOKUP(dict_DQ_Meth_max[[#This Row],[ID_DataQualities]],table_DataQualities[],9,FALSE)</f>
        <v>6451.6</v>
      </c>
    </row>
    <row r="1396" spans="1:13" x14ac:dyDescent="0.45">
      <c r="A1396" s="10">
        <v>373</v>
      </c>
      <c r="B1396" s="10">
        <v>581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0.67470000000000008</v>
      </c>
      <c r="G1396" s="12">
        <f ca="1">(RANDBETWEEN(50,100)/100)*(dict_DQ_Meth_max[[#This Row],[Vergleich_ub]]-dict_DQ_Meth_max[[#This Row],[Vergleich_lb]])+dict_DQ_Meth_max[[#This Row],[Vergleich_lb]]</f>
        <v>1.3284</v>
      </c>
      <c r="H1396" s="11" t="str">
        <f ca="1">VLOOKUP(VLOOKUP(dict_DQ_Meth_max[[#This Row],[ID_DataQualities]],table_DataQualities[],3),table_Units[],2)</f>
        <v>+/- mm</v>
      </c>
      <c r="I1396" s="10"/>
      <c r="J1396" s="10"/>
      <c r="K1396" s="10"/>
      <c r="L1396" s="10">
        <f ca="1">VLOOKUP(dict_DQ_Meth_max[[#This Row],[ID_DataQualities]],table_DataQualities[],8,FALSE)</f>
        <v>2.1000000000000001E-2</v>
      </c>
      <c r="M1396" s="10">
        <f ca="1">VLOOKUP(dict_DQ_Meth_max[[#This Row],[ID_DataQualities]],table_DataQualities[],9,FALSE)</f>
        <v>2.2000000000000002</v>
      </c>
    </row>
    <row r="1397" spans="1:13" x14ac:dyDescent="0.45">
      <c r="A1397" s="10">
        <v>373</v>
      </c>
      <c r="B1397" s="10">
        <v>614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0.21711</v>
      </c>
      <c r="G1397" s="12">
        <f ca="1">(RANDBETWEEN(50,100)/100)*(dict_DQ_Meth_max[[#This Row],[Vergleich_ub]]-dict_DQ_Meth_max[[#This Row],[Vergleich_lb]])+dict_DQ_Meth_max[[#This Row],[Vergleich_lb]]</f>
        <v>1.35019</v>
      </c>
      <c r="H1397" s="11" t="str">
        <f ca="1">VLOOKUP(VLOOKUP(dict_DQ_Meth_max[[#This Row],[ID_DataQualities]],table_DataQualities[],3),table_Units[],2)</f>
        <v>+/- mm</v>
      </c>
      <c r="I1397" s="10"/>
      <c r="J1397" s="10"/>
      <c r="K1397" s="10"/>
      <c r="L1397" s="10">
        <f ca="1">VLOOKUP(dict_DQ_Meth_max[[#This Row],[ID_DataQualities]],table_DataQualities[],8,FALSE)</f>
        <v>2.1000000000000001E-2</v>
      </c>
      <c r="M1397" s="10">
        <f ca="1">VLOOKUP(dict_DQ_Meth_max[[#This Row],[ID_DataQualities]],table_DataQualities[],9,FALSE)</f>
        <v>2.2000000000000002</v>
      </c>
    </row>
    <row r="1398" spans="1:13" x14ac:dyDescent="0.45">
      <c r="A1398" s="10">
        <v>373</v>
      </c>
      <c r="B1398" s="10">
        <v>650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0.21711</v>
      </c>
      <c r="G1398" s="12">
        <f ca="1">(RANDBETWEEN(50,100)/100)*(dict_DQ_Meth_max[[#This Row],[Vergleich_ub]]-dict_DQ_Meth_max[[#This Row],[Vergleich_lb]])+dict_DQ_Meth_max[[#This Row],[Vergleich_lb]]</f>
        <v>1.9603100000000002</v>
      </c>
      <c r="H1398" s="11" t="str">
        <f ca="1">VLOOKUP(VLOOKUP(dict_DQ_Meth_max[[#This Row],[ID_DataQualities]],table_DataQualities[],3),table_Units[],2)</f>
        <v>+/- mm</v>
      </c>
      <c r="I1398" s="10"/>
      <c r="J1398" s="10"/>
      <c r="K1398" s="10"/>
      <c r="L1398" s="10">
        <f ca="1">VLOOKUP(dict_DQ_Meth_max[[#This Row],[ID_DataQualities]],table_DataQualities[],8,FALSE)</f>
        <v>2.1000000000000001E-2</v>
      </c>
      <c r="M1398" s="10">
        <f ca="1">VLOOKUP(dict_DQ_Meth_max[[#This Row],[ID_DataQualities]],table_DataQualities[],9,FALSE)</f>
        <v>2.2000000000000002</v>
      </c>
    </row>
    <row r="1399" spans="1:13" x14ac:dyDescent="0.45">
      <c r="A1399" s="10">
        <v>373</v>
      </c>
      <c r="B1399" s="10">
        <v>640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0.45680000000000009</v>
      </c>
      <c r="G1399" s="12">
        <f ca="1">(RANDBETWEEN(50,100)/100)*(dict_DQ_Meth_max[[#This Row],[Vergleich_ub]]-dict_DQ_Meth_max[[#This Row],[Vergleich_lb]])+dict_DQ_Meth_max[[#This Row],[Vergleich_lb]]</f>
        <v>1.3937700000000002</v>
      </c>
      <c r="H1399" s="11" t="str">
        <f ca="1">VLOOKUP(VLOOKUP(dict_DQ_Meth_max[[#This Row],[ID_DataQualities]],table_DataQualities[],3),table_Units[],2)</f>
        <v>+/- mm</v>
      </c>
      <c r="I1399" s="10"/>
      <c r="J1399" s="10"/>
      <c r="K1399" s="10"/>
      <c r="L1399" s="10">
        <f ca="1">VLOOKUP(dict_DQ_Meth_max[[#This Row],[ID_DataQualities]],table_DataQualities[],8,FALSE)</f>
        <v>2.1000000000000001E-2</v>
      </c>
      <c r="M1399" s="10">
        <f ca="1">VLOOKUP(dict_DQ_Meth_max[[#This Row],[ID_DataQualities]],table_DataQualities[],9,FALSE)</f>
        <v>2.2000000000000002</v>
      </c>
    </row>
    <row r="1400" spans="1:13" x14ac:dyDescent="0.45">
      <c r="A1400" s="10">
        <v>374</v>
      </c>
      <c r="B1400" s="10">
        <v>11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0.222</v>
      </c>
      <c r="G1400" s="12">
        <f ca="1">(RANDBETWEEN(50,100)/100)*(dict_DQ_Meth_max[[#This Row],[Vergleich_ub]]-dict_DQ_Meth_max[[#This Row],[Vergleich_lb]])+dict_DQ_Meth_max[[#This Row],[Vergleich_lb]]</f>
        <v>398.78411999999997</v>
      </c>
      <c r="H1400" s="11" t="str">
        <f ca="1">VLOOKUP(VLOOKUP(dict_DQ_Meth_max[[#This Row],[ID_DataQualities]],table_DataQualities[],3),table_Units[],2)</f>
        <v>Hz</v>
      </c>
      <c r="I1400" s="10"/>
      <c r="J1400" s="10"/>
      <c r="K1400" s="10"/>
      <c r="L1400" s="10">
        <f ca="1">VLOOKUP(dict_DQ_Meth_max[[#This Row],[ID_DataQualities]],table_DataQualities[],8,FALSE)</f>
        <v>0.222</v>
      </c>
      <c r="M1400" s="10">
        <f ca="1">VLOOKUP(dict_DQ_Meth_max[[#This Row],[ID_DataQualities]],table_DataQualities[],9,FALSE)</f>
        <v>738.3</v>
      </c>
    </row>
    <row r="1401" spans="1:13" x14ac:dyDescent="0.45">
      <c r="A1401" s="10">
        <v>374</v>
      </c>
      <c r="B1401" s="10">
        <v>104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236.40696</v>
      </c>
      <c r="G1401" s="12">
        <f ca="1">(RANDBETWEEN(50,100)/100)*(dict_DQ_Meth_max[[#This Row],[Vergleich_ub]]-dict_DQ_Meth_max[[#This Row],[Vergleich_lb]])+dict_DQ_Meth_max[[#This Row],[Vergleich_lb]]</f>
        <v>605.4459599999999</v>
      </c>
      <c r="H1401" s="11" t="str">
        <f ca="1">VLOOKUP(VLOOKUP(dict_DQ_Meth_max[[#This Row],[ID_DataQualities]],table_DataQualities[],3),table_Units[],2)</f>
        <v>Hz</v>
      </c>
      <c r="I1401" s="10"/>
      <c r="J1401" s="10"/>
      <c r="K1401" s="10"/>
      <c r="L1401" s="10">
        <f ca="1">VLOOKUP(dict_DQ_Meth_max[[#This Row],[ID_DataQualities]],table_DataQualities[],8,FALSE)</f>
        <v>0.222</v>
      </c>
      <c r="M1401" s="10">
        <f ca="1">VLOOKUP(dict_DQ_Meth_max[[#This Row],[ID_DataQualities]],table_DataQualities[],9,FALSE)</f>
        <v>738.3</v>
      </c>
    </row>
    <row r="1402" spans="1:13" x14ac:dyDescent="0.45">
      <c r="A1402" s="10">
        <v>374</v>
      </c>
      <c r="B1402" s="10">
        <v>55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258.54929999999996</v>
      </c>
      <c r="G1402" s="12">
        <f ca="1">(RANDBETWEEN(50,100)/100)*(dict_DQ_Meth_max[[#This Row],[Vergleich_ub]]-dict_DQ_Meth_max[[#This Row],[Vergleich_lb]])+dict_DQ_Meth_max[[#This Row],[Vergleich_lb]]</f>
        <v>384.02256</v>
      </c>
      <c r="H1402" s="11" t="str">
        <f ca="1">VLOOKUP(VLOOKUP(dict_DQ_Meth_max[[#This Row],[ID_DataQualities]],table_DataQualities[],3),table_Units[],2)</f>
        <v>Hz</v>
      </c>
      <c r="I1402" s="10"/>
      <c r="J1402" s="10"/>
      <c r="K1402" s="10"/>
      <c r="L1402" s="10">
        <f ca="1">VLOOKUP(dict_DQ_Meth_max[[#This Row],[ID_DataQualities]],table_DataQualities[],8,FALSE)</f>
        <v>0.222</v>
      </c>
      <c r="M1402" s="10">
        <f ca="1">VLOOKUP(dict_DQ_Meth_max[[#This Row],[ID_DataQualities]],table_DataQualities[],9,FALSE)</f>
        <v>738.3</v>
      </c>
    </row>
    <row r="1403" spans="1:13" x14ac:dyDescent="0.45">
      <c r="A1403" s="10">
        <v>375</v>
      </c>
      <c r="B1403" s="10">
        <v>11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1828.56</v>
      </c>
      <c r="G1403" s="12">
        <f ca="1">(RANDBETWEEN(50,100)/100)*(dict_DQ_Meth_max[[#This Row],[Vergleich_ub]]-dict_DQ_Meth_max[[#This Row],[Vergleich_lb]])+dict_DQ_Meth_max[[#This Row],[Vergleich_lb]]</f>
        <v>7649.4000000000005</v>
      </c>
      <c r="H1403" s="11" t="str">
        <f ca="1">VLOOKUP(VLOOKUP(dict_DQ_Meth_max[[#This Row],[ID_DataQualities]],table_DataQualities[],3),table_Units[],2)</f>
        <v>bit</v>
      </c>
      <c r="I1403" s="10"/>
      <c r="J1403" s="10"/>
      <c r="K1403" s="10"/>
      <c r="L1403" s="10">
        <f ca="1">VLOOKUP(dict_DQ_Meth_max[[#This Row],[ID_DataQualities]],table_DataQualities[],8,FALSE)</f>
        <v>57</v>
      </c>
      <c r="M1403" s="10">
        <f ca="1">VLOOKUP(dict_DQ_Meth_max[[#This Row],[ID_DataQualities]],table_DataQualities[],9,FALSE)</f>
        <v>8493</v>
      </c>
    </row>
    <row r="1404" spans="1:13" x14ac:dyDescent="0.45">
      <c r="A1404" s="10">
        <v>375</v>
      </c>
      <c r="B1404" s="10">
        <v>55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2250.36</v>
      </c>
      <c r="G1404" s="12">
        <f ca="1">(RANDBETWEEN(50,100)/100)*(dict_DQ_Meth_max[[#This Row],[Vergleich_ub]]-dict_DQ_Meth_max[[#This Row],[Vergleich_lb]])+dict_DQ_Meth_max[[#This Row],[Vergleich_lb]]</f>
        <v>5118.5999999999995</v>
      </c>
      <c r="H1404" s="11" t="str">
        <f ca="1">VLOOKUP(VLOOKUP(dict_DQ_Meth_max[[#This Row],[ID_DataQualities]],table_DataQualities[],3),table_Units[],2)</f>
        <v>bit</v>
      </c>
      <c r="I1404" s="10"/>
      <c r="J1404" s="10"/>
      <c r="K1404" s="10"/>
      <c r="L1404" s="10">
        <f ca="1">VLOOKUP(dict_DQ_Meth_max[[#This Row],[ID_DataQualities]],table_DataQualities[],8,FALSE)</f>
        <v>57</v>
      </c>
      <c r="M1404" s="10">
        <f ca="1">VLOOKUP(dict_DQ_Meth_max[[#This Row],[ID_DataQualities]],table_DataQualities[],9,FALSE)</f>
        <v>8493</v>
      </c>
    </row>
    <row r="1405" spans="1:13" x14ac:dyDescent="0.45">
      <c r="A1405" s="10">
        <v>375</v>
      </c>
      <c r="B1405" s="10">
        <v>104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816.24</v>
      </c>
      <c r="G1405" s="12">
        <f ca="1">(RANDBETWEEN(50,100)/100)*(dict_DQ_Meth_max[[#This Row],[Vergleich_ub]]-dict_DQ_Meth_max[[#This Row],[Vergleich_lb]])+dict_DQ_Meth_max[[#This Row],[Vergleich_lb]]</f>
        <v>7058.88</v>
      </c>
      <c r="H1405" s="11" t="str">
        <f ca="1">VLOOKUP(VLOOKUP(dict_DQ_Meth_max[[#This Row],[ID_DataQualities]],table_DataQualities[],3),table_Units[],2)</f>
        <v>bit</v>
      </c>
      <c r="I1405" s="10"/>
      <c r="J1405" s="10"/>
      <c r="K1405" s="10"/>
      <c r="L1405" s="10">
        <f ca="1">VLOOKUP(dict_DQ_Meth_max[[#This Row],[ID_DataQualities]],table_DataQualities[],8,FALSE)</f>
        <v>57</v>
      </c>
      <c r="M1405" s="10">
        <f ca="1">VLOOKUP(dict_DQ_Meth_max[[#This Row],[ID_DataQualities]],table_DataQualities[],9,FALSE)</f>
        <v>8493</v>
      </c>
    </row>
    <row r="1406" spans="1:13" x14ac:dyDescent="0.45">
      <c r="A1406" s="10">
        <v>376</v>
      </c>
      <c r="B1406" s="10">
        <v>199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365.13740000000001</v>
      </c>
      <c r="G1406" s="12">
        <f ca="1">(RANDBETWEEN(50,100)/100)*(dict_DQ_Meth_max[[#This Row],[Vergleich_ub]]-dict_DQ_Meth_max[[#This Row],[Vergleich_lb]])+dict_DQ_Meth_max[[#This Row],[Vergleich_lb]]</f>
        <v>6265.9128799999999</v>
      </c>
      <c r="H1406" s="11" t="str">
        <f ca="1">VLOOKUP(VLOOKUP(dict_DQ_Meth_max[[#This Row],[ID_DataQualities]],table_DataQualities[],3),table_Units[],2)</f>
        <v>Hz</v>
      </c>
      <c r="I1406" s="10"/>
      <c r="J1406" s="10"/>
      <c r="K1406" s="10"/>
      <c r="L1406" s="10">
        <f ca="1">VLOOKUP(dict_DQ_Meth_max[[#This Row],[ID_DataQualities]],table_DataQualities[],8,FALSE)</f>
        <v>0.89200000000000002</v>
      </c>
      <c r="M1406" s="10">
        <f ca="1">VLOOKUP(dict_DQ_Meth_max[[#This Row],[ID_DataQualities]],table_DataQualities[],9,FALSE)</f>
        <v>7285.8</v>
      </c>
    </row>
    <row r="1407" spans="1:13" x14ac:dyDescent="0.45">
      <c r="A1407" s="10">
        <v>376</v>
      </c>
      <c r="B1407" s="10">
        <v>394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2842.00612</v>
      </c>
      <c r="G1407" s="12">
        <f ca="1">(RANDBETWEEN(50,100)/100)*(dict_DQ_Meth_max[[#This Row],[Vergleich_ub]]-dict_DQ_Meth_max[[#This Row],[Vergleich_lb]])+dict_DQ_Meth_max[[#This Row],[Vergleich_lb]]</f>
        <v>4080.4404800000002</v>
      </c>
      <c r="H1407" s="11" t="str">
        <f ca="1">VLOOKUP(VLOOKUP(dict_DQ_Meth_max[[#This Row],[ID_DataQualities]],table_DataQualities[],3),table_Units[],2)</f>
        <v>Hz</v>
      </c>
      <c r="I1407" s="10"/>
      <c r="J1407" s="10"/>
      <c r="K1407" s="10"/>
      <c r="L1407" s="10">
        <f ca="1">VLOOKUP(dict_DQ_Meth_max[[#This Row],[ID_DataQualities]],table_DataQualities[],8,FALSE)</f>
        <v>0.89200000000000002</v>
      </c>
      <c r="M1407" s="10">
        <f ca="1">VLOOKUP(dict_DQ_Meth_max[[#This Row],[ID_DataQualities]],table_DataQualities[],9,FALSE)</f>
        <v>7285.8</v>
      </c>
    </row>
    <row r="1408" spans="1:13" x14ac:dyDescent="0.45">
      <c r="A1408" s="10">
        <v>376</v>
      </c>
      <c r="B1408" s="10">
        <v>591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1239.3263600000002</v>
      </c>
      <c r="G1408" s="12">
        <f ca="1">(RANDBETWEEN(50,100)/100)*(dict_DQ_Meth_max[[#This Row],[Vergleich_ub]]-dict_DQ_Meth_max[[#This Row],[Vergleich_lb]])+dict_DQ_Meth_max[[#This Row],[Vergleich_lb]]</f>
        <v>6630.1582800000006</v>
      </c>
      <c r="H1408" s="11" t="str">
        <f ca="1">VLOOKUP(VLOOKUP(dict_DQ_Meth_max[[#This Row],[ID_DataQualities]],table_DataQualities[],3),table_Units[],2)</f>
        <v>Hz</v>
      </c>
      <c r="I1408" s="10"/>
      <c r="J1408" s="10"/>
      <c r="K1408" s="10"/>
      <c r="L1408" s="10">
        <f ca="1">VLOOKUP(dict_DQ_Meth_max[[#This Row],[ID_DataQualities]],table_DataQualities[],8,FALSE)</f>
        <v>0.89200000000000002</v>
      </c>
      <c r="M1408" s="10">
        <f ca="1">VLOOKUP(dict_DQ_Meth_max[[#This Row],[ID_DataQualities]],table_DataQualities[],9,FALSE)</f>
        <v>7285.8</v>
      </c>
    </row>
    <row r="1409" spans="1:13" x14ac:dyDescent="0.45">
      <c r="A1409" s="10">
        <v>376</v>
      </c>
      <c r="B1409" s="10">
        <v>203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2113.51532</v>
      </c>
      <c r="G1409" s="12">
        <f ca="1">(RANDBETWEEN(50,100)/100)*(dict_DQ_Meth_max[[#This Row],[Vergleich_ub]]-dict_DQ_Meth_max[[#This Row],[Vergleich_lb]])+dict_DQ_Meth_max[[#This Row],[Vergleich_lb]]</f>
        <v>4080.4404800000002</v>
      </c>
      <c r="H1409" s="11" t="str">
        <f ca="1">VLOOKUP(VLOOKUP(dict_DQ_Meth_max[[#This Row],[ID_DataQualities]],table_DataQualities[],3),table_Units[],2)</f>
        <v>Hz</v>
      </c>
      <c r="I1409" s="10"/>
      <c r="J1409" s="10"/>
      <c r="K1409" s="10"/>
      <c r="L1409" s="10">
        <f ca="1">VLOOKUP(dict_DQ_Meth_max[[#This Row],[ID_DataQualities]],table_DataQualities[],8,FALSE)</f>
        <v>0.89200000000000002</v>
      </c>
      <c r="M1409" s="10">
        <f ca="1">VLOOKUP(dict_DQ_Meth_max[[#This Row],[ID_DataQualities]],table_DataQualities[],9,FALSE)</f>
        <v>7285.8</v>
      </c>
    </row>
    <row r="1410" spans="1:13" x14ac:dyDescent="0.45">
      <c r="A1410" s="10">
        <v>377</v>
      </c>
      <c r="B1410" s="10">
        <v>394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0.81299999999999994</v>
      </c>
      <c r="G1410" s="12">
        <f ca="1">(RANDBETWEEN(50,100)/100)*(dict_DQ_Meth_max[[#This Row],[Vergleich_ub]]-dict_DQ_Meth_max[[#This Row],[Vergleich_lb]])+dict_DQ_Meth_max[[#This Row],[Vergleich_lb]]</f>
        <v>5.1449999999999996</v>
      </c>
      <c r="H1410" s="11" t="str">
        <f ca="1">VLOOKUP(VLOOKUP(dict_DQ_Meth_max[[#This Row],[ID_DataQualities]],table_DataQualities[],3),table_Units[],2)</f>
        <v>+/- °C</v>
      </c>
      <c r="I1410" s="10"/>
      <c r="J1410" s="10"/>
      <c r="K1410" s="10"/>
      <c r="L1410" s="10">
        <f ca="1">VLOOKUP(dict_DQ_Meth_max[[#This Row],[ID_DataQualities]],table_DataQualities[],8,FALSE)</f>
        <v>0.3</v>
      </c>
      <c r="M1410" s="10">
        <f ca="1">VLOOKUP(dict_DQ_Meth_max[[#This Row],[ID_DataQualities]],table_DataQualities[],9,FALSE)</f>
        <v>6</v>
      </c>
    </row>
    <row r="1411" spans="1:13" x14ac:dyDescent="0.45">
      <c r="A1411" s="10">
        <v>377</v>
      </c>
      <c r="B1411" s="10">
        <v>199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2.58</v>
      </c>
      <c r="G1411" s="12">
        <f ca="1">(RANDBETWEEN(50,100)/100)*(dict_DQ_Meth_max[[#This Row],[Vergleich_ub]]-dict_DQ_Meth_max[[#This Row],[Vergleich_lb]])+dict_DQ_Meth_max[[#This Row],[Vergleich_lb]]</f>
        <v>6</v>
      </c>
      <c r="H1411" s="11" t="str">
        <f ca="1">VLOOKUP(VLOOKUP(dict_DQ_Meth_max[[#This Row],[ID_DataQualities]],table_DataQualities[],3),table_Units[],2)</f>
        <v>+/- °C</v>
      </c>
      <c r="I1411" s="10"/>
      <c r="J1411" s="10"/>
      <c r="K1411" s="10"/>
      <c r="L1411" s="10">
        <f ca="1">VLOOKUP(dict_DQ_Meth_max[[#This Row],[ID_DataQualities]],table_DataQualities[],8,FALSE)</f>
        <v>0.3</v>
      </c>
      <c r="M1411" s="10">
        <f ca="1">VLOOKUP(dict_DQ_Meth_max[[#This Row],[ID_DataQualities]],table_DataQualities[],9,FALSE)</f>
        <v>6</v>
      </c>
    </row>
    <row r="1412" spans="1:13" x14ac:dyDescent="0.45">
      <c r="A1412" s="10">
        <v>377</v>
      </c>
      <c r="B1412" s="10">
        <v>591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2.4659999999999997</v>
      </c>
      <c r="G1412" s="12">
        <f ca="1">(RANDBETWEEN(50,100)/100)*(dict_DQ_Meth_max[[#This Row],[Vergleich_ub]]-dict_DQ_Meth_max[[#This Row],[Vergleich_lb]])+dict_DQ_Meth_max[[#This Row],[Vergleich_lb]]</f>
        <v>3.7769999999999997</v>
      </c>
      <c r="H1412" s="11" t="str">
        <f ca="1">VLOOKUP(VLOOKUP(dict_DQ_Meth_max[[#This Row],[ID_DataQualities]],table_DataQualities[],3),table_Units[],2)</f>
        <v>+/- °C</v>
      </c>
      <c r="I1412" s="10"/>
      <c r="J1412" s="10"/>
      <c r="K1412" s="10"/>
      <c r="L1412" s="10">
        <f ca="1">VLOOKUP(dict_DQ_Meth_max[[#This Row],[ID_DataQualities]],table_DataQualities[],8,FALSE)</f>
        <v>0.3</v>
      </c>
      <c r="M1412" s="10">
        <f ca="1">VLOOKUP(dict_DQ_Meth_max[[#This Row],[ID_DataQualities]],table_DataQualities[],9,FALSE)</f>
        <v>6</v>
      </c>
    </row>
    <row r="1413" spans="1:13" x14ac:dyDescent="0.45">
      <c r="A1413" s="10">
        <v>377</v>
      </c>
      <c r="B1413" s="10">
        <v>203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1.9530000000000001</v>
      </c>
      <c r="G1413" s="12">
        <f ca="1">(RANDBETWEEN(50,100)/100)*(dict_DQ_Meth_max[[#This Row],[Vergleich_ub]]-dict_DQ_Meth_max[[#This Row],[Vergleich_lb]])+dict_DQ_Meth_max[[#This Row],[Vergleich_lb]]</f>
        <v>4.5179999999999998</v>
      </c>
      <c r="H1413" s="11" t="str">
        <f ca="1">VLOOKUP(VLOOKUP(dict_DQ_Meth_max[[#This Row],[ID_DataQualities]],table_DataQualities[],3),table_Units[],2)</f>
        <v>+/- °C</v>
      </c>
      <c r="I1413" s="10"/>
      <c r="J1413" s="10"/>
      <c r="K1413" s="10"/>
      <c r="L1413" s="10">
        <f ca="1">VLOOKUP(dict_DQ_Meth_max[[#This Row],[ID_DataQualities]],table_DataQualities[],8,FALSE)</f>
        <v>0.3</v>
      </c>
      <c r="M1413" s="10">
        <f ca="1">VLOOKUP(dict_DQ_Meth_max[[#This Row],[ID_DataQualities]],table_DataQualities[],9,FALSE)</f>
        <v>6</v>
      </c>
    </row>
    <row r="1414" spans="1:13" x14ac:dyDescent="0.45">
      <c r="A1414" s="10">
        <v>378</v>
      </c>
      <c r="B1414" s="10">
        <v>150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187.82354000000001</v>
      </c>
      <c r="G1414" s="12">
        <f ca="1">(RANDBETWEEN(50,100)/100)*(dict_DQ_Meth_max[[#This Row],[Vergleich_ub]]-dict_DQ_Meth_max[[#This Row],[Vergleich_lb]])+dict_DQ_Meth_max[[#This Row],[Vergleich_lb]]</f>
        <v>491.87670000000003</v>
      </c>
      <c r="H1414" s="11" t="str">
        <f ca="1">VLOOKUP(VLOOKUP(dict_DQ_Meth_max[[#This Row],[ID_DataQualities]],table_DataQualities[],3),table_Units[],2)</f>
        <v>Hz</v>
      </c>
      <c r="I1414" s="10"/>
      <c r="J1414" s="10"/>
      <c r="K1414" s="10"/>
      <c r="L1414" s="10">
        <f ca="1">VLOOKUP(dict_DQ_Meth_max[[#This Row],[ID_DataQualities]],table_DataQualities[],8,FALSE)</f>
        <v>2.5999999999999999E-2</v>
      </c>
      <c r="M1414" s="10">
        <f ca="1">VLOOKUP(dict_DQ_Meth_max[[#This Row],[ID_DataQualities]],table_DataQualities[],9,FALSE)</f>
        <v>894.3</v>
      </c>
    </row>
    <row r="1415" spans="1:13" x14ac:dyDescent="0.45">
      <c r="A1415" s="10">
        <v>378</v>
      </c>
      <c r="B1415" s="10">
        <v>268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313.02190000000002</v>
      </c>
      <c r="G1415" s="12">
        <f ca="1">(RANDBETWEEN(50,100)/100)*(dict_DQ_Meth_max[[#This Row],[Vergleich_ub]]-dict_DQ_Meth_max[[#This Row],[Vergleich_lb]])+dict_DQ_Meth_max[[#This Row],[Vergleich_lb]]</f>
        <v>626.01779999999997</v>
      </c>
      <c r="H1415" s="11" t="str">
        <f ca="1">VLOOKUP(VLOOKUP(dict_DQ_Meth_max[[#This Row],[ID_DataQualities]],table_DataQualities[],3),table_Units[],2)</f>
        <v>Hz</v>
      </c>
      <c r="I1415" s="10"/>
      <c r="J1415" s="10"/>
      <c r="K1415" s="10"/>
      <c r="L1415" s="10">
        <f ca="1">VLOOKUP(dict_DQ_Meth_max[[#This Row],[ID_DataQualities]],table_DataQualities[],8,FALSE)</f>
        <v>2.5999999999999999E-2</v>
      </c>
      <c r="M1415" s="10">
        <f ca="1">VLOOKUP(dict_DQ_Meth_max[[#This Row],[ID_DataQualities]],table_DataQualities[],9,FALSE)</f>
        <v>894.3</v>
      </c>
    </row>
    <row r="1416" spans="1:13" x14ac:dyDescent="0.45">
      <c r="A1416" s="10">
        <v>378</v>
      </c>
      <c r="B1416" s="10">
        <v>431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393.50656000000004</v>
      </c>
      <c r="G1416" s="12">
        <f ca="1">(RANDBETWEEN(50,100)/100)*(dict_DQ_Meth_max[[#This Row],[Vergleich_ub]]-dict_DQ_Meth_max[[#This Row],[Vergleich_lb]])+dict_DQ_Meth_max[[#This Row],[Vergleich_lb]]</f>
        <v>670.73149999999998</v>
      </c>
      <c r="H1416" s="11" t="str">
        <f ca="1">VLOOKUP(VLOOKUP(dict_DQ_Meth_max[[#This Row],[ID_DataQualities]],table_DataQualities[],3),table_Units[],2)</f>
        <v>Hz</v>
      </c>
      <c r="I1416" s="10"/>
      <c r="J1416" s="10"/>
      <c r="K1416" s="10"/>
      <c r="L1416" s="10">
        <f ca="1">VLOOKUP(dict_DQ_Meth_max[[#This Row],[ID_DataQualities]],table_DataQualities[],8,FALSE)</f>
        <v>2.5999999999999999E-2</v>
      </c>
      <c r="M1416" s="10">
        <f ca="1">VLOOKUP(dict_DQ_Meth_max[[#This Row],[ID_DataQualities]],table_DataQualities[],9,FALSE)</f>
        <v>894.3</v>
      </c>
    </row>
    <row r="1417" spans="1:13" x14ac:dyDescent="0.45">
      <c r="A1417" s="10">
        <v>378</v>
      </c>
      <c r="B1417" s="10">
        <v>444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277.25094000000001</v>
      </c>
      <c r="G1417" s="12">
        <f ca="1">(RANDBETWEEN(50,100)/100)*(dict_DQ_Meth_max[[#This Row],[Vergleich_ub]]-dict_DQ_Meth_max[[#This Row],[Vergleich_lb]])+dict_DQ_Meth_max[[#This Row],[Vergleich_lb]]</f>
        <v>545.53313999999989</v>
      </c>
      <c r="H1417" s="11" t="str">
        <f ca="1">VLOOKUP(VLOOKUP(dict_DQ_Meth_max[[#This Row],[ID_DataQualities]],table_DataQualities[],3),table_Units[],2)</f>
        <v>Hz</v>
      </c>
      <c r="I1417" s="10"/>
      <c r="J1417" s="10"/>
      <c r="K1417" s="10"/>
      <c r="L1417" s="10">
        <f ca="1">VLOOKUP(dict_DQ_Meth_max[[#This Row],[ID_DataQualities]],table_DataQualities[],8,FALSE)</f>
        <v>2.5999999999999999E-2</v>
      </c>
      <c r="M1417" s="10">
        <f ca="1">VLOOKUP(dict_DQ_Meth_max[[#This Row],[ID_DataQualities]],table_DataQualities[],9,FALSE)</f>
        <v>894.3</v>
      </c>
    </row>
    <row r="1418" spans="1:13" x14ac:dyDescent="0.45">
      <c r="A1418" s="10">
        <v>378</v>
      </c>
      <c r="B1418" s="10">
        <v>147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205.70902000000001</v>
      </c>
      <c r="G1418" s="12">
        <f ca="1">(RANDBETWEEN(50,100)/100)*(dict_DQ_Meth_max[[#This Row],[Vergleich_ub]]-dict_DQ_Meth_max[[#This Row],[Vergleich_lb]])+dict_DQ_Meth_max[[#This Row],[Vergleich_lb]]</f>
        <v>813.81533999999999</v>
      </c>
      <c r="H1418" s="11" t="str">
        <f ca="1">VLOOKUP(VLOOKUP(dict_DQ_Meth_max[[#This Row],[ID_DataQualities]],table_DataQualities[],3),table_Units[],2)</f>
        <v>Hz</v>
      </c>
      <c r="I1418" s="10"/>
      <c r="J1418" s="10"/>
      <c r="K1418" s="10"/>
      <c r="L1418" s="10">
        <f ca="1">VLOOKUP(dict_DQ_Meth_max[[#This Row],[ID_DataQualities]],table_DataQualities[],8,FALSE)</f>
        <v>2.5999999999999999E-2</v>
      </c>
      <c r="M1418" s="10">
        <f ca="1">VLOOKUP(dict_DQ_Meth_max[[#This Row],[ID_DataQualities]],table_DataQualities[],9,FALSE)</f>
        <v>894.3</v>
      </c>
    </row>
    <row r="1419" spans="1:13" x14ac:dyDescent="0.45">
      <c r="A1419" s="10">
        <v>379</v>
      </c>
      <c r="B1419" s="10">
        <v>147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1.1960000000000002</v>
      </c>
      <c r="G1419" s="12">
        <f ca="1">(RANDBETWEEN(50,100)/100)*(dict_DQ_Meth_max[[#This Row],[Vergleich_ub]]-dict_DQ_Meth_max[[#This Row],[Vergleich_lb]])+dict_DQ_Meth_max[[#This Row],[Vergleich_lb]]</f>
        <v>1.6760000000000002</v>
      </c>
      <c r="H1419" s="11" t="str">
        <f ca="1">VLOOKUP(VLOOKUP(dict_DQ_Meth_max[[#This Row],[ID_DataQualities]],table_DataQualities[],3),table_Units[],2)</f>
        <v>+/- °C</v>
      </c>
      <c r="I1419" s="10"/>
      <c r="J1419" s="10"/>
      <c r="K1419" s="10"/>
      <c r="L1419" s="10">
        <f ca="1">VLOOKUP(dict_DQ_Meth_max[[#This Row],[ID_DataQualities]],table_DataQualities[],8,FALSE)</f>
        <v>0.8</v>
      </c>
      <c r="M1419" s="10">
        <f ca="1">VLOOKUP(dict_DQ_Meth_max[[#This Row],[ID_DataQualities]],table_DataQualities[],9,FALSE)</f>
        <v>2</v>
      </c>
    </row>
    <row r="1420" spans="1:13" x14ac:dyDescent="0.45">
      <c r="A1420" s="10">
        <v>379</v>
      </c>
      <c r="B1420" s="10">
        <v>268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1.304</v>
      </c>
      <c r="G1420" s="12">
        <f ca="1">(RANDBETWEEN(50,100)/100)*(dict_DQ_Meth_max[[#This Row],[Vergleich_ub]]-dict_DQ_Meth_max[[#This Row],[Vergleich_lb]])+dict_DQ_Meth_max[[#This Row],[Vergleich_lb]]</f>
        <v>1.772</v>
      </c>
      <c r="H1420" s="11" t="str">
        <f ca="1">VLOOKUP(VLOOKUP(dict_DQ_Meth_max[[#This Row],[ID_DataQualities]],table_DataQualities[],3),table_Units[],2)</f>
        <v>+/- °C</v>
      </c>
      <c r="I1420" s="10"/>
      <c r="J1420" s="10"/>
      <c r="K1420" s="10"/>
      <c r="L1420" s="10">
        <f ca="1">VLOOKUP(dict_DQ_Meth_max[[#This Row],[ID_DataQualities]],table_DataQualities[],8,FALSE)</f>
        <v>0.8</v>
      </c>
      <c r="M1420" s="10">
        <f ca="1">VLOOKUP(dict_DQ_Meth_max[[#This Row],[ID_DataQualities]],table_DataQualities[],9,FALSE)</f>
        <v>2</v>
      </c>
    </row>
    <row r="1421" spans="1:13" x14ac:dyDescent="0.45">
      <c r="A1421" s="10">
        <v>379</v>
      </c>
      <c r="B1421" s="10">
        <v>150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1.016</v>
      </c>
      <c r="G1421" s="12">
        <f ca="1">(RANDBETWEEN(50,100)/100)*(dict_DQ_Meth_max[[#This Row],[Vergleich_ub]]-dict_DQ_Meth_max[[#This Row],[Vergleich_lb]])+dict_DQ_Meth_max[[#This Row],[Vergleich_lb]]</f>
        <v>1.976</v>
      </c>
      <c r="H1421" s="11" t="str">
        <f ca="1">VLOOKUP(VLOOKUP(dict_DQ_Meth_max[[#This Row],[ID_DataQualities]],table_DataQualities[],3),table_Units[],2)</f>
        <v>+/- °C</v>
      </c>
      <c r="I1421" s="10"/>
      <c r="J1421" s="10"/>
      <c r="K1421" s="10"/>
      <c r="L1421" s="10">
        <f ca="1">VLOOKUP(dict_DQ_Meth_max[[#This Row],[ID_DataQualities]],table_DataQualities[],8,FALSE)</f>
        <v>0.8</v>
      </c>
      <c r="M1421" s="10">
        <f ca="1">VLOOKUP(dict_DQ_Meth_max[[#This Row],[ID_DataQualities]],table_DataQualities[],9,FALSE)</f>
        <v>2</v>
      </c>
    </row>
    <row r="1422" spans="1:13" x14ac:dyDescent="0.45">
      <c r="A1422" s="10">
        <v>379</v>
      </c>
      <c r="B1422" s="10">
        <v>431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1.34</v>
      </c>
      <c r="G1422" s="12">
        <f ca="1">(RANDBETWEEN(50,100)/100)*(dict_DQ_Meth_max[[#This Row],[Vergleich_ub]]-dict_DQ_Meth_max[[#This Row],[Vergleich_lb]])+dict_DQ_Meth_max[[#This Row],[Vergleich_lb]]</f>
        <v>1.6520000000000001</v>
      </c>
      <c r="H1422" s="11" t="str">
        <f ca="1">VLOOKUP(VLOOKUP(dict_DQ_Meth_max[[#This Row],[ID_DataQualities]],table_DataQualities[],3),table_Units[],2)</f>
        <v>+/- °C</v>
      </c>
      <c r="I1422" s="10"/>
      <c r="J1422" s="10"/>
      <c r="K1422" s="10"/>
      <c r="L1422" s="10">
        <f ca="1">VLOOKUP(dict_DQ_Meth_max[[#This Row],[ID_DataQualities]],table_DataQualities[],8,FALSE)</f>
        <v>0.8</v>
      </c>
      <c r="M1422" s="10">
        <f ca="1">VLOOKUP(dict_DQ_Meth_max[[#This Row],[ID_DataQualities]],table_DataQualities[],9,FALSE)</f>
        <v>2</v>
      </c>
    </row>
    <row r="1423" spans="1:13" x14ac:dyDescent="0.45">
      <c r="A1423" s="10">
        <v>379</v>
      </c>
      <c r="B1423" s="10">
        <v>444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1.292</v>
      </c>
      <c r="G1423" s="12">
        <f ca="1">(RANDBETWEEN(50,100)/100)*(dict_DQ_Meth_max[[#This Row],[Vergleich_ub]]-dict_DQ_Meth_max[[#This Row],[Vergleich_lb]])+dict_DQ_Meth_max[[#This Row],[Vergleich_lb]]</f>
        <v>1.7959999999999998</v>
      </c>
      <c r="H1423" s="11" t="str">
        <f ca="1">VLOOKUP(VLOOKUP(dict_DQ_Meth_max[[#This Row],[ID_DataQualities]],table_DataQualities[],3),table_Units[],2)</f>
        <v>+/- °C</v>
      </c>
      <c r="I1423" s="10"/>
      <c r="J1423" s="10"/>
      <c r="K1423" s="10"/>
      <c r="L1423" s="10">
        <f ca="1">VLOOKUP(dict_DQ_Meth_max[[#This Row],[ID_DataQualities]],table_DataQualities[],8,FALSE)</f>
        <v>0.8</v>
      </c>
      <c r="M1423" s="10">
        <f ca="1">VLOOKUP(dict_DQ_Meth_max[[#This Row],[ID_DataQualities]],table_DataQualities[],9,FALSE)</f>
        <v>2</v>
      </c>
    </row>
    <row r="1424" spans="1:13" x14ac:dyDescent="0.45">
      <c r="A1424" s="10">
        <v>380</v>
      </c>
      <c r="B1424" s="10">
        <v>303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1056.0388300000002</v>
      </c>
      <c r="G1424" s="12">
        <f ca="1">(RANDBETWEEN(50,100)/100)*(dict_DQ_Meth_max[[#This Row],[Vergleich_ub]]-dict_DQ_Meth_max[[#This Row],[Vergleich_lb]])+dict_DQ_Meth_max[[#This Row],[Vergleich_lb]]</f>
        <v>4037.5103500000005</v>
      </c>
      <c r="H1424" s="11" t="str">
        <f ca="1">VLOOKUP(VLOOKUP(dict_DQ_Meth_max[[#This Row],[ID_DataQualities]],table_DataQualities[],3),table_Units[],2)</f>
        <v>Hz</v>
      </c>
      <c r="I1424" s="10"/>
      <c r="J1424" s="10"/>
      <c r="K1424" s="10"/>
      <c r="L1424" s="10">
        <f ca="1">VLOOKUP(dict_DQ_Meth_max[[#This Row],[ID_DataQualities]],table_DataQualities[],8,FALSE)</f>
        <v>0.10100000000000001</v>
      </c>
      <c r="M1424" s="10">
        <f ca="1">VLOOKUP(dict_DQ_Meth_max[[#This Row],[ID_DataQualities]],table_DataQualities[],9,FALSE)</f>
        <v>6211.5</v>
      </c>
    </row>
    <row r="1425" spans="1:13" x14ac:dyDescent="0.45">
      <c r="A1425" s="10">
        <v>380</v>
      </c>
      <c r="B1425" s="10">
        <v>41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1925.6346900000001</v>
      </c>
      <c r="G1425" s="12">
        <f ca="1">(RANDBETWEEN(50,100)/100)*(dict_DQ_Meth_max[[#This Row],[Vergleich_ub]]-dict_DQ_Meth_max[[#This Row],[Vergleich_lb]])+dict_DQ_Meth_max[[#This Row],[Vergleich_lb]]</f>
        <v>5590.3600999999999</v>
      </c>
      <c r="H1425" s="11" t="str">
        <f ca="1">VLOOKUP(VLOOKUP(dict_DQ_Meth_max[[#This Row],[ID_DataQualities]],table_DataQualities[],3),table_Units[],2)</f>
        <v>Hz</v>
      </c>
      <c r="I1425" s="10"/>
      <c r="J1425" s="10"/>
      <c r="K1425" s="10"/>
      <c r="L1425" s="10">
        <f ca="1">VLOOKUP(dict_DQ_Meth_max[[#This Row],[ID_DataQualities]],table_DataQualities[],8,FALSE)</f>
        <v>0.10100000000000001</v>
      </c>
      <c r="M1425" s="10">
        <f ca="1">VLOOKUP(dict_DQ_Meth_max[[#This Row],[ID_DataQualities]],table_DataQualities[],9,FALSE)</f>
        <v>6211.5</v>
      </c>
    </row>
    <row r="1426" spans="1:13" x14ac:dyDescent="0.45">
      <c r="A1426" s="10">
        <v>380</v>
      </c>
      <c r="B1426" s="10">
        <v>136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1056.0388300000002</v>
      </c>
      <c r="G1426" s="12">
        <f ca="1">(RANDBETWEEN(50,100)/100)*(dict_DQ_Meth_max[[#This Row],[Vergleich_ub]]-dict_DQ_Meth_max[[#This Row],[Vergleich_lb]])+dict_DQ_Meth_max[[#This Row],[Vergleich_lb]]</f>
        <v>5900.9300499999999</v>
      </c>
      <c r="H1426" s="11" t="str">
        <f ca="1">VLOOKUP(VLOOKUP(dict_DQ_Meth_max[[#This Row],[ID_DataQualities]],table_DataQualities[],3),table_Units[],2)</f>
        <v>Hz</v>
      </c>
      <c r="I1426" s="10"/>
      <c r="J1426" s="10"/>
      <c r="K1426" s="10"/>
      <c r="L1426" s="10">
        <f ca="1">VLOOKUP(dict_DQ_Meth_max[[#This Row],[ID_DataQualities]],table_DataQualities[],8,FALSE)</f>
        <v>0.10100000000000001</v>
      </c>
      <c r="M1426" s="10">
        <f ca="1">VLOOKUP(dict_DQ_Meth_max[[#This Row],[ID_DataQualities]],table_DataQualities[],9,FALSE)</f>
        <v>6211.5</v>
      </c>
    </row>
    <row r="1427" spans="1:13" x14ac:dyDescent="0.45">
      <c r="A1427" s="10">
        <v>380</v>
      </c>
      <c r="B1427" s="10">
        <v>595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559.12690999999995</v>
      </c>
      <c r="G1427" s="12">
        <f ca="1">(RANDBETWEEN(50,100)/100)*(dict_DQ_Meth_max[[#This Row],[Vergleich_ub]]-dict_DQ_Meth_max[[#This Row],[Vergleich_lb]])+dict_DQ_Meth_max[[#This Row],[Vergleich_lb]]</f>
        <v>5652.4740900000006</v>
      </c>
      <c r="H1427" s="11" t="str">
        <f ca="1">VLOOKUP(VLOOKUP(dict_DQ_Meth_max[[#This Row],[ID_DataQualities]],table_DataQualities[],3),table_Units[],2)</f>
        <v>Hz</v>
      </c>
      <c r="I1427" s="10"/>
      <c r="J1427" s="10"/>
      <c r="K1427" s="10"/>
      <c r="L1427" s="10">
        <f ca="1">VLOOKUP(dict_DQ_Meth_max[[#This Row],[ID_DataQualities]],table_DataQualities[],8,FALSE)</f>
        <v>0.10100000000000001</v>
      </c>
      <c r="M1427" s="10">
        <f ca="1">VLOOKUP(dict_DQ_Meth_max[[#This Row],[ID_DataQualities]],table_DataQualities[],9,FALSE)</f>
        <v>6211.5</v>
      </c>
    </row>
    <row r="1428" spans="1:13" x14ac:dyDescent="0.45">
      <c r="A1428" s="10">
        <v>381</v>
      </c>
      <c r="B1428" s="10">
        <v>136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1.9424499999999996</v>
      </c>
      <c r="G1428" s="12">
        <f ca="1">(RANDBETWEEN(50,100)/100)*(dict_DQ_Meth_max[[#This Row],[Vergleich_ub]]-dict_DQ_Meth_max[[#This Row],[Vergleich_lb]])+dict_DQ_Meth_max[[#This Row],[Vergleich_lb]]</f>
        <v>5.1986499999999998</v>
      </c>
      <c r="H1428" s="11" t="str">
        <f ca="1">VLOOKUP(VLOOKUP(dict_DQ_Meth_max[[#This Row],[ID_DataQualities]],table_DataQualities[],3),table_Units[],2)</f>
        <v>+/- W</v>
      </c>
      <c r="I1428" s="10"/>
      <c r="J1428" s="10"/>
      <c r="K1428" s="10"/>
      <c r="L1428" s="10">
        <f ca="1">VLOOKUP(dict_DQ_Meth_max[[#This Row],[ID_DataQualities]],table_DataQualities[],8,FALSE)</f>
        <v>4.2999999999999997E-2</v>
      </c>
      <c r="M1428" s="10">
        <f ca="1">VLOOKUP(dict_DQ_Meth_max[[#This Row],[ID_DataQualities]],table_DataQualities[],9,FALSE)</f>
        <v>5.47</v>
      </c>
    </row>
    <row r="1429" spans="1:13" x14ac:dyDescent="0.45">
      <c r="A1429" s="10">
        <v>381</v>
      </c>
      <c r="B1429" s="10">
        <v>41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2.1595300000000002</v>
      </c>
      <c r="G1429" s="12">
        <f ca="1">(RANDBETWEEN(50,100)/100)*(dict_DQ_Meth_max[[#This Row],[Vergleich_ub]]-dict_DQ_Meth_max[[#This Row],[Vergleich_lb]])+dict_DQ_Meth_max[[#This Row],[Vergleich_lb]]</f>
        <v>2.86504</v>
      </c>
      <c r="H1429" s="11" t="str">
        <f ca="1">VLOOKUP(VLOOKUP(dict_DQ_Meth_max[[#This Row],[ID_DataQualities]],table_DataQualities[],3),table_Units[],2)</f>
        <v>+/- W</v>
      </c>
      <c r="I1429" s="10"/>
      <c r="J1429" s="10"/>
      <c r="K1429" s="10"/>
      <c r="L1429" s="10">
        <f ca="1">VLOOKUP(dict_DQ_Meth_max[[#This Row],[ID_DataQualities]],table_DataQualities[],8,FALSE)</f>
        <v>4.2999999999999997E-2</v>
      </c>
      <c r="M1429" s="10">
        <f ca="1">VLOOKUP(dict_DQ_Meth_max[[#This Row],[ID_DataQualities]],table_DataQualities[],9,FALSE)</f>
        <v>5.47</v>
      </c>
    </row>
    <row r="1430" spans="1:13" x14ac:dyDescent="0.45">
      <c r="A1430" s="10">
        <v>381</v>
      </c>
      <c r="B1430" s="10">
        <v>303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9.7269999999999995E-2</v>
      </c>
      <c r="G1430" s="12">
        <f ca="1">(RANDBETWEEN(50,100)/100)*(dict_DQ_Meth_max[[#This Row],[Vergleich_ub]]-dict_DQ_Meth_max[[#This Row],[Vergleich_lb]])+dict_DQ_Meth_max[[#This Row],[Vergleich_lb]]</f>
        <v>3.9504399999999995</v>
      </c>
      <c r="H1430" s="11" t="str">
        <f ca="1">VLOOKUP(VLOOKUP(dict_DQ_Meth_max[[#This Row],[ID_DataQualities]],table_DataQualities[],3),table_Units[],2)</f>
        <v>+/- W</v>
      </c>
      <c r="I1430" s="10"/>
      <c r="J1430" s="10"/>
      <c r="K1430" s="10"/>
      <c r="L1430" s="10">
        <f ca="1">VLOOKUP(dict_DQ_Meth_max[[#This Row],[ID_DataQualities]],table_DataQualities[],8,FALSE)</f>
        <v>4.2999999999999997E-2</v>
      </c>
      <c r="M1430" s="10">
        <f ca="1">VLOOKUP(dict_DQ_Meth_max[[#This Row],[ID_DataQualities]],table_DataQualities[],9,FALSE)</f>
        <v>5.47</v>
      </c>
    </row>
    <row r="1431" spans="1:13" x14ac:dyDescent="0.45">
      <c r="A1431" s="10">
        <v>381</v>
      </c>
      <c r="B1431" s="10">
        <v>595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0.26007999999999998</v>
      </c>
      <c r="G1431" s="12">
        <f ca="1">(RANDBETWEEN(50,100)/100)*(dict_DQ_Meth_max[[#This Row],[Vergleich_ub]]-dict_DQ_Meth_max[[#This Row],[Vergleich_lb]])+dict_DQ_Meth_max[[#This Row],[Vergleich_lb]]</f>
        <v>5.1986499999999998</v>
      </c>
      <c r="H1431" s="11" t="str">
        <f ca="1">VLOOKUP(VLOOKUP(dict_DQ_Meth_max[[#This Row],[ID_DataQualities]],table_DataQualities[],3),table_Units[],2)</f>
        <v>+/- W</v>
      </c>
      <c r="I1431" s="10"/>
      <c r="J1431" s="10"/>
      <c r="K1431" s="10"/>
      <c r="L1431" s="10">
        <f ca="1">VLOOKUP(dict_DQ_Meth_max[[#This Row],[ID_DataQualities]],table_DataQualities[],8,FALSE)</f>
        <v>4.2999999999999997E-2</v>
      </c>
      <c r="M1431" s="10">
        <f ca="1">VLOOKUP(dict_DQ_Meth_max[[#This Row],[ID_DataQualities]],table_DataQualities[],9,FALSE)</f>
        <v>5.47</v>
      </c>
    </row>
    <row r="1432" spans="1:13" x14ac:dyDescent="0.45">
      <c r="A1432" s="10">
        <v>382</v>
      </c>
      <c r="B1432" s="10">
        <v>531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528.14548000000002</v>
      </c>
      <c r="G1432" s="12">
        <f ca="1">(RANDBETWEEN(50,100)/100)*(dict_DQ_Meth_max[[#This Row],[Vergleich_ub]]-dict_DQ_Meth_max[[#This Row],[Vergleich_lb]])+dict_DQ_Meth_max[[#This Row],[Vergleich_lb]]</f>
        <v>846.84127000000001</v>
      </c>
      <c r="H1432" s="11" t="str">
        <f ca="1">VLOOKUP(VLOOKUP(dict_DQ_Meth_max[[#This Row],[ID_DataQualities]],table_DataQualities[],3),table_Units[],2)</f>
        <v>Hz</v>
      </c>
      <c r="I1432" s="10"/>
      <c r="J1432" s="10"/>
      <c r="K1432" s="10"/>
      <c r="L1432" s="10">
        <f ca="1">VLOOKUP(dict_DQ_Meth_max[[#This Row],[ID_DataQualities]],table_DataQualities[],8,FALSE)</f>
        <v>0.64900000000000002</v>
      </c>
      <c r="M1432" s="10">
        <f ca="1">VLOOKUP(dict_DQ_Meth_max[[#This Row],[ID_DataQualities]],table_DataQualities[],9,FALSE)</f>
        <v>1099.5999999999999</v>
      </c>
    </row>
    <row r="1433" spans="1:13" x14ac:dyDescent="0.45">
      <c r="A1433" s="10">
        <v>382</v>
      </c>
      <c r="B1433" s="10">
        <v>201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231.42871</v>
      </c>
      <c r="G1433" s="12">
        <f ca="1">(RANDBETWEEN(50,100)/100)*(dict_DQ_Meth_max[[#This Row],[Vergleich_ub]]-dict_DQ_Meth_max[[#This Row],[Vergleich_lb]])+dict_DQ_Meth_max[[#This Row],[Vergleich_lb]]</f>
        <v>813.87274000000002</v>
      </c>
      <c r="H1433" s="11" t="str">
        <f ca="1">VLOOKUP(VLOOKUP(dict_DQ_Meth_max[[#This Row],[ID_DataQualities]],table_DataQualities[],3),table_Units[],2)</f>
        <v>Hz</v>
      </c>
      <c r="I1433" s="10"/>
      <c r="J1433" s="10"/>
      <c r="K1433" s="10"/>
      <c r="L1433" s="10">
        <f ca="1">VLOOKUP(dict_DQ_Meth_max[[#This Row],[ID_DataQualities]],table_DataQualities[],8,FALSE)</f>
        <v>0.64900000000000002</v>
      </c>
      <c r="M1433" s="10">
        <f ca="1">VLOOKUP(dict_DQ_Meth_max[[#This Row],[ID_DataQualities]],table_DataQualities[],9,FALSE)</f>
        <v>1099.5999999999999</v>
      </c>
    </row>
    <row r="1434" spans="1:13" x14ac:dyDescent="0.45">
      <c r="A1434" s="10">
        <v>383</v>
      </c>
      <c r="B1434" s="10">
        <v>531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0.14754</v>
      </c>
      <c r="G1434" s="12">
        <f ca="1">(RANDBETWEEN(50,100)/100)*(dict_DQ_Meth_max[[#This Row],[Vergleich_ub]]-dict_DQ_Meth_max[[#This Row],[Vergleich_lb]])+dict_DQ_Meth_max[[#This Row],[Vergleich_lb]]</f>
        <v>0.74580000000000002</v>
      </c>
      <c r="H1434" s="11" t="str">
        <f ca="1">VLOOKUP(VLOOKUP(dict_DQ_Meth_max[[#This Row],[ID_DataQualities]],table_DataQualities[],3),table_Units[],2)</f>
        <v>+/- W</v>
      </c>
      <c r="I1434" s="10"/>
      <c r="J1434" s="10"/>
      <c r="K1434" s="10"/>
      <c r="L1434" s="10">
        <f ca="1">VLOOKUP(dict_DQ_Meth_max[[#This Row],[ID_DataQualities]],table_DataQualities[],8,FALSE)</f>
        <v>3.5999999999999997E-2</v>
      </c>
      <c r="M1434" s="10">
        <f ca="1">VLOOKUP(dict_DQ_Meth_max[[#This Row],[ID_DataQualities]],table_DataQualities[],9,FALSE)</f>
        <v>1.05</v>
      </c>
    </row>
    <row r="1435" spans="1:13" x14ac:dyDescent="0.45">
      <c r="A1435" s="10">
        <v>383</v>
      </c>
      <c r="B1435" s="10">
        <v>201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0.31991999999999998</v>
      </c>
      <c r="G1435" s="12">
        <f ca="1">(RANDBETWEEN(50,100)/100)*(dict_DQ_Meth_max[[#This Row],[Vergleich_ub]]-dict_DQ_Meth_max[[#This Row],[Vergleich_lb]])+dict_DQ_Meth_max[[#This Row],[Vergleich_lb]]</f>
        <v>0.72552000000000005</v>
      </c>
      <c r="H1435" s="11" t="str">
        <f ca="1">VLOOKUP(VLOOKUP(dict_DQ_Meth_max[[#This Row],[ID_DataQualities]],table_DataQualities[],3),table_Units[],2)</f>
        <v>+/- W</v>
      </c>
      <c r="I1435" s="10"/>
      <c r="J1435" s="10"/>
      <c r="K1435" s="10"/>
      <c r="L1435" s="10">
        <f ca="1">VLOOKUP(dict_DQ_Meth_max[[#This Row],[ID_DataQualities]],table_DataQualities[],8,FALSE)</f>
        <v>3.5999999999999997E-2</v>
      </c>
      <c r="M1435" s="10">
        <f ca="1">VLOOKUP(dict_DQ_Meth_max[[#This Row],[ID_DataQualities]],table_DataQualities[],9,FALSE)</f>
        <v>1.05</v>
      </c>
    </row>
    <row r="1436" spans="1:13" x14ac:dyDescent="0.45">
      <c r="A1436" s="10">
        <v>384</v>
      </c>
      <c r="B1436" s="10">
        <v>369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1774.7120600000001</v>
      </c>
      <c r="G1436" s="12">
        <f ca="1">(RANDBETWEEN(50,100)/100)*(dict_DQ_Meth_max[[#This Row],[Vergleich_ub]]-dict_DQ_Meth_max[[#This Row],[Vergleich_lb]])+dict_DQ_Meth_max[[#This Row],[Vergleich_lb]]</f>
        <v>3757.4414799999995</v>
      </c>
      <c r="H1436" s="11" t="str">
        <f ca="1">VLOOKUP(VLOOKUP(dict_DQ_Meth_max[[#This Row],[ID_DataQualities]],table_DataQualities[],3),table_Units[],2)</f>
        <v>Hz</v>
      </c>
      <c r="I1436" s="10"/>
      <c r="J1436" s="10"/>
      <c r="K1436" s="10"/>
      <c r="L1436" s="10">
        <f ca="1">VLOOKUP(dict_DQ_Meth_max[[#This Row],[ID_DataQualities]],table_DataQualities[],8,FALSE)</f>
        <v>0.69099999999999995</v>
      </c>
      <c r="M1436" s="10">
        <f ca="1">VLOOKUP(dict_DQ_Meth_max[[#This Row],[ID_DataQualities]],table_DataQualities[],9,FALSE)</f>
        <v>5218.3999999999996</v>
      </c>
    </row>
    <row r="1437" spans="1:13" x14ac:dyDescent="0.45">
      <c r="A1437" s="10">
        <v>384</v>
      </c>
      <c r="B1437" s="10">
        <v>196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522.46190000000001</v>
      </c>
      <c r="G1437" s="12">
        <f ca="1">(RANDBETWEEN(50,100)/100)*(dict_DQ_Meth_max[[#This Row],[Vergleich_ub]]-dict_DQ_Meth_max[[#This Row],[Vergleich_lb]])+dict_DQ_Meth_max[[#This Row],[Vergleich_lb]]</f>
        <v>3444.3789400000001</v>
      </c>
      <c r="H1437" s="11" t="str">
        <f ca="1">VLOOKUP(VLOOKUP(dict_DQ_Meth_max[[#This Row],[ID_DataQualities]],table_DataQualities[],3),table_Units[],2)</f>
        <v>Hz</v>
      </c>
      <c r="I1437" s="10"/>
      <c r="J1437" s="10"/>
      <c r="K1437" s="10"/>
      <c r="L1437" s="10">
        <f ca="1">VLOOKUP(dict_DQ_Meth_max[[#This Row],[ID_DataQualities]],table_DataQualities[],8,FALSE)</f>
        <v>0.69099999999999995</v>
      </c>
      <c r="M1437" s="10">
        <f ca="1">VLOOKUP(dict_DQ_Meth_max[[#This Row],[ID_DataQualities]],table_DataQualities[],9,FALSE)</f>
        <v>5218.3999999999996</v>
      </c>
    </row>
    <row r="1438" spans="1:13" x14ac:dyDescent="0.45">
      <c r="A1438" s="10">
        <v>384</v>
      </c>
      <c r="B1438" s="10">
        <v>81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1252.9411599999999</v>
      </c>
      <c r="G1438" s="12">
        <f ca="1">(RANDBETWEEN(50,100)/100)*(dict_DQ_Meth_max[[#This Row],[Vergleich_ub]]-dict_DQ_Meth_max[[#This Row],[Vergleich_lb]])+dict_DQ_Meth_max[[#This Row],[Vergleich_lb]]</f>
        <v>4592.2749199999998</v>
      </c>
      <c r="H1438" s="11" t="str">
        <f ca="1">VLOOKUP(VLOOKUP(dict_DQ_Meth_max[[#This Row],[ID_DataQualities]],table_DataQualities[],3),table_Units[],2)</f>
        <v>Hz</v>
      </c>
      <c r="I1438" s="10"/>
      <c r="J1438" s="10"/>
      <c r="K1438" s="10"/>
      <c r="L1438" s="10">
        <f ca="1">VLOOKUP(dict_DQ_Meth_max[[#This Row],[ID_DataQualities]],table_DataQualities[],8,FALSE)</f>
        <v>0.69099999999999995</v>
      </c>
      <c r="M1438" s="10">
        <f ca="1">VLOOKUP(dict_DQ_Meth_max[[#This Row],[ID_DataQualities]],table_DataQualities[],9,FALSE)</f>
        <v>5218.3999999999996</v>
      </c>
    </row>
    <row r="1439" spans="1:13" x14ac:dyDescent="0.45">
      <c r="A1439" s="10">
        <v>385</v>
      </c>
      <c r="B1439" s="10">
        <v>81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1132.3</v>
      </c>
      <c r="G1439" s="12">
        <f ca="1">(RANDBETWEEN(50,100)/100)*(dict_DQ_Meth_max[[#This Row],[Vergleich_ub]]-dict_DQ_Meth_max[[#This Row],[Vergleich_lb]])+dict_DQ_Meth_max[[#This Row],[Vergleich_lb]]</f>
        <v>2517.1</v>
      </c>
      <c r="H1439" s="11" t="str">
        <f ca="1">VLOOKUP(VLOOKUP(dict_DQ_Meth_max[[#This Row],[ID_DataQualities]],table_DataQualities[],3),table_Units[],2)</f>
        <v>bit</v>
      </c>
      <c r="I1439" s="10"/>
      <c r="J1439" s="10"/>
      <c r="K1439" s="10"/>
      <c r="L1439" s="10">
        <f ca="1">VLOOKUP(dict_DQ_Meth_max[[#This Row],[ID_DataQualities]],table_DataQualities[],8,FALSE)</f>
        <v>36</v>
      </c>
      <c r="M1439" s="10">
        <f ca="1">VLOOKUP(dict_DQ_Meth_max[[#This Row],[ID_DataQualities]],table_DataQualities[],9,FALSE)</f>
        <v>2921</v>
      </c>
    </row>
    <row r="1440" spans="1:13" x14ac:dyDescent="0.45">
      <c r="A1440" s="10">
        <v>385</v>
      </c>
      <c r="B1440" s="10">
        <v>369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1363.1000000000001</v>
      </c>
      <c r="G1440" s="12">
        <f ca="1">(RANDBETWEEN(50,100)/100)*(dict_DQ_Meth_max[[#This Row],[Vergleich_ub]]-dict_DQ_Meth_max[[#This Row],[Vergleich_lb]])+dict_DQ_Meth_max[[#This Row],[Vergleich_lb]]</f>
        <v>2921</v>
      </c>
      <c r="H1440" s="11" t="str">
        <f ca="1">VLOOKUP(VLOOKUP(dict_DQ_Meth_max[[#This Row],[ID_DataQualities]],table_DataQualities[],3),table_Units[],2)</f>
        <v>bit</v>
      </c>
      <c r="I1440" s="10"/>
      <c r="J1440" s="10"/>
      <c r="K1440" s="10"/>
      <c r="L1440" s="10">
        <f ca="1">VLOOKUP(dict_DQ_Meth_max[[#This Row],[ID_DataQualities]],table_DataQualities[],8,FALSE)</f>
        <v>36</v>
      </c>
      <c r="M1440" s="10">
        <f ca="1">VLOOKUP(dict_DQ_Meth_max[[#This Row],[ID_DataQualities]],table_DataQualities[],9,FALSE)</f>
        <v>2921</v>
      </c>
    </row>
    <row r="1441" spans="1:13" x14ac:dyDescent="0.45">
      <c r="A1441" s="10">
        <v>385</v>
      </c>
      <c r="B1441" s="10">
        <v>196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959.2</v>
      </c>
      <c r="G1441" s="12">
        <f ca="1">(RANDBETWEEN(50,100)/100)*(dict_DQ_Meth_max[[#This Row],[Vergleich_ub]]-dict_DQ_Meth_max[[#This Row],[Vergleich_lb]])+dict_DQ_Meth_max[[#This Row],[Vergleich_lb]]</f>
        <v>1767</v>
      </c>
      <c r="H1441" s="11" t="str">
        <f ca="1">VLOOKUP(VLOOKUP(dict_DQ_Meth_max[[#This Row],[ID_DataQualities]],table_DataQualities[],3),table_Units[],2)</f>
        <v>bit</v>
      </c>
      <c r="I1441" s="10"/>
      <c r="J1441" s="10"/>
      <c r="K1441" s="10"/>
      <c r="L1441" s="10">
        <f ca="1">VLOOKUP(dict_DQ_Meth_max[[#This Row],[ID_DataQualities]],table_DataQualities[],8,FALSE)</f>
        <v>36</v>
      </c>
      <c r="M1441" s="10">
        <f ca="1">VLOOKUP(dict_DQ_Meth_max[[#This Row],[ID_DataQualities]],table_DataQualities[],9,FALSE)</f>
        <v>2921</v>
      </c>
    </row>
    <row r="1442" spans="1:13" x14ac:dyDescent="0.45">
      <c r="A1442" s="10">
        <v>386</v>
      </c>
      <c r="B1442" s="10">
        <v>390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139.61175999999998</v>
      </c>
      <c r="G1442" s="12">
        <f ca="1">(RANDBETWEEN(50,100)/100)*(dict_DQ_Meth_max[[#This Row],[Vergleich_ub]]-dict_DQ_Meth_max[[#This Row],[Vergleich_lb]])+dict_DQ_Meth_max[[#This Row],[Vergleich_lb]]</f>
        <v>1184.4199599999999</v>
      </c>
      <c r="H1442" s="11" t="str">
        <f ca="1">VLOOKUP(VLOOKUP(dict_DQ_Meth_max[[#This Row],[ID_DataQualities]],table_DataQualities[],3),table_Units[],2)</f>
        <v>Hz</v>
      </c>
      <c r="I1442" s="10"/>
      <c r="J1442" s="10"/>
      <c r="K1442" s="10"/>
      <c r="L1442" s="10">
        <f ca="1">VLOOKUP(dict_DQ_Meth_max[[#This Row],[ID_DataQualities]],table_DataQualities[],8,FALSE)</f>
        <v>0.30399999999999999</v>
      </c>
      <c r="M1442" s="10">
        <f ca="1">VLOOKUP(dict_DQ_Meth_max[[#This Row],[ID_DataQualities]],table_DataQualities[],9,FALSE)</f>
        <v>2322.1</v>
      </c>
    </row>
    <row r="1443" spans="1:13" x14ac:dyDescent="0.45">
      <c r="A1443" s="10">
        <v>386</v>
      </c>
      <c r="B1443" s="10">
        <v>351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371.79135999999994</v>
      </c>
      <c r="G1443" s="12">
        <f ca="1">(RANDBETWEEN(50,100)/100)*(dict_DQ_Meth_max[[#This Row],[Vergleich_ub]]-dict_DQ_Meth_max[[#This Row],[Vergleich_lb]])+dict_DQ_Meth_max[[#This Row],[Vergleich_lb]]</f>
        <v>2252.4461200000001</v>
      </c>
      <c r="H1443" s="11" t="str">
        <f ca="1">VLOOKUP(VLOOKUP(dict_DQ_Meth_max[[#This Row],[ID_DataQualities]],table_DataQualities[],3),table_Units[],2)</f>
        <v>Hz</v>
      </c>
      <c r="I1443" s="10"/>
      <c r="J1443" s="10"/>
      <c r="K1443" s="10"/>
      <c r="L1443" s="10">
        <f ca="1">VLOOKUP(dict_DQ_Meth_max[[#This Row],[ID_DataQualities]],table_DataQualities[],8,FALSE)</f>
        <v>0.30399999999999999</v>
      </c>
      <c r="M1443" s="10">
        <f ca="1">VLOOKUP(dict_DQ_Meth_max[[#This Row],[ID_DataQualities]],table_DataQualities[],9,FALSE)</f>
        <v>2322.1</v>
      </c>
    </row>
    <row r="1444" spans="1:13" x14ac:dyDescent="0.45">
      <c r="A1444" s="10">
        <v>386</v>
      </c>
      <c r="B1444" s="10">
        <v>618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487.88115999999991</v>
      </c>
      <c r="G1444" s="12">
        <f ca="1">(RANDBETWEEN(50,100)/100)*(dict_DQ_Meth_max[[#This Row],[Vergleich_ub]]-dict_DQ_Meth_max[[#This Row],[Vergleich_lb]])+dict_DQ_Meth_max[[#This Row],[Vergleich_lb]]</f>
        <v>1741.6509999999998</v>
      </c>
      <c r="H1444" s="11" t="str">
        <f ca="1">VLOOKUP(VLOOKUP(dict_DQ_Meth_max[[#This Row],[ID_DataQualities]],table_DataQualities[],3),table_Units[],2)</f>
        <v>Hz</v>
      </c>
      <c r="I1444" s="10"/>
      <c r="J1444" s="10"/>
      <c r="K1444" s="10"/>
      <c r="L1444" s="10">
        <f ca="1">VLOOKUP(dict_DQ_Meth_max[[#This Row],[ID_DataQualities]],table_DataQualities[],8,FALSE)</f>
        <v>0.30399999999999999</v>
      </c>
      <c r="M1444" s="10">
        <f ca="1">VLOOKUP(dict_DQ_Meth_max[[#This Row],[ID_DataQualities]],table_DataQualities[],9,FALSE)</f>
        <v>2322.1</v>
      </c>
    </row>
    <row r="1445" spans="1:13" x14ac:dyDescent="0.45">
      <c r="A1445" s="10">
        <v>386</v>
      </c>
      <c r="B1445" s="10">
        <v>405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812.93259999999987</v>
      </c>
      <c r="G1445" s="12">
        <f ca="1">(RANDBETWEEN(50,100)/100)*(dict_DQ_Meth_max[[#This Row],[Vergleich_ub]]-dict_DQ_Meth_max[[#This Row],[Vergleich_lb]])+dict_DQ_Meth_max[[#This Row],[Vergleich_lb]]</f>
        <v>1857.7408</v>
      </c>
      <c r="H1445" s="11" t="str">
        <f ca="1">VLOOKUP(VLOOKUP(dict_DQ_Meth_max[[#This Row],[ID_DataQualities]],table_DataQualities[],3),table_Units[],2)</f>
        <v>Hz</v>
      </c>
      <c r="I1445" s="10"/>
      <c r="J1445" s="10"/>
      <c r="K1445" s="10"/>
      <c r="L1445" s="10">
        <f ca="1">VLOOKUP(dict_DQ_Meth_max[[#This Row],[ID_DataQualities]],table_DataQualities[],8,FALSE)</f>
        <v>0.30399999999999999</v>
      </c>
      <c r="M1445" s="10">
        <f ca="1">VLOOKUP(dict_DQ_Meth_max[[#This Row],[ID_DataQualities]],table_DataQualities[],9,FALSE)</f>
        <v>2322.1</v>
      </c>
    </row>
    <row r="1446" spans="1:13" x14ac:dyDescent="0.45">
      <c r="A1446" s="10">
        <v>386</v>
      </c>
      <c r="B1446" s="10">
        <v>655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209.26563999999999</v>
      </c>
      <c r="G1446" s="12">
        <f ca="1">(RANDBETWEEN(50,100)/100)*(dict_DQ_Meth_max[[#This Row],[Vergleich_ub]]-dict_DQ_Meth_max[[#This Row],[Vergleich_lb]])+dict_DQ_Meth_max[[#This Row],[Vergleich_lb]]</f>
        <v>1880.95876</v>
      </c>
      <c r="H1446" s="11" t="str">
        <f ca="1">VLOOKUP(VLOOKUP(dict_DQ_Meth_max[[#This Row],[ID_DataQualities]],table_DataQualities[],3),table_Units[],2)</f>
        <v>Hz</v>
      </c>
      <c r="I1446" s="10"/>
      <c r="J1446" s="10"/>
      <c r="K1446" s="10"/>
      <c r="L1446" s="10">
        <f ca="1">VLOOKUP(dict_DQ_Meth_max[[#This Row],[ID_DataQualities]],table_DataQualities[],8,FALSE)</f>
        <v>0.30399999999999999</v>
      </c>
      <c r="M1446" s="10">
        <f ca="1">VLOOKUP(dict_DQ_Meth_max[[#This Row],[ID_DataQualities]],table_DataQualities[],9,FALSE)</f>
        <v>2322.1</v>
      </c>
    </row>
    <row r="1447" spans="1:13" x14ac:dyDescent="0.45">
      <c r="A1447" s="10">
        <v>387</v>
      </c>
      <c r="B1447" s="10">
        <v>390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2.0048000000000004</v>
      </c>
      <c r="G1447" s="12">
        <f ca="1">(RANDBETWEEN(50,100)/100)*(dict_DQ_Meth_max[[#This Row],[Vergleich_ub]]-dict_DQ_Meth_max[[#This Row],[Vergleich_lb]])+dict_DQ_Meth_max[[#This Row],[Vergleich_lb]]</f>
        <v>3.7364000000000006</v>
      </c>
      <c r="H1447" s="11" t="str">
        <f ca="1">VLOOKUP(VLOOKUP(dict_DQ_Meth_max[[#This Row],[ID_DataQualities]],table_DataQualities[],3),table_Units[],2)</f>
        <v>+/- mm/s</v>
      </c>
      <c r="I1447" s="10"/>
      <c r="J1447" s="10"/>
      <c r="K1447" s="10"/>
      <c r="L1447" s="10">
        <f ca="1">VLOOKUP(dict_DQ_Meth_max[[#This Row],[ID_DataQualities]],table_DataQualities[],8,FALSE)</f>
        <v>0.14000000000000001</v>
      </c>
      <c r="M1447" s="10">
        <f ca="1">VLOOKUP(dict_DQ_Meth_max[[#This Row],[ID_DataQualities]],table_DataQualities[],9,FALSE)</f>
        <v>6.8</v>
      </c>
    </row>
    <row r="1448" spans="1:13" x14ac:dyDescent="0.45">
      <c r="A1448" s="10">
        <v>387</v>
      </c>
      <c r="B1448" s="10">
        <v>405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2.3378000000000001</v>
      </c>
      <c r="G1448" s="12">
        <f ca="1">(RANDBETWEEN(50,100)/100)*(dict_DQ_Meth_max[[#This Row],[Vergleich_ub]]-dict_DQ_Meth_max[[#This Row],[Vergleich_lb]])+dict_DQ_Meth_max[[#This Row],[Vergleich_lb]]</f>
        <v>5.2016</v>
      </c>
      <c r="H1448" s="11" t="str">
        <f ca="1">VLOOKUP(VLOOKUP(dict_DQ_Meth_max[[#This Row],[ID_DataQualities]],table_DataQualities[],3),table_Units[],2)</f>
        <v>+/- mm/s</v>
      </c>
      <c r="I1448" s="10"/>
      <c r="J1448" s="10"/>
      <c r="K1448" s="10"/>
      <c r="L1448" s="10">
        <f ca="1">VLOOKUP(dict_DQ_Meth_max[[#This Row],[ID_DataQualities]],table_DataQualities[],8,FALSE)</f>
        <v>0.14000000000000001</v>
      </c>
      <c r="M1448" s="10">
        <f ca="1">VLOOKUP(dict_DQ_Meth_max[[#This Row],[ID_DataQualities]],table_DataQualities[],9,FALSE)</f>
        <v>6.8</v>
      </c>
    </row>
    <row r="1449" spans="1:13" x14ac:dyDescent="0.45">
      <c r="A1449" s="10">
        <v>387</v>
      </c>
      <c r="B1449" s="10">
        <v>655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1.8050000000000002</v>
      </c>
      <c r="G1449" s="12">
        <f ca="1">(RANDBETWEEN(50,100)/100)*(dict_DQ_Meth_max[[#This Row],[Vergleich_ub]]-dict_DQ_Meth_max[[#This Row],[Vergleich_lb]])+dict_DQ_Meth_max[[#This Row],[Vergleich_lb]]</f>
        <v>6.8</v>
      </c>
      <c r="H1449" s="11" t="str">
        <f ca="1">VLOOKUP(VLOOKUP(dict_DQ_Meth_max[[#This Row],[ID_DataQualities]],table_DataQualities[],3),table_Units[],2)</f>
        <v>+/- mm/s</v>
      </c>
      <c r="I1449" s="10"/>
      <c r="J1449" s="10"/>
      <c r="K1449" s="10"/>
      <c r="L1449" s="10">
        <f ca="1">VLOOKUP(dict_DQ_Meth_max[[#This Row],[ID_DataQualities]],table_DataQualities[],8,FALSE)</f>
        <v>0.14000000000000001</v>
      </c>
      <c r="M1449" s="10">
        <f ca="1">VLOOKUP(dict_DQ_Meth_max[[#This Row],[ID_DataQualities]],table_DataQualities[],9,FALSE)</f>
        <v>6.8</v>
      </c>
    </row>
    <row r="1450" spans="1:13" x14ac:dyDescent="0.45">
      <c r="A1450" s="10">
        <v>387</v>
      </c>
      <c r="B1450" s="10">
        <v>351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0.33979999999999999</v>
      </c>
      <c r="G1450" s="12">
        <f ca="1">(RANDBETWEEN(50,100)/100)*(dict_DQ_Meth_max[[#This Row],[Vergleich_ub]]-dict_DQ_Meth_max[[#This Row],[Vergleich_lb]])+dict_DQ_Meth_max[[#This Row],[Vergleich_lb]]</f>
        <v>3.8030000000000004</v>
      </c>
      <c r="H1450" s="11" t="str">
        <f ca="1">VLOOKUP(VLOOKUP(dict_DQ_Meth_max[[#This Row],[ID_DataQualities]],table_DataQualities[],3),table_Units[],2)</f>
        <v>+/- mm/s</v>
      </c>
      <c r="I1450" s="10"/>
      <c r="J1450" s="10"/>
      <c r="K1450" s="10"/>
      <c r="L1450" s="10">
        <f ca="1">VLOOKUP(dict_DQ_Meth_max[[#This Row],[ID_DataQualities]],table_DataQualities[],8,FALSE)</f>
        <v>0.14000000000000001</v>
      </c>
      <c r="M1450" s="10">
        <f ca="1">VLOOKUP(dict_DQ_Meth_max[[#This Row],[ID_DataQualities]],table_DataQualities[],9,FALSE)</f>
        <v>6.8</v>
      </c>
    </row>
    <row r="1451" spans="1:13" x14ac:dyDescent="0.45">
      <c r="A1451" s="10">
        <v>387</v>
      </c>
      <c r="B1451" s="10">
        <v>618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0.67280000000000006</v>
      </c>
      <c r="G1451" s="12">
        <f ca="1">(RANDBETWEEN(50,100)/100)*(dict_DQ_Meth_max[[#This Row],[Vergleich_ub]]-dict_DQ_Meth_max[[#This Row],[Vergleich_lb]])+dict_DQ_Meth_max[[#This Row],[Vergleich_lb]]</f>
        <v>5.0017999999999994</v>
      </c>
      <c r="H1451" s="11" t="str">
        <f ca="1">VLOOKUP(VLOOKUP(dict_DQ_Meth_max[[#This Row],[ID_DataQualities]],table_DataQualities[],3),table_Units[],2)</f>
        <v>+/- mm/s</v>
      </c>
      <c r="I1451" s="10"/>
      <c r="J1451" s="10"/>
      <c r="K1451" s="10"/>
      <c r="L1451" s="10">
        <f ca="1">VLOOKUP(dict_DQ_Meth_max[[#This Row],[ID_DataQualities]],table_DataQualities[],8,FALSE)</f>
        <v>0.14000000000000001</v>
      </c>
      <c r="M1451" s="10">
        <f ca="1">VLOOKUP(dict_DQ_Meth_max[[#This Row],[ID_DataQualities]],table_DataQualities[],9,FALSE)</f>
        <v>6.8</v>
      </c>
    </row>
    <row r="1452" spans="1:13" x14ac:dyDescent="0.45">
      <c r="A1452" s="10">
        <v>388</v>
      </c>
      <c r="B1452" s="10">
        <v>35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43.568550000000002</v>
      </c>
      <c r="G1452" s="12">
        <f ca="1">(RANDBETWEEN(50,100)/100)*(dict_DQ_Meth_max[[#This Row],[Vergleich_ub]]-dict_DQ_Meth_max[[#This Row],[Vergleich_lb]])+dict_DQ_Meth_max[[#This Row],[Vergleich_lb]]</f>
        <v>120.25290000000001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4.4999999999999998E-2</v>
      </c>
      <c r="M1452" s="10">
        <f ca="1">VLOOKUP(dict_DQ_Meth_max[[#This Row],[ID_DataQualities]],table_DataQualities[],9,FALSE)</f>
        <v>207.3</v>
      </c>
    </row>
    <row r="1453" spans="1:13" x14ac:dyDescent="0.45">
      <c r="A1453" s="10">
        <v>388</v>
      </c>
      <c r="B1453" s="10">
        <v>32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29.060700000000008</v>
      </c>
      <c r="G1453" s="12">
        <f ca="1">(RANDBETWEEN(50,100)/100)*(dict_DQ_Meth_max[[#This Row],[Vergleich_ub]]-dict_DQ_Meth_max[[#This Row],[Vergleich_lb]])+dict_DQ_Meth_max[[#This Row],[Vergleich_lb]]</f>
        <v>163.77645000000001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4.4999999999999998E-2</v>
      </c>
      <c r="M1453" s="10">
        <f ca="1">VLOOKUP(dict_DQ_Meth_max[[#This Row],[ID_DataQualities]],table_DataQualities[],9,FALSE)</f>
        <v>207.3</v>
      </c>
    </row>
    <row r="1454" spans="1:13" x14ac:dyDescent="0.45">
      <c r="A1454" s="10">
        <v>388</v>
      </c>
      <c r="B1454" s="10">
        <v>402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53.931300000000007</v>
      </c>
      <c r="G1454" s="12">
        <f ca="1">(RANDBETWEEN(50,100)/100)*(dict_DQ_Meth_max[[#This Row],[Vergleich_ub]]-dict_DQ_Meth_max[[#This Row],[Vergleich_lb]])+dict_DQ_Meth_max[[#This Row],[Vergleich_lb]]</f>
        <v>120.25290000000001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4.4999999999999998E-2</v>
      </c>
      <c r="M1454" s="10">
        <f ca="1">VLOOKUP(dict_DQ_Meth_max[[#This Row],[ID_DataQualities]],table_DataQualities[],9,FALSE)</f>
        <v>207.3</v>
      </c>
    </row>
    <row r="1455" spans="1:13" x14ac:dyDescent="0.45">
      <c r="A1455" s="10">
        <v>388</v>
      </c>
      <c r="B1455" s="10">
        <v>512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14.552850000000003</v>
      </c>
      <c r="G1455" s="12">
        <f ca="1">(RANDBETWEEN(50,100)/100)*(dict_DQ_Meth_max[[#This Row],[Vergleich_ub]]-dict_DQ_Meth_max[[#This Row],[Vergleich_lb]])+dict_DQ_Meth_max[[#This Row],[Vergleich_lb]]</f>
        <v>114.03525000000002</v>
      </c>
      <c r="H1455" s="11" t="str">
        <f ca="1">VLOOKUP(VLOOKUP(dict_DQ_Meth_max[[#This Row],[ID_DataQualities]],table_DataQualities[],3),table_Units[],2)</f>
        <v>Hz</v>
      </c>
      <c r="I1455" s="10"/>
      <c r="J1455" s="10"/>
      <c r="K1455" s="10"/>
      <c r="L1455" s="10">
        <f ca="1">VLOOKUP(dict_DQ_Meth_max[[#This Row],[ID_DataQualities]],table_DataQualities[],8,FALSE)</f>
        <v>4.4999999999999998E-2</v>
      </c>
      <c r="M1455" s="10">
        <f ca="1">VLOOKUP(dict_DQ_Meth_max[[#This Row],[ID_DataQualities]],table_DataQualities[],9,FALSE)</f>
        <v>207.3</v>
      </c>
    </row>
    <row r="1456" spans="1:13" x14ac:dyDescent="0.45">
      <c r="A1456" s="10">
        <v>389</v>
      </c>
      <c r="B1456" s="10">
        <v>402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9.0541999999999997E-2</v>
      </c>
      <c r="G1456" s="12">
        <f ca="1">(RANDBETWEEN(50,100)/100)*(dict_DQ_Meth_max[[#This Row],[Vergleich_ub]]-dict_DQ_Meth_max[[#This Row],[Vergleich_lb]])+dict_DQ_Meth_max[[#This Row],[Vergleich_lb]]</f>
        <v>0.21152000000000001</v>
      </c>
      <c r="H1456" s="11" t="str">
        <f ca="1">VLOOKUP(VLOOKUP(dict_DQ_Meth_max[[#This Row],[ID_DataQualities]],table_DataQualities[],3),table_Units[],2)</f>
        <v>+/- cm³/s</v>
      </c>
      <c r="I1456" s="10"/>
      <c r="J1456" s="10"/>
      <c r="K1456" s="10"/>
      <c r="L1456" s="10">
        <f ca="1">VLOOKUP(dict_DQ_Meth_max[[#This Row],[ID_DataQualities]],table_DataQualities[],8,FALSE)</f>
        <v>5.5999999999999999E-3</v>
      </c>
      <c r="M1456" s="10">
        <f ca="1">VLOOKUP(dict_DQ_Meth_max[[#This Row],[ID_DataQualities]],table_DataQualities[],9,FALSE)</f>
        <v>0.26300000000000001</v>
      </c>
    </row>
    <row r="1457" spans="1:13" x14ac:dyDescent="0.45">
      <c r="A1457" s="10">
        <v>389</v>
      </c>
      <c r="B1457" s="10">
        <v>35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2.1044E-2</v>
      </c>
      <c r="G1457" s="12">
        <f ca="1">(RANDBETWEEN(50,100)/100)*(dict_DQ_Meth_max[[#This Row],[Vergleich_ub]]-dict_DQ_Meth_max[[#This Row],[Vergleich_lb]])+dict_DQ_Meth_max[[#This Row],[Vergleich_lb]]</f>
        <v>0.16003999999999999</v>
      </c>
      <c r="H1457" s="11" t="str">
        <f ca="1">VLOOKUP(VLOOKUP(dict_DQ_Meth_max[[#This Row],[ID_DataQualities]],table_DataQualities[],3),table_Units[],2)</f>
        <v>+/- cm³/s</v>
      </c>
      <c r="I1457" s="10"/>
      <c r="J1457" s="10"/>
      <c r="K1457" s="10"/>
      <c r="L1457" s="10">
        <f ca="1">VLOOKUP(dict_DQ_Meth_max[[#This Row],[ID_DataQualities]],table_DataQualities[],8,FALSE)</f>
        <v>5.5999999999999999E-3</v>
      </c>
      <c r="M1457" s="10">
        <f ca="1">VLOOKUP(dict_DQ_Meth_max[[#This Row],[ID_DataQualities]],table_DataQualities[],9,FALSE)</f>
        <v>0.26300000000000001</v>
      </c>
    </row>
    <row r="1458" spans="1:13" x14ac:dyDescent="0.45">
      <c r="A1458" s="10">
        <v>389</v>
      </c>
      <c r="B1458" s="10">
        <v>512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1.0748000000000001E-2</v>
      </c>
      <c r="G1458" s="12">
        <f ca="1">(RANDBETWEEN(50,100)/100)*(dict_DQ_Meth_max[[#This Row],[Vergleich_ub]]-dict_DQ_Meth_max[[#This Row],[Vergleich_lb]])+dict_DQ_Meth_max[[#This Row],[Vergleich_lb]]</f>
        <v>0.22181600000000001</v>
      </c>
      <c r="H1458" s="11" t="str">
        <f ca="1">VLOOKUP(VLOOKUP(dict_DQ_Meth_max[[#This Row],[ID_DataQualities]],table_DataQualities[],3),table_Units[],2)</f>
        <v>+/- cm³/s</v>
      </c>
      <c r="I1458" s="10"/>
      <c r="J1458" s="10"/>
      <c r="K1458" s="10"/>
      <c r="L1458" s="10">
        <f ca="1">VLOOKUP(dict_DQ_Meth_max[[#This Row],[ID_DataQualities]],table_DataQualities[],8,FALSE)</f>
        <v>5.5999999999999999E-3</v>
      </c>
      <c r="M1458" s="10">
        <f ca="1">VLOOKUP(dict_DQ_Meth_max[[#This Row],[ID_DataQualities]],table_DataQualities[],9,FALSE)</f>
        <v>0.26300000000000001</v>
      </c>
    </row>
    <row r="1459" spans="1:13" x14ac:dyDescent="0.45">
      <c r="A1459" s="10">
        <v>389</v>
      </c>
      <c r="B1459" s="10">
        <v>32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8.7968000000000005E-2</v>
      </c>
      <c r="G1459" s="12">
        <f ca="1">(RANDBETWEEN(50,100)/100)*(dict_DQ_Meth_max[[#This Row],[Vergleich_ub]]-dict_DQ_Meth_max[[#This Row],[Vergleich_lb]])+dict_DQ_Meth_max[[#This Row],[Vergleich_lb]]</f>
        <v>0.21924199999999999</v>
      </c>
      <c r="H1459" s="11" t="str">
        <f ca="1">VLOOKUP(VLOOKUP(dict_DQ_Meth_max[[#This Row],[ID_DataQualities]],table_DataQualities[],3),table_Units[],2)</f>
        <v>+/- cm³/s</v>
      </c>
      <c r="I1459" s="10"/>
      <c r="J1459" s="10"/>
      <c r="K1459" s="10"/>
      <c r="L1459" s="10">
        <f ca="1">VLOOKUP(dict_DQ_Meth_max[[#This Row],[ID_DataQualities]],table_DataQualities[],8,FALSE)</f>
        <v>5.5999999999999999E-3</v>
      </c>
      <c r="M1459" s="10">
        <f ca="1">VLOOKUP(dict_DQ_Meth_max[[#This Row],[ID_DataQualities]],table_DataQualities[],9,FALSE)</f>
        <v>0.26300000000000001</v>
      </c>
    </row>
    <row r="1460" spans="1:13" x14ac:dyDescent="0.45">
      <c r="A1460" s="10">
        <v>390</v>
      </c>
      <c r="B1460" s="10">
        <v>414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6.2779000000000007</v>
      </c>
      <c r="G1460" s="12">
        <f ca="1">(RANDBETWEEN(50,100)/100)*(dict_DQ_Meth_max[[#This Row],[Vergleich_ub]]-dict_DQ_Meth_max[[#This Row],[Vergleich_lb]])+dict_DQ_Meth_max[[#This Row],[Vergleich_lb]]</f>
        <v>239.19390000000004</v>
      </c>
      <c r="H1460" s="11" t="str">
        <f ca="1">VLOOKUP(VLOOKUP(dict_DQ_Meth_max[[#This Row],[ID_DataQualities]],table_DataQualities[],3),table_Units[],2)</f>
        <v>Hz</v>
      </c>
      <c r="I1460" s="10"/>
      <c r="J1460" s="10"/>
      <c r="K1460" s="10"/>
      <c r="L1460" s="10">
        <f ca="1">VLOOKUP(dict_DQ_Meth_max[[#This Row],[ID_DataQualities]],table_DataQualities[],8,FALSE)</f>
        <v>0.45500000000000002</v>
      </c>
      <c r="M1460" s="10">
        <f ca="1">VLOOKUP(dict_DQ_Meth_max[[#This Row],[ID_DataQualities]],table_DataQualities[],9,FALSE)</f>
        <v>291.60000000000002</v>
      </c>
    </row>
    <row r="1461" spans="1:13" x14ac:dyDescent="0.45">
      <c r="A1461" s="10">
        <v>390</v>
      </c>
      <c r="B1461" s="10">
        <v>576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96.53285000000001</v>
      </c>
      <c r="G1461" s="12">
        <f ca="1">(RANDBETWEEN(50,100)/100)*(dict_DQ_Meth_max[[#This Row],[Vergleich_ub]]-dict_DQ_Meth_max[[#This Row],[Vergleich_lb]])+dict_DQ_Meth_max[[#This Row],[Vergleich_lb]]</f>
        <v>175.14200000000002</v>
      </c>
      <c r="H1461" s="11" t="str">
        <f ca="1">VLOOKUP(VLOOKUP(dict_DQ_Meth_max[[#This Row],[ID_DataQualities]],table_DataQualities[],3),table_Units[],2)</f>
        <v>Hz</v>
      </c>
      <c r="I1461" s="10"/>
      <c r="J1461" s="10"/>
      <c r="K1461" s="10"/>
      <c r="L1461" s="10">
        <f ca="1">VLOOKUP(dict_DQ_Meth_max[[#This Row],[ID_DataQualities]],table_DataQualities[],8,FALSE)</f>
        <v>0.45500000000000002</v>
      </c>
      <c r="M1461" s="10">
        <f ca="1">VLOOKUP(dict_DQ_Meth_max[[#This Row],[ID_DataQualities]],table_DataQualities[],9,FALSE)</f>
        <v>291.60000000000002</v>
      </c>
    </row>
    <row r="1462" spans="1:13" x14ac:dyDescent="0.45">
      <c r="A1462" s="10">
        <v>390</v>
      </c>
      <c r="B1462" s="10">
        <v>103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99.444300000000013</v>
      </c>
      <c r="G1462" s="12">
        <f ca="1">(RANDBETWEEN(50,100)/100)*(dict_DQ_Meth_max[[#This Row],[Vergleich_ub]]-dict_DQ_Meth_max[[#This Row],[Vergleich_lb]])+dict_DQ_Meth_max[[#This Row],[Vergleich_lb]]</f>
        <v>239.19390000000004</v>
      </c>
      <c r="H1462" s="11" t="str">
        <f ca="1">VLOOKUP(VLOOKUP(dict_DQ_Meth_max[[#This Row],[ID_DataQualities]],table_DataQualities[],3),table_Units[],2)</f>
        <v>Hz</v>
      </c>
      <c r="I1462" s="10"/>
      <c r="J1462" s="10"/>
      <c r="K1462" s="10"/>
      <c r="L1462" s="10">
        <f ca="1">VLOOKUP(dict_DQ_Meth_max[[#This Row],[ID_DataQualities]],table_DataQualities[],8,FALSE)</f>
        <v>0.45500000000000002</v>
      </c>
      <c r="M1462" s="10">
        <f ca="1">VLOOKUP(dict_DQ_Meth_max[[#This Row],[ID_DataQualities]],table_DataQualities[],9,FALSE)</f>
        <v>291.60000000000002</v>
      </c>
    </row>
    <row r="1463" spans="1:13" x14ac:dyDescent="0.45">
      <c r="A1463" s="10">
        <v>390</v>
      </c>
      <c r="B1463" s="10">
        <v>162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35.392400000000002</v>
      </c>
      <c r="G1463" s="12">
        <f ca="1">(RANDBETWEEN(50,100)/100)*(dict_DQ_Meth_max[[#This Row],[Vergleich_ub]]-dict_DQ_Meth_max[[#This Row],[Vergleich_lb]])+dict_DQ_Meth_max[[#This Row],[Vergleich_lb]]</f>
        <v>189.69925000000003</v>
      </c>
      <c r="H1463" s="11" t="str">
        <f ca="1">VLOOKUP(VLOOKUP(dict_DQ_Meth_max[[#This Row],[ID_DataQualities]],table_DataQualities[],3),table_Units[],2)</f>
        <v>Hz</v>
      </c>
      <c r="I1463" s="10"/>
      <c r="J1463" s="10"/>
      <c r="K1463" s="10"/>
      <c r="L1463" s="10">
        <f ca="1">VLOOKUP(dict_DQ_Meth_max[[#This Row],[ID_DataQualities]],table_DataQualities[],8,FALSE)</f>
        <v>0.45500000000000002</v>
      </c>
      <c r="M1463" s="10">
        <f ca="1">VLOOKUP(dict_DQ_Meth_max[[#This Row],[ID_DataQualities]],table_DataQualities[],9,FALSE)</f>
        <v>291.60000000000002</v>
      </c>
    </row>
    <row r="1464" spans="1:13" x14ac:dyDescent="0.45">
      <c r="A1464" s="10">
        <v>391</v>
      </c>
      <c r="B1464" s="10">
        <v>576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1.6150000000000002</v>
      </c>
      <c r="G1464" s="12">
        <f ca="1">(RANDBETWEEN(50,100)/100)*(dict_DQ_Meth_max[[#This Row],[Vergleich_ub]]-dict_DQ_Meth_max[[#This Row],[Vergleich_lb]])+dict_DQ_Meth_max[[#This Row],[Vergleich_lb]]</f>
        <v>4.2249999999999996</v>
      </c>
      <c r="H1464" s="11" t="str">
        <f ca="1">VLOOKUP(VLOOKUP(dict_DQ_Meth_max[[#This Row],[ID_DataQualities]],table_DataQualities[],3),table_Units[],2)</f>
        <v>+/- mm/s</v>
      </c>
      <c r="I1464" s="10"/>
      <c r="J1464" s="10"/>
      <c r="K1464" s="10"/>
      <c r="L1464" s="10">
        <f ca="1">VLOOKUP(dict_DQ_Meth_max[[#This Row],[ID_DataQualities]],table_DataQualities[],8,FALSE)</f>
        <v>0.4</v>
      </c>
      <c r="M1464" s="10">
        <f ca="1">VLOOKUP(dict_DQ_Meth_max[[#This Row],[ID_DataQualities]],table_DataQualities[],9,FALSE)</f>
        <v>4.9000000000000004</v>
      </c>
    </row>
    <row r="1465" spans="1:13" x14ac:dyDescent="0.45">
      <c r="A1465" s="10">
        <v>391</v>
      </c>
      <c r="B1465" s="10">
        <v>103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1.0300000000000002</v>
      </c>
      <c r="G1465" s="12">
        <f ca="1">(RANDBETWEEN(50,100)/100)*(dict_DQ_Meth_max[[#This Row],[Vergleich_ub]]-dict_DQ_Meth_max[[#This Row],[Vergleich_lb]])+dict_DQ_Meth_max[[#This Row],[Vergleich_lb]]</f>
        <v>4.7200000000000006</v>
      </c>
      <c r="H1465" s="11" t="str">
        <f ca="1">VLOOKUP(VLOOKUP(dict_DQ_Meth_max[[#This Row],[ID_DataQualities]],table_DataQualities[],3),table_Units[],2)</f>
        <v>+/- mm/s</v>
      </c>
      <c r="I1465" s="10"/>
      <c r="J1465" s="10"/>
      <c r="K1465" s="10"/>
      <c r="L1465" s="10">
        <f ca="1">VLOOKUP(dict_DQ_Meth_max[[#This Row],[ID_DataQualities]],table_DataQualities[],8,FALSE)</f>
        <v>0.4</v>
      </c>
      <c r="M1465" s="10">
        <f ca="1">VLOOKUP(dict_DQ_Meth_max[[#This Row],[ID_DataQualities]],table_DataQualities[],9,FALSE)</f>
        <v>4.9000000000000004</v>
      </c>
    </row>
    <row r="1466" spans="1:13" x14ac:dyDescent="0.45">
      <c r="A1466" s="10">
        <v>391</v>
      </c>
      <c r="B1466" s="10">
        <v>162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2.605</v>
      </c>
      <c r="G1466" s="12">
        <f ca="1">(RANDBETWEEN(50,100)/100)*(dict_DQ_Meth_max[[#This Row],[Vergleich_ub]]-dict_DQ_Meth_max[[#This Row],[Vergleich_lb]])+dict_DQ_Meth_max[[#This Row],[Vergleich_lb]]</f>
        <v>4.09</v>
      </c>
      <c r="H1466" s="11" t="str">
        <f ca="1">VLOOKUP(VLOOKUP(dict_DQ_Meth_max[[#This Row],[ID_DataQualities]],table_DataQualities[],3),table_Units[],2)</f>
        <v>+/- mm/s</v>
      </c>
      <c r="I1466" s="10"/>
      <c r="J1466" s="10"/>
      <c r="K1466" s="10"/>
      <c r="L1466" s="10">
        <f ca="1">VLOOKUP(dict_DQ_Meth_max[[#This Row],[ID_DataQualities]],table_DataQualities[],8,FALSE)</f>
        <v>0.4</v>
      </c>
      <c r="M1466" s="10">
        <f ca="1">VLOOKUP(dict_DQ_Meth_max[[#This Row],[ID_DataQualities]],table_DataQualities[],9,FALSE)</f>
        <v>4.9000000000000004</v>
      </c>
    </row>
    <row r="1467" spans="1:13" x14ac:dyDescent="0.45">
      <c r="A1467" s="10">
        <v>391</v>
      </c>
      <c r="B1467" s="10">
        <v>414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1.4350000000000001</v>
      </c>
      <c r="G1467" s="12">
        <f ca="1">(RANDBETWEEN(50,100)/100)*(dict_DQ_Meth_max[[#This Row],[Vergleich_ub]]-dict_DQ_Meth_max[[#This Row],[Vergleich_lb]])+dict_DQ_Meth_max[[#This Row],[Vergleich_lb]]</f>
        <v>4.18</v>
      </c>
      <c r="H1467" s="11" t="str">
        <f ca="1">VLOOKUP(VLOOKUP(dict_DQ_Meth_max[[#This Row],[ID_DataQualities]],table_DataQualities[],3),table_Units[],2)</f>
        <v>+/- mm/s</v>
      </c>
      <c r="I1467" s="10"/>
      <c r="J1467" s="10"/>
      <c r="K1467" s="10"/>
      <c r="L1467" s="10">
        <f ca="1">VLOOKUP(dict_DQ_Meth_max[[#This Row],[ID_DataQualities]],table_DataQualities[],8,FALSE)</f>
        <v>0.4</v>
      </c>
      <c r="M1467" s="10">
        <f ca="1">VLOOKUP(dict_DQ_Meth_max[[#This Row],[ID_DataQualities]],table_DataQualities[],9,FALSE)</f>
        <v>4.9000000000000004</v>
      </c>
    </row>
    <row r="1468" spans="1:13" x14ac:dyDescent="0.45">
      <c r="A1468" s="10">
        <v>392</v>
      </c>
      <c r="B1468" s="10">
        <v>638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473.96325000000002</v>
      </c>
      <c r="G1468" s="12">
        <f ca="1">(RANDBETWEEN(50,100)/100)*(dict_DQ_Meth_max[[#This Row],[Vergleich_ub]]-dict_DQ_Meth_max[[#This Row],[Vergleich_lb]])+dict_DQ_Meth_max[[#This Row],[Vergleich_lb]]</f>
        <v>1497.3977100000002</v>
      </c>
      <c r="H1468" s="11" t="str">
        <f ca="1">VLOOKUP(VLOOKUP(dict_DQ_Meth_max[[#This Row],[ID_DataQualities]],table_DataQualities[],3),table_Units[],2)</f>
        <v>Hz</v>
      </c>
      <c r="I1468" s="10"/>
      <c r="J1468" s="10"/>
      <c r="K1468" s="10"/>
      <c r="L1468" s="10">
        <f ca="1">VLOOKUP(dict_DQ_Meth_max[[#This Row],[ID_DataQualities]],table_DataQualities[],8,FALSE)</f>
        <v>0.151</v>
      </c>
      <c r="M1468" s="10">
        <f ca="1">VLOOKUP(dict_DQ_Meth_max[[#This Row],[ID_DataQualities]],table_DataQualities[],9,FALSE)</f>
        <v>1895.4</v>
      </c>
    </row>
    <row r="1469" spans="1:13" x14ac:dyDescent="0.45">
      <c r="A1469" s="10">
        <v>392</v>
      </c>
      <c r="B1469" s="10">
        <v>76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189.67590000000001</v>
      </c>
      <c r="G1469" s="12">
        <f ca="1">(RANDBETWEEN(50,100)/100)*(dict_DQ_Meth_max[[#This Row],[Vergleich_ub]]-dict_DQ_Meth_max[[#This Row],[Vergleich_lb]])+dict_DQ_Meth_max[[#This Row],[Vergleich_lb]]</f>
        <v>1895.4</v>
      </c>
      <c r="H1469" s="11" t="str">
        <f ca="1">VLOOKUP(VLOOKUP(dict_DQ_Meth_max[[#This Row],[ID_DataQualities]],table_DataQualities[],3),table_Units[],2)</f>
        <v>Hz</v>
      </c>
      <c r="I1469" s="10"/>
      <c r="J1469" s="10"/>
      <c r="K1469" s="10"/>
      <c r="L1469" s="10">
        <f ca="1">VLOOKUP(dict_DQ_Meth_max[[#This Row],[ID_DataQualities]],table_DataQualities[],8,FALSE)</f>
        <v>0.151</v>
      </c>
      <c r="M1469" s="10">
        <f ca="1">VLOOKUP(dict_DQ_Meth_max[[#This Row],[ID_DataQualities]],table_DataQualities[],9,FALSE)</f>
        <v>1895.4</v>
      </c>
    </row>
    <row r="1470" spans="1:13" x14ac:dyDescent="0.45">
      <c r="A1470" s="10">
        <v>392</v>
      </c>
      <c r="B1470" s="10">
        <v>126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909.87051999999994</v>
      </c>
      <c r="G1470" s="12">
        <f ca="1">(RANDBETWEEN(50,100)/100)*(dict_DQ_Meth_max[[#This Row],[Vergleich_ub]]-dict_DQ_Meth_max[[#This Row],[Vergleich_lb]])+dict_DQ_Meth_max[[#This Row],[Vergleich_lb]]</f>
        <v>1156.25289</v>
      </c>
      <c r="H1470" s="11" t="str">
        <f ca="1">VLOOKUP(VLOOKUP(dict_DQ_Meth_max[[#This Row],[ID_DataQualities]],table_DataQualities[],3),table_Units[],2)</f>
        <v>Hz</v>
      </c>
      <c r="I1470" s="10"/>
      <c r="J1470" s="10"/>
      <c r="K1470" s="10"/>
      <c r="L1470" s="10">
        <f ca="1">VLOOKUP(dict_DQ_Meth_max[[#This Row],[ID_DataQualities]],table_DataQualities[],8,FALSE)</f>
        <v>0.151</v>
      </c>
      <c r="M1470" s="10">
        <f ca="1">VLOOKUP(dict_DQ_Meth_max[[#This Row],[ID_DataQualities]],table_DataQualities[],9,FALSE)</f>
        <v>1895.4</v>
      </c>
    </row>
    <row r="1471" spans="1:13" x14ac:dyDescent="0.45">
      <c r="A1471" s="10">
        <v>393</v>
      </c>
      <c r="B1471" s="10">
        <v>76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0.40728000000000003</v>
      </c>
      <c r="G1471" s="12">
        <f ca="1">(RANDBETWEEN(50,100)/100)*(dict_DQ_Meth_max[[#This Row],[Vergleich_ub]]-dict_DQ_Meth_max[[#This Row],[Vergleich_lb]])+dict_DQ_Meth_max[[#This Row],[Vergleich_lb]]</f>
        <v>1.30104</v>
      </c>
      <c r="H1471" s="11" t="str">
        <f ca="1">VLOOKUP(VLOOKUP(dict_DQ_Meth_max[[#This Row],[ID_DataQualities]],table_DataQualities[],3),table_Units[],2)</f>
        <v>+/- W</v>
      </c>
      <c r="I1471" s="10"/>
      <c r="J1471" s="10"/>
      <c r="K1471" s="10"/>
      <c r="L1471" s="10">
        <f ca="1">VLOOKUP(dict_DQ_Meth_max[[#This Row],[ID_DataQualities]],table_DataQualities[],8,FALSE)</f>
        <v>6.0000000000000001E-3</v>
      </c>
      <c r="M1471" s="10">
        <f ca="1">VLOOKUP(dict_DQ_Meth_max[[#This Row],[ID_DataQualities]],table_DataQualities[],9,FALSE)</f>
        <v>1.83</v>
      </c>
    </row>
    <row r="1472" spans="1:13" x14ac:dyDescent="0.45">
      <c r="A1472" s="10">
        <v>393</v>
      </c>
      <c r="B1472" s="10">
        <v>126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0.26136000000000004</v>
      </c>
      <c r="G1472" s="12">
        <f ca="1">(RANDBETWEEN(50,100)/100)*(dict_DQ_Meth_max[[#This Row],[Vergleich_ub]]-dict_DQ_Meth_max[[#This Row],[Vergleich_lb]])+dict_DQ_Meth_max[[#This Row],[Vergleich_lb]]</f>
        <v>1.5199199999999999</v>
      </c>
      <c r="H1472" s="11" t="str">
        <f ca="1">VLOOKUP(VLOOKUP(dict_DQ_Meth_max[[#This Row],[ID_DataQualities]],table_DataQualities[],3),table_Units[],2)</f>
        <v>+/- W</v>
      </c>
      <c r="I1472" s="10"/>
      <c r="J1472" s="10"/>
      <c r="K1472" s="10"/>
      <c r="L1472" s="10">
        <f ca="1">VLOOKUP(dict_DQ_Meth_max[[#This Row],[ID_DataQualities]],table_DataQualities[],8,FALSE)</f>
        <v>6.0000000000000001E-3</v>
      </c>
      <c r="M1472" s="10">
        <f ca="1">VLOOKUP(dict_DQ_Meth_max[[#This Row],[ID_DataQualities]],table_DataQualities[],9,FALSE)</f>
        <v>1.83</v>
      </c>
    </row>
    <row r="1473" spans="1:13" x14ac:dyDescent="0.45">
      <c r="A1473" s="10">
        <v>393</v>
      </c>
      <c r="B1473" s="10">
        <v>638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6.0719999999999996E-2</v>
      </c>
      <c r="G1473" s="12">
        <f ca="1">(RANDBETWEEN(50,100)/100)*(dict_DQ_Meth_max[[#This Row],[Vergleich_ub]]-dict_DQ_Meth_max[[#This Row],[Vergleich_lb]])+dict_DQ_Meth_max[[#This Row],[Vergleich_lb]]</f>
        <v>1.83</v>
      </c>
      <c r="H1473" s="11" t="str">
        <f ca="1">VLOOKUP(VLOOKUP(dict_DQ_Meth_max[[#This Row],[ID_DataQualities]],table_DataQualities[],3),table_Units[],2)</f>
        <v>+/- W</v>
      </c>
      <c r="I1473" s="10"/>
      <c r="J1473" s="10"/>
      <c r="K1473" s="10"/>
      <c r="L1473" s="10">
        <f ca="1">VLOOKUP(dict_DQ_Meth_max[[#This Row],[ID_DataQualities]],table_DataQualities[],8,FALSE)</f>
        <v>6.0000000000000001E-3</v>
      </c>
      <c r="M1473" s="10">
        <f ca="1">VLOOKUP(dict_DQ_Meth_max[[#This Row],[ID_DataQualities]],table_DataQualities[],9,FALSE)</f>
        <v>1.83</v>
      </c>
    </row>
    <row r="1474" spans="1:13" x14ac:dyDescent="0.45">
      <c r="A1474" s="10">
        <v>394</v>
      </c>
      <c r="B1474" s="10">
        <v>659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762.74143000000004</v>
      </c>
      <c r="G1474" s="12">
        <f ca="1">(RANDBETWEEN(50,100)/100)*(dict_DQ_Meth_max[[#This Row],[Vergleich_ub]]-dict_DQ_Meth_max[[#This Row],[Vergleich_lb]])+dict_DQ_Meth_max[[#This Row],[Vergleich_lb]]</f>
        <v>1856.7379600000002</v>
      </c>
      <c r="H1474" s="11" t="str">
        <f ca="1">VLOOKUP(VLOOKUP(dict_DQ_Meth_max[[#This Row],[ID_DataQualities]],table_DataQualities[],3),table_Units[],2)</f>
        <v>Hz</v>
      </c>
      <c r="I1474" s="10"/>
      <c r="J1474" s="10"/>
      <c r="K1474" s="10"/>
      <c r="L1474" s="10">
        <f ca="1">VLOOKUP(dict_DQ_Meth_max[[#This Row],[ID_DataQualities]],table_DataQualities[],8,FALSE)</f>
        <v>0.25900000000000001</v>
      </c>
      <c r="M1474" s="10">
        <f ca="1">VLOOKUP(dict_DQ_Meth_max[[#This Row],[ID_DataQualities]],table_DataQualities[],9,FALSE)</f>
        <v>3315.4</v>
      </c>
    </row>
    <row r="1475" spans="1:13" x14ac:dyDescent="0.45">
      <c r="A1475" s="10">
        <v>394</v>
      </c>
      <c r="B1475" s="10">
        <v>54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33.410409999999999</v>
      </c>
      <c r="G1475" s="12">
        <f ca="1">(RANDBETWEEN(50,100)/100)*(dict_DQ_Meth_max[[#This Row],[Vergleich_ub]]-dict_DQ_Meth_max[[#This Row],[Vergleich_lb]])+dict_DQ_Meth_max[[#This Row],[Vergleich_lb]]</f>
        <v>3116.49154</v>
      </c>
      <c r="H1475" s="11" t="str">
        <f ca="1">VLOOKUP(VLOOKUP(dict_DQ_Meth_max[[#This Row],[ID_DataQualities]],table_DataQualities[],3),table_Units[],2)</f>
        <v>Hz</v>
      </c>
      <c r="I1475" s="10"/>
      <c r="J1475" s="10"/>
      <c r="K1475" s="10"/>
      <c r="L1475" s="10">
        <f ca="1">VLOOKUP(dict_DQ_Meth_max[[#This Row],[ID_DataQualities]],table_DataQualities[],8,FALSE)</f>
        <v>0.25900000000000001</v>
      </c>
      <c r="M1475" s="10">
        <f ca="1">VLOOKUP(dict_DQ_Meth_max[[#This Row],[ID_DataQualities]],table_DataQualities[],9,FALSE)</f>
        <v>3315.4</v>
      </c>
    </row>
    <row r="1476" spans="1:13" x14ac:dyDescent="0.45">
      <c r="A1476" s="10">
        <v>394</v>
      </c>
      <c r="B1476" s="10">
        <v>441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199.16745999999998</v>
      </c>
      <c r="G1476" s="12">
        <f ca="1">(RANDBETWEEN(50,100)/100)*(dict_DQ_Meth_max[[#This Row],[Vergleich_ub]]-dict_DQ_Meth_max[[#This Row],[Vergleich_lb]])+dict_DQ_Meth_max[[#This Row],[Vergleich_lb]]</f>
        <v>3315.4</v>
      </c>
      <c r="H1476" s="11" t="str">
        <f ca="1">VLOOKUP(VLOOKUP(dict_DQ_Meth_max[[#This Row],[ID_DataQualities]],table_DataQualities[],3),table_Units[],2)</f>
        <v>Hz</v>
      </c>
      <c r="I1476" s="10"/>
      <c r="J1476" s="10"/>
      <c r="K1476" s="10"/>
      <c r="L1476" s="10">
        <f ca="1">VLOOKUP(dict_DQ_Meth_max[[#This Row],[ID_DataQualities]],table_DataQualities[],8,FALSE)</f>
        <v>0.25900000000000001</v>
      </c>
      <c r="M1476" s="10">
        <f ca="1">VLOOKUP(dict_DQ_Meth_max[[#This Row],[ID_DataQualities]],table_DataQualities[],9,FALSE)</f>
        <v>3315.4</v>
      </c>
    </row>
    <row r="1477" spans="1:13" x14ac:dyDescent="0.45">
      <c r="A1477" s="10">
        <v>394</v>
      </c>
      <c r="B1477" s="10">
        <v>534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298.62169</v>
      </c>
      <c r="G1477" s="12">
        <f ca="1">(RANDBETWEEN(50,100)/100)*(dict_DQ_Meth_max[[#This Row],[Vergleich_ub]]-dict_DQ_Meth_max[[#This Row],[Vergleich_lb]])+dict_DQ_Meth_max[[#This Row],[Vergleich_lb]]</f>
        <v>2022.4950100000001</v>
      </c>
      <c r="H1477" s="11" t="str">
        <f ca="1">VLOOKUP(VLOOKUP(dict_DQ_Meth_max[[#This Row],[ID_DataQualities]],table_DataQualities[],3),table_Units[],2)</f>
        <v>Hz</v>
      </c>
      <c r="I1477" s="10"/>
      <c r="J1477" s="10"/>
      <c r="K1477" s="10"/>
      <c r="L1477" s="10">
        <f ca="1">VLOOKUP(dict_DQ_Meth_max[[#This Row],[ID_DataQualities]],table_DataQualities[],8,FALSE)</f>
        <v>0.25900000000000001</v>
      </c>
      <c r="M1477" s="10">
        <f ca="1">VLOOKUP(dict_DQ_Meth_max[[#This Row],[ID_DataQualities]],table_DataQualities[],9,FALSE)</f>
        <v>3315.4</v>
      </c>
    </row>
    <row r="1478" spans="1:13" x14ac:dyDescent="0.45">
      <c r="A1478" s="10">
        <v>394</v>
      </c>
      <c r="B1478" s="10">
        <v>158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895.34707000000014</v>
      </c>
      <c r="G1478" s="12">
        <f ca="1">(RANDBETWEEN(50,100)/100)*(dict_DQ_Meth_max[[#This Row],[Vergleich_ub]]-dict_DQ_Meth_max[[#This Row],[Vergleich_lb]])+dict_DQ_Meth_max[[#This Row],[Vergleich_lb]]</f>
        <v>2022.4950100000001</v>
      </c>
      <c r="H1478" s="11" t="str">
        <f ca="1">VLOOKUP(VLOOKUP(dict_DQ_Meth_max[[#This Row],[ID_DataQualities]],table_DataQualities[],3),table_Units[],2)</f>
        <v>Hz</v>
      </c>
      <c r="I1478" s="10"/>
      <c r="J1478" s="10"/>
      <c r="K1478" s="10"/>
      <c r="L1478" s="10">
        <f ca="1">VLOOKUP(dict_DQ_Meth_max[[#This Row],[ID_DataQualities]],table_DataQualities[],8,FALSE)</f>
        <v>0.25900000000000001</v>
      </c>
      <c r="M1478" s="10">
        <f ca="1">VLOOKUP(dict_DQ_Meth_max[[#This Row],[ID_DataQualities]],table_DataQualities[],9,FALSE)</f>
        <v>3315.4</v>
      </c>
    </row>
    <row r="1479" spans="1:13" x14ac:dyDescent="0.45">
      <c r="A1479" s="10">
        <v>395</v>
      </c>
      <c r="B1479" s="10">
        <v>659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0.77</v>
      </c>
      <c r="G1479" s="12">
        <f ca="1">(RANDBETWEEN(50,100)/100)*(dict_DQ_Meth_max[[#This Row],[Vergleich_ub]]-dict_DQ_Meth_max[[#This Row],[Vergleich_lb]])+dict_DQ_Meth_max[[#This Row],[Vergleich_lb]]</f>
        <v>2.214</v>
      </c>
      <c r="H1479" s="11" t="str">
        <f ca="1">VLOOKUP(VLOOKUP(dict_DQ_Meth_max[[#This Row],[ID_DataQualities]],table_DataQualities[],3),table_Units[],2)</f>
        <v>+/- °C</v>
      </c>
      <c r="I1479" s="10"/>
      <c r="J1479" s="10"/>
      <c r="K1479" s="10"/>
      <c r="L1479" s="10">
        <f ca="1">VLOOKUP(dict_DQ_Meth_max[[#This Row],[ID_DataQualities]],table_DataQualities[],8,FALSE)</f>
        <v>0.2</v>
      </c>
      <c r="M1479" s="10">
        <f ca="1">VLOOKUP(dict_DQ_Meth_max[[#This Row],[ID_DataQualities]],table_DataQualities[],9,FALSE)</f>
        <v>4</v>
      </c>
    </row>
    <row r="1480" spans="1:13" x14ac:dyDescent="0.45">
      <c r="A1480" s="10">
        <v>395</v>
      </c>
      <c r="B1480" s="10">
        <v>534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1.0740000000000001</v>
      </c>
      <c r="G1480" s="12">
        <f ca="1">(RANDBETWEEN(50,100)/100)*(dict_DQ_Meth_max[[#This Row],[Vergleich_ub]]-dict_DQ_Meth_max[[#This Row],[Vergleich_lb]])+dict_DQ_Meth_max[[#This Row],[Vergleich_lb]]</f>
        <v>2.5180000000000002</v>
      </c>
      <c r="H1480" s="11" t="str">
        <f ca="1">VLOOKUP(VLOOKUP(dict_DQ_Meth_max[[#This Row],[ID_DataQualities]],table_DataQualities[],3),table_Units[],2)</f>
        <v>+/- °C</v>
      </c>
      <c r="I1480" s="10"/>
      <c r="J1480" s="10"/>
      <c r="K1480" s="10"/>
      <c r="L1480" s="10">
        <f ca="1">VLOOKUP(dict_DQ_Meth_max[[#This Row],[ID_DataQualities]],table_DataQualities[],8,FALSE)</f>
        <v>0.2</v>
      </c>
      <c r="M1480" s="10">
        <f ca="1">VLOOKUP(dict_DQ_Meth_max[[#This Row],[ID_DataQualities]],table_DataQualities[],9,FALSE)</f>
        <v>4</v>
      </c>
    </row>
    <row r="1481" spans="1:13" x14ac:dyDescent="0.45">
      <c r="A1481" s="10">
        <v>395</v>
      </c>
      <c r="B1481" s="10">
        <v>54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0.42799999999999999</v>
      </c>
      <c r="G1481" s="12">
        <f ca="1">(RANDBETWEEN(50,100)/100)*(dict_DQ_Meth_max[[#This Row],[Vergleich_ub]]-dict_DQ_Meth_max[[#This Row],[Vergleich_lb]])+dict_DQ_Meth_max[[#This Row],[Vergleich_lb]]</f>
        <v>3.734</v>
      </c>
      <c r="H1481" s="11" t="str">
        <f ca="1">VLOOKUP(VLOOKUP(dict_DQ_Meth_max[[#This Row],[ID_DataQualities]],table_DataQualities[],3),table_Units[],2)</f>
        <v>+/- °C</v>
      </c>
      <c r="I1481" s="10"/>
      <c r="J1481" s="10"/>
      <c r="K1481" s="10"/>
      <c r="L1481" s="10">
        <f ca="1">VLOOKUP(dict_DQ_Meth_max[[#This Row],[ID_DataQualities]],table_DataQualities[],8,FALSE)</f>
        <v>0.2</v>
      </c>
      <c r="M1481" s="10">
        <f ca="1">VLOOKUP(dict_DQ_Meth_max[[#This Row],[ID_DataQualities]],table_DataQualities[],9,FALSE)</f>
        <v>4</v>
      </c>
    </row>
    <row r="1482" spans="1:13" x14ac:dyDescent="0.45">
      <c r="A1482" s="10">
        <v>395</v>
      </c>
      <c r="B1482" s="10">
        <v>441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1.91</v>
      </c>
      <c r="G1482" s="12">
        <f ca="1">(RANDBETWEEN(50,100)/100)*(dict_DQ_Meth_max[[#This Row],[Vergleich_ub]]-dict_DQ_Meth_max[[#This Row],[Vergleich_lb]])+dict_DQ_Meth_max[[#This Row],[Vergleich_lb]]</f>
        <v>2.9359999999999999</v>
      </c>
      <c r="H1482" s="11" t="str">
        <f ca="1">VLOOKUP(VLOOKUP(dict_DQ_Meth_max[[#This Row],[ID_DataQualities]],table_DataQualities[],3),table_Units[],2)</f>
        <v>+/- °C</v>
      </c>
      <c r="I1482" s="10"/>
      <c r="J1482" s="10"/>
      <c r="K1482" s="10"/>
      <c r="L1482" s="10">
        <f ca="1">VLOOKUP(dict_DQ_Meth_max[[#This Row],[ID_DataQualities]],table_DataQualities[],8,FALSE)</f>
        <v>0.2</v>
      </c>
      <c r="M1482" s="10">
        <f ca="1">VLOOKUP(dict_DQ_Meth_max[[#This Row],[ID_DataQualities]],table_DataQualities[],9,FALSE)</f>
        <v>4</v>
      </c>
    </row>
    <row r="1483" spans="1:13" x14ac:dyDescent="0.45">
      <c r="A1483" s="10">
        <v>395</v>
      </c>
      <c r="B1483" s="10">
        <v>158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2.024</v>
      </c>
      <c r="G1483" s="12">
        <f ca="1">(RANDBETWEEN(50,100)/100)*(dict_DQ_Meth_max[[#This Row],[Vergleich_ub]]-dict_DQ_Meth_max[[#This Row],[Vergleich_lb]])+dict_DQ_Meth_max[[#This Row],[Vergleich_lb]]</f>
        <v>2.1379999999999999</v>
      </c>
      <c r="H1483" s="11" t="str">
        <f ca="1">VLOOKUP(VLOOKUP(dict_DQ_Meth_max[[#This Row],[ID_DataQualities]],table_DataQualities[],3),table_Units[],2)</f>
        <v>+/- °C</v>
      </c>
      <c r="I1483" s="10"/>
      <c r="J1483" s="10"/>
      <c r="K1483" s="10"/>
      <c r="L1483" s="10">
        <f ca="1">VLOOKUP(dict_DQ_Meth_max[[#This Row],[ID_DataQualities]],table_DataQualities[],8,FALSE)</f>
        <v>0.2</v>
      </c>
      <c r="M1483" s="10">
        <f ca="1">VLOOKUP(dict_DQ_Meth_max[[#This Row],[ID_DataQualities]],table_DataQualities[],9,FALSE)</f>
        <v>4</v>
      </c>
    </row>
    <row r="1484" spans="1:13" x14ac:dyDescent="0.45">
      <c r="A1484" s="10">
        <v>396</v>
      </c>
      <c r="B1484" s="10">
        <v>41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2255.0591399999998</v>
      </c>
      <c r="G1484" s="12">
        <f ca="1">(RANDBETWEEN(50,100)/100)*(dict_DQ_Meth_max[[#This Row],[Vergleich_ub]]-dict_DQ_Meth_max[[#This Row],[Vergleich_lb]])+dict_DQ_Meth_max[[#This Row],[Vergleich_lb]]</f>
        <v>7682.4174400000002</v>
      </c>
      <c r="H1484" s="11" t="str">
        <f ca="1">VLOOKUP(VLOOKUP(dict_DQ_Meth_max[[#This Row],[ID_DataQualities]],table_DataQualities[],3),table_Units[],2)</f>
        <v>Hz</v>
      </c>
      <c r="I1484" s="10"/>
      <c r="J1484" s="10"/>
      <c r="K1484" s="10"/>
      <c r="L1484" s="10">
        <f ca="1">VLOOKUP(dict_DQ_Meth_max[[#This Row],[ID_DataQualities]],table_DataQualities[],8,FALSE)</f>
        <v>0.61799999999999999</v>
      </c>
      <c r="M1484" s="10">
        <f ca="1">VLOOKUP(dict_DQ_Meth_max[[#This Row],[ID_DataQualities]],table_DataQualities[],9,FALSE)</f>
        <v>8350.4</v>
      </c>
    </row>
    <row r="1485" spans="1:13" x14ac:dyDescent="0.45">
      <c r="A1485" s="10">
        <v>396</v>
      </c>
      <c r="B1485" s="10">
        <v>540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3090.0373399999994</v>
      </c>
      <c r="G1485" s="12">
        <f ca="1">(RANDBETWEEN(50,100)/100)*(dict_DQ_Meth_max[[#This Row],[Vergleich_ub]]-dict_DQ_Meth_max[[#This Row],[Vergleich_lb]])+dict_DQ_Meth_max[[#This Row],[Vergleich_lb]]</f>
        <v>5845.4653999999991</v>
      </c>
      <c r="H1485" s="11" t="str">
        <f ca="1">VLOOKUP(VLOOKUP(dict_DQ_Meth_max[[#This Row],[ID_DataQualities]],table_DataQualities[],3),table_Units[],2)</f>
        <v>Hz</v>
      </c>
      <c r="I1485" s="10"/>
      <c r="J1485" s="10"/>
      <c r="K1485" s="10"/>
      <c r="L1485" s="10">
        <f ca="1">VLOOKUP(dict_DQ_Meth_max[[#This Row],[ID_DataQualities]],table_DataQualities[],8,FALSE)</f>
        <v>0.61799999999999999</v>
      </c>
      <c r="M1485" s="10">
        <f ca="1">VLOOKUP(dict_DQ_Meth_max[[#This Row],[ID_DataQualities]],table_DataQualities[],9,FALSE)</f>
        <v>8350.4</v>
      </c>
    </row>
    <row r="1486" spans="1:13" x14ac:dyDescent="0.45">
      <c r="A1486" s="10">
        <v>397</v>
      </c>
      <c r="B1486" s="10">
        <v>41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0.91</v>
      </c>
      <c r="G1486" s="12">
        <f ca="1">(RANDBETWEEN(50,100)/100)*(dict_DQ_Meth_max[[#This Row],[Vergleich_ub]]-dict_DQ_Meth_max[[#This Row],[Vergleich_lb]])+dict_DQ_Meth_max[[#This Row],[Vergleich_lb]]</f>
        <v>7.1371000000000002</v>
      </c>
      <c r="H1486" s="11" t="str">
        <f ca="1">VLOOKUP(VLOOKUP(dict_DQ_Meth_max[[#This Row],[ID_DataQualities]],table_DataQualities[],3),table_Units[],2)</f>
        <v>+/- mm/s</v>
      </c>
      <c r="I1486" s="10"/>
      <c r="J1486" s="10"/>
      <c r="K1486" s="10"/>
      <c r="L1486" s="10">
        <f ca="1">VLOOKUP(dict_DQ_Meth_max[[#This Row],[ID_DataQualities]],table_DataQualities[],8,FALSE)</f>
        <v>0.91</v>
      </c>
      <c r="M1486" s="10">
        <f ca="1">VLOOKUP(dict_DQ_Meth_max[[#This Row],[ID_DataQualities]],table_DataQualities[],9,FALSE)</f>
        <v>7.2</v>
      </c>
    </row>
    <row r="1487" spans="1:13" x14ac:dyDescent="0.45">
      <c r="A1487" s="10">
        <v>397</v>
      </c>
      <c r="B1487" s="10">
        <v>540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1.2874000000000001</v>
      </c>
      <c r="G1487" s="12">
        <f ca="1">(RANDBETWEEN(50,100)/100)*(dict_DQ_Meth_max[[#This Row],[Vergleich_ub]]-dict_DQ_Meth_max[[#This Row],[Vergleich_lb]])+dict_DQ_Meth_max[[#This Row],[Vergleich_lb]]</f>
        <v>4.4952999999999994</v>
      </c>
      <c r="H1487" s="11" t="str">
        <f ca="1">VLOOKUP(VLOOKUP(dict_DQ_Meth_max[[#This Row],[ID_DataQualities]],table_DataQualities[],3),table_Units[],2)</f>
        <v>+/- mm/s</v>
      </c>
      <c r="I1487" s="10"/>
      <c r="J1487" s="10"/>
      <c r="K1487" s="10"/>
      <c r="L1487" s="10">
        <f ca="1">VLOOKUP(dict_DQ_Meth_max[[#This Row],[ID_DataQualities]],table_DataQualities[],8,FALSE)</f>
        <v>0.91</v>
      </c>
      <c r="M1487" s="10">
        <f ca="1">VLOOKUP(dict_DQ_Meth_max[[#This Row],[ID_DataQualities]],table_DataQualities[],9,FALSE)</f>
        <v>7.2</v>
      </c>
    </row>
    <row r="1488" spans="1:13" x14ac:dyDescent="0.45">
      <c r="A1488" s="10">
        <v>398</v>
      </c>
      <c r="B1488" s="10">
        <v>352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293.80009999999999</v>
      </c>
      <c r="G1488" s="12">
        <f ca="1">(RANDBETWEEN(50,100)/100)*(dict_DQ_Meth_max[[#This Row],[Vergleich_ub]]-dict_DQ_Meth_max[[#This Row],[Vergleich_lb]])+dict_DQ_Meth_max[[#This Row],[Vergleich_lb]]</f>
        <v>2727.4522299999999</v>
      </c>
      <c r="H1488" s="11" t="str">
        <f ca="1">VLOOKUP(VLOOKUP(dict_DQ_Meth_max[[#This Row],[ID_DataQualities]],table_DataQualities[],3),table_Units[],2)</f>
        <v>Hz</v>
      </c>
      <c r="I1488" s="10"/>
      <c r="J1488" s="10"/>
      <c r="K1488" s="10"/>
      <c r="L1488" s="10">
        <f ca="1">VLOOKUP(dict_DQ_Meth_max[[#This Row],[ID_DataQualities]],table_DataQualities[],8,FALSE)</f>
        <v>0.58899999999999997</v>
      </c>
      <c r="M1488" s="10">
        <f ca="1">VLOOKUP(dict_DQ_Meth_max[[#This Row],[ID_DataQualities]],table_DataQualities[],9,FALSE)</f>
        <v>2932.7</v>
      </c>
    </row>
    <row r="1489" spans="1:13" x14ac:dyDescent="0.45">
      <c r="A1489" s="10">
        <v>398</v>
      </c>
      <c r="B1489" s="10">
        <v>375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938.86452000000008</v>
      </c>
      <c r="G1489" s="12">
        <f ca="1">(RANDBETWEEN(50,100)/100)*(dict_DQ_Meth_max[[#This Row],[Vergleich_ub]]-dict_DQ_Meth_max[[#This Row],[Vergleich_lb]])+dict_DQ_Meth_max[[#This Row],[Vergleich_lb]]</f>
        <v>1935.78226</v>
      </c>
      <c r="H1489" s="11" t="str">
        <f ca="1">VLOOKUP(VLOOKUP(dict_DQ_Meth_max[[#This Row],[ID_DataQualities]],table_DataQualities[],3),table_Units[],2)</f>
        <v>Hz</v>
      </c>
      <c r="I1489" s="10"/>
      <c r="J1489" s="10"/>
      <c r="K1489" s="10"/>
      <c r="L1489" s="10">
        <f ca="1">VLOOKUP(dict_DQ_Meth_max[[#This Row],[ID_DataQualities]],table_DataQualities[],8,FALSE)</f>
        <v>0.58899999999999997</v>
      </c>
      <c r="M1489" s="10">
        <f ca="1">VLOOKUP(dict_DQ_Meth_max[[#This Row],[ID_DataQualities]],table_DataQualities[],9,FALSE)</f>
        <v>2932.7</v>
      </c>
    </row>
    <row r="1490" spans="1:13" x14ac:dyDescent="0.45">
      <c r="A1490" s="10">
        <v>398</v>
      </c>
      <c r="B1490" s="10">
        <v>263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704.29564000000005</v>
      </c>
      <c r="G1490" s="12">
        <f ca="1">(RANDBETWEEN(50,100)/100)*(dict_DQ_Meth_max[[#This Row],[Vergleich_ub]]-dict_DQ_Meth_max[[#This Row],[Vergleich_lb]])+dict_DQ_Meth_max[[#This Row],[Vergleich_lb]]</f>
        <v>1642.57116</v>
      </c>
      <c r="H1490" s="11" t="str">
        <f ca="1">VLOOKUP(VLOOKUP(dict_DQ_Meth_max[[#This Row],[ID_DataQualities]],table_DataQualities[],3),table_Units[],2)</f>
        <v>Hz</v>
      </c>
      <c r="I1490" s="10"/>
      <c r="J1490" s="10"/>
      <c r="K1490" s="10"/>
      <c r="L1490" s="10">
        <f ca="1">VLOOKUP(dict_DQ_Meth_max[[#This Row],[ID_DataQualities]],table_DataQualities[],8,FALSE)</f>
        <v>0.58899999999999997</v>
      </c>
      <c r="M1490" s="10">
        <f ca="1">VLOOKUP(dict_DQ_Meth_max[[#This Row],[ID_DataQualities]],table_DataQualities[],9,FALSE)</f>
        <v>2932.7</v>
      </c>
    </row>
    <row r="1491" spans="1:13" x14ac:dyDescent="0.45">
      <c r="A1491" s="10">
        <v>398</v>
      </c>
      <c r="B1491" s="10">
        <v>357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1202.7545099999998</v>
      </c>
      <c r="G1491" s="12">
        <f ca="1">(RANDBETWEEN(50,100)/100)*(dict_DQ_Meth_max[[#This Row],[Vergleich_ub]]-dict_DQ_Meth_max[[#This Row],[Vergleich_lb]])+dict_DQ_Meth_max[[#This Row],[Vergleich_lb]]</f>
        <v>1847.8189299999999</v>
      </c>
      <c r="H1491" s="10"/>
      <c r="I1491" s="10"/>
      <c r="J1491" s="10"/>
      <c r="K1491" s="10"/>
      <c r="L1491" s="10">
        <f ca="1">VLOOKUP(dict_DQ_Meth_max[[#This Row],[ID_DataQualities]],table_DataQualities[],8,FALSE)</f>
        <v>0.58899999999999997</v>
      </c>
      <c r="M1491" s="10">
        <f ca="1">VLOOKUP(dict_DQ_Meth_max[[#This Row],[ID_DataQualities]],table_DataQualities[],9,FALSE)</f>
        <v>2932.7</v>
      </c>
    </row>
    <row r="1492" spans="1:13" x14ac:dyDescent="0.45">
      <c r="A1492" s="10">
        <v>399</v>
      </c>
      <c r="B1492" s="10">
        <v>375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3.6669999999999998</v>
      </c>
      <c r="G1492" s="12">
        <f ca="1">(RANDBETWEEN(50,100)/100)*(dict_DQ_Meth_max[[#This Row],[Vergleich_ub]]-dict_DQ_Meth_max[[#This Row],[Vergleich_lb]])+dict_DQ_Meth_max[[#This Row],[Vergleich_lb]]</f>
        <v>5.3964399999999992</v>
      </c>
      <c r="H1492" s="11" t="str">
        <f ca="1">VLOOKUP(VLOOKUP(dict_DQ_Meth_max[[#This Row],[ID_DataQualities]],table_DataQualities[],3),table_Units[],2)</f>
        <v>+/- mm</v>
      </c>
      <c r="I1492" s="10"/>
      <c r="J1492" s="10"/>
      <c r="K1492" s="10"/>
      <c r="L1492" s="10">
        <f ca="1">VLOOKUP(dict_DQ_Meth_max[[#This Row],[ID_DataQualities]],table_DataQualities[],8,FALSE)</f>
        <v>6.4000000000000001E-2</v>
      </c>
      <c r="M1492" s="10">
        <f ca="1">VLOOKUP(dict_DQ_Meth_max[[#This Row],[ID_DataQualities]],table_DataQualities[],9,FALSE)</f>
        <v>7.27</v>
      </c>
    </row>
    <row r="1493" spans="1:13" x14ac:dyDescent="0.45">
      <c r="A1493" s="10">
        <v>399</v>
      </c>
      <c r="B1493" s="10">
        <v>263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3.6669999999999998</v>
      </c>
      <c r="G1493" s="12">
        <f ca="1">(RANDBETWEEN(50,100)/100)*(dict_DQ_Meth_max[[#This Row],[Vergleich_ub]]-dict_DQ_Meth_max[[#This Row],[Vergleich_lb]])+dict_DQ_Meth_max[[#This Row],[Vergleich_lb]]</f>
        <v>5.0361399999999996</v>
      </c>
      <c r="H1493" s="11" t="str">
        <f ca="1">VLOOKUP(VLOOKUP(dict_DQ_Meth_max[[#This Row],[ID_DataQualities]],table_DataQualities[],3),table_Units[],2)</f>
        <v>+/- mm</v>
      </c>
      <c r="I1493" s="10"/>
      <c r="J1493" s="10"/>
      <c r="K1493" s="10"/>
      <c r="L1493" s="10">
        <f ca="1">VLOOKUP(dict_DQ_Meth_max[[#This Row],[ID_DataQualities]],table_DataQualities[],8,FALSE)</f>
        <v>6.4000000000000001E-2</v>
      </c>
      <c r="M1493" s="10">
        <f ca="1">VLOOKUP(dict_DQ_Meth_max[[#This Row],[ID_DataQualities]],table_DataQualities[],9,FALSE)</f>
        <v>7.27</v>
      </c>
    </row>
    <row r="1494" spans="1:13" x14ac:dyDescent="0.45">
      <c r="A1494" s="10">
        <v>399</v>
      </c>
      <c r="B1494" s="10">
        <v>352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0.85665999999999998</v>
      </c>
      <c r="G1494" s="12">
        <f ca="1">(RANDBETWEEN(50,100)/100)*(dict_DQ_Meth_max[[#This Row],[Vergleich_ub]]-dict_DQ_Meth_max[[#This Row],[Vergleich_lb]])+dict_DQ_Meth_max[[#This Row],[Vergleich_lb]]</f>
        <v>6.5493999999999994</v>
      </c>
      <c r="H1494" s="11" t="str">
        <f ca="1">VLOOKUP(VLOOKUP(dict_DQ_Meth_max[[#This Row],[ID_DataQualities]],table_DataQualities[],3),table_Units[],2)</f>
        <v>+/- mm</v>
      </c>
      <c r="I1494" s="10"/>
      <c r="J1494" s="10"/>
      <c r="K1494" s="10"/>
      <c r="L1494" s="10">
        <f ca="1">VLOOKUP(dict_DQ_Meth_max[[#This Row],[ID_DataQualities]],table_DataQualities[],8,FALSE)</f>
        <v>6.4000000000000001E-2</v>
      </c>
      <c r="M1494" s="10">
        <f ca="1">VLOOKUP(dict_DQ_Meth_max[[#This Row],[ID_DataQualities]],table_DataQualities[],9,FALSE)</f>
        <v>7.27</v>
      </c>
    </row>
    <row r="1495" spans="1:13" x14ac:dyDescent="0.45">
      <c r="A1495" s="10">
        <v>399</v>
      </c>
      <c r="B1495" s="10">
        <v>357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2.44198</v>
      </c>
      <c r="G1495" s="12">
        <f ca="1">(RANDBETWEEN(50,100)/100)*(dict_DQ_Meth_max[[#This Row],[Vergleich_ub]]-dict_DQ_Meth_max[[#This Row],[Vergleich_lb]])+dict_DQ_Meth_max[[#This Row],[Vergleich_lb]]</f>
        <v>5.0361399999999996</v>
      </c>
      <c r="H1495" s="11"/>
      <c r="I1495" s="10"/>
      <c r="J1495" s="10"/>
      <c r="K1495" s="10"/>
      <c r="L1495" s="10">
        <f ca="1">VLOOKUP(dict_DQ_Meth_max[[#This Row],[ID_DataQualities]],table_DataQualities[],8,FALSE)</f>
        <v>6.4000000000000001E-2</v>
      </c>
      <c r="M1495" s="10">
        <f ca="1">VLOOKUP(dict_DQ_Meth_max[[#This Row],[ID_DataQualities]],table_DataQualities[],9,FALSE)</f>
        <v>7.27</v>
      </c>
    </row>
    <row r="1496" spans="1:13" x14ac:dyDescent="0.45">
      <c r="A1496" s="10">
        <v>400</v>
      </c>
      <c r="B1496" s="10">
        <v>12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650.5693399999999</v>
      </c>
      <c r="G1496" s="12">
        <f ca="1">(RANDBETWEEN(50,100)/100)*(dict_DQ_Meth_max[[#This Row],[Vergleich_ub]]-dict_DQ_Meth_max[[#This Row],[Vergleich_lb]])+dict_DQ_Meth_max[[#This Row],[Vergleich_lb]]</f>
        <v>2492.1859699999995</v>
      </c>
      <c r="H1496" s="10" t="str">
        <f ca="1">VLOOKUP(VLOOKUP(dict_DQ_Meth_max[[#This Row],[ID_DataQualities]],table_DataQualities[],3),table_Units[],2)</f>
        <v>Hz</v>
      </c>
      <c r="I1496" s="10"/>
      <c r="J1496" s="10"/>
      <c r="K1496" s="10"/>
      <c r="L1496" s="10">
        <f ca="1">VLOOKUP(dict_DQ_Meth_max[[#This Row],[ID_DataQualities]],table_DataQualities[],8,FALSE)</f>
        <v>0.58699999999999997</v>
      </c>
      <c r="M1496" s="10">
        <f ca="1">VLOOKUP(dict_DQ_Meth_max[[#This Row],[ID_DataQualities]],table_DataQualities[],9,FALSE)</f>
        <v>3611.6</v>
      </c>
    </row>
    <row r="1497" spans="1:13" x14ac:dyDescent="0.45">
      <c r="A1497" s="10">
        <v>400</v>
      </c>
      <c r="B1497" s="10">
        <v>338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2">
        <f ca="1">(RANDBETWEEN(0,50)/100)*(dict_DQ_Meth_max[[#This Row],[Vergleich_ub]]-dict_DQ_Meth_max[[#This Row],[Vergleich_lb]])+dict_DQ_Meth_max[[#This Row],[Vergleich_lb]]</f>
        <v>867.23011999999994</v>
      </c>
      <c r="G1497" s="12">
        <f ca="1">(RANDBETWEEN(50,100)/100)*(dict_DQ_Meth_max[[#This Row],[Vergleich_ub]]-dict_DQ_Meth_max[[#This Row],[Vergleich_lb]])+dict_DQ_Meth_max[[#This Row],[Vergleich_lb]]</f>
        <v>1878.31376</v>
      </c>
      <c r="H1497" s="10"/>
      <c r="I1497" s="10"/>
      <c r="J1497" s="10"/>
      <c r="K1497" s="10"/>
      <c r="L1497" s="10">
        <f ca="1">VLOOKUP(dict_DQ_Meth_max[[#This Row],[ID_DataQualities]],table_DataQualities[],8,FALSE)</f>
        <v>0.58699999999999997</v>
      </c>
      <c r="M1497" s="10">
        <f ca="1">VLOOKUP(dict_DQ_Meth_max[[#This Row],[ID_DataQualities]],table_DataQualities[],9,FALSE)</f>
        <v>3611.6</v>
      </c>
    </row>
    <row r="1498" spans="1:13" x14ac:dyDescent="0.45">
      <c r="A1498" s="10">
        <v>400</v>
      </c>
      <c r="B1498" s="10">
        <v>527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2">
        <f ca="1">(RANDBETWEEN(0,50)/100)*(dict_DQ_Meth_max[[#This Row],[Vergleich_ub]]-dict_DQ_Meth_max[[#This Row],[Vergleich_lb]])+dict_DQ_Meth_max[[#This Row],[Vergleich_lb]]</f>
        <v>1011.67064</v>
      </c>
      <c r="G1498" s="12">
        <f ca="1">(RANDBETWEEN(50,100)/100)*(dict_DQ_Meth_max[[#This Row],[Vergleich_ub]]-dict_DQ_Meth_max[[#This Row],[Vergleich_lb]])+dict_DQ_Meth_max[[#This Row],[Vergleich_lb]]</f>
        <v>2817.1771400000002</v>
      </c>
      <c r="H1498" s="10"/>
      <c r="I1498" s="10"/>
      <c r="J1498" s="10"/>
      <c r="K1498" s="10"/>
      <c r="L1498" s="10">
        <f ca="1">VLOOKUP(dict_DQ_Meth_max[[#This Row],[ID_DataQualities]],table_DataQualities[],8,FALSE)</f>
        <v>0.58699999999999997</v>
      </c>
      <c r="M1498" s="10">
        <f ca="1">VLOOKUP(dict_DQ_Meth_max[[#This Row],[ID_DataQualities]],table_DataQualities[],9,FALSE)</f>
        <v>3611.6</v>
      </c>
    </row>
    <row r="1499" spans="1:13" x14ac:dyDescent="0.45">
      <c r="A1499" s="10">
        <v>400</v>
      </c>
      <c r="B1499" s="10">
        <v>218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2">
        <f ca="1">(RANDBETWEEN(0,50)/100)*(dict_DQ_Meth_max[[#This Row],[Vergleich_ub]]-dict_DQ_Meth_max[[#This Row],[Vergleich_lb]])+dict_DQ_Meth_max[[#This Row],[Vergleich_lb]]</f>
        <v>325.57816999999994</v>
      </c>
      <c r="G1499" s="12">
        <f ca="1">(RANDBETWEEN(50,100)/100)*(dict_DQ_Meth_max[[#This Row],[Vergleich_ub]]-dict_DQ_Meth_max[[#This Row],[Vergleich_lb]])+dict_DQ_Meth_max[[#This Row],[Vergleich_lb]]</f>
        <v>2781.0670100000002</v>
      </c>
      <c r="H1499" s="11" t="str">
        <f ca="1">VLOOKUP(VLOOKUP(dict_DQ_Meth_max[[#This Row],[ID_DataQualities]],table_DataQualities[],3),table_Units[],2)</f>
        <v>Hz</v>
      </c>
      <c r="I1499" s="10"/>
      <c r="J1499" s="10"/>
      <c r="K1499" s="10"/>
      <c r="L1499" s="10">
        <f ca="1">VLOOKUP(dict_DQ_Meth_max[[#This Row],[ID_DataQualities]],table_DataQualities[],8,FALSE)</f>
        <v>0.58699999999999997</v>
      </c>
      <c r="M1499" s="10">
        <f ca="1">VLOOKUP(dict_DQ_Meth_max[[#This Row],[ID_DataQualities]],table_DataQualities[],9,FALSE)</f>
        <v>3611.6</v>
      </c>
    </row>
    <row r="1500" spans="1:13" x14ac:dyDescent="0.45">
      <c r="A1500" s="10">
        <v>400</v>
      </c>
      <c r="B1500" s="10">
        <v>651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2">
        <f ca="1">(RANDBETWEEN(0,50)/100)*(dict_DQ_Meth_max[[#This Row],[Vergleich_ub]]-dict_DQ_Meth_max[[#This Row],[Vergleich_lb]])+dict_DQ_Meth_max[[#This Row],[Vergleich_lb]]</f>
        <v>867.23011999999994</v>
      </c>
      <c r="G1500" s="12">
        <f ca="1">(RANDBETWEEN(50,100)/100)*(dict_DQ_Meth_max[[#This Row],[Vergleich_ub]]-dict_DQ_Meth_max[[#This Row],[Vergleich_lb]])+dict_DQ_Meth_max[[#This Row],[Vergleich_lb]]</f>
        <v>1914.42389</v>
      </c>
      <c r="H1500" s="10"/>
      <c r="I1500" s="10"/>
      <c r="J1500" s="10"/>
      <c r="K1500" s="10"/>
      <c r="L1500" s="10">
        <f ca="1">VLOOKUP(dict_DQ_Meth_max[[#This Row],[ID_DataQualities]],table_DataQualities[],8,FALSE)</f>
        <v>0.58699999999999997</v>
      </c>
      <c r="M1500" s="10">
        <f ca="1">VLOOKUP(dict_DQ_Meth_max[[#This Row],[ID_DataQualities]],table_DataQualities[],9,FALSE)</f>
        <v>3611.6</v>
      </c>
    </row>
    <row r="1501" spans="1:13" x14ac:dyDescent="0.45">
      <c r="A1501" s="10">
        <v>400</v>
      </c>
      <c r="B1501" s="10">
        <v>99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2">
        <f ca="1">(RANDBETWEEN(0,50)/100)*(dict_DQ_Meth_max[[#This Row],[Vergleich_ub]]-dict_DQ_Meth_max[[#This Row],[Vergleich_lb]])+dict_DQ_Meth_max[[#This Row],[Vergleich_lb]]</f>
        <v>939.45038</v>
      </c>
      <c r="G1501" s="12">
        <f ca="1">(RANDBETWEEN(50,100)/100)*(dict_DQ_Meth_max[[#This Row],[Vergleich_ub]]-dict_DQ_Meth_max[[#This Row],[Vergleich_lb]])+dict_DQ_Meth_max[[#This Row],[Vergleich_lb]]</f>
        <v>3033.8379199999999</v>
      </c>
      <c r="H1501" s="11" t="str">
        <f ca="1">VLOOKUP(VLOOKUP(dict_DQ_Meth_max[[#This Row],[ID_DataQualities]],table_DataQualities[],3),table_Units[],2)</f>
        <v>Hz</v>
      </c>
      <c r="I1501" s="10"/>
      <c r="J1501" s="10"/>
      <c r="K1501" s="10"/>
      <c r="L1501" s="10">
        <f ca="1">VLOOKUP(dict_DQ_Meth_max[[#This Row],[ID_DataQualities]],table_DataQualities[],8,FALSE)</f>
        <v>0.58699999999999997</v>
      </c>
      <c r="M1501" s="10">
        <f ca="1">VLOOKUP(dict_DQ_Meth_max[[#This Row],[ID_DataQualities]],table_DataQualities[],9,FALSE)</f>
        <v>3611.6</v>
      </c>
    </row>
    <row r="1502" spans="1:13" x14ac:dyDescent="0.45">
      <c r="A1502" s="10">
        <v>400</v>
      </c>
      <c r="B1502" s="10">
        <v>672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2">
        <f ca="1">(RANDBETWEEN(0,50)/100)*(dict_DQ_Meth_max[[#This Row],[Vergleich_ub]]-dict_DQ_Meth_max[[#This Row],[Vergleich_lb]])+dict_DQ_Meth_max[[#This Row],[Vergleich_lb]]</f>
        <v>1589.43272</v>
      </c>
      <c r="G1502" s="12">
        <f ca="1">(RANDBETWEEN(50,100)/100)*(dict_DQ_Meth_max[[#This Row],[Vergleich_ub]]-dict_DQ_Meth_max[[#This Row],[Vergleich_lb]])+dict_DQ_Meth_max[[#This Row],[Vergleich_lb]]</f>
        <v>3539.3797399999999</v>
      </c>
      <c r="H1502" s="10"/>
      <c r="I1502" s="10"/>
      <c r="J1502" s="10"/>
      <c r="K1502" s="10"/>
      <c r="L1502" s="10">
        <f ca="1">VLOOKUP(dict_DQ_Meth_max[[#This Row],[ID_DataQualities]],table_DataQualities[],8,FALSE)</f>
        <v>0.58699999999999997</v>
      </c>
      <c r="M1502" s="10">
        <f ca="1">VLOOKUP(dict_DQ_Meth_max[[#This Row],[ID_DataQualities]],table_DataQualities[],9,FALSE)</f>
        <v>3611.6</v>
      </c>
    </row>
    <row r="1503" spans="1:13" x14ac:dyDescent="0.45">
      <c r="A1503" s="10">
        <v>400</v>
      </c>
      <c r="B1503" s="10">
        <v>510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2">
        <f ca="1">(RANDBETWEEN(0,50)/100)*(dict_DQ_Meth_max[[#This Row],[Vergleich_ub]]-dict_DQ_Meth_max[[#This Row],[Vergleich_lb]])+dict_DQ_Meth_max[[#This Row],[Vergleich_lb]]</f>
        <v>831.11999000000003</v>
      </c>
      <c r="G1503" s="12">
        <f ca="1">(RANDBETWEEN(50,100)/100)*(dict_DQ_Meth_max[[#This Row],[Vergleich_ub]]-dict_DQ_Meth_max[[#This Row],[Vergleich_lb]])+dict_DQ_Meth_max[[#This Row],[Vergleich_lb]]</f>
        <v>2781.0670100000002</v>
      </c>
      <c r="H1503" s="11" t="str">
        <f ca="1">VLOOKUP(VLOOKUP(dict_DQ_Meth_max[[#This Row],[ID_DataQualities]],table_DataQualities[],3),table_Units[],2)</f>
        <v>Hz</v>
      </c>
      <c r="I1503" s="10"/>
      <c r="J1503" s="10"/>
      <c r="K1503" s="10"/>
      <c r="L1503" s="10">
        <f ca="1">VLOOKUP(dict_DQ_Meth_max[[#This Row],[ID_DataQualities]],table_DataQualities[],8,FALSE)</f>
        <v>0.58699999999999997</v>
      </c>
      <c r="M1503" s="10">
        <f ca="1">VLOOKUP(dict_DQ_Meth_max[[#This Row],[ID_DataQualities]],table_DataQualities[],9,FALSE)</f>
        <v>3611.6</v>
      </c>
    </row>
    <row r="1504" spans="1:13" x14ac:dyDescent="0.45">
      <c r="A1504" s="10">
        <v>400</v>
      </c>
      <c r="B1504" s="10">
        <v>236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2">
        <f ca="1">(RANDBETWEEN(0,50)/100)*(dict_DQ_Meth_max[[#This Row],[Vergleich_ub]]-dict_DQ_Meth_max[[#This Row],[Vergleich_lb]])+dict_DQ_Meth_max[[#This Row],[Vergleich_lb]]</f>
        <v>1192.22129</v>
      </c>
      <c r="G1504" s="12">
        <f ca="1">(RANDBETWEEN(50,100)/100)*(dict_DQ_Meth_max[[#This Row],[Vergleich_ub]]-dict_DQ_Meth_max[[#This Row],[Vergleich_lb]])+dict_DQ_Meth_max[[#This Row],[Vergleich_lb]]</f>
        <v>2022.7542800000001</v>
      </c>
      <c r="H1504" s="11" t="str">
        <f ca="1">VLOOKUP(VLOOKUP(dict_DQ_Meth_max[[#This Row],[ID_DataQualities]],table_DataQualities[],3),table_Units[],2)</f>
        <v>Hz</v>
      </c>
      <c r="I1504" s="10"/>
      <c r="J1504" s="10"/>
      <c r="K1504" s="10"/>
      <c r="L1504" s="10">
        <f ca="1">VLOOKUP(dict_DQ_Meth_max[[#This Row],[ID_DataQualities]],table_DataQualities[],8,FALSE)</f>
        <v>0.58699999999999997</v>
      </c>
      <c r="M1504" s="10">
        <f ca="1">VLOOKUP(dict_DQ_Meth_max[[#This Row],[ID_DataQualities]],table_DataQualities[],9,FALSE)</f>
        <v>3611.6</v>
      </c>
    </row>
    <row r="1505" spans="1:13" x14ac:dyDescent="0.45">
      <c r="A1505" s="10">
        <v>400</v>
      </c>
      <c r="B1505" s="10">
        <v>485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2">
        <f ca="1">(RANDBETWEEN(0,50)/100)*(dict_DQ_Meth_max[[#This Row],[Vergleich_ub]]-dict_DQ_Meth_max[[#This Row],[Vergleich_lb]])+dict_DQ_Meth_max[[#This Row],[Vergleich_lb]]</f>
        <v>1047.7807699999998</v>
      </c>
      <c r="G1505" s="12">
        <f ca="1">(RANDBETWEEN(50,100)/100)*(dict_DQ_Meth_max[[#This Row],[Vergleich_ub]]-dict_DQ_Meth_max[[#This Row],[Vergleich_lb]])+dict_DQ_Meth_max[[#This Row],[Vergleich_lb]]</f>
        <v>1806.0934999999999</v>
      </c>
      <c r="H1505" s="10"/>
      <c r="I1505" s="10"/>
      <c r="J1505" s="10"/>
      <c r="K1505" s="10"/>
      <c r="L1505" s="10">
        <f ca="1">VLOOKUP(dict_DQ_Meth_max[[#This Row],[ID_DataQualities]],table_DataQualities[],8,FALSE)</f>
        <v>0.58699999999999997</v>
      </c>
      <c r="M1505" s="10">
        <f ca="1">VLOOKUP(dict_DQ_Meth_max[[#This Row],[ID_DataQualities]],table_DataQualities[],9,FALSE)</f>
        <v>3611.6</v>
      </c>
    </row>
    <row r="1506" spans="1:13" x14ac:dyDescent="0.45">
      <c r="A1506" s="10">
        <v>400</v>
      </c>
      <c r="B1506" s="10">
        <v>395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2">
        <f ca="1">(RANDBETWEEN(0,50)/100)*(dict_DQ_Meth_max[[#This Row],[Vergleich_ub]]-dict_DQ_Meth_max[[#This Row],[Vergleich_lb]])+dict_DQ_Meth_max[[#This Row],[Vergleich_lb]]</f>
        <v>867.23011999999994</v>
      </c>
      <c r="G1506" s="12">
        <f ca="1">(RANDBETWEEN(50,100)/100)*(dict_DQ_Meth_max[[#This Row],[Vergleich_ub]]-dict_DQ_Meth_max[[#This Row],[Vergleich_lb]])+dict_DQ_Meth_max[[#This Row],[Vergleich_lb]]</f>
        <v>2744.9568800000002</v>
      </c>
      <c r="H1506" s="10"/>
      <c r="I1506" s="10"/>
      <c r="J1506" s="10"/>
      <c r="K1506" s="10"/>
      <c r="L1506" s="10">
        <f ca="1">VLOOKUP(dict_DQ_Meth_max[[#This Row],[ID_DataQualities]],table_DataQualities[],8,FALSE)</f>
        <v>0.58699999999999997</v>
      </c>
      <c r="M1506" s="10">
        <f ca="1">VLOOKUP(dict_DQ_Meth_max[[#This Row],[ID_DataQualities]],table_DataQualities[],9,FALSE)</f>
        <v>3611.6</v>
      </c>
    </row>
    <row r="1507" spans="1:13" x14ac:dyDescent="0.45">
      <c r="A1507" s="10">
        <v>400</v>
      </c>
      <c r="B1507" s="10">
        <v>120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2">
        <f ca="1">(RANDBETWEEN(0,50)/100)*(dict_DQ_Meth_max[[#This Row],[Vergleich_ub]]-dict_DQ_Meth_max[[#This Row],[Vergleich_lb]])+dict_DQ_Meth_max[[#This Row],[Vergleich_lb]]</f>
        <v>506.12882000000002</v>
      </c>
      <c r="G1507" s="12">
        <f ca="1">(RANDBETWEEN(50,100)/100)*(dict_DQ_Meth_max[[#This Row],[Vergleich_ub]]-dict_DQ_Meth_max[[#This Row],[Vergleich_lb]])+dict_DQ_Meth_max[[#This Row],[Vergleich_lb]]</f>
        <v>2817.1771400000002</v>
      </c>
      <c r="H1507" s="11" t="str">
        <f ca="1">VLOOKUP(VLOOKUP(dict_DQ_Meth_max[[#This Row],[ID_DataQualities]],table_DataQualities[],3),table_Units[],2)</f>
        <v>Hz</v>
      </c>
      <c r="I1507" s="10"/>
      <c r="J1507" s="10"/>
      <c r="K1507" s="10"/>
      <c r="L1507" s="10">
        <f ca="1">VLOOKUP(dict_DQ_Meth_max[[#This Row],[ID_DataQualities]],table_DataQualities[],8,FALSE)</f>
        <v>0.58699999999999997</v>
      </c>
      <c r="M1507" s="10">
        <f ca="1">VLOOKUP(dict_DQ_Meth_max[[#This Row],[ID_DataQualities]],table_DataQualities[],9,FALSE)</f>
        <v>3611.6</v>
      </c>
    </row>
    <row r="1508" spans="1:13" x14ac:dyDescent="0.45">
      <c r="A1508" s="10">
        <v>400</v>
      </c>
      <c r="B1508" s="10">
        <v>318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2">
        <f ca="1">(RANDBETWEEN(0,50)/100)*(dict_DQ_Meth_max[[#This Row],[Vergleich_ub]]-dict_DQ_Meth_max[[#This Row],[Vergleich_lb]])+dict_DQ_Meth_max[[#This Row],[Vergleich_lb]]</f>
        <v>686.67947000000004</v>
      </c>
      <c r="G1508" s="12">
        <f ca="1">(RANDBETWEEN(50,100)/100)*(dict_DQ_Meth_max[[#This Row],[Vergleich_ub]]-dict_DQ_Meth_max[[#This Row],[Vergleich_lb]])+dict_DQ_Meth_max[[#This Row],[Vergleich_lb]]</f>
        <v>3358.8290900000002</v>
      </c>
      <c r="H1508" s="11" t="str">
        <f ca="1">VLOOKUP(VLOOKUP(dict_DQ_Meth_max[[#This Row],[ID_DataQualities]],table_DataQualities[],3),table_Units[],2)</f>
        <v>Hz</v>
      </c>
      <c r="I1508" s="10"/>
      <c r="J1508" s="10"/>
      <c r="K1508" s="10"/>
      <c r="L1508" s="10">
        <f ca="1">VLOOKUP(dict_DQ_Meth_max[[#This Row],[ID_DataQualities]],table_DataQualities[],8,FALSE)</f>
        <v>0.58699999999999997</v>
      </c>
      <c r="M1508" s="10">
        <f ca="1">VLOOKUP(dict_DQ_Meth_max[[#This Row],[ID_DataQualities]],table_DataQualities[],9,FALSE)</f>
        <v>3611.6</v>
      </c>
    </row>
    <row r="1509" spans="1:13" x14ac:dyDescent="0.45">
      <c r="A1509" s="10">
        <v>401</v>
      </c>
      <c r="B1509" s="10">
        <v>338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2">
        <f ca="1">(RANDBETWEEN(0,50)/100)*(dict_DQ_Meth_max[[#This Row],[Vergleich_ub]]-dict_DQ_Meth_max[[#This Row],[Vergleich_lb]])+dict_DQ_Meth_max[[#This Row],[Vergleich_lb]]</f>
        <v>1.3743000000000001</v>
      </c>
      <c r="G1509" s="12">
        <f ca="1">(RANDBETWEEN(50,100)/100)*(dict_DQ_Meth_max[[#This Row],[Vergleich_ub]]-dict_DQ_Meth_max[[#This Row],[Vergleich_lb]])+dict_DQ_Meth_max[[#This Row],[Vergleich_lb]]</f>
        <v>3.1361000000000003</v>
      </c>
      <c r="H1509" s="11" t="str">
        <f ca="1">VLOOKUP(VLOOKUP(dict_DQ_Meth_max[[#This Row],[ID_DataQualities]],table_DataQualities[],3),table_Units[],2)</f>
        <v>+/- mm/s</v>
      </c>
      <c r="I1509" s="10"/>
      <c r="J1509" s="10"/>
      <c r="K1509" s="10"/>
      <c r="L1509" s="10">
        <f ca="1">VLOOKUP(dict_DQ_Meth_max[[#This Row],[ID_DataQualities]],table_DataQualities[],8,FALSE)</f>
        <v>0.56999999999999995</v>
      </c>
      <c r="M1509" s="10">
        <f ca="1">VLOOKUP(dict_DQ_Meth_max[[#This Row],[ID_DataQualities]],table_DataQualities[],9,FALSE)</f>
        <v>4.4000000000000004</v>
      </c>
    </row>
    <row r="1510" spans="1:13" x14ac:dyDescent="0.45">
      <c r="A1510" s="10">
        <v>401</v>
      </c>
      <c r="B1510" s="10">
        <v>12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2">
        <f ca="1">(RANDBETWEEN(0,50)/100)*(dict_DQ_Meth_max[[#This Row],[Vergleich_ub]]-dict_DQ_Meth_max[[#This Row],[Vergleich_lb]])+dict_DQ_Meth_max[[#This Row],[Vergleich_lb]]</f>
        <v>0.83810000000000007</v>
      </c>
      <c r="G1510" s="12">
        <f ca="1">(RANDBETWEEN(50,100)/100)*(dict_DQ_Meth_max[[#This Row],[Vergleich_ub]]-dict_DQ_Meth_max[[#This Row],[Vergleich_lb]])+dict_DQ_Meth_max[[#This Row],[Vergleich_lb]]</f>
        <v>2.7148000000000003</v>
      </c>
      <c r="H1510" s="10"/>
      <c r="I1510" s="10"/>
      <c r="J1510" s="10"/>
      <c r="K1510" s="10"/>
      <c r="L1510" s="10">
        <f ca="1">VLOOKUP(dict_DQ_Meth_max[[#This Row],[ID_DataQualities]],table_DataQualities[],8,FALSE)</f>
        <v>0.56999999999999995</v>
      </c>
      <c r="M1510" s="10">
        <f ca="1">VLOOKUP(dict_DQ_Meth_max[[#This Row],[ID_DataQualities]],table_DataQualities[],9,FALSE)</f>
        <v>4.4000000000000004</v>
      </c>
    </row>
    <row r="1511" spans="1:13" x14ac:dyDescent="0.45">
      <c r="A1511" s="10">
        <v>401</v>
      </c>
      <c r="B1511" s="10">
        <v>527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2">
        <f ca="1">(RANDBETWEEN(0,50)/100)*(dict_DQ_Meth_max[[#This Row],[Vergleich_ub]]-dict_DQ_Meth_max[[#This Row],[Vergleich_lb]])+dict_DQ_Meth_max[[#This Row],[Vergleich_lb]]</f>
        <v>1.2977000000000001</v>
      </c>
      <c r="G1511" s="12">
        <f ca="1">(RANDBETWEEN(50,100)/100)*(dict_DQ_Meth_max[[#This Row],[Vergleich_ub]]-dict_DQ_Meth_max[[#This Row],[Vergleich_lb]])+dict_DQ_Meth_max[[#This Row],[Vergleich_lb]]</f>
        <v>3.9787000000000003</v>
      </c>
      <c r="H1511" s="11" t="str">
        <f ca="1">VLOOKUP(VLOOKUP(dict_DQ_Meth_max[[#This Row],[ID_DataQualities]],table_DataQualities[],3),table_Units[],2)</f>
        <v>+/- mm/s</v>
      </c>
      <c r="I1511" s="10"/>
      <c r="J1511" s="10"/>
      <c r="K1511" s="10"/>
      <c r="L1511" s="10">
        <f ca="1">VLOOKUP(dict_DQ_Meth_max[[#This Row],[ID_DataQualities]],table_DataQualities[],8,FALSE)</f>
        <v>0.56999999999999995</v>
      </c>
      <c r="M1511" s="10">
        <f ca="1">VLOOKUP(dict_DQ_Meth_max[[#This Row],[ID_DataQualities]],table_DataQualities[],9,FALSE)</f>
        <v>4.4000000000000004</v>
      </c>
    </row>
    <row r="1512" spans="1:13" x14ac:dyDescent="0.45">
      <c r="A1512" s="10">
        <v>401</v>
      </c>
      <c r="B1512" s="10">
        <v>510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2">
        <f ca="1">(RANDBETWEEN(0,50)/100)*(dict_DQ_Meth_max[[#This Row],[Vergleich_ub]]-dict_DQ_Meth_max[[#This Row],[Vergleich_lb]])+dict_DQ_Meth_max[[#This Row],[Vergleich_lb]]</f>
        <v>0.76149999999999995</v>
      </c>
      <c r="G1512" s="12">
        <f ca="1">(RANDBETWEEN(50,100)/100)*(dict_DQ_Meth_max[[#This Row],[Vergleich_ub]]-dict_DQ_Meth_max[[#This Row],[Vergleich_lb]])+dict_DQ_Meth_max[[#This Row],[Vergleich_lb]]</f>
        <v>2.5999000000000003</v>
      </c>
      <c r="H1512" s="10"/>
      <c r="I1512" s="10"/>
      <c r="J1512" s="10"/>
      <c r="K1512" s="10"/>
      <c r="L1512" s="10">
        <f ca="1">VLOOKUP(dict_DQ_Meth_max[[#This Row],[ID_DataQualities]],table_DataQualities[],8,FALSE)</f>
        <v>0.56999999999999995</v>
      </c>
      <c r="M1512" s="10">
        <f ca="1">VLOOKUP(dict_DQ_Meth_max[[#This Row],[ID_DataQualities]],table_DataQualities[],9,FALSE)</f>
        <v>4.4000000000000004</v>
      </c>
    </row>
    <row r="1513" spans="1:13" x14ac:dyDescent="0.45">
      <c r="A1513" s="10">
        <v>401</v>
      </c>
      <c r="B1513" s="10">
        <v>120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1.1062000000000001</v>
      </c>
      <c r="G1513" s="12">
        <f ca="1">(RANDBETWEEN(50,100)/100)*(dict_DQ_Meth_max[[#This Row],[Vergleich_ub]]-dict_DQ_Meth_max[[#This Row],[Vergleich_lb]])+dict_DQ_Meth_max[[#This Row],[Vergleich_lb]]</f>
        <v>3.8255000000000003</v>
      </c>
      <c r="H1513" s="11" t="str">
        <f ca="1">VLOOKUP(VLOOKUP(dict_DQ_Meth_max[[#This Row],[ID_DataQualities]],table_DataQualities[],3),table_Units[],2)</f>
        <v>+/- mm/s</v>
      </c>
      <c r="I1513" s="10"/>
      <c r="J1513" s="10"/>
      <c r="K1513" s="10"/>
      <c r="L1513" s="10">
        <f ca="1">VLOOKUP(dict_DQ_Meth_max[[#This Row],[ID_DataQualities]],table_DataQualities[],8,FALSE)</f>
        <v>0.56999999999999995</v>
      </c>
      <c r="M1513" s="10">
        <f ca="1">VLOOKUP(dict_DQ_Meth_max[[#This Row],[ID_DataQualities]],table_DataQualities[],9,FALSE)</f>
        <v>4.4000000000000004</v>
      </c>
    </row>
    <row r="1514" spans="1:13" x14ac:dyDescent="0.45">
      <c r="A1514" s="10">
        <v>401</v>
      </c>
      <c r="B1514" s="10">
        <v>672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>
        <f ca="1">(RANDBETWEEN(0,50)/100)*(dict_DQ_Meth_max[[#This Row],[Vergleich_ub]]-dict_DQ_Meth_max[[#This Row],[Vergleich_lb]])+dict_DQ_Meth_max[[#This Row],[Vergleich_lb]]</f>
        <v>0.95300000000000007</v>
      </c>
      <c r="G1514" s="12">
        <f ca="1">(RANDBETWEEN(50,100)/100)*(dict_DQ_Meth_max[[#This Row],[Vergleich_ub]]-dict_DQ_Meth_max[[#This Row],[Vergleich_lb]])+dict_DQ_Meth_max[[#This Row],[Vergleich_lb]]</f>
        <v>3.5574000000000003</v>
      </c>
      <c r="H1514" s="10"/>
      <c r="I1514" s="10"/>
      <c r="J1514" s="10"/>
      <c r="K1514" s="10"/>
      <c r="L1514" s="10">
        <f ca="1">VLOOKUP(dict_DQ_Meth_max[[#This Row],[ID_DataQualities]],table_DataQualities[],8,FALSE)</f>
        <v>0.56999999999999995</v>
      </c>
      <c r="M1514" s="10">
        <f ca="1">VLOOKUP(dict_DQ_Meth_max[[#This Row],[ID_DataQualities]],table_DataQualities[],9,FALSE)</f>
        <v>4.4000000000000004</v>
      </c>
    </row>
    <row r="1515" spans="1:13" x14ac:dyDescent="0.45">
      <c r="A1515" s="10">
        <v>401</v>
      </c>
      <c r="B1515" s="10">
        <v>218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2">
        <f ca="1">(RANDBETWEEN(0,50)/100)*(dict_DQ_Meth_max[[#This Row],[Vergleich_ub]]-dict_DQ_Meth_max[[#This Row],[Vergleich_lb]])+dict_DQ_Meth_max[[#This Row],[Vergleich_lb]]</f>
        <v>1.7573000000000003</v>
      </c>
      <c r="G1515" s="12">
        <f ca="1">(RANDBETWEEN(50,100)/100)*(dict_DQ_Meth_max[[#This Row],[Vergleich_ub]]-dict_DQ_Meth_max[[#This Row],[Vergleich_lb]])+dict_DQ_Meth_max[[#This Row],[Vergleich_lb]]</f>
        <v>3.2126999999999999</v>
      </c>
      <c r="H1515" s="11" t="str">
        <f ca="1">VLOOKUP(VLOOKUP(dict_DQ_Meth_max[[#This Row],[ID_DataQualities]],table_DataQualities[],3),table_Units[],2)</f>
        <v>+/- mm/s</v>
      </c>
      <c r="I1515" s="10"/>
      <c r="J1515" s="10"/>
      <c r="K1515" s="10"/>
      <c r="L1515" s="10">
        <f ca="1">VLOOKUP(dict_DQ_Meth_max[[#This Row],[ID_DataQualities]],table_DataQualities[],8,FALSE)</f>
        <v>0.56999999999999995</v>
      </c>
      <c r="M1515" s="10">
        <f ca="1">VLOOKUP(dict_DQ_Meth_max[[#This Row],[ID_DataQualities]],table_DataQualities[],9,FALSE)</f>
        <v>4.4000000000000004</v>
      </c>
    </row>
    <row r="1516" spans="1:13" x14ac:dyDescent="0.45">
      <c r="A1516" s="10">
        <v>401</v>
      </c>
      <c r="B1516" s="10">
        <v>651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2">
        <f ca="1">(RANDBETWEEN(0,50)/100)*(dict_DQ_Meth_max[[#This Row],[Vergleich_ub]]-dict_DQ_Meth_max[[#This Row],[Vergleich_lb]])+dict_DQ_Meth_max[[#This Row],[Vergleich_lb]]</f>
        <v>1.1828000000000001</v>
      </c>
      <c r="G1516" s="12">
        <f ca="1">(RANDBETWEEN(50,100)/100)*(dict_DQ_Meth_max[[#This Row],[Vergleich_ub]]-dict_DQ_Meth_max[[#This Row],[Vergleich_lb]])+dict_DQ_Meth_max[[#This Row],[Vergleich_lb]]</f>
        <v>3.7488999999999999</v>
      </c>
      <c r="H1516" s="10"/>
      <c r="I1516" s="10"/>
      <c r="J1516" s="10"/>
      <c r="K1516" s="10"/>
      <c r="L1516" s="10">
        <f ca="1">VLOOKUP(dict_DQ_Meth_max[[#This Row],[ID_DataQualities]],table_DataQualities[],8,FALSE)</f>
        <v>0.56999999999999995</v>
      </c>
      <c r="M1516" s="10">
        <f ca="1">VLOOKUP(dict_DQ_Meth_max[[#This Row],[ID_DataQualities]],table_DataQualities[],9,FALSE)</f>
        <v>4.4000000000000004</v>
      </c>
    </row>
    <row r="1517" spans="1:13" x14ac:dyDescent="0.45">
      <c r="A1517" s="10">
        <v>401</v>
      </c>
      <c r="B1517" s="10">
        <v>318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2">
        <f ca="1">(RANDBETWEEN(0,50)/100)*(dict_DQ_Meth_max[[#This Row],[Vergleich_ub]]-dict_DQ_Meth_max[[#This Row],[Vergleich_lb]])+dict_DQ_Meth_max[[#This Row],[Vergleich_lb]]</f>
        <v>0.87640000000000007</v>
      </c>
      <c r="G1517" s="12">
        <f ca="1">(RANDBETWEEN(50,100)/100)*(dict_DQ_Meth_max[[#This Row],[Vergleich_ub]]-dict_DQ_Meth_max[[#This Row],[Vergleich_lb]])+dict_DQ_Meth_max[[#This Row],[Vergleich_lb]]</f>
        <v>2.7148000000000003</v>
      </c>
      <c r="H1517" s="10"/>
      <c r="I1517" s="10"/>
      <c r="J1517" s="10"/>
      <c r="K1517" s="10"/>
      <c r="L1517" s="10">
        <f ca="1">VLOOKUP(dict_DQ_Meth_max[[#This Row],[ID_DataQualities]],table_DataQualities[],8,FALSE)</f>
        <v>0.56999999999999995</v>
      </c>
      <c r="M1517" s="10">
        <f ca="1">VLOOKUP(dict_DQ_Meth_max[[#This Row],[ID_DataQualities]],table_DataQualities[],9,FALSE)</f>
        <v>4.4000000000000004</v>
      </c>
    </row>
    <row r="1518" spans="1:13" x14ac:dyDescent="0.45">
      <c r="A1518" s="10">
        <v>401</v>
      </c>
      <c r="B1518" s="10">
        <v>99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2">
        <f ca="1">(RANDBETWEEN(0,50)/100)*(dict_DQ_Meth_max[[#This Row],[Vergleich_ub]]-dict_DQ_Meth_max[[#This Row],[Vergleich_lb]])+dict_DQ_Meth_max[[#This Row],[Vergleich_lb]]</f>
        <v>1.9104999999999999</v>
      </c>
      <c r="G1518" s="12">
        <f ca="1">(RANDBETWEEN(50,100)/100)*(dict_DQ_Meth_max[[#This Row],[Vergleich_ub]]-dict_DQ_Meth_max[[#This Row],[Vergleich_lb]])+dict_DQ_Meth_max[[#This Row],[Vergleich_lb]]</f>
        <v>4.1319000000000008</v>
      </c>
      <c r="H1518" s="10"/>
      <c r="I1518" s="10"/>
      <c r="J1518" s="10"/>
      <c r="K1518" s="10"/>
      <c r="L1518" s="10">
        <f ca="1">VLOOKUP(dict_DQ_Meth_max[[#This Row],[ID_DataQualities]],table_DataQualities[],8,FALSE)</f>
        <v>0.56999999999999995</v>
      </c>
      <c r="M1518" s="10">
        <f ca="1">VLOOKUP(dict_DQ_Meth_max[[#This Row],[ID_DataQualities]],table_DataQualities[],9,FALSE)</f>
        <v>4.4000000000000004</v>
      </c>
    </row>
    <row r="1519" spans="1:13" x14ac:dyDescent="0.45">
      <c r="A1519" s="10">
        <v>401</v>
      </c>
      <c r="B1519" s="10">
        <v>395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2">
        <f ca="1">(RANDBETWEEN(0,50)/100)*(dict_DQ_Meth_max[[#This Row],[Vergleich_ub]]-dict_DQ_Meth_max[[#This Row],[Vergleich_lb]])+dict_DQ_Meth_max[[#This Row],[Vergleich_lb]]</f>
        <v>1.9487999999999999</v>
      </c>
      <c r="G1519" s="12">
        <f ca="1">(RANDBETWEEN(50,100)/100)*(dict_DQ_Meth_max[[#This Row],[Vergleich_ub]]-dict_DQ_Meth_max[[#This Row],[Vergleich_lb]])+dict_DQ_Meth_max[[#This Row],[Vergleich_lb]]</f>
        <v>2.7148000000000003</v>
      </c>
      <c r="H1519" s="10"/>
      <c r="I1519" s="10"/>
      <c r="J1519" s="10"/>
      <c r="K1519" s="10"/>
      <c r="L1519" s="10">
        <f ca="1">VLOOKUP(dict_DQ_Meth_max[[#This Row],[ID_DataQualities]],table_DataQualities[],8,FALSE)</f>
        <v>0.56999999999999995</v>
      </c>
      <c r="M1519" s="10">
        <f ca="1">VLOOKUP(dict_DQ_Meth_max[[#This Row],[ID_DataQualities]],table_DataQualities[],9,FALSE)</f>
        <v>4.4000000000000004</v>
      </c>
    </row>
    <row r="1520" spans="1:13" x14ac:dyDescent="0.45">
      <c r="A1520" s="10">
        <v>401</v>
      </c>
      <c r="B1520" s="10">
        <v>236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2">
        <f ca="1">(RANDBETWEEN(0,50)/100)*(dict_DQ_Meth_max[[#This Row],[Vergleich_ub]]-dict_DQ_Meth_max[[#This Row],[Vergleich_lb]])+dict_DQ_Meth_max[[#This Row],[Vergleich_lb]]</f>
        <v>1.8722000000000003</v>
      </c>
      <c r="G1520" s="12">
        <f ca="1">(RANDBETWEEN(50,100)/100)*(dict_DQ_Meth_max[[#This Row],[Vergleich_ub]]-dict_DQ_Meth_max[[#This Row],[Vergleich_lb]])+dict_DQ_Meth_max[[#This Row],[Vergleich_lb]]</f>
        <v>3.7488999999999999</v>
      </c>
      <c r="H1520" s="11" t="str">
        <f ca="1">VLOOKUP(VLOOKUP(dict_DQ_Meth_max[[#This Row],[ID_DataQualities]],table_DataQualities[],3),table_Units[],2)</f>
        <v>+/- mm/s</v>
      </c>
      <c r="I1520" s="10"/>
      <c r="J1520" s="10"/>
      <c r="K1520" s="10"/>
      <c r="L1520" s="10">
        <f ca="1">VLOOKUP(dict_DQ_Meth_max[[#This Row],[ID_DataQualities]],table_DataQualities[],8,FALSE)</f>
        <v>0.56999999999999995</v>
      </c>
      <c r="M1520" s="10">
        <f ca="1">VLOOKUP(dict_DQ_Meth_max[[#This Row],[ID_DataQualities]],table_DataQualities[],9,FALSE)</f>
        <v>4.4000000000000004</v>
      </c>
    </row>
    <row r="1521" spans="1:13" x14ac:dyDescent="0.45">
      <c r="A1521" s="10">
        <v>401</v>
      </c>
      <c r="B1521" s="10">
        <v>485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2">
        <f ca="1">(RANDBETWEEN(0,50)/100)*(dict_DQ_Meth_max[[#This Row],[Vergleich_ub]]-dict_DQ_Meth_max[[#This Row],[Vergleich_lb]])+dict_DQ_Meth_max[[#This Row],[Vergleich_lb]]</f>
        <v>0.99130000000000007</v>
      </c>
      <c r="G1521" s="12">
        <f ca="1">(RANDBETWEEN(50,100)/100)*(dict_DQ_Meth_max[[#This Row],[Vergleich_ub]]-dict_DQ_Meth_max[[#This Row],[Vergleich_lb]])+dict_DQ_Meth_max[[#This Row],[Vergleich_lb]]</f>
        <v>3.2509999999999999</v>
      </c>
      <c r="H1521" s="10"/>
      <c r="I1521" s="10"/>
      <c r="J1521" s="10"/>
      <c r="K1521" s="10"/>
      <c r="L1521" s="10">
        <f ca="1">VLOOKUP(dict_DQ_Meth_max[[#This Row],[ID_DataQualities]],table_DataQualities[],8,FALSE)</f>
        <v>0.56999999999999995</v>
      </c>
      <c r="M1521" s="10">
        <f ca="1">VLOOKUP(dict_DQ_Meth_max[[#This Row],[ID_DataQualities]],table_DataQualities[],9,FALSE)</f>
        <v>4.4000000000000004</v>
      </c>
    </row>
  </sheetData>
  <conditionalFormatting sqref="G2:G1048576">
    <cfRule type="cellIs" dxfId="46" priority="1" operator="greaterThan">
      <formula>$M2</formula>
    </cfRule>
    <cfRule type="cellIs" dxfId="45" priority="3" operator="lessThan">
      <formula>$F2</formula>
    </cfRule>
  </conditionalFormatting>
  <conditionalFormatting sqref="F2:F1048576">
    <cfRule type="cellIs" dxfId="44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A2" sqref="A2:E761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>
        <f ca="1">VLOOKUP(dict_zul_Var_Meth[[#This Row],[ignored_rank]],help_zuord_Var_Meth[],2)</f>
        <v>0</v>
      </c>
      <c r="B2">
        <v>509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">
        <f ca="1">RAND()</f>
        <v>0.99813340243036286</v>
      </c>
      <c r="E2">
        <f ca="1">RANK(dict_zul_Var_Meth[[#This Row],[ignored_rand]],dict_zul_Var_Meth[ignored_rand])</f>
        <v>1</v>
      </c>
      <c r="F2">
        <f ca="1">ROUNDUP(748/200*help_zuord_Var_Meth[[#This Row],[ignored_help_VarsID]],0)+RANDBETWEEN(0,1)-RANDBETWEEN(0,1)</f>
        <v>0</v>
      </c>
      <c r="G2">
        <v>0</v>
      </c>
    </row>
    <row r="3" spans="1:7" x14ac:dyDescent="0.45">
      <c r="A3">
        <f ca="1">VLOOKUP(dict_zul_Var_Meth[[#This Row],[ignored_rank]],help_zuord_Var_Meth[],2)</f>
        <v>0</v>
      </c>
      <c r="B3">
        <v>554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">
        <f ca="1">RAND()</f>
        <v>0.99703771853718148</v>
      </c>
      <c r="E3">
        <f ca="1">RANK(dict_zul_Var_Meth[[#This Row],[ignored_rand]],dict_zul_Var_Meth[ignored_rand])</f>
        <v>2</v>
      </c>
      <c r="F3">
        <f ca="1">ROUNDUP(748/200*help_zuord_Var_Meth[[#This Row],[ignored_help_VarsID]],0)+RANDBETWEEN(0,1)-RANDBETWEEN(0,1)</f>
        <v>4</v>
      </c>
      <c r="G3">
        <v>1</v>
      </c>
    </row>
    <row r="4" spans="1:7" x14ac:dyDescent="0.45">
      <c r="A4">
        <f ca="1">VLOOKUP(dict_zul_Var_Meth[[#This Row],[ignored_rank]],help_zuord_Var_Meth[],2)</f>
        <v>0</v>
      </c>
      <c r="B4">
        <v>569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">
        <f ca="1">RAND()</f>
        <v>0.99572565419774273</v>
      </c>
      <c r="E4">
        <f ca="1">RANK(dict_zul_Var_Meth[[#This Row],[ignored_rand]],dict_zul_Var_Meth[ignored_rand])</f>
        <v>3</v>
      </c>
      <c r="F4">
        <f ca="1">ROUNDUP(748/200*help_zuord_Var_Meth[[#This Row],[ignored_help_VarsID]],0)+RANDBETWEEN(0,1)-RANDBETWEEN(0,1)</f>
        <v>7</v>
      </c>
      <c r="G4">
        <v>2</v>
      </c>
    </row>
    <row r="5" spans="1:7" x14ac:dyDescent="0.45">
      <c r="A5">
        <f ca="1">VLOOKUP(dict_zul_Var_Meth[[#This Row],[ignored_rank]],help_zuord_Var_Meth[],2)</f>
        <v>1</v>
      </c>
      <c r="B5">
        <v>248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">
        <f ca="1">RAND()</f>
        <v>0.99319277728761846</v>
      </c>
      <c r="E5">
        <f ca="1">RANK(dict_zul_Var_Meth[[#This Row],[ignored_rand]],dict_zul_Var_Meth[ignored_rand])</f>
        <v>6</v>
      </c>
      <c r="F5">
        <f ca="1">ROUNDUP(748/200*help_zuord_Var_Meth[[#This Row],[ignored_help_VarsID]],0)+RANDBETWEEN(0,1)-RANDBETWEEN(0,1)</f>
        <v>12</v>
      </c>
      <c r="G5">
        <v>3</v>
      </c>
    </row>
    <row r="6" spans="1:7" x14ac:dyDescent="0.45">
      <c r="A6">
        <f ca="1">VLOOKUP(dict_zul_Var_Meth[[#This Row],[ignored_rank]],help_zuord_Var_Meth[],2)</f>
        <v>1</v>
      </c>
      <c r="B6">
        <v>365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">
        <f ca="1">RAND()</f>
        <v>0.99454961875807291</v>
      </c>
      <c r="E6">
        <f ca="1">RANK(dict_zul_Var_Meth[[#This Row],[ignored_rand]],dict_zul_Var_Meth[ignored_rand])</f>
        <v>4</v>
      </c>
      <c r="F6">
        <f ca="1">ROUNDUP(748/200*help_zuord_Var_Meth[[#This Row],[ignored_help_VarsID]],0)+RANDBETWEEN(0,1)-RANDBETWEEN(0,1)</f>
        <v>14</v>
      </c>
      <c r="G6">
        <v>4</v>
      </c>
    </row>
    <row r="7" spans="1:7" x14ac:dyDescent="0.45">
      <c r="A7">
        <f ca="1">VLOOKUP(dict_zul_Var_Meth[[#This Row],[ignored_rank]],help_zuord_Var_Meth[],2)</f>
        <v>1</v>
      </c>
      <c r="B7">
        <v>421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">
        <f ca="1">RAND()</f>
        <v>0.99357540701469105</v>
      </c>
      <c r="E7">
        <f ca="1">RANK(dict_zul_Var_Meth[[#This Row],[ignored_rand]],dict_zul_Var_Meth[ignored_rand])</f>
        <v>5</v>
      </c>
      <c r="F7">
        <f ca="1">ROUNDUP(748/200*help_zuord_Var_Meth[[#This Row],[ignored_help_VarsID]],0)+RANDBETWEEN(0,1)-RANDBETWEEN(0,1)</f>
        <v>19</v>
      </c>
      <c r="G7">
        <v>5</v>
      </c>
    </row>
    <row r="8" spans="1:7" x14ac:dyDescent="0.45">
      <c r="A8">
        <f ca="1">VLOOKUP(dict_zul_Var_Meth[[#This Row],[ignored_rank]],help_zuord_Var_Meth[],2)</f>
        <v>2</v>
      </c>
      <c r="B8">
        <v>39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">
        <f ca="1">RAND()</f>
        <v>0.98796784087249068</v>
      </c>
      <c r="E8">
        <f ca="1">RANK(dict_zul_Var_Meth[[#This Row],[ignored_rand]],dict_zul_Var_Meth[ignored_rand])</f>
        <v>10</v>
      </c>
      <c r="F8">
        <f ca="1">ROUNDUP(748/200*help_zuord_Var_Meth[[#This Row],[ignored_help_VarsID]],0)+RANDBETWEEN(0,1)-RANDBETWEEN(0,1)</f>
        <v>23</v>
      </c>
      <c r="G8">
        <v>6</v>
      </c>
    </row>
    <row r="9" spans="1:7" x14ac:dyDescent="0.45">
      <c r="A9">
        <f ca="1">VLOOKUP(dict_zul_Var_Meth[[#This Row],[ignored_rank]],help_zuord_Var_Meth[],2)</f>
        <v>2</v>
      </c>
      <c r="B9">
        <v>100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">
        <f ca="1">RAND()</f>
        <v>0.98936719341528068</v>
      </c>
      <c r="E9">
        <f ca="1">RANK(dict_zul_Var_Meth[[#This Row],[ignored_rand]],dict_zul_Var_Meth[ignored_rand])</f>
        <v>9</v>
      </c>
      <c r="F9">
        <f ca="1">ROUNDUP(748/200*help_zuord_Var_Meth[[#This Row],[ignored_help_VarsID]],0)+RANDBETWEEN(0,1)-RANDBETWEEN(0,1)</f>
        <v>27</v>
      </c>
      <c r="G9">
        <v>7</v>
      </c>
    </row>
    <row r="10" spans="1:7" x14ac:dyDescent="0.45">
      <c r="A10">
        <f ca="1">VLOOKUP(dict_zul_Var_Meth[[#This Row],[ignored_rank]],help_zuord_Var_Meth[],2)</f>
        <v>2</v>
      </c>
      <c r="B10">
        <v>275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">
        <f ca="1">RAND()</f>
        <v>0.99183391048079905</v>
      </c>
      <c r="E10">
        <f ca="1">RANK(dict_zul_Var_Meth[[#This Row],[ignored_rand]],dict_zul_Var_Meth[ignored_rand])</f>
        <v>7</v>
      </c>
      <c r="F10">
        <f ca="1">ROUNDUP(748/200*help_zuord_Var_Meth[[#This Row],[ignored_help_VarsID]],0)+RANDBETWEEN(0,1)-RANDBETWEEN(0,1)</f>
        <v>31</v>
      </c>
      <c r="G10">
        <v>8</v>
      </c>
    </row>
    <row r="11" spans="1:7" x14ac:dyDescent="0.45">
      <c r="A11">
        <f ca="1">VLOOKUP(dict_zul_Var_Meth[[#This Row],[ignored_rank]],help_zuord_Var_Meth[],2)</f>
        <v>2</v>
      </c>
      <c r="B11">
        <v>289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">
        <f ca="1">RAND()</f>
        <v>0.99044130508981154</v>
      </c>
      <c r="E11">
        <f ca="1">RANK(dict_zul_Var_Meth[[#This Row],[ignored_rand]],dict_zul_Var_Meth[ignored_rand])</f>
        <v>8</v>
      </c>
      <c r="F11">
        <f ca="1">ROUNDUP(748/200*help_zuord_Var_Meth[[#This Row],[ignored_help_VarsID]],0)+RANDBETWEEN(0,1)-RANDBETWEEN(0,1)</f>
        <v>33</v>
      </c>
      <c r="G11">
        <v>9</v>
      </c>
    </row>
    <row r="12" spans="1:7" x14ac:dyDescent="0.45">
      <c r="A12">
        <f ca="1">VLOOKUP(dict_zul_Var_Meth[[#This Row],[ignored_rank]],help_zuord_Var_Meth[],2)</f>
        <v>2</v>
      </c>
      <c r="B12">
        <v>466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">
        <f ca="1">RAND()</f>
        <v>0.98430625790520176</v>
      </c>
      <c r="E12">
        <f ca="1">RANK(dict_zul_Var_Meth[[#This Row],[ignored_rand]],dict_zul_Var_Meth[ignored_rand])</f>
        <v>11</v>
      </c>
      <c r="F12">
        <f ca="1">ROUNDUP(748/200*help_zuord_Var_Meth[[#This Row],[ignored_help_VarsID]],0)+RANDBETWEEN(0,1)-RANDBETWEEN(0,1)</f>
        <v>38</v>
      </c>
      <c r="G12">
        <v>10</v>
      </c>
    </row>
    <row r="13" spans="1:7" x14ac:dyDescent="0.45">
      <c r="A13">
        <f ca="1">VLOOKUP(dict_zul_Var_Meth[[#This Row],[ignored_rank]],help_zuord_Var_Meth[],2)</f>
        <v>3</v>
      </c>
      <c r="B13">
        <v>403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">
        <f ca="1">RAND()</f>
        <v>0.98001851302084231</v>
      </c>
      <c r="E13">
        <f ca="1">RANK(dict_zul_Var_Meth[[#This Row],[ignored_rand]],dict_zul_Var_Meth[ignored_rand])</f>
        <v>12</v>
      </c>
      <c r="F13">
        <f ca="1">ROUNDUP(748/200*help_zuord_Var_Meth[[#This Row],[ignored_help_VarsID]],0)+RANDBETWEEN(0,1)-RANDBETWEEN(0,1)</f>
        <v>43</v>
      </c>
      <c r="G13">
        <v>11</v>
      </c>
    </row>
    <row r="14" spans="1:7" x14ac:dyDescent="0.45">
      <c r="A14">
        <f ca="1">VLOOKUP(dict_zul_Var_Meth[[#This Row],[ignored_rank]],help_zuord_Var_Meth[],2)</f>
        <v>3</v>
      </c>
      <c r="B14">
        <v>683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">
        <f ca="1">RAND()</f>
        <v>0.97660089795650129</v>
      </c>
      <c r="E14">
        <f ca="1">RANK(dict_zul_Var_Meth[[#This Row],[ignored_rand]],dict_zul_Var_Meth[ignored_rand])</f>
        <v>13</v>
      </c>
      <c r="F14">
        <f ca="1">ROUNDUP(748/200*help_zuord_Var_Meth[[#This Row],[ignored_help_VarsID]],0)+RANDBETWEEN(0,1)-RANDBETWEEN(0,1)</f>
        <v>45</v>
      </c>
      <c r="G14">
        <v>12</v>
      </c>
    </row>
    <row r="15" spans="1:7" x14ac:dyDescent="0.45">
      <c r="A15">
        <f ca="1">VLOOKUP(dict_zul_Var_Meth[[#This Row],[ignored_rank]],help_zuord_Var_Meth[],2)</f>
        <v>4</v>
      </c>
      <c r="B15">
        <v>24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">
        <f ca="1">RAND()</f>
        <v>0.97238113908156865</v>
      </c>
      <c r="E15">
        <f ca="1">RANK(dict_zul_Var_Meth[[#This Row],[ignored_rand]],dict_zul_Var_Meth[ignored_rand])</f>
        <v>17</v>
      </c>
      <c r="F15">
        <f ca="1">ROUNDUP(748/200*help_zuord_Var_Meth[[#This Row],[ignored_help_VarsID]],0)+RANDBETWEEN(0,1)-RANDBETWEEN(0,1)</f>
        <v>50</v>
      </c>
      <c r="G15">
        <v>13</v>
      </c>
    </row>
    <row r="16" spans="1:7" x14ac:dyDescent="0.45">
      <c r="A16">
        <f ca="1">VLOOKUP(dict_zul_Var_Meth[[#This Row],[ignored_rank]],help_zuord_Var_Meth[],2)</f>
        <v>4</v>
      </c>
      <c r="B16">
        <v>51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">
        <f ca="1">RAND()</f>
        <v>0.9743572689950436</v>
      </c>
      <c r="E16">
        <f ca="1">RANK(dict_zul_Var_Meth[[#This Row],[ignored_rand]],dict_zul_Var_Meth[ignored_rand])</f>
        <v>16</v>
      </c>
      <c r="F16">
        <f ca="1">ROUNDUP(748/200*help_zuord_Var_Meth[[#This Row],[ignored_help_VarsID]],0)+RANDBETWEEN(0,1)-RANDBETWEEN(0,1)</f>
        <v>53</v>
      </c>
      <c r="G16">
        <v>14</v>
      </c>
    </row>
    <row r="17" spans="1:7" x14ac:dyDescent="0.45">
      <c r="A17">
        <f ca="1">VLOOKUP(dict_zul_Var_Meth[[#This Row],[ignored_rank]],help_zuord_Var_Meth[],2)</f>
        <v>4</v>
      </c>
      <c r="B17">
        <v>400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">
        <f ca="1">RAND()</f>
        <v>0.97530058029829358</v>
      </c>
      <c r="E17">
        <f ca="1">RANK(dict_zul_Var_Meth[[#This Row],[ignored_rand]],dict_zul_Var_Meth[ignored_rand])</f>
        <v>14</v>
      </c>
      <c r="F17">
        <f ca="1">ROUNDUP(748/200*help_zuord_Var_Meth[[#This Row],[ignored_help_VarsID]],0)+RANDBETWEEN(0,1)-RANDBETWEEN(0,1)</f>
        <v>57</v>
      </c>
      <c r="G17">
        <v>15</v>
      </c>
    </row>
    <row r="18" spans="1:7" x14ac:dyDescent="0.45">
      <c r="A18">
        <f ca="1">VLOOKUP(dict_zul_Var_Meth[[#This Row],[ignored_rank]],help_zuord_Var_Meth[],2)</f>
        <v>4</v>
      </c>
      <c r="B18">
        <v>593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">
        <f ca="1">RAND()</f>
        <v>0.97220471322825031</v>
      </c>
      <c r="E18">
        <f ca="1">RANK(dict_zul_Var_Meth[[#This Row],[ignored_rand]],dict_zul_Var_Meth[ignored_rand])</f>
        <v>18</v>
      </c>
      <c r="F18">
        <f ca="1">ROUNDUP(748/200*help_zuord_Var_Meth[[#This Row],[ignored_help_VarsID]],0)+RANDBETWEEN(0,1)-RANDBETWEEN(0,1)</f>
        <v>59</v>
      </c>
      <c r="G18">
        <v>16</v>
      </c>
    </row>
    <row r="19" spans="1:7" x14ac:dyDescent="0.45">
      <c r="A19">
        <f ca="1">VLOOKUP(dict_zul_Var_Meth[[#This Row],[ignored_rank]],help_zuord_Var_Meth[],2)</f>
        <v>4</v>
      </c>
      <c r="B19">
        <v>674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">
        <f ca="1">RAND()</f>
        <v>0.97464309825479878</v>
      </c>
      <c r="E19">
        <f ca="1">RANK(dict_zul_Var_Meth[[#This Row],[ignored_rand]],dict_zul_Var_Meth[ignored_rand])</f>
        <v>15</v>
      </c>
      <c r="F19">
        <f ca="1">ROUNDUP(748/200*help_zuord_Var_Meth[[#This Row],[ignored_help_VarsID]],0)+RANDBETWEEN(0,1)-RANDBETWEEN(0,1)</f>
        <v>64</v>
      </c>
      <c r="G19">
        <v>17</v>
      </c>
    </row>
    <row r="20" spans="1:7" x14ac:dyDescent="0.45">
      <c r="A20">
        <f ca="1">VLOOKUP(dict_zul_Var_Meth[[#This Row],[ignored_rank]],help_zuord_Var_Meth[],2)</f>
        <v>5</v>
      </c>
      <c r="B20">
        <v>223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">
        <f ca="1">RAND()</f>
        <v>0.96902919579296487</v>
      </c>
      <c r="E20">
        <f ca="1">RANK(dict_zul_Var_Meth[[#This Row],[ignored_rand]],dict_zul_Var_Meth[ignored_rand])</f>
        <v>20</v>
      </c>
      <c r="F20">
        <f ca="1">ROUNDUP(748/200*help_zuord_Var_Meth[[#This Row],[ignored_help_VarsID]],0)+RANDBETWEEN(0,1)-RANDBETWEEN(0,1)</f>
        <v>68</v>
      </c>
      <c r="G20">
        <v>18</v>
      </c>
    </row>
    <row r="21" spans="1:7" x14ac:dyDescent="0.45">
      <c r="A21">
        <f ca="1">VLOOKUP(dict_zul_Var_Meth[[#This Row],[ignored_rank]],help_zuord_Var_Meth[],2)</f>
        <v>5</v>
      </c>
      <c r="B21">
        <v>364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">
        <f ca="1">RAND()</f>
        <v>0.96591790392761112</v>
      </c>
      <c r="E21">
        <f ca="1">RANK(dict_zul_Var_Meth[[#This Row],[ignored_rand]],dict_zul_Var_Meth[ignored_rand])</f>
        <v>22</v>
      </c>
      <c r="F21">
        <f ca="1">ROUNDUP(748/200*help_zuord_Var_Meth[[#This Row],[ignored_help_VarsID]],0)+RANDBETWEEN(0,1)-RANDBETWEEN(0,1)</f>
        <v>72</v>
      </c>
      <c r="G21">
        <v>19</v>
      </c>
    </row>
    <row r="22" spans="1:7" x14ac:dyDescent="0.45">
      <c r="A22" s="3">
        <f ca="1">VLOOKUP(dict_zul_Var_Meth[[#This Row],[ignored_rank]],help_zuord_Var_Meth[],2)</f>
        <v>5</v>
      </c>
      <c r="B22">
        <v>578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">
        <f ca="1">RAND()</f>
        <v>0.96976822548447372</v>
      </c>
      <c r="E22" s="3">
        <f ca="1">RANK(dict_zul_Var_Meth[[#This Row],[ignored_rand]],dict_zul_Var_Meth[ignored_rand])</f>
        <v>19</v>
      </c>
      <c r="F22">
        <f ca="1">ROUNDUP(748/200*help_zuord_Var_Meth[[#This Row],[ignored_help_VarsID]],0)+RANDBETWEEN(0,1)-RANDBETWEEN(0,1)</f>
        <v>75</v>
      </c>
      <c r="G22">
        <v>20</v>
      </c>
    </row>
    <row r="23" spans="1:7" x14ac:dyDescent="0.45">
      <c r="A23">
        <f ca="1">VLOOKUP(dict_zul_Var_Meth[[#This Row],[ignored_rank]],help_zuord_Var_Meth[],2)</f>
        <v>5</v>
      </c>
      <c r="B23">
        <v>693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">
        <f ca="1">RAND()</f>
        <v>0.96781115088555314</v>
      </c>
      <c r="E23">
        <f ca="1">RANK(dict_zul_Var_Meth[[#This Row],[ignored_rand]],dict_zul_Var_Meth[ignored_rand])</f>
        <v>21</v>
      </c>
      <c r="F23">
        <f ca="1">ROUNDUP(748/200*help_zuord_Var_Meth[[#This Row],[ignored_help_VarsID]],0)+RANDBETWEEN(0,1)-RANDBETWEEN(0,1)</f>
        <v>79</v>
      </c>
      <c r="G23">
        <v>21</v>
      </c>
    </row>
    <row r="24" spans="1:7" x14ac:dyDescent="0.45">
      <c r="A24">
        <f ca="1">VLOOKUP(dict_zul_Var_Meth[[#This Row],[ignored_rank]],help_zuord_Var_Meth[],2)</f>
        <v>6</v>
      </c>
      <c r="B24">
        <v>165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">
        <f ca="1">RAND()</f>
        <v>0.96520620233124232</v>
      </c>
      <c r="E24">
        <f ca="1">RANK(dict_zul_Var_Meth[[#This Row],[ignored_rand]],dict_zul_Var_Meth[ignored_rand])</f>
        <v>23</v>
      </c>
      <c r="F24">
        <f ca="1">ROUNDUP(748/200*help_zuord_Var_Meth[[#This Row],[ignored_help_VarsID]],0)+RANDBETWEEN(0,1)-RANDBETWEEN(0,1)</f>
        <v>84</v>
      </c>
      <c r="G24">
        <v>22</v>
      </c>
    </row>
    <row r="25" spans="1:7" x14ac:dyDescent="0.45">
      <c r="A25">
        <f ca="1">VLOOKUP(dict_zul_Var_Meth[[#This Row],[ignored_rank]],help_zuord_Var_Meth[],2)</f>
        <v>6</v>
      </c>
      <c r="B25">
        <v>284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">
        <f ca="1">RAND()</f>
        <v>0.95810449535787434</v>
      </c>
      <c r="E25">
        <f ca="1">RANK(dict_zul_Var_Meth[[#This Row],[ignored_rand]],dict_zul_Var_Meth[ignored_rand])</f>
        <v>26</v>
      </c>
      <c r="F25">
        <f ca="1">ROUNDUP(748/200*help_zuord_Var_Meth[[#This Row],[ignored_help_VarsID]],0)+RANDBETWEEN(0,1)-RANDBETWEEN(0,1)</f>
        <v>86</v>
      </c>
      <c r="G25">
        <v>23</v>
      </c>
    </row>
    <row r="26" spans="1:7" x14ac:dyDescent="0.45">
      <c r="A26">
        <f ca="1">VLOOKUP(dict_zul_Var_Meth[[#This Row],[ignored_rank]],help_zuord_Var_Meth[],2)</f>
        <v>6</v>
      </c>
      <c r="B26">
        <v>378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">
        <f ca="1">RAND()</f>
        <v>0.95949898383620713</v>
      </c>
      <c r="E26">
        <f ca="1">RANK(dict_zul_Var_Meth[[#This Row],[ignored_rand]],dict_zul_Var_Meth[ignored_rand])</f>
        <v>25</v>
      </c>
      <c r="F26">
        <f ca="1">ROUNDUP(748/200*help_zuord_Var_Meth[[#This Row],[ignored_help_VarsID]],0)+RANDBETWEEN(0,1)-RANDBETWEEN(0,1)</f>
        <v>90</v>
      </c>
      <c r="G26">
        <v>24</v>
      </c>
    </row>
    <row r="27" spans="1:7" x14ac:dyDescent="0.45">
      <c r="A27">
        <f ca="1">VLOOKUP(dict_zul_Var_Meth[[#This Row],[ignored_rank]],help_zuord_Var_Meth[],2)</f>
        <v>6</v>
      </c>
      <c r="B27">
        <v>559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">
        <f ca="1">RAND()</f>
        <v>0.96321460857914243</v>
      </c>
      <c r="E27">
        <f ca="1">RANK(dict_zul_Var_Meth[[#This Row],[ignored_rand]],dict_zul_Var_Meth[ignored_rand])</f>
        <v>24</v>
      </c>
      <c r="F27">
        <f ca="1">ROUNDUP(748/200*help_zuord_Var_Meth[[#This Row],[ignored_help_VarsID]],0)+RANDBETWEEN(0,1)-RANDBETWEEN(0,1)</f>
        <v>94</v>
      </c>
      <c r="G27">
        <v>25</v>
      </c>
    </row>
    <row r="28" spans="1:7" x14ac:dyDescent="0.45">
      <c r="A28">
        <f ca="1">VLOOKUP(dict_zul_Var_Meth[[#This Row],[ignored_rank]],help_zuord_Var_Meth[],2)</f>
        <v>7</v>
      </c>
      <c r="B28">
        <v>27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">
        <f ca="1">RAND()</f>
        <v>0.95591002484425447</v>
      </c>
      <c r="E28">
        <f ca="1">RANK(dict_zul_Var_Meth[[#This Row],[ignored_rand]],dict_zul_Var_Meth[ignored_rand])</f>
        <v>28</v>
      </c>
      <c r="F28">
        <f ca="1">ROUNDUP(748/200*help_zuord_Var_Meth[[#This Row],[ignored_help_VarsID]],0)+RANDBETWEEN(0,1)-RANDBETWEEN(0,1)</f>
        <v>97</v>
      </c>
      <c r="G28">
        <v>26</v>
      </c>
    </row>
    <row r="29" spans="1:7" x14ac:dyDescent="0.45">
      <c r="A29" s="3">
        <f ca="1">VLOOKUP(dict_zul_Var_Meth[[#This Row],[ignored_rank]],help_zuord_Var_Meth[],2)</f>
        <v>7</v>
      </c>
      <c r="B29">
        <v>176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">
        <f ca="1">RAND()</f>
        <v>0.95486973945607023</v>
      </c>
      <c r="E29" s="3">
        <f ca="1">RANK(dict_zul_Var_Meth[[#This Row],[ignored_rand]],dict_zul_Var_Meth[ignored_rand])</f>
        <v>29</v>
      </c>
      <c r="F29">
        <f ca="1">ROUNDUP(748/200*help_zuord_Var_Meth[[#This Row],[ignored_help_VarsID]],0)+RANDBETWEEN(0,1)-RANDBETWEEN(0,1)</f>
        <v>101</v>
      </c>
      <c r="G29">
        <v>27</v>
      </c>
    </row>
    <row r="30" spans="1:7" x14ac:dyDescent="0.45">
      <c r="A30">
        <f ca="1">VLOOKUP(dict_zul_Var_Meth[[#This Row],[ignored_rank]],help_zuord_Var_Meth[],2)</f>
        <v>7</v>
      </c>
      <c r="B30">
        <v>250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">
        <f ca="1">RAND()</f>
        <v>0.95636583451048596</v>
      </c>
      <c r="E30">
        <f ca="1">RANK(dict_zul_Var_Meth[[#This Row],[ignored_rand]],dict_zul_Var_Meth[ignored_rand])</f>
        <v>27</v>
      </c>
      <c r="F30">
        <f ca="1">ROUNDUP(748/200*help_zuord_Var_Meth[[#This Row],[ignored_help_VarsID]],0)+RANDBETWEEN(0,1)-RANDBETWEEN(0,1)</f>
        <v>106</v>
      </c>
      <c r="G30">
        <v>28</v>
      </c>
    </row>
    <row r="31" spans="1:7" x14ac:dyDescent="0.45">
      <c r="A31">
        <f ca="1">VLOOKUP(dict_zul_Var_Meth[[#This Row],[ignored_rank]],help_zuord_Var_Meth[],2)</f>
        <v>7</v>
      </c>
      <c r="B31">
        <v>430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">
        <f ca="1">RAND()</f>
        <v>0.95215487506219743</v>
      </c>
      <c r="E31">
        <f ca="1">RANK(dict_zul_Var_Meth[[#This Row],[ignored_rand]],dict_zul_Var_Meth[ignored_rand])</f>
        <v>30</v>
      </c>
      <c r="F31">
        <f ca="1">ROUNDUP(748/200*help_zuord_Var_Meth[[#This Row],[ignored_help_VarsID]],0)+RANDBETWEEN(0,1)-RANDBETWEEN(0,1)</f>
        <v>108</v>
      </c>
      <c r="G31">
        <v>29</v>
      </c>
    </row>
    <row r="32" spans="1:7" x14ac:dyDescent="0.45">
      <c r="A32">
        <f ca="1">VLOOKUP(dict_zul_Var_Meth[[#This Row],[ignored_rank]],help_zuord_Var_Meth[],2)</f>
        <v>8</v>
      </c>
      <c r="B32">
        <v>50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">
        <f ca="1">RAND()</f>
        <v>0.94628534697929922</v>
      </c>
      <c r="E32">
        <f ca="1">RANK(dict_zul_Var_Meth[[#This Row],[ignored_rand]],dict_zul_Var_Meth[ignored_rand])</f>
        <v>32</v>
      </c>
      <c r="F32">
        <f ca="1">ROUNDUP(748/200*help_zuord_Var_Meth[[#This Row],[ignored_help_VarsID]],0)+RANDBETWEEN(0,1)-RANDBETWEEN(0,1)</f>
        <v>114</v>
      </c>
      <c r="G32">
        <v>30</v>
      </c>
    </row>
    <row r="33" spans="1:7" x14ac:dyDescent="0.45">
      <c r="A33">
        <f ca="1">VLOOKUP(dict_zul_Var_Meth[[#This Row],[ignored_rank]],help_zuord_Var_Meth[],2)</f>
        <v>8</v>
      </c>
      <c r="B33">
        <v>585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">
        <f ca="1">RAND()</f>
        <v>0.95095000454970746</v>
      </c>
      <c r="E33">
        <f ca="1">RANK(dict_zul_Var_Meth[[#This Row],[ignored_rand]],dict_zul_Var_Meth[ignored_rand])</f>
        <v>31</v>
      </c>
      <c r="F33">
        <f ca="1">ROUNDUP(748/200*help_zuord_Var_Meth[[#This Row],[ignored_help_VarsID]],0)+RANDBETWEEN(0,1)-RANDBETWEEN(0,1)</f>
        <v>117</v>
      </c>
      <c r="G33">
        <v>31</v>
      </c>
    </row>
    <row r="34" spans="1:7" x14ac:dyDescent="0.45">
      <c r="A34">
        <f ca="1">VLOOKUP(dict_zul_Var_Meth[[#This Row],[ignored_rank]],help_zuord_Var_Meth[],2)</f>
        <v>9</v>
      </c>
      <c r="B34">
        <v>4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">
        <f ca="1">RAND()</f>
        <v>0.94554354827700493</v>
      </c>
      <c r="E34">
        <f ca="1">RANK(dict_zul_Var_Meth[[#This Row],[ignored_rand]],dict_zul_Var_Meth[ignored_rand])</f>
        <v>33</v>
      </c>
      <c r="F34">
        <f ca="1">ROUNDUP(748/200*help_zuord_Var_Meth[[#This Row],[ignored_help_VarsID]],0)+RANDBETWEEN(0,1)-RANDBETWEEN(0,1)</f>
        <v>120</v>
      </c>
      <c r="G34">
        <v>32</v>
      </c>
    </row>
    <row r="35" spans="1:7" x14ac:dyDescent="0.45">
      <c r="A35">
        <f ca="1">VLOOKUP(dict_zul_Var_Meth[[#This Row],[ignored_rank]],help_zuord_Var_Meth[],2)</f>
        <v>9</v>
      </c>
      <c r="B35">
        <v>20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">
        <f ca="1">RAND()</f>
        <v>0.94267203588011794</v>
      </c>
      <c r="E35">
        <f ca="1">RANK(dict_zul_Var_Meth[[#This Row],[ignored_rand]],dict_zul_Var_Meth[ignored_rand])</f>
        <v>35</v>
      </c>
      <c r="F35">
        <f ca="1">ROUNDUP(748/200*help_zuord_Var_Meth[[#This Row],[ignored_help_VarsID]],0)+RANDBETWEEN(0,1)-RANDBETWEEN(0,1)</f>
        <v>124</v>
      </c>
      <c r="G35">
        <v>33</v>
      </c>
    </row>
    <row r="36" spans="1:7" x14ac:dyDescent="0.45">
      <c r="A36" s="3">
        <f ca="1">VLOOKUP(dict_zul_Var_Meth[[#This Row],[ignored_rank]],help_zuord_Var_Meth[],2)</f>
        <v>9</v>
      </c>
      <c r="B36">
        <v>22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">
        <f ca="1">RAND()</f>
        <v>0.94344666153685441</v>
      </c>
      <c r="E36" s="3">
        <f ca="1">RANK(dict_zul_Var_Meth[[#This Row],[ignored_rand]],dict_zul_Var_Meth[ignored_rand])</f>
        <v>34</v>
      </c>
      <c r="F36">
        <f ca="1">ROUNDUP(748/200*help_zuord_Var_Meth[[#This Row],[ignored_help_VarsID]],0)+RANDBETWEEN(0,1)-RANDBETWEEN(0,1)</f>
        <v>127</v>
      </c>
      <c r="G36">
        <v>34</v>
      </c>
    </row>
    <row r="37" spans="1:7" x14ac:dyDescent="0.45">
      <c r="A37">
        <f ca="1">VLOOKUP(dict_zul_Var_Meth[[#This Row],[ignored_rank]],help_zuord_Var_Meth[],2)</f>
        <v>9</v>
      </c>
      <c r="B37">
        <v>205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">
        <f ca="1">RAND()</f>
        <v>0.94066183692410887</v>
      </c>
      <c r="E37">
        <f ca="1">RANK(dict_zul_Var_Meth[[#This Row],[ignored_rand]],dict_zul_Var_Meth[ignored_rand])</f>
        <v>37</v>
      </c>
      <c r="F37">
        <f ca="1">ROUNDUP(748/200*help_zuord_Var_Meth[[#This Row],[ignored_help_VarsID]],0)+RANDBETWEEN(0,1)-RANDBETWEEN(0,1)</f>
        <v>131</v>
      </c>
      <c r="G37">
        <v>35</v>
      </c>
    </row>
    <row r="38" spans="1:7" x14ac:dyDescent="0.45">
      <c r="A38">
        <f ca="1">VLOOKUP(dict_zul_Var_Meth[[#This Row],[ignored_rank]],help_zuord_Var_Meth[],2)</f>
        <v>9</v>
      </c>
      <c r="B38">
        <v>371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">
        <f ca="1">RAND()</f>
        <v>0.94237702668395651</v>
      </c>
      <c r="E38">
        <f ca="1">RANK(dict_zul_Var_Meth[[#This Row],[ignored_rand]],dict_zul_Var_Meth[ignored_rand])</f>
        <v>36</v>
      </c>
      <c r="F38">
        <f ca="1">ROUNDUP(748/200*help_zuord_Var_Meth[[#This Row],[ignored_help_VarsID]],0)+RANDBETWEEN(0,1)-RANDBETWEEN(0,1)</f>
        <v>134</v>
      </c>
      <c r="G38">
        <v>36</v>
      </c>
    </row>
    <row r="39" spans="1:7" x14ac:dyDescent="0.45">
      <c r="A39">
        <f ca="1">VLOOKUP(dict_zul_Var_Meth[[#This Row],[ignored_rank]],help_zuord_Var_Meth[],2)</f>
        <v>10</v>
      </c>
      <c r="B39">
        <v>12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">
        <f ca="1">RAND()</f>
        <v>0.93571737584854964</v>
      </c>
      <c r="E39">
        <f ca="1">RANK(dict_zul_Var_Meth[[#This Row],[ignored_rand]],dict_zul_Var_Meth[ignored_rand])</f>
        <v>42</v>
      </c>
      <c r="F39">
        <f ca="1">ROUNDUP(748/200*help_zuord_Var_Meth[[#This Row],[ignored_help_VarsID]],0)+RANDBETWEEN(0,1)-RANDBETWEEN(0,1)</f>
        <v>138</v>
      </c>
      <c r="G39">
        <v>37</v>
      </c>
    </row>
    <row r="40" spans="1:7" x14ac:dyDescent="0.45">
      <c r="A40">
        <f ca="1">VLOOKUP(dict_zul_Var_Meth[[#This Row],[ignored_rank]],help_zuord_Var_Meth[],2)</f>
        <v>10</v>
      </c>
      <c r="B40">
        <v>42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">
        <f ca="1">RAND()</f>
        <v>0.93599209300853858</v>
      </c>
      <c r="E40">
        <f ca="1">RANK(dict_zul_Var_Meth[[#This Row],[ignored_rand]],dict_zul_Var_Meth[ignored_rand])</f>
        <v>40</v>
      </c>
      <c r="F40">
        <f ca="1">ROUNDUP(748/200*help_zuord_Var_Meth[[#This Row],[ignored_help_VarsID]],0)+RANDBETWEEN(0,1)-RANDBETWEEN(0,1)</f>
        <v>142</v>
      </c>
      <c r="G40">
        <v>38</v>
      </c>
    </row>
    <row r="41" spans="1:7" x14ac:dyDescent="0.45">
      <c r="A41">
        <f ca="1">VLOOKUP(dict_zul_Var_Meth[[#This Row],[ignored_rank]],help_zuord_Var_Meth[],2)</f>
        <v>10</v>
      </c>
      <c r="B41">
        <v>128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">
        <f ca="1">RAND()</f>
        <v>0.94013716110986778</v>
      </c>
      <c r="E41">
        <f ca="1">RANK(dict_zul_Var_Meth[[#This Row],[ignored_rand]],dict_zul_Var_Meth[ignored_rand])</f>
        <v>38</v>
      </c>
      <c r="F41">
        <f ca="1">ROUNDUP(748/200*help_zuord_Var_Meth[[#This Row],[ignored_help_VarsID]],0)+RANDBETWEEN(0,1)-RANDBETWEEN(0,1)</f>
        <v>146</v>
      </c>
      <c r="G41">
        <v>39</v>
      </c>
    </row>
    <row r="42" spans="1:7" x14ac:dyDescent="0.45">
      <c r="A42">
        <f ca="1">VLOOKUP(dict_zul_Var_Meth[[#This Row],[ignored_rank]],help_zuord_Var_Meth[],2)</f>
        <v>10</v>
      </c>
      <c r="B42">
        <v>130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">
        <f ca="1">RAND()</f>
        <v>0.93630966113474534</v>
      </c>
      <c r="E42">
        <f ca="1">RANK(dict_zul_Var_Meth[[#This Row],[ignored_rand]],dict_zul_Var_Meth[ignored_rand])</f>
        <v>39</v>
      </c>
      <c r="F42">
        <f ca="1">ROUNDUP(748/200*help_zuord_Var_Meth[[#This Row],[ignored_help_VarsID]],0)+RANDBETWEEN(0,1)-RANDBETWEEN(0,1)</f>
        <v>150</v>
      </c>
      <c r="G42">
        <v>40</v>
      </c>
    </row>
    <row r="43" spans="1:7" x14ac:dyDescent="0.45">
      <c r="A43">
        <f ca="1">VLOOKUP(dict_zul_Var_Meth[[#This Row],[ignored_rank]],help_zuord_Var_Meth[],2)</f>
        <v>10</v>
      </c>
      <c r="B43">
        <v>146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">
        <f ca="1">RAND()</f>
        <v>0.93593206107552063</v>
      </c>
      <c r="E43">
        <f ca="1">RANK(dict_zul_Var_Meth[[#This Row],[ignored_rand]],dict_zul_Var_Meth[ignored_rand])</f>
        <v>41</v>
      </c>
      <c r="F43">
        <f ca="1">ROUNDUP(748/200*help_zuord_Var_Meth[[#This Row],[ignored_help_VarsID]],0)+RANDBETWEEN(0,1)-RANDBETWEEN(0,1)</f>
        <v>154</v>
      </c>
      <c r="G43">
        <v>41</v>
      </c>
    </row>
    <row r="44" spans="1:7" x14ac:dyDescent="0.45">
      <c r="A44">
        <f ca="1">VLOOKUP(dict_zul_Var_Meth[[#This Row],[ignored_rank]],help_zuord_Var_Meth[],2)</f>
        <v>11</v>
      </c>
      <c r="B44">
        <v>18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">
        <f ca="1">RAND()</f>
        <v>0.93478677244186814</v>
      </c>
      <c r="E44">
        <f ca="1">RANK(dict_zul_Var_Meth[[#This Row],[ignored_rand]],dict_zul_Var_Meth[ignored_rand])</f>
        <v>44</v>
      </c>
      <c r="F44">
        <f ca="1">ROUNDUP(748/200*help_zuord_Var_Meth[[#This Row],[ignored_help_VarsID]],0)+RANDBETWEEN(0,1)-RANDBETWEEN(0,1)</f>
        <v>157</v>
      </c>
      <c r="G44">
        <v>42</v>
      </c>
    </row>
    <row r="45" spans="1:7" x14ac:dyDescent="0.45">
      <c r="A45">
        <f ca="1">VLOOKUP(dict_zul_Var_Meth[[#This Row],[ignored_rank]],help_zuord_Var_Meth[],2)</f>
        <v>11</v>
      </c>
      <c r="B45">
        <v>91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">
        <f ca="1">RAND()</f>
        <v>0.93496888109770637</v>
      </c>
      <c r="E45">
        <f ca="1">RANK(dict_zul_Var_Meth[[#This Row],[ignored_rand]],dict_zul_Var_Meth[ignored_rand])</f>
        <v>43</v>
      </c>
      <c r="F45">
        <f ca="1">ROUNDUP(748/200*help_zuord_Var_Meth[[#This Row],[ignored_help_VarsID]],0)+RANDBETWEEN(0,1)-RANDBETWEEN(0,1)</f>
        <v>161</v>
      </c>
      <c r="G45">
        <v>43</v>
      </c>
    </row>
    <row r="46" spans="1:7" x14ac:dyDescent="0.45">
      <c r="A46">
        <f ca="1">VLOOKUP(dict_zul_Var_Meth[[#This Row],[ignored_rank]],help_zuord_Var_Meth[],2)</f>
        <v>12</v>
      </c>
      <c r="B46">
        <v>7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">
        <f ca="1">RAND()</f>
        <v>0.93084929183336262</v>
      </c>
      <c r="E46">
        <f ca="1">RANK(dict_zul_Var_Meth[[#This Row],[ignored_rand]],dict_zul_Var_Meth[ignored_rand])</f>
        <v>49</v>
      </c>
      <c r="F46">
        <f ca="1">ROUNDUP(748/200*help_zuord_Var_Meth[[#This Row],[ignored_help_VarsID]],0)+RANDBETWEEN(0,1)-RANDBETWEEN(0,1)</f>
        <v>165</v>
      </c>
      <c r="G46">
        <v>44</v>
      </c>
    </row>
    <row r="47" spans="1:7" x14ac:dyDescent="0.45">
      <c r="A47">
        <f ca="1">VLOOKUP(dict_zul_Var_Meth[[#This Row],[ignored_rank]],help_zuord_Var_Meth[],2)</f>
        <v>12</v>
      </c>
      <c r="B47">
        <v>290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">
        <f ca="1">RAND()</f>
        <v>0.93281304375059693</v>
      </c>
      <c r="E47">
        <f ca="1">RANK(dict_zul_Var_Meth[[#This Row],[ignored_rand]],dict_zul_Var_Meth[ignored_rand])</f>
        <v>47</v>
      </c>
      <c r="F47">
        <f ca="1">ROUNDUP(748/200*help_zuord_Var_Meth[[#This Row],[ignored_help_VarsID]],0)+RANDBETWEEN(0,1)-RANDBETWEEN(0,1)</f>
        <v>168</v>
      </c>
      <c r="G47">
        <v>45</v>
      </c>
    </row>
    <row r="48" spans="1:7" x14ac:dyDescent="0.45">
      <c r="A48">
        <f ca="1">VLOOKUP(dict_zul_Var_Meth[[#This Row],[ignored_rank]],help_zuord_Var_Meth[],2)</f>
        <v>12</v>
      </c>
      <c r="B48">
        <v>330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">
        <f ca="1">RAND()</f>
        <v>0.93191987330005144</v>
      </c>
      <c r="E48">
        <f ca="1">RANK(dict_zul_Var_Meth[[#This Row],[ignored_rand]],dict_zul_Var_Meth[ignored_rand])</f>
        <v>48</v>
      </c>
      <c r="F48">
        <f ca="1">ROUNDUP(748/200*help_zuord_Var_Meth[[#This Row],[ignored_help_VarsID]],0)+RANDBETWEEN(0,1)-RANDBETWEEN(0,1)</f>
        <v>173</v>
      </c>
      <c r="G48">
        <v>46</v>
      </c>
    </row>
    <row r="49" spans="1:7" x14ac:dyDescent="0.45">
      <c r="A49">
        <f ca="1">VLOOKUP(dict_zul_Var_Meth[[#This Row],[ignored_rank]],help_zuord_Var_Meth[],2)</f>
        <v>12</v>
      </c>
      <c r="B49">
        <v>426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">
        <f ca="1">RAND()</f>
        <v>0.9338161681901026</v>
      </c>
      <c r="E49">
        <f ca="1">RANK(dict_zul_Var_Meth[[#This Row],[ignored_rand]],dict_zul_Var_Meth[ignored_rand])</f>
        <v>46</v>
      </c>
      <c r="F49">
        <f ca="1">ROUNDUP(748/200*help_zuord_Var_Meth[[#This Row],[ignored_help_VarsID]],0)+RANDBETWEEN(0,1)-RANDBETWEEN(0,1)</f>
        <v>176</v>
      </c>
      <c r="G49">
        <v>47</v>
      </c>
    </row>
    <row r="50" spans="1:7" x14ac:dyDescent="0.45">
      <c r="A50">
        <f ca="1">VLOOKUP(dict_zul_Var_Meth[[#This Row],[ignored_rank]],help_zuord_Var_Meth[],2)</f>
        <v>12</v>
      </c>
      <c r="B50">
        <v>661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">
        <f ca="1">RAND()</f>
        <v>0.93383608270434659</v>
      </c>
      <c r="E50">
        <f ca="1">RANK(dict_zul_Var_Meth[[#This Row],[ignored_rand]],dict_zul_Var_Meth[ignored_rand])</f>
        <v>45</v>
      </c>
      <c r="F50">
        <f ca="1">ROUNDUP(748/200*help_zuord_Var_Meth[[#This Row],[ignored_help_VarsID]],0)+RANDBETWEEN(0,1)-RANDBETWEEN(0,1)</f>
        <v>181</v>
      </c>
      <c r="G50">
        <v>48</v>
      </c>
    </row>
    <row r="51" spans="1:7" x14ac:dyDescent="0.45">
      <c r="A51">
        <f ca="1">VLOOKUP(dict_zul_Var_Meth[[#This Row],[ignored_rank]],help_zuord_Var_Meth[],2)</f>
        <v>13</v>
      </c>
      <c r="B51">
        <v>211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">
        <f ca="1">RAND()</f>
        <v>0.92761112042597449</v>
      </c>
      <c r="E51">
        <f ca="1">RANK(dict_zul_Var_Meth[[#This Row],[ignored_rand]],dict_zul_Var_Meth[ignored_rand])</f>
        <v>51</v>
      </c>
      <c r="F51">
        <f ca="1">ROUNDUP(748/200*help_zuord_Var_Meth[[#This Row],[ignored_help_VarsID]],0)+RANDBETWEEN(0,1)-RANDBETWEEN(0,1)</f>
        <v>183</v>
      </c>
      <c r="G51">
        <v>49</v>
      </c>
    </row>
    <row r="52" spans="1:7" x14ac:dyDescent="0.45">
      <c r="A52">
        <f ca="1">VLOOKUP(dict_zul_Var_Meth[[#This Row],[ignored_rank]],help_zuord_Var_Meth[],2)</f>
        <v>13</v>
      </c>
      <c r="B52">
        <v>241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">
        <f ca="1">RAND()</f>
        <v>0.92981841886535244</v>
      </c>
      <c r="E52">
        <f ca="1">RANK(dict_zul_Var_Meth[[#This Row],[ignored_rand]],dict_zul_Var_Meth[ignored_rand])</f>
        <v>50</v>
      </c>
      <c r="F52">
        <f ca="1">ROUNDUP(748/200*help_zuord_Var_Meth[[#This Row],[ignored_help_VarsID]],0)+RANDBETWEEN(0,1)-RANDBETWEEN(0,1)</f>
        <v>188</v>
      </c>
      <c r="G52">
        <v>50</v>
      </c>
    </row>
    <row r="53" spans="1:7" x14ac:dyDescent="0.45">
      <c r="A53">
        <f ca="1">VLOOKUP(dict_zul_Var_Meth[[#This Row],[ignored_rank]],help_zuord_Var_Meth[],2)</f>
        <v>13</v>
      </c>
      <c r="B53">
        <v>313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">
        <f ca="1">RAND()</f>
        <v>0.92683379471390759</v>
      </c>
      <c r="E53">
        <f ca="1">RANK(dict_zul_Var_Meth[[#This Row],[ignored_rand]],dict_zul_Var_Meth[ignored_rand])</f>
        <v>52</v>
      </c>
      <c r="F53">
        <f ca="1">ROUNDUP(748/200*help_zuord_Var_Meth[[#This Row],[ignored_help_VarsID]],0)+RANDBETWEEN(0,1)-RANDBETWEEN(0,1)</f>
        <v>190</v>
      </c>
      <c r="G53">
        <v>51</v>
      </c>
    </row>
    <row r="54" spans="1:7" x14ac:dyDescent="0.45">
      <c r="A54">
        <f ca="1">VLOOKUP(dict_zul_Var_Meth[[#This Row],[ignored_rank]],help_zuord_Var_Meth[],2)</f>
        <v>14</v>
      </c>
      <c r="B54">
        <v>36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">
        <f ca="1">RAND()</f>
        <v>0.92023247938823582</v>
      </c>
      <c r="E54">
        <f ca="1">RANK(dict_zul_Var_Meth[[#This Row],[ignored_rand]],dict_zul_Var_Meth[ignored_rand])</f>
        <v>55</v>
      </c>
      <c r="F54">
        <f ca="1">ROUNDUP(748/200*help_zuord_Var_Meth[[#This Row],[ignored_help_VarsID]],0)+RANDBETWEEN(0,1)-RANDBETWEEN(0,1)</f>
        <v>194</v>
      </c>
      <c r="G54">
        <v>52</v>
      </c>
    </row>
    <row r="55" spans="1:7" x14ac:dyDescent="0.45">
      <c r="A55">
        <f ca="1">VLOOKUP(dict_zul_Var_Meth[[#This Row],[ignored_rank]],help_zuord_Var_Meth[],2)</f>
        <v>14</v>
      </c>
      <c r="B55">
        <v>53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">
        <f ca="1">RAND()</f>
        <v>0.92266400798834014</v>
      </c>
      <c r="E55">
        <f ca="1">RANK(dict_zul_Var_Meth[[#This Row],[ignored_rand]],dict_zul_Var_Meth[ignored_rand])</f>
        <v>53</v>
      </c>
      <c r="F55">
        <f ca="1">ROUNDUP(748/200*help_zuord_Var_Meth[[#This Row],[ignored_help_VarsID]],0)+RANDBETWEEN(0,1)-RANDBETWEEN(0,1)</f>
        <v>198</v>
      </c>
      <c r="G55">
        <v>53</v>
      </c>
    </row>
    <row r="56" spans="1:7" x14ac:dyDescent="0.45">
      <c r="A56">
        <f ca="1">VLOOKUP(dict_zul_Var_Meth[[#This Row],[ignored_rank]],help_zuord_Var_Meth[],2)</f>
        <v>14</v>
      </c>
      <c r="B56">
        <v>60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">
        <f ca="1">RAND()</f>
        <v>0.91923347296166902</v>
      </c>
      <c r="E56">
        <f ca="1">RANK(dict_zul_Var_Meth[[#This Row],[ignored_rand]],dict_zul_Var_Meth[ignored_rand])</f>
        <v>56</v>
      </c>
      <c r="F56">
        <f ca="1">ROUNDUP(748/200*help_zuord_Var_Meth[[#This Row],[ignored_help_VarsID]],0)+RANDBETWEEN(0,1)-RANDBETWEEN(0,1)</f>
        <v>201</v>
      </c>
      <c r="G56">
        <v>54</v>
      </c>
    </row>
    <row r="57" spans="1:7" x14ac:dyDescent="0.45">
      <c r="A57">
        <f ca="1">VLOOKUP(dict_zul_Var_Meth[[#This Row],[ignored_rank]],help_zuord_Var_Meth[],2)</f>
        <v>14</v>
      </c>
      <c r="B57">
        <v>565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">
        <f ca="1">RAND()</f>
        <v>0.9222196480521424</v>
      </c>
      <c r="E57">
        <f ca="1">RANK(dict_zul_Var_Meth[[#This Row],[ignored_rand]],dict_zul_Var_Meth[ignored_rand])</f>
        <v>54</v>
      </c>
      <c r="F57">
        <f ca="1">ROUNDUP(748/200*help_zuord_Var_Meth[[#This Row],[ignored_help_VarsID]],0)+RANDBETWEEN(0,1)-RANDBETWEEN(0,1)</f>
        <v>206</v>
      </c>
      <c r="G57">
        <v>55</v>
      </c>
    </row>
    <row r="58" spans="1:7" x14ac:dyDescent="0.45">
      <c r="A58">
        <f ca="1">VLOOKUP(dict_zul_Var_Meth[[#This Row],[ignored_rank]],help_zuord_Var_Meth[],2)</f>
        <v>15</v>
      </c>
      <c r="B58">
        <v>44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">
        <f ca="1">RAND()</f>
        <v>0.91806528539959353</v>
      </c>
      <c r="E58">
        <f ca="1">RANK(dict_zul_Var_Meth[[#This Row],[ignored_rand]],dict_zul_Var_Meth[ignored_rand])</f>
        <v>58</v>
      </c>
      <c r="F58">
        <f ca="1">ROUNDUP(748/200*help_zuord_Var_Meth[[#This Row],[ignored_help_VarsID]],0)+RANDBETWEEN(0,1)-RANDBETWEEN(0,1)</f>
        <v>210</v>
      </c>
      <c r="G58">
        <v>56</v>
      </c>
    </row>
    <row r="59" spans="1:7" x14ac:dyDescent="0.45">
      <c r="A59">
        <f ca="1">VLOOKUP(dict_zul_Var_Meth[[#This Row],[ignored_rank]],help_zuord_Var_Meth[],2)</f>
        <v>15</v>
      </c>
      <c r="B59">
        <v>458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">
        <f ca="1">RAND()</f>
        <v>0.91817748883765926</v>
      </c>
      <c r="E59">
        <f ca="1">RANK(dict_zul_Var_Meth[[#This Row],[ignored_rand]],dict_zul_Var_Meth[ignored_rand])</f>
        <v>57</v>
      </c>
      <c r="F59">
        <f ca="1">ROUNDUP(748/200*help_zuord_Var_Meth[[#This Row],[ignored_help_VarsID]],0)+RANDBETWEEN(0,1)-RANDBETWEEN(0,1)</f>
        <v>214</v>
      </c>
      <c r="G59">
        <v>57</v>
      </c>
    </row>
    <row r="60" spans="1:7" x14ac:dyDescent="0.45">
      <c r="A60">
        <f ca="1">VLOOKUP(dict_zul_Var_Meth[[#This Row],[ignored_rank]],help_zuord_Var_Meth[],2)</f>
        <v>16</v>
      </c>
      <c r="B60">
        <v>43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">
        <f ca="1">RAND()</f>
        <v>0.91688868194426021</v>
      </c>
      <c r="E60">
        <f ca="1">RANK(dict_zul_Var_Meth[[#This Row],[ignored_rand]],dict_zul_Var_Meth[ignored_rand])</f>
        <v>59</v>
      </c>
      <c r="F60">
        <f ca="1">ROUNDUP(748/200*help_zuord_Var_Meth[[#This Row],[ignored_help_VarsID]],0)+RANDBETWEEN(0,1)-RANDBETWEEN(0,1)</f>
        <v>217</v>
      </c>
      <c r="G60">
        <v>58</v>
      </c>
    </row>
    <row r="61" spans="1:7" x14ac:dyDescent="0.45">
      <c r="A61">
        <f ca="1">VLOOKUP(dict_zul_Var_Meth[[#This Row],[ignored_rank]],help_zuord_Var_Meth[],2)</f>
        <v>16</v>
      </c>
      <c r="B61">
        <v>129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">
        <f ca="1">RAND()</f>
        <v>0.91535081104927507</v>
      </c>
      <c r="E61">
        <f ca="1">RANK(dict_zul_Var_Meth[[#This Row],[ignored_rand]],dict_zul_Var_Meth[ignored_rand])</f>
        <v>62</v>
      </c>
      <c r="F61">
        <f ca="1">ROUNDUP(748/200*help_zuord_Var_Meth[[#This Row],[ignored_help_VarsID]],0)+RANDBETWEEN(0,1)-RANDBETWEEN(0,1)</f>
        <v>220</v>
      </c>
      <c r="G61">
        <v>59</v>
      </c>
    </row>
    <row r="62" spans="1:7" x14ac:dyDescent="0.45">
      <c r="A62">
        <f ca="1">VLOOKUP(dict_zul_Var_Meth[[#This Row],[ignored_rank]],help_zuord_Var_Meth[],2)</f>
        <v>16</v>
      </c>
      <c r="B62">
        <v>377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">
        <f ca="1">RAND()</f>
        <v>0.91528028390588312</v>
      </c>
      <c r="E62">
        <f ca="1">RANK(dict_zul_Var_Meth[[#This Row],[ignored_rand]],dict_zul_Var_Meth[ignored_rand])</f>
        <v>63</v>
      </c>
      <c r="F62">
        <f ca="1">ROUNDUP(748/200*help_zuord_Var_Meth[[#This Row],[ignored_help_VarsID]],0)+RANDBETWEEN(0,1)-RANDBETWEEN(0,1)</f>
        <v>226</v>
      </c>
      <c r="G62">
        <v>60</v>
      </c>
    </row>
    <row r="63" spans="1:7" x14ac:dyDescent="0.45">
      <c r="A63">
        <f ca="1">VLOOKUP(dict_zul_Var_Meth[[#This Row],[ignored_rank]],help_zuord_Var_Meth[],2)</f>
        <v>16</v>
      </c>
      <c r="B63">
        <v>437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">
        <f ca="1">RAND()</f>
        <v>0.91536700950854422</v>
      </c>
      <c r="E63">
        <f ca="1">RANK(dict_zul_Var_Meth[[#This Row],[ignored_rand]],dict_zul_Var_Meth[ignored_rand])</f>
        <v>61</v>
      </c>
      <c r="F63">
        <f ca="1">ROUNDUP(748/200*help_zuord_Var_Meth[[#This Row],[ignored_help_VarsID]],0)+RANDBETWEEN(0,1)-RANDBETWEEN(0,1)</f>
        <v>228</v>
      </c>
      <c r="G63">
        <v>61</v>
      </c>
    </row>
    <row r="64" spans="1:7" x14ac:dyDescent="0.45">
      <c r="A64">
        <f ca="1">VLOOKUP(dict_zul_Var_Meth[[#This Row],[ignored_rank]],help_zuord_Var_Meth[],2)</f>
        <v>16</v>
      </c>
      <c r="B64">
        <v>561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">
        <f ca="1">RAND()</f>
        <v>0.91571032454981982</v>
      </c>
      <c r="E64">
        <f ca="1">RANK(dict_zul_Var_Meth[[#This Row],[ignored_rand]],dict_zul_Var_Meth[ignored_rand])</f>
        <v>60</v>
      </c>
      <c r="F64">
        <f ca="1">ROUNDUP(748/200*help_zuord_Var_Meth[[#This Row],[ignored_help_VarsID]],0)+RANDBETWEEN(0,1)-RANDBETWEEN(0,1)</f>
        <v>231</v>
      </c>
      <c r="G64">
        <v>62</v>
      </c>
    </row>
    <row r="65" spans="1:7" x14ac:dyDescent="0.45">
      <c r="A65">
        <f ca="1">VLOOKUP(dict_zul_Var_Meth[[#This Row],[ignored_rank]],help_zuord_Var_Meth[],2)</f>
        <v>17</v>
      </c>
      <c r="B65">
        <v>97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">
        <f ca="1">RAND()</f>
        <v>0.91059425956463569</v>
      </c>
      <c r="E65">
        <f ca="1">RANK(dict_zul_Var_Meth[[#This Row],[ignored_rand]],dict_zul_Var_Meth[ignored_rand])</f>
        <v>67</v>
      </c>
      <c r="F65">
        <f ca="1">ROUNDUP(748/200*help_zuord_Var_Meth[[#This Row],[ignored_help_VarsID]],0)+RANDBETWEEN(0,1)-RANDBETWEEN(0,1)</f>
        <v>236</v>
      </c>
      <c r="G65">
        <v>63</v>
      </c>
    </row>
    <row r="66" spans="1:7" x14ac:dyDescent="0.45">
      <c r="A66">
        <f ca="1">VLOOKUP(dict_zul_Var_Meth[[#This Row],[ignored_rank]],help_zuord_Var_Meth[],2)</f>
        <v>17</v>
      </c>
      <c r="B66">
        <v>131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">
        <f ca="1">RAND()</f>
        <v>0.91092105019849923</v>
      </c>
      <c r="E66">
        <f ca="1">RANK(dict_zul_Var_Meth[[#This Row],[ignored_rand]],dict_zul_Var_Meth[ignored_rand])</f>
        <v>66</v>
      </c>
      <c r="F66">
        <f ca="1">ROUNDUP(748/200*help_zuord_Var_Meth[[#This Row],[ignored_help_VarsID]],0)+RANDBETWEEN(0,1)-RANDBETWEEN(0,1)</f>
        <v>240</v>
      </c>
      <c r="G66">
        <v>64</v>
      </c>
    </row>
    <row r="67" spans="1:7" x14ac:dyDescent="0.45">
      <c r="A67">
        <f ca="1">VLOOKUP(dict_zul_Var_Meth[[#This Row],[ignored_rank]],help_zuord_Var_Meth[],2)</f>
        <v>17</v>
      </c>
      <c r="B67">
        <v>219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">
        <f ca="1">RAND()</f>
        <v>0.91130178903132508</v>
      </c>
      <c r="E67">
        <f ca="1">RANK(dict_zul_Var_Meth[[#This Row],[ignored_rand]],dict_zul_Var_Meth[ignored_rand])</f>
        <v>65</v>
      </c>
      <c r="F67">
        <f ca="1">ROUNDUP(748/200*help_zuord_Var_Meth[[#This Row],[ignored_help_VarsID]],0)+RANDBETWEEN(0,1)-RANDBETWEEN(0,1)</f>
        <v>245</v>
      </c>
      <c r="G67">
        <v>65</v>
      </c>
    </row>
    <row r="68" spans="1:7" x14ac:dyDescent="0.45">
      <c r="A68" s="3">
        <f ca="1">VLOOKUP(dict_zul_Var_Meth[[#This Row],[ignored_rank]],help_zuord_Var_Meth[],2)</f>
        <v>17</v>
      </c>
      <c r="B68">
        <v>247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">
        <f ca="1">RAND()</f>
        <v>0.91388803135926056</v>
      </c>
      <c r="E68" s="3">
        <f ca="1">RANK(dict_zul_Var_Meth[[#This Row],[ignored_rand]],dict_zul_Var_Meth[ignored_rand])</f>
        <v>64</v>
      </c>
      <c r="F68">
        <f ca="1">ROUNDUP(748/200*help_zuord_Var_Meth[[#This Row],[ignored_help_VarsID]],0)+RANDBETWEEN(0,1)-RANDBETWEEN(0,1)</f>
        <v>248</v>
      </c>
      <c r="G68">
        <v>66</v>
      </c>
    </row>
    <row r="69" spans="1:7" x14ac:dyDescent="0.45">
      <c r="A69">
        <f ca="1">VLOOKUP(dict_zul_Var_Meth[[#This Row],[ignored_rank]],help_zuord_Var_Meth[],2)</f>
        <v>18</v>
      </c>
      <c r="B69">
        <v>214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">
        <f ca="1">RAND()</f>
        <v>0.90725438931271907</v>
      </c>
      <c r="E69">
        <f ca="1">RANK(dict_zul_Var_Meth[[#This Row],[ignored_rand]],dict_zul_Var_Meth[ignored_rand])</f>
        <v>70</v>
      </c>
      <c r="F69">
        <f ca="1">ROUNDUP(748/200*help_zuord_Var_Meth[[#This Row],[ignored_help_VarsID]],0)+RANDBETWEEN(0,1)-RANDBETWEEN(0,1)</f>
        <v>252</v>
      </c>
      <c r="G69">
        <v>67</v>
      </c>
    </row>
    <row r="70" spans="1:7" x14ac:dyDescent="0.45">
      <c r="A70">
        <f ca="1">VLOOKUP(dict_zul_Var_Meth[[#This Row],[ignored_rank]],help_zuord_Var_Meth[],2)</f>
        <v>18</v>
      </c>
      <c r="B70">
        <v>358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">
        <f ca="1">RAND()</f>
        <v>0.91003843932521777</v>
      </c>
      <c r="E70">
        <f ca="1">RANK(dict_zul_Var_Meth[[#This Row],[ignored_rand]],dict_zul_Var_Meth[ignored_rand])</f>
        <v>68</v>
      </c>
      <c r="F70">
        <f ca="1">ROUNDUP(748/200*help_zuord_Var_Meth[[#This Row],[ignored_help_VarsID]],0)+RANDBETWEEN(0,1)-RANDBETWEEN(0,1)</f>
        <v>255</v>
      </c>
      <c r="G70">
        <v>68</v>
      </c>
    </row>
    <row r="71" spans="1:7" x14ac:dyDescent="0.45">
      <c r="A71">
        <f ca="1">VLOOKUP(dict_zul_Var_Meth[[#This Row],[ignored_rank]],help_zuord_Var_Meth[],2)</f>
        <v>18</v>
      </c>
      <c r="B71">
        <v>386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">
        <f ca="1">RAND()</f>
        <v>0.90870629589446272</v>
      </c>
      <c r="E71">
        <f ca="1">RANK(dict_zul_Var_Meth[[#This Row],[ignored_rand]],dict_zul_Var_Meth[ignored_rand])</f>
        <v>69</v>
      </c>
      <c r="F71">
        <f ca="1">ROUNDUP(748/200*help_zuord_Var_Meth[[#This Row],[ignored_help_VarsID]],0)+RANDBETWEEN(0,1)-RANDBETWEEN(0,1)</f>
        <v>258</v>
      </c>
      <c r="G71">
        <v>69</v>
      </c>
    </row>
    <row r="72" spans="1:7" x14ac:dyDescent="0.45">
      <c r="A72">
        <f ca="1">VLOOKUP(dict_zul_Var_Meth[[#This Row],[ignored_rank]],help_zuord_Var_Meth[],2)</f>
        <v>18</v>
      </c>
      <c r="B72">
        <v>637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">
        <f ca="1">RAND()</f>
        <v>0.90591669242784423</v>
      </c>
      <c r="E72">
        <f ca="1">RANK(dict_zul_Var_Meth[[#This Row],[ignored_rand]],dict_zul_Var_Meth[ignored_rand])</f>
        <v>71</v>
      </c>
      <c r="F72">
        <f ca="1">ROUNDUP(748/200*help_zuord_Var_Meth[[#This Row],[ignored_help_VarsID]],0)+RANDBETWEEN(0,1)-RANDBETWEEN(0,1)</f>
        <v>261</v>
      </c>
      <c r="G72">
        <v>70</v>
      </c>
    </row>
    <row r="73" spans="1:7" x14ac:dyDescent="0.45">
      <c r="A73">
        <f ca="1">VLOOKUP(dict_zul_Var_Meth[[#This Row],[ignored_rank]],help_zuord_Var_Meth[],2)</f>
        <v>19</v>
      </c>
      <c r="B73">
        <v>17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">
        <f ca="1">RAND()</f>
        <v>0.90214929314776882</v>
      </c>
      <c r="E73">
        <f ca="1">RANK(dict_zul_Var_Meth[[#This Row],[ignored_rand]],dict_zul_Var_Meth[ignored_rand])</f>
        <v>74</v>
      </c>
      <c r="F73">
        <f ca="1">ROUNDUP(748/200*help_zuord_Var_Meth[[#This Row],[ignored_help_VarsID]],0)+RANDBETWEEN(0,1)-RANDBETWEEN(0,1)</f>
        <v>267</v>
      </c>
      <c r="G73">
        <v>71</v>
      </c>
    </row>
    <row r="74" spans="1:7" x14ac:dyDescent="0.45">
      <c r="A74">
        <f ca="1">VLOOKUP(dict_zul_Var_Meth[[#This Row],[ignored_rank]],help_zuord_Var_Meth[],2)</f>
        <v>19</v>
      </c>
      <c r="B74">
        <v>315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">
        <f ca="1">RAND()</f>
        <v>0.90327267783345777</v>
      </c>
      <c r="E74">
        <f ca="1">RANK(dict_zul_Var_Meth[[#This Row],[ignored_rand]],dict_zul_Var_Meth[ignored_rand])</f>
        <v>73</v>
      </c>
      <c r="F74">
        <f ca="1">ROUNDUP(748/200*help_zuord_Var_Meth[[#This Row],[ignored_help_VarsID]],0)+RANDBETWEEN(0,1)-RANDBETWEEN(0,1)</f>
        <v>270</v>
      </c>
      <c r="G74">
        <v>72</v>
      </c>
    </row>
    <row r="75" spans="1:7" x14ac:dyDescent="0.45">
      <c r="A75">
        <f ca="1">VLOOKUP(dict_zul_Var_Meth[[#This Row],[ignored_rank]],help_zuord_Var_Meth[],2)</f>
        <v>19</v>
      </c>
      <c r="B75">
        <v>634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">
        <f ca="1">RAND()</f>
        <v>0.9045604353439447</v>
      </c>
      <c r="E75">
        <f ca="1">RANK(dict_zul_Var_Meth[[#This Row],[ignored_rand]],dict_zul_Var_Meth[ignored_rand])</f>
        <v>72</v>
      </c>
      <c r="F75">
        <f ca="1">ROUNDUP(748/200*help_zuord_Var_Meth[[#This Row],[ignored_help_VarsID]],0)+RANDBETWEEN(0,1)-RANDBETWEEN(0,1)</f>
        <v>273</v>
      </c>
      <c r="G75">
        <v>73</v>
      </c>
    </row>
    <row r="76" spans="1:7" x14ac:dyDescent="0.45">
      <c r="A76">
        <f ca="1">VLOOKUP(dict_zul_Var_Meth[[#This Row],[ignored_rank]],help_zuord_Var_Meth[],2)</f>
        <v>20</v>
      </c>
      <c r="B76">
        <v>58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">
        <f ca="1">RAND()</f>
        <v>0.89994490779781333</v>
      </c>
      <c r="E76">
        <f ca="1">RANK(dict_zul_Var_Meth[[#This Row],[ignored_rand]],dict_zul_Var_Meth[ignored_rand])</f>
        <v>77</v>
      </c>
      <c r="F76">
        <f ca="1">ROUNDUP(748/200*help_zuord_Var_Meth[[#This Row],[ignored_help_VarsID]],0)+RANDBETWEEN(0,1)-RANDBETWEEN(0,1)</f>
        <v>278</v>
      </c>
      <c r="G76">
        <v>74</v>
      </c>
    </row>
    <row r="77" spans="1:7" x14ac:dyDescent="0.45">
      <c r="A77">
        <f ca="1">VLOOKUP(dict_zul_Var_Meth[[#This Row],[ignored_rank]],help_zuord_Var_Meth[],2)</f>
        <v>20</v>
      </c>
      <c r="B77">
        <v>409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7">
        <f ca="1">RAND()</f>
        <v>0.89993539010090506</v>
      </c>
      <c r="E77">
        <f ca="1">RANK(dict_zul_Var_Meth[[#This Row],[ignored_rand]],dict_zul_Var_Meth[ignored_rand])</f>
        <v>78</v>
      </c>
      <c r="F77">
        <f ca="1">ROUNDUP(748/200*help_zuord_Var_Meth[[#This Row],[ignored_help_VarsID]],0)+RANDBETWEEN(0,1)-RANDBETWEEN(0,1)</f>
        <v>281</v>
      </c>
      <c r="G77">
        <v>75</v>
      </c>
    </row>
    <row r="78" spans="1:7" x14ac:dyDescent="0.45">
      <c r="A78">
        <f ca="1">VLOOKUP(dict_zul_Var_Meth[[#This Row],[ignored_rank]],help_zuord_Var_Meth[],2)</f>
        <v>20</v>
      </c>
      <c r="B78">
        <v>453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8">
        <f ca="1">RAND()</f>
        <v>0.90084074216501531</v>
      </c>
      <c r="E78">
        <f ca="1">RANK(dict_zul_Var_Meth[[#This Row],[ignored_rand]],dict_zul_Var_Meth[ignored_rand])</f>
        <v>76</v>
      </c>
      <c r="F78">
        <f ca="1">ROUNDUP(748/200*help_zuord_Var_Meth[[#This Row],[ignored_help_VarsID]],0)+RANDBETWEEN(0,1)-RANDBETWEEN(0,1)</f>
        <v>285</v>
      </c>
      <c r="G78">
        <v>76</v>
      </c>
    </row>
    <row r="79" spans="1:7" x14ac:dyDescent="0.45">
      <c r="A79">
        <f ca="1">VLOOKUP(dict_zul_Var_Meth[[#This Row],[ignored_rank]],help_zuord_Var_Meth[],2)</f>
        <v>20</v>
      </c>
      <c r="B79">
        <v>536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9">
        <f ca="1">RAND()</f>
        <v>0.90086131652819468</v>
      </c>
      <c r="E79">
        <f ca="1">RANK(dict_zul_Var_Meth[[#This Row],[ignored_rand]],dict_zul_Var_Meth[ignored_rand])</f>
        <v>75</v>
      </c>
      <c r="F79">
        <f ca="1">ROUNDUP(748/200*help_zuord_Var_Meth[[#This Row],[ignored_help_VarsID]],0)+RANDBETWEEN(0,1)-RANDBETWEEN(0,1)</f>
        <v>289</v>
      </c>
      <c r="G79">
        <v>77</v>
      </c>
    </row>
    <row r="80" spans="1:7" x14ac:dyDescent="0.45">
      <c r="A80">
        <f ca="1">VLOOKUP(dict_zul_Var_Meth[[#This Row],[ignored_rank]],help_zuord_Var_Meth[],2)</f>
        <v>21</v>
      </c>
      <c r="B80">
        <v>9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0">
        <f ca="1">RAND()</f>
        <v>0.89909796583083312</v>
      </c>
      <c r="E80">
        <f ca="1">RANK(dict_zul_Var_Meth[[#This Row],[ignored_rand]],dict_zul_Var_Meth[ignored_rand])</f>
        <v>80</v>
      </c>
      <c r="F80">
        <f ca="1">ROUNDUP(748/200*help_zuord_Var_Meth[[#This Row],[ignored_help_VarsID]],0)+RANDBETWEEN(0,1)-RANDBETWEEN(0,1)</f>
        <v>291</v>
      </c>
      <c r="G80">
        <v>78</v>
      </c>
    </row>
    <row r="81" spans="1:7" x14ac:dyDescent="0.45">
      <c r="A81">
        <f ca="1">VLOOKUP(dict_zul_Var_Meth[[#This Row],[ignored_rank]],help_zuord_Var_Meth[],2)</f>
        <v>21</v>
      </c>
      <c r="B81">
        <v>27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1">
        <f ca="1">RAND()</f>
        <v>0.89517959021035709</v>
      </c>
      <c r="E81">
        <f ca="1">RANK(dict_zul_Var_Meth[[#This Row],[ignored_rand]],dict_zul_Var_Meth[ignored_rand])</f>
        <v>81</v>
      </c>
      <c r="F81">
        <f ca="1">ROUNDUP(748/200*help_zuord_Var_Meth[[#This Row],[ignored_help_VarsID]],0)+RANDBETWEEN(0,1)-RANDBETWEEN(0,1)</f>
        <v>295</v>
      </c>
      <c r="G81">
        <v>79</v>
      </c>
    </row>
    <row r="82" spans="1:7" x14ac:dyDescent="0.45">
      <c r="A82">
        <f ca="1">VLOOKUP(dict_zul_Var_Meth[[#This Row],[ignored_rank]],help_zuord_Var_Meth[],2)</f>
        <v>21</v>
      </c>
      <c r="B82">
        <v>360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2">
        <f ca="1">RAND()</f>
        <v>0.89935217040810589</v>
      </c>
      <c r="E82">
        <f ca="1">RANK(dict_zul_Var_Meth[[#This Row],[ignored_rand]],dict_zul_Var_Meth[ignored_rand])</f>
        <v>79</v>
      </c>
      <c r="F82">
        <f ca="1">ROUNDUP(748/200*help_zuord_Var_Meth[[#This Row],[ignored_help_VarsID]],0)+RANDBETWEEN(0,1)-RANDBETWEEN(0,1)</f>
        <v>300</v>
      </c>
      <c r="G82">
        <v>80</v>
      </c>
    </row>
    <row r="83" spans="1:7" x14ac:dyDescent="0.45">
      <c r="A83">
        <f ca="1">VLOOKUP(dict_zul_Var_Meth[[#This Row],[ignored_rank]],help_zuord_Var_Meth[],2)</f>
        <v>21</v>
      </c>
      <c r="B83">
        <v>523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3">
        <f ca="1">RAND()</f>
        <v>0.89340498828806436</v>
      </c>
      <c r="E83">
        <f ca="1">RANK(dict_zul_Var_Meth[[#This Row],[ignored_rand]],dict_zul_Var_Meth[ignored_rand])</f>
        <v>83</v>
      </c>
      <c r="F83">
        <f ca="1">ROUNDUP(748/200*help_zuord_Var_Meth[[#This Row],[ignored_help_VarsID]],0)+RANDBETWEEN(0,1)-RANDBETWEEN(0,1)</f>
        <v>303</v>
      </c>
      <c r="G83">
        <v>81</v>
      </c>
    </row>
    <row r="84" spans="1:7" x14ac:dyDescent="0.45">
      <c r="A84">
        <f ca="1">VLOOKUP(dict_zul_Var_Meth[[#This Row],[ignored_rank]],help_zuord_Var_Meth[],2)</f>
        <v>21</v>
      </c>
      <c r="B84">
        <v>605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4">
        <f ca="1">RAND()</f>
        <v>0.89439613338395707</v>
      </c>
      <c r="E84">
        <f ca="1">RANK(dict_zul_Var_Meth[[#This Row],[ignored_rand]],dict_zul_Var_Meth[ignored_rand])</f>
        <v>82</v>
      </c>
      <c r="F84">
        <f ca="1">ROUNDUP(748/200*help_zuord_Var_Meth[[#This Row],[ignored_help_VarsID]],0)+RANDBETWEEN(0,1)-RANDBETWEEN(0,1)</f>
        <v>307</v>
      </c>
      <c r="G84">
        <v>82</v>
      </c>
    </row>
    <row r="85" spans="1:7" x14ac:dyDescent="0.45">
      <c r="A85">
        <f ca="1">VLOOKUP(dict_zul_Var_Meth[[#This Row],[ignored_rank]],help_zuord_Var_Meth[],2)</f>
        <v>22</v>
      </c>
      <c r="B85">
        <v>422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5">
        <f ca="1">RAND()</f>
        <v>0.89255509816318768</v>
      </c>
      <c r="E85">
        <f ca="1">RANK(dict_zul_Var_Meth[[#This Row],[ignored_rand]],dict_zul_Var_Meth[ignored_rand])</f>
        <v>85</v>
      </c>
      <c r="F85">
        <f ca="1">ROUNDUP(748/200*help_zuord_Var_Meth[[#This Row],[ignored_help_VarsID]],0)+RANDBETWEEN(0,1)-RANDBETWEEN(0,1)</f>
        <v>311</v>
      </c>
      <c r="G85">
        <v>83</v>
      </c>
    </row>
    <row r="86" spans="1:7" x14ac:dyDescent="0.45">
      <c r="A86">
        <f ca="1">VLOOKUP(dict_zul_Var_Meth[[#This Row],[ignored_rank]],help_zuord_Var_Meth[],2)</f>
        <v>22</v>
      </c>
      <c r="B86">
        <v>524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6">
        <f ca="1">RAND()</f>
        <v>0.89327904114214662</v>
      </c>
      <c r="E86">
        <f ca="1">RANK(dict_zul_Var_Meth[[#This Row],[ignored_rand]],dict_zul_Var_Meth[ignored_rand])</f>
        <v>84</v>
      </c>
      <c r="F86">
        <f ca="1">ROUNDUP(748/200*help_zuord_Var_Meth[[#This Row],[ignored_help_VarsID]],0)+RANDBETWEEN(0,1)-RANDBETWEEN(0,1)</f>
        <v>315</v>
      </c>
      <c r="G86">
        <v>84</v>
      </c>
    </row>
    <row r="87" spans="1:7" x14ac:dyDescent="0.45">
      <c r="A87">
        <f ca="1">VLOOKUP(dict_zul_Var_Meth[[#This Row],[ignored_rank]],help_zuord_Var_Meth[],2)</f>
        <v>23</v>
      </c>
      <c r="B87">
        <v>37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7">
        <f ca="1">RAND()</f>
        <v>0.89131660474818619</v>
      </c>
      <c r="E87">
        <f ca="1">RANK(dict_zul_Var_Meth[[#This Row],[ignored_rand]],dict_zul_Var_Meth[ignored_rand])</f>
        <v>86</v>
      </c>
      <c r="F87">
        <f ca="1">ROUNDUP(748/200*help_zuord_Var_Meth[[#This Row],[ignored_help_VarsID]],0)+RANDBETWEEN(0,1)-RANDBETWEEN(0,1)</f>
        <v>319</v>
      </c>
      <c r="G87">
        <v>85</v>
      </c>
    </row>
    <row r="88" spans="1:7" x14ac:dyDescent="0.45">
      <c r="A88">
        <f ca="1">VLOOKUP(dict_zul_Var_Meth[[#This Row],[ignored_rank]],help_zuord_Var_Meth[],2)</f>
        <v>23</v>
      </c>
      <c r="B88">
        <v>169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8">
        <f ca="1">RAND()</f>
        <v>0.89072467925989207</v>
      </c>
      <c r="E88">
        <f ca="1">RANK(dict_zul_Var_Meth[[#This Row],[ignored_rand]],dict_zul_Var_Meth[ignored_rand])</f>
        <v>88</v>
      </c>
      <c r="F88">
        <f ca="1">ROUNDUP(748/200*help_zuord_Var_Meth[[#This Row],[ignored_help_VarsID]],0)+RANDBETWEEN(0,1)-RANDBETWEEN(0,1)</f>
        <v>321</v>
      </c>
      <c r="G88">
        <v>86</v>
      </c>
    </row>
    <row r="89" spans="1:7" x14ac:dyDescent="0.45">
      <c r="A89">
        <f ca="1">VLOOKUP(dict_zul_Var_Meth[[#This Row],[ignored_rank]],help_zuord_Var_Meth[],2)</f>
        <v>23</v>
      </c>
      <c r="B89">
        <v>490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9">
        <f ca="1">RAND()</f>
        <v>0.89080151910699179</v>
      </c>
      <c r="E89">
        <f ca="1">RANK(dict_zul_Var_Meth[[#This Row],[ignored_rand]],dict_zul_Var_Meth[ignored_rand])</f>
        <v>87</v>
      </c>
      <c r="F89">
        <f ca="1">ROUNDUP(748/200*help_zuord_Var_Meth[[#This Row],[ignored_help_VarsID]],0)+RANDBETWEEN(0,1)-RANDBETWEEN(0,1)</f>
        <v>325</v>
      </c>
      <c r="G89">
        <v>87</v>
      </c>
    </row>
    <row r="90" spans="1:7" x14ac:dyDescent="0.45">
      <c r="A90">
        <f ca="1">VLOOKUP(dict_zul_Var_Meth[[#This Row],[ignored_rank]],help_zuord_Var_Meth[],2)</f>
        <v>23</v>
      </c>
      <c r="B90">
        <v>697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0">
        <f ca="1">RAND()</f>
        <v>0.88793093710931492</v>
      </c>
      <c r="E90">
        <f ca="1">RANK(dict_zul_Var_Meth[[#This Row],[ignored_rand]],dict_zul_Var_Meth[ignored_rand])</f>
        <v>89</v>
      </c>
      <c r="F90">
        <f ca="1">ROUNDUP(748/200*help_zuord_Var_Meth[[#This Row],[ignored_help_VarsID]],0)+RANDBETWEEN(0,1)-RANDBETWEEN(0,1)</f>
        <v>330</v>
      </c>
      <c r="G90">
        <v>88</v>
      </c>
    </row>
    <row r="91" spans="1:7" x14ac:dyDescent="0.45">
      <c r="A91">
        <f ca="1">VLOOKUP(dict_zul_Var_Meth[[#This Row],[ignored_rank]],help_zuord_Var_Meth[],2)</f>
        <v>24</v>
      </c>
      <c r="B91">
        <v>20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1">
        <f ca="1">RAND()</f>
        <v>0.88715141792027008</v>
      </c>
      <c r="E91">
        <f ca="1">RANK(dict_zul_Var_Meth[[#This Row],[ignored_rand]],dict_zul_Var_Meth[ignored_rand])</f>
        <v>91</v>
      </c>
      <c r="F91">
        <f ca="1">ROUNDUP(748/200*help_zuord_Var_Meth[[#This Row],[ignored_help_VarsID]],0)+RANDBETWEEN(0,1)-RANDBETWEEN(0,1)</f>
        <v>334</v>
      </c>
      <c r="G91">
        <v>89</v>
      </c>
    </row>
    <row r="92" spans="1:7" x14ac:dyDescent="0.45">
      <c r="A92">
        <f ca="1">VLOOKUP(dict_zul_Var_Meth[[#This Row],[ignored_rank]],help_zuord_Var_Meth[],2)</f>
        <v>24</v>
      </c>
      <c r="B92">
        <v>42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2">
        <f ca="1">RAND()</f>
        <v>0.88633369213242275</v>
      </c>
      <c r="E92">
        <f ca="1">RANK(dict_zul_Var_Meth[[#This Row],[ignored_rand]],dict_zul_Var_Meth[ignored_rand])</f>
        <v>93</v>
      </c>
      <c r="F92">
        <f ca="1">ROUNDUP(748/200*help_zuord_Var_Meth[[#This Row],[ignored_help_VarsID]],0)+RANDBETWEEN(0,1)-RANDBETWEEN(0,1)</f>
        <v>336</v>
      </c>
      <c r="G92">
        <v>90</v>
      </c>
    </row>
    <row r="93" spans="1:7" x14ac:dyDescent="0.45">
      <c r="A93">
        <f ca="1">VLOOKUP(dict_zul_Var_Meth[[#This Row],[ignored_rank]],help_zuord_Var_Meth[],2)</f>
        <v>24</v>
      </c>
      <c r="B93">
        <v>191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3">
        <f ca="1">RAND()</f>
        <v>0.88673870838832003</v>
      </c>
      <c r="E93">
        <f ca="1">RANK(dict_zul_Var_Meth[[#This Row],[ignored_rand]],dict_zul_Var_Meth[ignored_rand])</f>
        <v>92</v>
      </c>
      <c r="F93">
        <f ca="1">ROUNDUP(748/200*help_zuord_Var_Meth[[#This Row],[ignored_help_VarsID]],0)+RANDBETWEEN(0,1)-RANDBETWEEN(0,1)</f>
        <v>342</v>
      </c>
      <c r="G93">
        <v>91</v>
      </c>
    </row>
    <row r="94" spans="1:7" x14ac:dyDescent="0.45">
      <c r="A94">
        <f ca="1">VLOOKUP(dict_zul_Var_Meth[[#This Row],[ignored_rank]],help_zuord_Var_Meth[],2)</f>
        <v>24</v>
      </c>
      <c r="B94">
        <v>499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4">
        <f ca="1">RAND()</f>
        <v>0.88751778846192064</v>
      </c>
      <c r="E94">
        <f ca="1">RANK(dict_zul_Var_Meth[[#This Row],[ignored_rand]],dict_zul_Var_Meth[ignored_rand])</f>
        <v>90</v>
      </c>
      <c r="F94">
        <f ca="1">ROUNDUP(748/200*help_zuord_Var_Meth[[#This Row],[ignored_help_VarsID]],0)+RANDBETWEEN(0,1)-RANDBETWEEN(0,1)</f>
        <v>345</v>
      </c>
      <c r="G94">
        <v>92</v>
      </c>
    </row>
    <row r="95" spans="1:7" x14ac:dyDescent="0.45">
      <c r="A95">
        <f ca="1">VLOOKUP(dict_zul_Var_Meth[[#This Row],[ignored_rank]],help_zuord_Var_Meth[],2)</f>
        <v>25</v>
      </c>
      <c r="B95">
        <v>244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5">
        <f ca="1">RAND()</f>
        <v>0.88570677566774936</v>
      </c>
      <c r="E95">
        <f ca="1">RANK(dict_zul_Var_Meth[[#This Row],[ignored_rand]],dict_zul_Var_Meth[ignored_rand])</f>
        <v>96</v>
      </c>
      <c r="F95">
        <f ca="1">ROUNDUP(748/200*help_zuord_Var_Meth[[#This Row],[ignored_help_VarsID]],0)+RANDBETWEEN(0,1)-RANDBETWEEN(0,1)</f>
        <v>349</v>
      </c>
      <c r="G95">
        <v>93</v>
      </c>
    </row>
    <row r="96" spans="1:7" x14ac:dyDescent="0.45">
      <c r="A96">
        <f ca="1">VLOOKUP(dict_zul_Var_Meth[[#This Row],[ignored_rank]],help_zuord_Var_Meth[],2)</f>
        <v>25</v>
      </c>
      <c r="B96">
        <v>291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6">
        <f ca="1">RAND()</f>
        <v>0.88602414547314934</v>
      </c>
      <c r="E96">
        <f ca="1">RANK(dict_zul_Var_Meth[[#This Row],[ignored_rand]],dict_zul_Var_Meth[ignored_rand])</f>
        <v>95</v>
      </c>
      <c r="F96">
        <f ca="1">ROUNDUP(748/200*help_zuord_Var_Meth[[#This Row],[ignored_help_VarsID]],0)+RANDBETWEEN(0,1)-RANDBETWEEN(0,1)</f>
        <v>351</v>
      </c>
      <c r="G96">
        <v>94</v>
      </c>
    </row>
    <row r="97" spans="1:7" x14ac:dyDescent="0.45">
      <c r="A97">
        <f ca="1">VLOOKUP(dict_zul_Var_Meth[[#This Row],[ignored_rank]],help_zuord_Var_Meth[],2)</f>
        <v>25</v>
      </c>
      <c r="B97">
        <v>443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7">
        <f ca="1">RAND()</f>
        <v>0.8861088324346581</v>
      </c>
      <c r="E97">
        <f ca="1">RANK(dict_zul_Var_Meth[[#This Row],[ignored_rand]],dict_zul_Var_Meth[ignored_rand])</f>
        <v>94</v>
      </c>
      <c r="F97">
        <f ca="1">ROUNDUP(748/200*help_zuord_Var_Meth[[#This Row],[ignored_help_VarsID]],0)+RANDBETWEEN(0,1)-RANDBETWEEN(0,1)</f>
        <v>355</v>
      </c>
      <c r="G97">
        <v>95</v>
      </c>
    </row>
    <row r="98" spans="1:7" x14ac:dyDescent="0.45">
      <c r="A98">
        <f ca="1">VLOOKUP(dict_zul_Var_Meth[[#This Row],[ignored_rank]],help_zuord_Var_Meth[],2)</f>
        <v>26</v>
      </c>
      <c r="B98">
        <v>26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8">
        <f ca="1">RAND()</f>
        <v>0.88392887295936717</v>
      </c>
      <c r="E98">
        <f ca="1">RANK(dict_zul_Var_Meth[[#This Row],[ignored_rand]],dict_zul_Var_Meth[ignored_rand])</f>
        <v>99</v>
      </c>
      <c r="F98">
        <f ca="1">ROUNDUP(748/200*help_zuord_Var_Meth[[#This Row],[ignored_help_VarsID]],0)+RANDBETWEEN(0,1)-RANDBETWEEN(0,1)</f>
        <v>361</v>
      </c>
      <c r="G98">
        <v>96</v>
      </c>
    </row>
    <row r="99" spans="1:7" x14ac:dyDescent="0.45">
      <c r="A99" s="3">
        <f ca="1">VLOOKUP(dict_zul_Var_Meth[[#This Row],[ignored_rank]],help_zuord_Var_Meth[],2)</f>
        <v>26</v>
      </c>
      <c r="B99">
        <v>75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9">
        <f ca="1">RAND()</f>
        <v>0.88210460452277739</v>
      </c>
      <c r="E99" s="3">
        <f ca="1">RANK(dict_zul_Var_Meth[[#This Row],[ignored_rand]],dict_zul_Var_Meth[ignored_rand])</f>
        <v>100</v>
      </c>
      <c r="F99">
        <f ca="1">ROUNDUP(748/200*help_zuord_Var_Meth[[#This Row],[ignored_help_VarsID]],0)+RANDBETWEEN(0,1)-RANDBETWEEN(0,1)</f>
        <v>363</v>
      </c>
      <c r="G99">
        <v>97</v>
      </c>
    </row>
    <row r="100" spans="1:7" x14ac:dyDescent="0.45">
      <c r="A100">
        <f ca="1">VLOOKUP(dict_zul_Var_Meth[[#This Row],[ignored_rank]],help_zuord_Var_Meth[],2)</f>
        <v>26</v>
      </c>
      <c r="B100">
        <v>457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0">
        <f ca="1">RAND()</f>
        <v>0.88398696343480865</v>
      </c>
      <c r="E100">
        <f ca="1">RANK(dict_zul_Var_Meth[[#This Row],[ignored_rand]],dict_zul_Var_Meth[ignored_rand])</f>
        <v>98</v>
      </c>
      <c r="F100">
        <f ca="1">ROUNDUP(748/200*help_zuord_Var_Meth[[#This Row],[ignored_help_VarsID]],0)+RANDBETWEEN(0,1)-RANDBETWEEN(0,1)</f>
        <v>367</v>
      </c>
      <c r="G100">
        <v>98</v>
      </c>
    </row>
    <row r="101" spans="1:7" x14ac:dyDescent="0.45">
      <c r="A101">
        <f ca="1">VLOOKUP(dict_zul_Var_Meth[[#This Row],[ignored_rank]],help_zuord_Var_Meth[],2)</f>
        <v>26</v>
      </c>
      <c r="B101">
        <v>486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1">
        <f ca="1">RAND()</f>
        <v>0.8853553498600425</v>
      </c>
      <c r="E101">
        <f ca="1">RANK(dict_zul_Var_Meth[[#This Row],[ignored_rand]],dict_zul_Var_Meth[ignored_rand])</f>
        <v>97</v>
      </c>
      <c r="F101">
        <f ca="1">ROUNDUP(748/200*help_zuord_Var_Meth[[#This Row],[ignored_help_VarsID]],0)+RANDBETWEEN(0,1)-RANDBETWEEN(0,1)</f>
        <v>370</v>
      </c>
      <c r="G101">
        <v>99</v>
      </c>
    </row>
    <row r="102" spans="1:7" x14ac:dyDescent="0.45">
      <c r="A102">
        <f ca="1">VLOOKUP(dict_zul_Var_Meth[[#This Row],[ignored_rank]],help_zuord_Var_Meth[],2)</f>
        <v>27</v>
      </c>
      <c r="B102">
        <v>74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2">
        <f ca="1">RAND()</f>
        <v>0.87910245051530012</v>
      </c>
      <c r="E102">
        <f ca="1">RANK(dict_zul_Var_Meth[[#This Row],[ignored_rand]],dict_zul_Var_Meth[ignored_rand])</f>
        <v>102</v>
      </c>
      <c r="F102">
        <f ca="1">ROUNDUP(748/200*help_zuord_Var_Meth[[#This Row],[ignored_help_VarsID]],0)+RANDBETWEEN(0,1)-RANDBETWEEN(0,1)</f>
        <v>375</v>
      </c>
      <c r="G102">
        <v>100</v>
      </c>
    </row>
    <row r="103" spans="1:7" x14ac:dyDescent="0.45">
      <c r="A103">
        <f ca="1">VLOOKUP(dict_zul_Var_Meth[[#This Row],[ignored_rank]],help_zuord_Var_Meth[],2)</f>
        <v>27</v>
      </c>
      <c r="B103">
        <v>238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3">
        <f ca="1">RAND()</f>
        <v>0.87357657347945661</v>
      </c>
      <c r="E103">
        <f ca="1">RANK(dict_zul_Var_Meth[[#This Row],[ignored_rand]],dict_zul_Var_Meth[ignored_rand])</f>
        <v>105</v>
      </c>
      <c r="F103">
        <f ca="1">ROUNDUP(748/200*help_zuord_Var_Meth[[#This Row],[ignored_help_VarsID]],0)+RANDBETWEEN(0,1)-RANDBETWEEN(0,1)</f>
        <v>378</v>
      </c>
      <c r="G103">
        <v>101</v>
      </c>
    </row>
    <row r="104" spans="1:7" x14ac:dyDescent="0.45">
      <c r="A104">
        <f ca="1">VLOOKUP(dict_zul_Var_Meth[[#This Row],[ignored_rank]],help_zuord_Var_Meth[],2)</f>
        <v>27</v>
      </c>
      <c r="B104">
        <v>487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4">
        <f ca="1">RAND()</f>
        <v>0.87541744939727317</v>
      </c>
      <c r="E104">
        <f ca="1">RANK(dict_zul_Var_Meth[[#This Row],[ignored_rand]],dict_zul_Var_Meth[ignored_rand])</f>
        <v>103</v>
      </c>
      <c r="F104">
        <f ca="1">ROUNDUP(748/200*help_zuord_Var_Meth[[#This Row],[ignored_help_VarsID]],0)+RANDBETWEEN(0,1)-RANDBETWEEN(0,1)</f>
        <v>382</v>
      </c>
      <c r="G104">
        <v>102</v>
      </c>
    </row>
    <row r="105" spans="1:7" x14ac:dyDescent="0.45">
      <c r="A105">
        <f ca="1">VLOOKUP(dict_zul_Var_Meth[[#This Row],[ignored_rank]],help_zuord_Var_Meth[],2)</f>
        <v>27</v>
      </c>
      <c r="B105">
        <v>506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5">
        <f ca="1">RAND()</f>
        <v>0.88123311489710354</v>
      </c>
      <c r="E105">
        <f ca="1">RANK(dict_zul_Var_Meth[[#This Row],[ignored_rand]],dict_zul_Var_Meth[ignored_rand])</f>
        <v>101</v>
      </c>
      <c r="F105">
        <f ca="1">ROUNDUP(748/200*help_zuord_Var_Meth[[#This Row],[ignored_help_VarsID]],0)+RANDBETWEEN(0,1)-RANDBETWEEN(0,1)</f>
        <v>386</v>
      </c>
      <c r="G105">
        <v>103</v>
      </c>
    </row>
    <row r="106" spans="1:7" x14ac:dyDescent="0.45">
      <c r="A106">
        <f ca="1">VLOOKUP(dict_zul_Var_Meth[[#This Row],[ignored_rank]],help_zuord_Var_Meth[],2)</f>
        <v>27</v>
      </c>
      <c r="B106">
        <v>583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6">
        <f ca="1">RAND()</f>
        <v>0.87382810485456641</v>
      </c>
      <c r="E106">
        <f ca="1">RANK(dict_zul_Var_Meth[[#This Row],[ignored_rand]],dict_zul_Var_Meth[ignored_rand])</f>
        <v>104</v>
      </c>
      <c r="F106">
        <f ca="1">ROUNDUP(748/200*help_zuord_Var_Meth[[#This Row],[ignored_help_VarsID]],0)+RANDBETWEEN(0,1)-RANDBETWEEN(0,1)</f>
        <v>389</v>
      </c>
      <c r="G106">
        <v>104</v>
      </c>
    </row>
    <row r="107" spans="1:7" x14ac:dyDescent="0.45">
      <c r="A107">
        <f ca="1">VLOOKUP(dict_zul_Var_Meth[[#This Row],[ignored_rank]],help_zuord_Var_Meth[],2)</f>
        <v>28</v>
      </c>
      <c r="B107">
        <v>252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7">
        <f ca="1">RAND()</f>
        <v>0.87231818818485063</v>
      </c>
      <c r="E107">
        <f ca="1">RANK(dict_zul_Var_Meth[[#This Row],[ignored_rand]],dict_zul_Var_Meth[ignored_rand])</f>
        <v>107</v>
      </c>
      <c r="F107">
        <f ca="1">ROUNDUP(748/200*help_zuord_Var_Meth[[#This Row],[ignored_help_VarsID]],0)+RANDBETWEEN(0,1)-RANDBETWEEN(0,1)</f>
        <v>393</v>
      </c>
      <c r="G107">
        <v>105</v>
      </c>
    </row>
    <row r="108" spans="1:7" x14ac:dyDescent="0.45">
      <c r="A108">
        <f ca="1">VLOOKUP(dict_zul_Var_Meth[[#This Row],[ignored_rank]],help_zuord_Var_Meth[],2)</f>
        <v>28</v>
      </c>
      <c r="B108">
        <v>530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8">
        <f ca="1">RAND()</f>
        <v>0.87323290609041759</v>
      </c>
      <c r="E108">
        <f ca="1">RANK(dict_zul_Var_Meth[[#This Row],[ignored_rand]],dict_zul_Var_Meth[ignored_rand])</f>
        <v>106</v>
      </c>
      <c r="F108">
        <f ca="1">ROUNDUP(748/200*help_zuord_Var_Meth[[#This Row],[ignored_help_VarsID]],0)+RANDBETWEEN(0,1)-RANDBETWEEN(0,1)</f>
        <v>397</v>
      </c>
      <c r="G108">
        <v>106</v>
      </c>
    </row>
    <row r="109" spans="1:7" x14ac:dyDescent="0.45">
      <c r="A109">
        <f ca="1">VLOOKUP(dict_zul_Var_Meth[[#This Row],[ignored_rank]],help_zuord_Var_Meth[],2)</f>
        <v>29</v>
      </c>
      <c r="B109">
        <v>49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9">
        <f ca="1">RAND()</f>
        <v>0.8715689883884431</v>
      </c>
      <c r="E109">
        <f ca="1">RANK(dict_zul_Var_Meth[[#This Row],[ignored_rand]],dict_zul_Var_Meth[ignored_rand])</f>
        <v>109</v>
      </c>
      <c r="F109">
        <f ca="1">ROUNDUP(748/200*help_zuord_Var_Meth[[#This Row],[ignored_help_VarsID]],0)+RANDBETWEEN(0,1)-RANDBETWEEN(0,1)</f>
        <v>401</v>
      </c>
      <c r="G109">
        <v>107</v>
      </c>
    </row>
    <row r="110" spans="1:7" x14ac:dyDescent="0.45">
      <c r="A110">
        <f ca="1">VLOOKUP(dict_zul_Var_Meth[[#This Row],[ignored_rank]],help_zuord_Var_Meth[],2)</f>
        <v>29</v>
      </c>
      <c r="B110">
        <v>326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0">
        <f ca="1">RAND()</f>
        <v>0.87161871183784401</v>
      </c>
      <c r="E110">
        <f ca="1">RANK(dict_zul_Var_Meth[[#This Row],[ignored_rand]],dict_zul_Var_Meth[ignored_rand])</f>
        <v>108</v>
      </c>
      <c r="F110">
        <f ca="1">ROUNDUP(748/200*help_zuord_Var_Meth[[#This Row],[ignored_help_VarsID]],0)+RANDBETWEEN(0,1)-RANDBETWEEN(0,1)</f>
        <v>404</v>
      </c>
      <c r="G110">
        <v>108</v>
      </c>
    </row>
    <row r="111" spans="1:7" x14ac:dyDescent="0.45">
      <c r="A111">
        <f ca="1">VLOOKUP(dict_zul_Var_Meth[[#This Row],[ignored_rank]],help_zuord_Var_Meth[],2)</f>
        <v>29</v>
      </c>
      <c r="B111">
        <v>354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1">
        <f ca="1">RAND()</f>
        <v>0.87040466420038265</v>
      </c>
      <c r="E111">
        <f ca="1">RANK(dict_zul_Var_Meth[[#This Row],[ignored_rand]],dict_zul_Var_Meth[ignored_rand])</f>
        <v>110</v>
      </c>
      <c r="F111">
        <f ca="1">ROUNDUP(748/200*help_zuord_Var_Meth[[#This Row],[ignored_help_VarsID]],0)+RANDBETWEEN(0,1)-RANDBETWEEN(0,1)</f>
        <v>408</v>
      </c>
      <c r="G111">
        <v>109</v>
      </c>
    </row>
    <row r="112" spans="1:7" x14ac:dyDescent="0.45">
      <c r="A112">
        <f ca="1">VLOOKUP(dict_zul_Var_Meth[[#This Row],[ignored_rank]],help_zuord_Var_Meth[],2)</f>
        <v>29</v>
      </c>
      <c r="B112">
        <v>407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2">
        <f ca="1">RAND()</f>
        <v>0.86551251587758693</v>
      </c>
      <c r="E112">
        <f ca="1">RANK(dict_zul_Var_Meth[[#This Row],[ignored_rand]],dict_zul_Var_Meth[ignored_rand])</f>
        <v>113</v>
      </c>
      <c r="F112">
        <f ca="1">ROUNDUP(748/200*help_zuord_Var_Meth[[#This Row],[ignored_help_VarsID]],0)+RANDBETWEEN(0,1)-RANDBETWEEN(0,1)</f>
        <v>412</v>
      </c>
      <c r="G112">
        <v>110</v>
      </c>
    </row>
    <row r="113" spans="1:7" x14ac:dyDescent="0.45">
      <c r="A113">
        <f ca="1">VLOOKUP(dict_zul_Var_Meth[[#This Row],[ignored_rank]],help_zuord_Var_Meth[],2)</f>
        <v>29</v>
      </c>
      <c r="B113">
        <v>408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3">
        <f ca="1">RAND()</f>
        <v>0.8657102943046131</v>
      </c>
      <c r="E113">
        <f ca="1">RANK(dict_zul_Var_Meth[[#This Row],[ignored_rand]],dict_zul_Var_Meth[ignored_rand])</f>
        <v>112</v>
      </c>
      <c r="F113">
        <f ca="1">ROUNDUP(748/200*help_zuord_Var_Meth[[#This Row],[ignored_help_VarsID]],0)+RANDBETWEEN(0,1)-RANDBETWEEN(0,1)</f>
        <v>415</v>
      </c>
      <c r="G113">
        <v>111</v>
      </c>
    </row>
    <row r="114" spans="1:7" x14ac:dyDescent="0.45">
      <c r="A114">
        <f ca="1">VLOOKUP(dict_zul_Var_Meth[[#This Row],[ignored_rank]],help_zuord_Var_Meth[],2)</f>
        <v>29</v>
      </c>
      <c r="B114">
        <v>468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4">
        <f ca="1">RAND()</f>
        <v>0.86832380129668907</v>
      </c>
      <c r="E114">
        <f ca="1">RANK(dict_zul_Var_Meth[[#This Row],[ignored_rand]],dict_zul_Var_Meth[ignored_rand])</f>
        <v>111</v>
      </c>
      <c r="F114">
        <f ca="1">ROUNDUP(748/200*help_zuord_Var_Meth[[#This Row],[ignored_help_VarsID]],0)+RANDBETWEEN(0,1)-RANDBETWEEN(0,1)</f>
        <v>419</v>
      </c>
      <c r="G114">
        <v>112</v>
      </c>
    </row>
    <row r="115" spans="1:7" x14ac:dyDescent="0.45">
      <c r="A115">
        <f ca="1">VLOOKUP(dict_zul_Var_Meth[[#This Row],[ignored_rank]],help_zuord_Var_Meth[],2)</f>
        <v>30</v>
      </c>
      <c r="B115">
        <v>46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5">
        <f ca="1">RAND()</f>
        <v>0.86182741357295956</v>
      </c>
      <c r="E115">
        <f ca="1">RANK(dict_zul_Var_Meth[[#This Row],[ignored_rand]],dict_zul_Var_Meth[ignored_rand])</f>
        <v>115</v>
      </c>
      <c r="F115">
        <f ca="1">ROUNDUP(748/200*help_zuord_Var_Meth[[#This Row],[ignored_help_VarsID]],0)+RANDBETWEEN(0,1)-RANDBETWEEN(0,1)</f>
        <v>423</v>
      </c>
      <c r="G115">
        <v>113</v>
      </c>
    </row>
    <row r="116" spans="1:7" x14ac:dyDescent="0.45">
      <c r="A116">
        <f ca="1">VLOOKUP(dict_zul_Var_Meth[[#This Row],[ignored_rank]],help_zuord_Var_Meth[],2)</f>
        <v>30</v>
      </c>
      <c r="B116">
        <v>178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6">
        <f ca="1">RAND()</f>
        <v>0.8625043771813562</v>
      </c>
      <c r="E116">
        <f ca="1">RANK(dict_zul_Var_Meth[[#This Row],[ignored_rand]],dict_zul_Var_Meth[ignored_rand])</f>
        <v>114</v>
      </c>
      <c r="F116">
        <f ca="1">ROUNDUP(748/200*help_zuord_Var_Meth[[#This Row],[ignored_help_VarsID]],0)+RANDBETWEEN(0,1)-RANDBETWEEN(0,1)</f>
        <v>426</v>
      </c>
      <c r="G116">
        <v>114</v>
      </c>
    </row>
    <row r="117" spans="1:7" x14ac:dyDescent="0.45">
      <c r="A117">
        <f ca="1">VLOOKUP(dict_zul_Var_Meth[[#This Row],[ignored_rank]],help_zuord_Var_Meth[],2)</f>
        <v>30</v>
      </c>
      <c r="B117">
        <v>283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7">
        <f ca="1">RAND()</f>
        <v>0.8614055698508839</v>
      </c>
      <c r="E117">
        <f ca="1">RANK(dict_zul_Var_Meth[[#This Row],[ignored_rand]],dict_zul_Var_Meth[ignored_rand])</f>
        <v>116</v>
      </c>
      <c r="F117">
        <f ca="1">ROUNDUP(748/200*help_zuord_Var_Meth[[#This Row],[ignored_help_VarsID]],0)+RANDBETWEEN(0,1)-RANDBETWEEN(0,1)</f>
        <v>432</v>
      </c>
      <c r="G117">
        <v>115</v>
      </c>
    </row>
    <row r="118" spans="1:7" x14ac:dyDescent="0.45">
      <c r="A118">
        <f ca="1">VLOOKUP(dict_zul_Var_Meth[[#This Row],[ignored_rank]],help_zuord_Var_Meth[],2)</f>
        <v>31</v>
      </c>
      <c r="B118">
        <v>46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8">
        <f ca="1">RAND()</f>
        <v>0.86038551343423497</v>
      </c>
      <c r="E118">
        <f ca="1">RANK(dict_zul_Var_Meth[[#This Row],[ignored_rand]],dict_zul_Var_Meth[ignored_rand])</f>
        <v>117</v>
      </c>
      <c r="F118">
        <f ca="1">ROUNDUP(748/200*help_zuord_Var_Meth[[#This Row],[ignored_help_VarsID]],0)+RANDBETWEEN(0,1)-RANDBETWEEN(0,1)</f>
        <v>434</v>
      </c>
      <c r="G118">
        <v>116</v>
      </c>
    </row>
    <row r="119" spans="1:7" x14ac:dyDescent="0.45">
      <c r="A119">
        <f ca="1">VLOOKUP(dict_zul_Var_Meth[[#This Row],[ignored_rank]],help_zuord_Var_Meth[],2)</f>
        <v>31</v>
      </c>
      <c r="B119">
        <v>55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9">
        <f ca="1">RAND()</f>
        <v>0.85871778287851142</v>
      </c>
      <c r="E119">
        <f ca="1">RANK(dict_zul_Var_Meth[[#This Row],[ignored_rand]],dict_zul_Var_Meth[ignored_rand])</f>
        <v>118</v>
      </c>
      <c r="F119">
        <f ca="1">ROUNDUP(748/200*help_zuord_Var_Meth[[#This Row],[ignored_help_VarsID]],0)+RANDBETWEEN(0,1)-RANDBETWEEN(0,1)</f>
        <v>438</v>
      </c>
      <c r="G119">
        <v>117</v>
      </c>
    </row>
    <row r="120" spans="1:7" x14ac:dyDescent="0.45">
      <c r="A120">
        <f ca="1">VLOOKUP(dict_zul_Var_Meth[[#This Row],[ignored_rank]],help_zuord_Var_Meth[],2)</f>
        <v>31</v>
      </c>
      <c r="B120">
        <v>134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0">
        <f ca="1">RAND()</f>
        <v>0.85811795231406163</v>
      </c>
      <c r="E120">
        <f ca="1">RANK(dict_zul_Var_Meth[[#This Row],[ignored_rand]],dict_zul_Var_Meth[ignored_rand])</f>
        <v>119</v>
      </c>
      <c r="F120">
        <f ca="1">ROUNDUP(748/200*help_zuord_Var_Meth[[#This Row],[ignored_help_VarsID]],0)+RANDBETWEEN(0,1)-RANDBETWEEN(0,1)</f>
        <v>441</v>
      </c>
      <c r="G120">
        <v>118</v>
      </c>
    </row>
    <row r="121" spans="1:7" x14ac:dyDescent="0.45">
      <c r="A121">
        <f ca="1">VLOOKUP(dict_zul_Var_Meth[[#This Row],[ignored_rank]],help_zuord_Var_Meth[],2)</f>
        <v>32</v>
      </c>
      <c r="B121">
        <v>35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1">
        <f ca="1">RAND()</f>
        <v>0.85363378642389709</v>
      </c>
      <c r="E121">
        <f ca="1">RANK(dict_zul_Var_Meth[[#This Row],[ignored_rand]],dict_zul_Var_Meth[ignored_rand])</f>
        <v>122</v>
      </c>
      <c r="F121">
        <f ca="1">ROUNDUP(748/200*help_zuord_Var_Meth[[#This Row],[ignored_help_VarsID]],0)+RANDBETWEEN(0,1)-RANDBETWEEN(0,1)</f>
        <v>446</v>
      </c>
      <c r="G121">
        <v>119</v>
      </c>
    </row>
    <row r="122" spans="1:7" x14ac:dyDescent="0.45">
      <c r="A122">
        <f ca="1">VLOOKUP(dict_zul_Var_Meth[[#This Row],[ignored_rank]],help_zuord_Var_Meth[],2)</f>
        <v>32</v>
      </c>
      <c r="B122">
        <v>64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2">
        <f ca="1">RAND()</f>
        <v>0.85052624307645763</v>
      </c>
      <c r="E122">
        <f ca="1">RANK(dict_zul_Var_Meth[[#This Row],[ignored_rand]],dict_zul_Var_Meth[ignored_rand])</f>
        <v>123</v>
      </c>
      <c r="F122">
        <f ca="1">ROUNDUP(748/200*help_zuord_Var_Meth[[#This Row],[ignored_help_VarsID]],0)+RANDBETWEEN(0,1)-RANDBETWEEN(0,1)</f>
        <v>449</v>
      </c>
      <c r="G122">
        <v>120</v>
      </c>
    </row>
    <row r="123" spans="1:7" x14ac:dyDescent="0.45">
      <c r="A123" s="3">
        <f ca="1">VLOOKUP(dict_zul_Var_Meth[[#This Row],[ignored_rank]],help_zuord_Var_Meth[],2)</f>
        <v>32</v>
      </c>
      <c r="B123">
        <v>121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3">
        <f ca="1">RAND()</f>
        <v>0.85417089869907803</v>
      </c>
      <c r="E123" s="3">
        <f ca="1">RANK(dict_zul_Var_Meth[[#This Row],[ignored_rand]],dict_zul_Var_Meth[ignored_rand])</f>
        <v>121</v>
      </c>
      <c r="F123">
        <f ca="1">ROUNDUP(748/200*help_zuord_Var_Meth[[#This Row],[ignored_help_VarsID]],0)+RANDBETWEEN(0,1)-RANDBETWEEN(0,1)</f>
        <v>454</v>
      </c>
      <c r="G123">
        <v>121</v>
      </c>
    </row>
    <row r="124" spans="1:7" x14ac:dyDescent="0.45">
      <c r="A124">
        <f ca="1">VLOOKUP(dict_zul_Var_Meth[[#This Row],[ignored_rank]],help_zuord_Var_Meth[],2)</f>
        <v>32</v>
      </c>
      <c r="B124">
        <v>171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4">
        <f ca="1">RAND()</f>
        <v>0.85431310941362426</v>
      </c>
      <c r="E124">
        <f ca="1">RANK(dict_zul_Var_Meth[[#This Row],[ignored_rand]],dict_zul_Var_Meth[ignored_rand])</f>
        <v>120</v>
      </c>
      <c r="F124">
        <f ca="1">ROUNDUP(748/200*help_zuord_Var_Meth[[#This Row],[ignored_help_VarsID]],0)+RANDBETWEEN(0,1)-RANDBETWEEN(0,1)</f>
        <v>457</v>
      </c>
      <c r="G124">
        <v>122</v>
      </c>
    </row>
    <row r="125" spans="1:7" x14ac:dyDescent="0.45">
      <c r="A125">
        <f ca="1">VLOOKUP(dict_zul_Var_Meth[[#This Row],[ignored_rank]],help_zuord_Var_Meth[],2)</f>
        <v>33</v>
      </c>
      <c r="B125">
        <v>31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5">
        <f ca="1">RAND()</f>
        <v>0.84714796186137742</v>
      </c>
      <c r="E125">
        <f ca="1">RANK(dict_zul_Var_Meth[[#This Row],[ignored_rand]],dict_zul_Var_Meth[ignored_rand])</f>
        <v>124</v>
      </c>
      <c r="F125">
        <f ca="1">ROUNDUP(748/200*help_zuord_Var_Meth[[#This Row],[ignored_help_VarsID]],0)+RANDBETWEEN(0,1)-RANDBETWEEN(0,1)</f>
        <v>461</v>
      </c>
      <c r="G125">
        <v>123</v>
      </c>
    </row>
    <row r="126" spans="1:7" x14ac:dyDescent="0.45">
      <c r="A126">
        <f ca="1">VLOOKUP(dict_zul_Var_Meth[[#This Row],[ignored_rank]],help_zuord_Var_Meth[],2)</f>
        <v>33</v>
      </c>
      <c r="B126">
        <v>257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6">
        <f ca="1">RAND()</f>
        <v>0.84704056563896113</v>
      </c>
      <c r="E126">
        <f ca="1">RANK(dict_zul_Var_Meth[[#This Row],[ignored_rand]],dict_zul_Var_Meth[ignored_rand])</f>
        <v>125</v>
      </c>
      <c r="F126">
        <f ca="1">ROUNDUP(748/200*help_zuord_Var_Meth[[#This Row],[ignored_help_VarsID]],0)+RANDBETWEEN(0,1)-RANDBETWEEN(0,1)</f>
        <v>464</v>
      </c>
      <c r="G126">
        <v>124</v>
      </c>
    </row>
    <row r="127" spans="1:7" x14ac:dyDescent="0.45">
      <c r="A127">
        <f ca="1">VLOOKUP(dict_zul_Var_Meth[[#This Row],[ignored_rank]],help_zuord_Var_Meth[],2)</f>
        <v>33</v>
      </c>
      <c r="B127">
        <v>459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7">
        <f ca="1">RAND()</f>
        <v>0.84686677031884361</v>
      </c>
      <c r="E127">
        <f ca="1">RANK(dict_zul_Var_Meth[[#This Row],[ignored_rand]],dict_zul_Var_Meth[ignored_rand])</f>
        <v>126</v>
      </c>
      <c r="F127">
        <f ca="1">ROUNDUP(748/200*help_zuord_Var_Meth[[#This Row],[ignored_help_VarsID]],0)+RANDBETWEEN(0,1)-RANDBETWEEN(0,1)</f>
        <v>468</v>
      </c>
      <c r="G127">
        <v>125</v>
      </c>
    </row>
    <row r="128" spans="1:7" x14ac:dyDescent="0.45">
      <c r="A128" s="3">
        <f ca="1">VLOOKUP(dict_zul_Var_Meth[[#This Row],[ignored_rank]],help_zuord_Var_Meth[],2)</f>
        <v>34</v>
      </c>
      <c r="B128">
        <v>95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8">
        <f ca="1">RAND()</f>
        <v>0.84272439269760946</v>
      </c>
      <c r="E128" s="3">
        <f ca="1">RANK(dict_zul_Var_Meth[[#This Row],[ignored_rand]],dict_zul_Var_Meth[ignored_rand])</f>
        <v>130</v>
      </c>
      <c r="F128">
        <f ca="1">ROUNDUP(748/200*help_zuord_Var_Meth[[#This Row],[ignored_help_VarsID]],0)+RANDBETWEEN(0,1)-RANDBETWEEN(0,1)</f>
        <v>473</v>
      </c>
      <c r="G128">
        <v>126</v>
      </c>
    </row>
    <row r="129" spans="1:7" x14ac:dyDescent="0.45">
      <c r="A129">
        <f ca="1">VLOOKUP(dict_zul_Var_Meth[[#This Row],[ignored_rank]],help_zuord_Var_Meth[],2)</f>
        <v>34</v>
      </c>
      <c r="B129">
        <v>286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9">
        <f ca="1">RAND()</f>
        <v>0.84618132704431348</v>
      </c>
      <c r="E129">
        <f ca="1">RANK(dict_zul_Var_Meth[[#This Row],[ignored_rand]],dict_zul_Var_Meth[ignored_rand])</f>
        <v>128</v>
      </c>
      <c r="F129">
        <f ca="1">ROUNDUP(748/200*help_zuord_Var_Meth[[#This Row],[ignored_help_VarsID]],0)+RANDBETWEEN(0,1)-RANDBETWEEN(0,1)</f>
        <v>474</v>
      </c>
      <c r="G129">
        <v>127</v>
      </c>
    </row>
    <row r="130" spans="1:7" x14ac:dyDescent="0.45">
      <c r="A130">
        <f ca="1">VLOOKUP(dict_zul_Var_Meth[[#This Row],[ignored_rank]],help_zuord_Var_Meth[],2)</f>
        <v>34</v>
      </c>
      <c r="B130">
        <v>436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0">
        <f ca="1">RAND()</f>
        <v>0.84655424862157602</v>
      </c>
      <c r="E130">
        <f ca="1">RANK(dict_zul_Var_Meth[[#This Row],[ignored_rand]],dict_zul_Var_Meth[ignored_rand])</f>
        <v>127</v>
      </c>
      <c r="F130">
        <f ca="1">ROUNDUP(748/200*help_zuord_Var_Meth[[#This Row],[ignored_help_VarsID]],0)+RANDBETWEEN(0,1)-RANDBETWEEN(0,1)</f>
        <v>479</v>
      </c>
      <c r="G130">
        <v>128</v>
      </c>
    </row>
    <row r="131" spans="1:7" x14ac:dyDescent="0.45">
      <c r="A131">
        <f ca="1">VLOOKUP(dict_zul_Var_Meth[[#This Row],[ignored_rank]],help_zuord_Var_Meth[],2)</f>
        <v>34</v>
      </c>
      <c r="B131">
        <v>582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1">
        <f ca="1">RAND()</f>
        <v>0.84289121840822745</v>
      </c>
      <c r="E131">
        <f ca="1">RANK(dict_zul_Var_Meth[[#This Row],[ignored_rand]],dict_zul_Var_Meth[ignored_rand])</f>
        <v>129</v>
      </c>
      <c r="F131">
        <f ca="1">ROUNDUP(748/200*help_zuord_Var_Meth[[#This Row],[ignored_help_VarsID]],0)+RANDBETWEEN(0,1)-RANDBETWEEN(0,1)</f>
        <v>483</v>
      </c>
      <c r="G131">
        <v>129</v>
      </c>
    </row>
    <row r="132" spans="1:7" x14ac:dyDescent="0.45">
      <c r="A132" s="3">
        <f ca="1">VLOOKUP(dict_zul_Var_Meth[[#This Row],[ignored_rank]],help_zuord_Var_Meth[],2)</f>
        <v>35</v>
      </c>
      <c r="B132">
        <v>0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2">
        <f ca="1">RAND()</f>
        <v>0.84141424285788968</v>
      </c>
      <c r="E132" s="3">
        <f ca="1">RANK(dict_zul_Var_Meth[[#This Row],[ignored_rand]],dict_zul_Var_Meth[ignored_rand])</f>
        <v>131</v>
      </c>
      <c r="F132">
        <f ca="1">ROUNDUP(748/200*help_zuord_Var_Meth[[#This Row],[ignored_help_VarsID]],0)+RANDBETWEEN(0,1)-RANDBETWEEN(0,1)</f>
        <v>486</v>
      </c>
      <c r="G132">
        <v>130</v>
      </c>
    </row>
    <row r="133" spans="1:7" x14ac:dyDescent="0.45">
      <c r="A133" s="3">
        <f ca="1">VLOOKUP(dict_zul_Var_Meth[[#This Row],[ignored_rank]],help_zuord_Var_Meth[],2)</f>
        <v>35</v>
      </c>
      <c r="B133">
        <v>349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3">
        <f ca="1">RAND()</f>
        <v>0.83614190490558737</v>
      </c>
      <c r="E133" s="3">
        <f ca="1">RANK(dict_zul_Var_Meth[[#This Row],[ignored_rand]],dict_zul_Var_Meth[ignored_rand])</f>
        <v>132</v>
      </c>
      <c r="F133">
        <f ca="1">ROUNDUP(748/200*help_zuord_Var_Meth[[#This Row],[ignored_help_VarsID]],0)+RANDBETWEEN(0,1)-RANDBETWEEN(0,1)</f>
        <v>490</v>
      </c>
      <c r="G133">
        <v>131</v>
      </c>
    </row>
    <row r="134" spans="1:7" x14ac:dyDescent="0.45">
      <c r="A134">
        <f ca="1">VLOOKUP(dict_zul_Var_Meth[[#This Row],[ignored_rank]],help_zuord_Var_Meth[],2)</f>
        <v>35</v>
      </c>
      <c r="B134">
        <v>398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4">
        <f ca="1">RAND()</f>
        <v>0.83517601898096661</v>
      </c>
      <c r="E134">
        <f ca="1">RANK(dict_zul_Var_Meth[[#This Row],[ignored_rand]],dict_zul_Var_Meth[ignored_rand])</f>
        <v>133</v>
      </c>
      <c r="F134">
        <f ca="1">ROUNDUP(748/200*help_zuord_Var_Meth[[#This Row],[ignored_help_VarsID]],0)+RANDBETWEEN(0,1)-RANDBETWEEN(0,1)</f>
        <v>494</v>
      </c>
      <c r="G134">
        <v>132</v>
      </c>
    </row>
    <row r="135" spans="1:7" x14ac:dyDescent="0.45">
      <c r="A135">
        <f ca="1">VLOOKUP(dict_zul_Var_Meth[[#This Row],[ignored_rank]],help_zuord_Var_Meth[],2)</f>
        <v>36</v>
      </c>
      <c r="B135">
        <v>44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5">
        <f ca="1">RAND()</f>
        <v>0.83440397684098144</v>
      </c>
      <c r="E135">
        <f ca="1">RANK(dict_zul_Var_Meth[[#This Row],[ignored_rand]],dict_zul_Var_Meth[ignored_rand])</f>
        <v>134</v>
      </c>
      <c r="F135">
        <f ca="1">ROUNDUP(748/200*help_zuord_Var_Meth[[#This Row],[ignored_help_VarsID]],0)+RANDBETWEEN(0,1)-RANDBETWEEN(0,1)</f>
        <v>497</v>
      </c>
      <c r="G135">
        <v>133</v>
      </c>
    </row>
    <row r="136" spans="1:7" x14ac:dyDescent="0.45">
      <c r="A136">
        <f ca="1">VLOOKUP(dict_zul_Var_Meth[[#This Row],[ignored_rank]],help_zuord_Var_Meth[],2)</f>
        <v>36</v>
      </c>
      <c r="B136">
        <v>310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6">
        <f ca="1">RAND()</f>
        <v>0.83237760447361253</v>
      </c>
      <c r="E136">
        <f ca="1">RANK(dict_zul_Var_Meth[[#This Row],[ignored_rand]],dict_zul_Var_Meth[ignored_rand])</f>
        <v>136</v>
      </c>
      <c r="F136">
        <f ca="1">ROUNDUP(748/200*help_zuord_Var_Meth[[#This Row],[ignored_help_VarsID]],0)+RANDBETWEEN(0,1)-RANDBETWEEN(0,1)</f>
        <v>503</v>
      </c>
      <c r="G136">
        <v>134</v>
      </c>
    </row>
    <row r="137" spans="1:7" x14ac:dyDescent="0.45">
      <c r="A137">
        <f ca="1">VLOOKUP(dict_zul_Var_Meth[[#This Row],[ignored_rank]],help_zuord_Var_Meth[],2)</f>
        <v>36</v>
      </c>
      <c r="B137">
        <v>588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7">
        <f ca="1">RAND()</f>
        <v>0.83208330880588632</v>
      </c>
      <c r="E137">
        <f ca="1">RANK(dict_zul_Var_Meth[[#This Row],[ignored_rand]],dict_zul_Var_Meth[ignored_rand])</f>
        <v>137</v>
      </c>
      <c r="F137">
        <f ca="1">ROUNDUP(748/200*help_zuord_Var_Meth[[#This Row],[ignored_help_VarsID]],0)+RANDBETWEEN(0,1)-RANDBETWEEN(0,1)</f>
        <v>505</v>
      </c>
      <c r="G137">
        <v>135</v>
      </c>
    </row>
    <row r="138" spans="1:7" x14ac:dyDescent="0.45">
      <c r="A138">
        <f ca="1">VLOOKUP(dict_zul_Var_Meth[[#This Row],[ignored_rank]],help_zuord_Var_Meth[],2)</f>
        <v>36</v>
      </c>
      <c r="B138">
        <v>610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8">
        <f ca="1">RAND()</f>
        <v>0.83347178725488913</v>
      </c>
      <c r="E138">
        <f ca="1">RANK(dict_zul_Var_Meth[[#This Row],[ignored_rand]],dict_zul_Var_Meth[ignored_rand])</f>
        <v>135</v>
      </c>
      <c r="F138">
        <f ca="1">ROUNDUP(748/200*help_zuord_Var_Meth[[#This Row],[ignored_help_VarsID]],0)+RANDBETWEEN(0,1)-RANDBETWEEN(0,1)</f>
        <v>509</v>
      </c>
      <c r="G138">
        <v>136</v>
      </c>
    </row>
    <row r="139" spans="1:7" x14ac:dyDescent="0.45">
      <c r="A139">
        <f ca="1">VLOOKUP(dict_zul_Var_Meth[[#This Row],[ignored_rank]],help_zuord_Var_Meth[],2)</f>
        <v>37</v>
      </c>
      <c r="B139">
        <v>115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9">
        <f ca="1">RAND()</f>
        <v>0.83035805690544462</v>
      </c>
      <c r="E139">
        <f ca="1">RANK(dict_zul_Var_Meth[[#This Row],[ignored_rand]],dict_zul_Var_Meth[ignored_rand])</f>
        <v>139</v>
      </c>
      <c r="F139">
        <f ca="1">ROUNDUP(748/200*help_zuord_Var_Meth[[#This Row],[ignored_help_VarsID]],0)+RANDBETWEEN(0,1)-RANDBETWEEN(0,1)</f>
        <v>512</v>
      </c>
      <c r="G139">
        <v>137</v>
      </c>
    </row>
    <row r="140" spans="1:7" x14ac:dyDescent="0.45">
      <c r="A140">
        <f ca="1">VLOOKUP(dict_zul_Var_Meth[[#This Row],[ignored_rank]],help_zuord_Var_Meth[],2)</f>
        <v>37</v>
      </c>
      <c r="B140">
        <v>230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0">
        <f ca="1">RAND()</f>
        <v>0.83124832564301387</v>
      </c>
      <c r="E140">
        <f ca="1">RANK(dict_zul_Var_Meth[[#This Row],[ignored_rand]],dict_zul_Var_Meth[ignored_rand])</f>
        <v>138</v>
      </c>
      <c r="F140">
        <f ca="1">ROUNDUP(748/200*help_zuord_Var_Meth[[#This Row],[ignored_help_VarsID]],0)+RANDBETWEEN(0,1)-RANDBETWEEN(0,1)</f>
        <v>517</v>
      </c>
      <c r="G140">
        <v>138</v>
      </c>
    </row>
    <row r="141" spans="1:7" x14ac:dyDescent="0.45">
      <c r="A141">
        <f ca="1">VLOOKUP(dict_zul_Var_Meth[[#This Row],[ignored_rank]],help_zuord_Var_Meth[],2)</f>
        <v>37</v>
      </c>
      <c r="B141">
        <v>242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1">
        <f ca="1">RAND()</f>
        <v>0.83029922576747284</v>
      </c>
      <c r="E141">
        <f ca="1">RANK(dict_zul_Var_Meth[[#This Row],[ignored_rand]],dict_zul_Var_Meth[ignored_rand])</f>
        <v>140</v>
      </c>
      <c r="F141">
        <f ca="1">ROUNDUP(748/200*help_zuord_Var_Meth[[#This Row],[ignored_help_VarsID]],0)+RANDBETWEEN(0,1)-RANDBETWEEN(0,1)</f>
        <v>521</v>
      </c>
      <c r="G141">
        <v>139</v>
      </c>
    </row>
    <row r="142" spans="1:7" x14ac:dyDescent="0.45">
      <c r="A142">
        <f ca="1">VLOOKUP(dict_zul_Var_Meth[[#This Row],[ignored_rank]],help_zuord_Var_Meth[],2)</f>
        <v>37</v>
      </c>
      <c r="B142">
        <v>323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2">
        <f ca="1">RAND()</f>
        <v>0.82889507185701639</v>
      </c>
      <c r="E142">
        <f ca="1">RANK(dict_zul_Var_Meth[[#This Row],[ignored_rand]],dict_zul_Var_Meth[ignored_rand])</f>
        <v>141</v>
      </c>
      <c r="F142">
        <f ca="1">ROUNDUP(748/200*help_zuord_Var_Meth[[#This Row],[ignored_help_VarsID]],0)+RANDBETWEEN(0,1)-RANDBETWEEN(0,1)</f>
        <v>524</v>
      </c>
      <c r="G142">
        <v>140</v>
      </c>
    </row>
    <row r="143" spans="1:7" x14ac:dyDescent="0.45">
      <c r="A143">
        <f ca="1">VLOOKUP(dict_zul_Var_Meth[[#This Row],[ignored_rank]],help_zuord_Var_Meth[],2)</f>
        <v>38</v>
      </c>
      <c r="B143">
        <v>277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3">
        <f ca="1">RAND()</f>
        <v>0.82226102262434786</v>
      </c>
      <c r="E143">
        <f ca="1">RANK(dict_zul_Var_Meth[[#This Row],[ignored_rand]],dict_zul_Var_Meth[ignored_rand])</f>
        <v>144</v>
      </c>
      <c r="F143">
        <f ca="1">ROUNDUP(748/200*help_zuord_Var_Meth[[#This Row],[ignored_help_VarsID]],0)+RANDBETWEEN(0,1)-RANDBETWEEN(0,1)</f>
        <v>528</v>
      </c>
      <c r="G143">
        <v>141</v>
      </c>
    </row>
    <row r="144" spans="1:7" x14ac:dyDescent="0.45">
      <c r="A144">
        <f ca="1">VLOOKUP(dict_zul_Var_Meth[[#This Row],[ignored_rank]],help_zuord_Var_Meth[],2)</f>
        <v>38</v>
      </c>
      <c r="B144">
        <v>331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4">
        <f ca="1">RAND()</f>
        <v>0.82205253894560892</v>
      </c>
      <c r="E144">
        <f ca="1">RANK(dict_zul_Var_Meth[[#This Row],[ignored_rand]],dict_zul_Var_Meth[ignored_rand])</f>
        <v>145</v>
      </c>
      <c r="F144">
        <f ca="1">ROUNDUP(748/200*help_zuord_Var_Meth[[#This Row],[ignored_help_VarsID]],0)+RANDBETWEEN(0,1)-RANDBETWEEN(0,1)</f>
        <v>532</v>
      </c>
      <c r="G144">
        <v>142</v>
      </c>
    </row>
    <row r="145" spans="1:7" x14ac:dyDescent="0.45">
      <c r="A145">
        <f ca="1">VLOOKUP(dict_zul_Var_Meth[[#This Row],[ignored_rank]],help_zuord_Var_Meth[],2)</f>
        <v>38</v>
      </c>
      <c r="B145">
        <v>496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5">
        <f ca="1">RAND()</f>
        <v>0.82330374439725407</v>
      </c>
      <c r="E145">
        <f ca="1">RANK(dict_zul_Var_Meth[[#This Row],[ignored_rand]],dict_zul_Var_Meth[ignored_rand])</f>
        <v>143</v>
      </c>
      <c r="F145">
        <f ca="1">ROUNDUP(748/200*help_zuord_Var_Meth[[#This Row],[ignored_help_VarsID]],0)+RANDBETWEEN(0,1)-RANDBETWEEN(0,1)</f>
        <v>535</v>
      </c>
      <c r="G145">
        <v>143</v>
      </c>
    </row>
    <row r="146" spans="1:7" x14ac:dyDescent="0.45">
      <c r="A146">
        <f ca="1">VLOOKUP(dict_zul_Var_Meth[[#This Row],[ignored_rank]],help_zuord_Var_Meth[],2)</f>
        <v>38</v>
      </c>
      <c r="B146">
        <v>699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6">
        <f ca="1">RAND()</f>
        <v>0.82409174779874261</v>
      </c>
      <c r="E146">
        <f ca="1">RANK(dict_zul_Var_Meth[[#This Row],[ignored_rand]],dict_zul_Var_Meth[ignored_rand])</f>
        <v>142</v>
      </c>
      <c r="F146">
        <f ca="1">ROUNDUP(748/200*help_zuord_Var_Meth[[#This Row],[ignored_help_VarsID]],0)+RANDBETWEEN(0,1)-RANDBETWEEN(0,1)</f>
        <v>540</v>
      </c>
      <c r="G146">
        <v>144</v>
      </c>
    </row>
    <row r="147" spans="1:7" x14ac:dyDescent="0.45">
      <c r="A147">
        <f ca="1">VLOOKUP(dict_zul_Var_Meth[[#This Row],[ignored_rank]],help_zuord_Var_Meth[],2)</f>
        <v>39</v>
      </c>
      <c r="B147">
        <v>424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7">
        <f ca="1">RAND()</f>
        <v>0.81948924909879561</v>
      </c>
      <c r="E147">
        <f ca="1">RANK(dict_zul_Var_Meth[[#This Row],[ignored_rand]],dict_zul_Var_Meth[ignored_rand])</f>
        <v>147</v>
      </c>
      <c r="F147">
        <f ca="1">ROUNDUP(748/200*help_zuord_Var_Meth[[#This Row],[ignored_help_VarsID]],0)+RANDBETWEEN(0,1)-RANDBETWEEN(0,1)</f>
        <v>543</v>
      </c>
      <c r="G147">
        <v>145</v>
      </c>
    </row>
    <row r="148" spans="1:7" x14ac:dyDescent="0.45">
      <c r="A148">
        <f ca="1">VLOOKUP(dict_zul_Var_Meth[[#This Row],[ignored_rank]],help_zuord_Var_Meth[],2)</f>
        <v>39</v>
      </c>
      <c r="B148">
        <v>429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8">
        <f ca="1">RAND()</f>
        <v>0.81661964360765016</v>
      </c>
      <c r="E148">
        <f ca="1">RANK(dict_zul_Var_Meth[[#This Row],[ignored_rand]],dict_zul_Var_Meth[ignored_rand])</f>
        <v>149</v>
      </c>
      <c r="F148">
        <f ca="1">ROUNDUP(748/200*help_zuord_Var_Meth[[#This Row],[ignored_help_VarsID]],0)+RANDBETWEEN(0,1)-RANDBETWEEN(0,1)</f>
        <v>548</v>
      </c>
      <c r="G148">
        <v>146</v>
      </c>
    </row>
    <row r="149" spans="1:7" x14ac:dyDescent="0.45">
      <c r="A149" s="3">
        <f ca="1">VLOOKUP(dict_zul_Var_Meth[[#This Row],[ignored_rank]],help_zuord_Var_Meth[],2)</f>
        <v>39</v>
      </c>
      <c r="B149">
        <v>521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9">
        <f ca="1">RAND()</f>
        <v>0.81754072806673861</v>
      </c>
      <c r="E149" s="3">
        <f ca="1">RANK(dict_zul_Var_Meth[[#This Row],[ignored_rand]],dict_zul_Var_Meth[ignored_rand])</f>
        <v>148</v>
      </c>
      <c r="F149">
        <f ca="1">ROUNDUP(748/200*help_zuord_Var_Meth[[#This Row],[ignored_help_VarsID]],0)+RANDBETWEEN(0,1)-RANDBETWEEN(0,1)</f>
        <v>549</v>
      </c>
      <c r="G149">
        <v>147</v>
      </c>
    </row>
    <row r="150" spans="1:7" x14ac:dyDescent="0.45">
      <c r="A150">
        <f ca="1">VLOOKUP(dict_zul_Var_Meth[[#This Row],[ignored_rank]],help_zuord_Var_Meth[],2)</f>
        <v>39</v>
      </c>
      <c r="B150">
        <v>690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0">
        <f ca="1">RAND()</f>
        <v>0.82033265208538675</v>
      </c>
      <c r="E150">
        <f ca="1">RANK(dict_zul_Var_Meth[[#This Row],[ignored_rand]],dict_zul_Var_Meth[ignored_rand])</f>
        <v>146</v>
      </c>
      <c r="F150">
        <f ca="1">ROUNDUP(748/200*help_zuord_Var_Meth[[#This Row],[ignored_help_VarsID]],0)+RANDBETWEEN(0,1)-RANDBETWEEN(0,1)</f>
        <v>553</v>
      </c>
      <c r="G150">
        <v>148</v>
      </c>
    </row>
    <row r="151" spans="1:7" x14ac:dyDescent="0.45">
      <c r="A151">
        <f ca="1">VLOOKUP(dict_zul_Var_Meth[[#This Row],[ignored_rank]],help_zuord_Var_Meth[],2)</f>
        <v>40</v>
      </c>
      <c r="B151">
        <v>54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1">
        <f ca="1">RAND()</f>
        <v>0.81474465405560992</v>
      </c>
      <c r="E151">
        <f ca="1">RANK(dict_zul_Var_Meth[[#This Row],[ignored_rand]],dict_zul_Var_Meth[ignored_rand])</f>
        <v>150</v>
      </c>
      <c r="F151">
        <f ca="1">ROUNDUP(748/200*help_zuord_Var_Meth[[#This Row],[ignored_help_VarsID]],0)+RANDBETWEEN(0,1)-RANDBETWEEN(0,1)</f>
        <v>558</v>
      </c>
      <c r="G151">
        <v>149</v>
      </c>
    </row>
    <row r="152" spans="1:7" x14ac:dyDescent="0.45">
      <c r="A152">
        <f ca="1">VLOOKUP(dict_zul_Var_Meth[[#This Row],[ignored_rank]],help_zuord_Var_Meth[],2)</f>
        <v>40</v>
      </c>
      <c r="B152">
        <v>111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2">
        <f ca="1">RAND()</f>
        <v>0.81339909674620137</v>
      </c>
      <c r="E152">
        <f ca="1">RANK(dict_zul_Var_Meth[[#This Row],[ignored_rand]],dict_zul_Var_Meth[ignored_rand])</f>
        <v>153</v>
      </c>
      <c r="F152">
        <f ca="1">ROUNDUP(748/200*help_zuord_Var_Meth[[#This Row],[ignored_help_VarsID]],0)+RANDBETWEEN(0,1)-RANDBETWEEN(0,1)</f>
        <v>561</v>
      </c>
      <c r="G152">
        <v>150</v>
      </c>
    </row>
    <row r="153" spans="1:7" x14ac:dyDescent="0.45">
      <c r="A153">
        <f ca="1">VLOOKUP(dict_zul_Var_Meth[[#This Row],[ignored_rank]],help_zuord_Var_Meth[],2)</f>
        <v>40</v>
      </c>
      <c r="B153">
        <v>525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3">
        <f ca="1">RAND()</f>
        <v>0.81374119144493384</v>
      </c>
      <c r="E153">
        <f ca="1">RANK(dict_zul_Var_Meth[[#This Row],[ignored_rand]],dict_zul_Var_Meth[ignored_rand])</f>
        <v>151</v>
      </c>
      <c r="F153">
        <f ca="1">ROUNDUP(748/200*help_zuord_Var_Meth[[#This Row],[ignored_help_VarsID]],0)+RANDBETWEEN(0,1)-RANDBETWEEN(0,1)</f>
        <v>565</v>
      </c>
      <c r="G153">
        <v>151</v>
      </c>
    </row>
    <row r="154" spans="1:7" x14ac:dyDescent="0.45">
      <c r="A154">
        <f ca="1">VLOOKUP(dict_zul_Var_Meth[[#This Row],[ignored_rank]],help_zuord_Var_Meth[],2)</f>
        <v>40</v>
      </c>
      <c r="B154">
        <v>573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4">
        <f ca="1">RAND()</f>
        <v>0.81350738511882148</v>
      </c>
      <c r="E154">
        <f ca="1">RANK(dict_zul_Var_Meth[[#This Row],[ignored_rand]],dict_zul_Var_Meth[ignored_rand])</f>
        <v>152</v>
      </c>
      <c r="F154">
        <f ca="1">ROUNDUP(748/200*help_zuord_Var_Meth[[#This Row],[ignored_help_VarsID]],0)+RANDBETWEEN(0,1)-RANDBETWEEN(0,1)</f>
        <v>569</v>
      </c>
      <c r="G154">
        <v>152</v>
      </c>
    </row>
    <row r="155" spans="1:7" x14ac:dyDescent="0.45">
      <c r="A155">
        <f ca="1">VLOOKUP(dict_zul_Var_Meth[[#This Row],[ignored_rank]],help_zuord_Var_Meth[],2)</f>
        <v>41</v>
      </c>
      <c r="B155">
        <v>16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5">
        <f ca="1">RAND()</f>
        <v>0.81064297887832992</v>
      </c>
      <c r="E155">
        <f ca="1">RANK(dict_zul_Var_Meth[[#This Row],[ignored_rand]],dict_zul_Var_Meth[ignored_rand])</f>
        <v>156</v>
      </c>
      <c r="F155">
        <f ca="1">ROUNDUP(748/200*help_zuord_Var_Meth[[#This Row],[ignored_help_VarsID]],0)+RANDBETWEEN(0,1)-RANDBETWEEN(0,1)</f>
        <v>573</v>
      </c>
      <c r="G155">
        <v>153</v>
      </c>
    </row>
    <row r="156" spans="1:7" x14ac:dyDescent="0.45">
      <c r="A156">
        <f ca="1">VLOOKUP(dict_zul_Var_Meth[[#This Row],[ignored_rank]],help_zuord_Var_Meth[],2)</f>
        <v>41</v>
      </c>
      <c r="B156">
        <v>237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6">
        <f ca="1">RAND()</f>
        <v>0.81200974831407424</v>
      </c>
      <c r="E156">
        <f ca="1">RANK(dict_zul_Var_Meth[[#This Row],[ignored_rand]],dict_zul_Var_Meth[ignored_rand])</f>
        <v>154</v>
      </c>
      <c r="F156">
        <f ca="1">ROUNDUP(748/200*help_zuord_Var_Meth[[#This Row],[ignored_help_VarsID]],0)+RANDBETWEEN(0,1)-RANDBETWEEN(0,1)</f>
        <v>576</v>
      </c>
      <c r="G156">
        <v>154</v>
      </c>
    </row>
    <row r="157" spans="1:7" x14ac:dyDescent="0.45">
      <c r="A157">
        <f ca="1">VLOOKUP(dict_zul_Var_Meth[[#This Row],[ignored_rank]],help_zuord_Var_Meth[],2)</f>
        <v>41</v>
      </c>
      <c r="B157">
        <v>498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7">
        <f ca="1">RAND()</f>
        <v>0.81067264520238236</v>
      </c>
      <c r="E157">
        <f ca="1">RANK(dict_zul_Var_Meth[[#This Row],[ignored_rand]],dict_zul_Var_Meth[ignored_rand])</f>
        <v>155</v>
      </c>
      <c r="F157">
        <f ca="1">ROUNDUP(748/200*help_zuord_Var_Meth[[#This Row],[ignored_help_VarsID]],0)+RANDBETWEEN(0,1)-RANDBETWEEN(0,1)</f>
        <v>580</v>
      </c>
      <c r="G157">
        <v>155</v>
      </c>
    </row>
    <row r="158" spans="1:7" x14ac:dyDescent="0.45">
      <c r="A158">
        <f ca="1">VLOOKUP(dict_zul_Var_Meth[[#This Row],[ignored_rank]],help_zuord_Var_Meth[],2)</f>
        <v>42</v>
      </c>
      <c r="B158">
        <v>34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8">
        <f ca="1">RAND()</f>
        <v>0.80624232629863934</v>
      </c>
      <c r="E158">
        <f ca="1">RANK(dict_zul_Var_Meth[[#This Row],[ignored_rand]],dict_zul_Var_Meth[ignored_rand])</f>
        <v>159</v>
      </c>
      <c r="F158">
        <f ca="1">ROUNDUP(748/200*help_zuord_Var_Meth[[#This Row],[ignored_help_VarsID]],0)+RANDBETWEEN(0,1)-RANDBETWEEN(0,1)</f>
        <v>585</v>
      </c>
      <c r="G158">
        <v>156</v>
      </c>
    </row>
    <row r="159" spans="1:7" x14ac:dyDescent="0.45">
      <c r="A159">
        <f ca="1">VLOOKUP(dict_zul_Var_Meth[[#This Row],[ignored_rank]],help_zuord_Var_Meth[],2)</f>
        <v>42</v>
      </c>
      <c r="B159">
        <v>40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9">
        <f ca="1">RAND()</f>
        <v>0.80573429710260513</v>
      </c>
      <c r="E159">
        <f ca="1">RANK(dict_zul_Var_Meth[[#This Row],[ignored_rand]],dict_zul_Var_Meth[ignored_rand])</f>
        <v>160</v>
      </c>
      <c r="F159">
        <f ca="1">ROUNDUP(748/200*help_zuord_Var_Meth[[#This Row],[ignored_help_VarsID]],0)+RANDBETWEEN(0,1)-RANDBETWEEN(0,1)</f>
        <v>588</v>
      </c>
      <c r="G159">
        <v>157</v>
      </c>
    </row>
    <row r="160" spans="1:7" x14ac:dyDescent="0.45">
      <c r="A160">
        <f ca="1">VLOOKUP(dict_zul_Var_Meth[[#This Row],[ignored_rank]],help_zuord_Var_Meth[],2)</f>
        <v>42</v>
      </c>
      <c r="B160">
        <v>278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0">
        <f ca="1">RAND()</f>
        <v>0.80802247286130091</v>
      </c>
      <c r="E160">
        <f ca="1">RANK(dict_zul_Var_Meth[[#This Row],[ignored_rand]],dict_zul_Var_Meth[ignored_rand])</f>
        <v>157</v>
      </c>
      <c r="F160">
        <f ca="1">ROUNDUP(748/200*help_zuord_Var_Meth[[#This Row],[ignored_help_VarsID]],0)+RANDBETWEEN(0,1)-RANDBETWEEN(0,1)</f>
        <v>591</v>
      </c>
      <c r="G160">
        <v>158</v>
      </c>
    </row>
    <row r="161" spans="1:7" x14ac:dyDescent="0.45">
      <c r="A161">
        <f ca="1">VLOOKUP(dict_zul_Var_Meth[[#This Row],[ignored_rank]],help_zuord_Var_Meth[],2)</f>
        <v>42</v>
      </c>
      <c r="B161">
        <v>615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1">
        <f ca="1">RAND()</f>
        <v>0.80780694175967349</v>
      </c>
      <c r="E161">
        <f ca="1">RANK(dict_zul_Var_Meth[[#This Row],[ignored_rand]],dict_zul_Var_Meth[ignored_rand])</f>
        <v>158</v>
      </c>
      <c r="F161">
        <f ca="1">ROUNDUP(748/200*help_zuord_Var_Meth[[#This Row],[ignored_help_VarsID]],0)+RANDBETWEEN(0,1)-RANDBETWEEN(0,1)</f>
        <v>596</v>
      </c>
      <c r="G161">
        <v>159</v>
      </c>
    </row>
    <row r="162" spans="1:7" x14ac:dyDescent="0.45">
      <c r="A162">
        <f ca="1">VLOOKUP(dict_zul_Var_Meth[[#This Row],[ignored_rank]],help_zuord_Var_Meth[],2)</f>
        <v>43</v>
      </c>
      <c r="B162">
        <v>28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2">
        <f ca="1">RAND()</f>
        <v>0.79999900535862201</v>
      </c>
      <c r="E162">
        <f ca="1">RANK(dict_zul_Var_Meth[[#This Row],[ignored_rand]],dict_zul_Var_Meth[ignored_rand])</f>
        <v>163</v>
      </c>
      <c r="F162">
        <f ca="1">ROUNDUP(748/200*help_zuord_Var_Meth[[#This Row],[ignored_help_VarsID]],0)+RANDBETWEEN(0,1)-RANDBETWEEN(0,1)</f>
        <v>599</v>
      </c>
      <c r="G162">
        <v>160</v>
      </c>
    </row>
    <row r="163" spans="1:7" x14ac:dyDescent="0.45">
      <c r="A163">
        <f ca="1">VLOOKUP(dict_zul_Var_Meth[[#This Row],[ignored_rank]],help_zuord_Var_Meth[],2)</f>
        <v>43</v>
      </c>
      <c r="B163">
        <v>156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3">
        <f ca="1">RAND()</f>
        <v>0.80350002437476609</v>
      </c>
      <c r="E163">
        <f ca="1">RANK(dict_zul_Var_Meth[[#This Row],[ignored_rand]],dict_zul_Var_Meth[ignored_rand])</f>
        <v>161</v>
      </c>
      <c r="F163">
        <f ca="1">ROUNDUP(748/200*help_zuord_Var_Meth[[#This Row],[ignored_help_VarsID]],0)+RANDBETWEEN(0,1)-RANDBETWEEN(0,1)</f>
        <v>603</v>
      </c>
      <c r="G163">
        <v>161</v>
      </c>
    </row>
    <row r="164" spans="1:7" x14ac:dyDescent="0.45">
      <c r="A164" s="3">
        <f ca="1">VLOOKUP(dict_zul_Var_Meth[[#This Row],[ignored_rank]],help_zuord_Var_Meth[],2)</f>
        <v>43</v>
      </c>
      <c r="B164">
        <v>246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4">
        <f ca="1">RAND()</f>
        <v>0.80235478865093679</v>
      </c>
      <c r="E164" s="3">
        <f ca="1">RANK(dict_zul_Var_Meth[[#This Row],[ignored_rand]],dict_zul_Var_Meth[ignored_rand])</f>
        <v>162</v>
      </c>
      <c r="F164">
        <f ca="1">ROUNDUP(748/200*help_zuord_Var_Meth[[#This Row],[ignored_help_VarsID]],0)+RANDBETWEEN(0,1)-RANDBETWEEN(0,1)</f>
        <v>605</v>
      </c>
      <c r="G164">
        <v>162</v>
      </c>
    </row>
    <row r="165" spans="1:7" x14ac:dyDescent="0.45">
      <c r="A165">
        <f ca="1">VLOOKUP(dict_zul_Var_Meth[[#This Row],[ignored_rank]],help_zuord_Var_Meth[],2)</f>
        <v>43</v>
      </c>
      <c r="B165">
        <v>660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5">
        <f ca="1">RAND()</f>
        <v>0.79427076188659118</v>
      </c>
      <c r="E165">
        <f ca="1">RANK(dict_zul_Var_Meth[[#This Row],[ignored_rand]],dict_zul_Var_Meth[ignored_rand])</f>
        <v>164</v>
      </c>
      <c r="F165">
        <f ca="1">ROUNDUP(748/200*help_zuord_Var_Meth[[#This Row],[ignored_help_VarsID]],0)+RANDBETWEEN(0,1)-RANDBETWEEN(0,1)</f>
        <v>611</v>
      </c>
      <c r="G165">
        <v>163</v>
      </c>
    </row>
    <row r="166" spans="1:7" x14ac:dyDescent="0.45">
      <c r="A166">
        <f ca="1">VLOOKUP(dict_zul_Var_Meth[[#This Row],[ignored_rank]],help_zuord_Var_Meth[],2)</f>
        <v>44</v>
      </c>
      <c r="B166">
        <v>77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6">
        <f ca="1">RAND()</f>
        <v>0.79030726020550768</v>
      </c>
      <c r="E166">
        <f ca="1">RANK(dict_zul_Var_Meth[[#This Row],[ignored_rand]],dict_zul_Var_Meth[ignored_rand])</f>
        <v>167</v>
      </c>
      <c r="F166">
        <f ca="1">ROUNDUP(748/200*help_zuord_Var_Meth[[#This Row],[ignored_help_VarsID]],0)+RANDBETWEEN(0,1)-RANDBETWEEN(0,1)</f>
        <v>614</v>
      </c>
      <c r="G166">
        <v>164</v>
      </c>
    </row>
    <row r="167" spans="1:7" x14ac:dyDescent="0.45">
      <c r="A167">
        <f ca="1">VLOOKUP(dict_zul_Var_Meth[[#This Row],[ignored_rank]],help_zuord_Var_Meth[],2)</f>
        <v>44</v>
      </c>
      <c r="B167">
        <v>132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7">
        <f ca="1">RAND()</f>
        <v>0.79275801344134156</v>
      </c>
      <c r="E167">
        <f ca="1">RANK(dict_zul_Var_Meth[[#This Row],[ignored_rand]],dict_zul_Var_Meth[ignored_rand])</f>
        <v>166</v>
      </c>
      <c r="F167">
        <f ca="1">ROUNDUP(748/200*help_zuord_Var_Meth[[#This Row],[ignored_help_VarsID]],0)+RANDBETWEEN(0,1)-RANDBETWEEN(0,1)</f>
        <v>619</v>
      </c>
      <c r="G167">
        <v>165</v>
      </c>
    </row>
    <row r="168" spans="1:7" x14ac:dyDescent="0.45">
      <c r="A168">
        <f ca="1">VLOOKUP(dict_zul_Var_Meth[[#This Row],[ignored_rank]],help_zuord_Var_Meth[],2)</f>
        <v>44</v>
      </c>
      <c r="B168">
        <v>438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8">
        <f ca="1">RAND()</f>
        <v>0.79283353392595168</v>
      </c>
      <c r="E168">
        <f ca="1">RANK(dict_zul_Var_Meth[[#This Row],[ignored_rand]],dict_zul_Var_Meth[ignored_rand])</f>
        <v>165</v>
      </c>
      <c r="F168">
        <f ca="1">ROUNDUP(748/200*help_zuord_Var_Meth[[#This Row],[ignored_help_VarsID]],0)+RANDBETWEEN(0,1)-RANDBETWEEN(0,1)</f>
        <v>621</v>
      </c>
      <c r="G168">
        <v>166</v>
      </c>
    </row>
    <row r="169" spans="1:7" x14ac:dyDescent="0.45">
      <c r="A169">
        <f ca="1">VLOOKUP(dict_zul_Var_Meth[[#This Row],[ignored_rank]],help_zuord_Var_Meth[],2)</f>
        <v>45</v>
      </c>
      <c r="B169">
        <v>195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9">
        <f ca="1">RAND()</f>
        <v>0.78771038270517613</v>
      </c>
      <c r="E169">
        <f ca="1">RANK(dict_zul_Var_Meth[[#This Row],[ignored_rand]],dict_zul_Var_Meth[ignored_rand])</f>
        <v>170</v>
      </c>
      <c r="F169">
        <f ca="1">ROUNDUP(748/200*help_zuord_Var_Meth[[#This Row],[ignored_help_VarsID]],0)+RANDBETWEEN(0,1)-RANDBETWEEN(0,1)</f>
        <v>625</v>
      </c>
      <c r="G169">
        <v>167</v>
      </c>
    </row>
    <row r="170" spans="1:7" x14ac:dyDescent="0.45">
      <c r="A170">
        <f ca="1">VLOOKUP(dict_zul_Var_Meth[[#This Row],[ignored_rank]],help_zuord_Var_Meth[],2)</f>
        <v>45</v>
      </c>
      <c r="B170">
        <v>207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0">
        <f ca="1">RAND()</f>
        <v>0.78711373099730775</v>
      </c>
      <c r="E170">
        <f ca="1">RANK(dict_zul_Var_Meth[[#This Row],[ignored_rand]],dict_zul_Var_Meth[ignored_rand])</f>
        <v>171</v>
      </c>
      <c r="F170">
        <f ca="1">ROUNDUP(748/200*help_zuord_Var_Meth[[#This Row],[ignored_help_VarsID]],0)+RANDBETWEEN(0,1)-RANDBETWEEN(0,1)</f>
        <v>628</v>
      </c>
      <c r="G170">
        <v>168</v>
      </c>
    </row>
    <row r="171" spans="1:7" x14ac:dyDescent="0.45">
      <c r="A171">
        <f ca="1">VLOOKUP(dict_zul_Var_Meth[[#This Row],[ignored_rank]],help_zuord_Var_Meth[],2)</f>
        <v>45</v>
      </c>
      <c r="B171">
        <v>233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1">
        <f ca="1">RAND()</f>
        <v>0.78851684942425493</v>
      </c>
      <c r="E171">
        <f ca="1">RANK(dict_zul_Var_Meth[[#This Row],[ignored_rand]],dict_zul_Var_Meth[ignored_rand])</f>
        <v>169</v>
      </c>
      <c r="F171">
        <f ca="1">ROUNDUP(748/200*help_zuord_Var_Meth[[#This Row],[ignored_help_VarsID]],0)+RANDBETWEEN(0,1)-RANDBETWEEN(0,1)</f>
        <v>633</v>
      </c>
      <c r="G171">
        <v>169</v>
      </c>
    </row>
    <row r="172" spans="1:7" x14ac:dyDescent="0.45">
      <c r="A172">
        <f ca="1">VLOOKUP(dict_zul_Var_Meth[[#This Row],[ignored_rank]],help_zuord_Var_Meth[],2)</f>
        <v>45</v>
      </c>
      <c r="B172">
        <v>293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2">
        <f ca="1">RAND()</f>
        <v>0.78686454072177192</v>
      </c>
      <c r="E172">
        <f ca="1">RANK(dict_zul_Var_Meth[[#This Row],[ignored_rand]],dict_zul_Var_Meth[ignored_rand])</f>
        <v>172</v>
      </c>
      <c r="F172">
        <f ca="1">ROUNDUP(748/200*help_zuord_Var_Meth[[#This Row],[ignored_help_VarsID]],0)+RANDBETWEEN(0,1)-RANDBETWEEN(0,1)</f>
        <v>636</v>
      </c>
      <c r="G172">
        <v>170</v>
      </c>
    </row>
    <row r="173" spans="1:7" x14ac:dyDescent="0.45">
      <c r="A173">
        <f ca="1">VLOOKUP(dict_zul_Var_Meth[[#This Row],[ignored_rank]],help_zuord_Var_Meth[],2)</f>
        <v>45</v>
      </c>
      <c r="B173">
        <v>456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3">
        <f ca="1">RAND()</f>
        <v>0.78974854202515143</v>
      </c>
      <c r="E173">
        <f ca="1">RANK(dict_zul_Var_Meth[[#This Row],[ignored_rand]],dict_zul_Var_Meth[ignored_rand])</f>
        <v>168</v>
      </c>
      <c r="F173">
        <f ca="1">ROUNDUP(748/200*help_zuord_Var_Meth[[#This Row],[ignored_help_VarsID]],0)+RANDBETWEEN(0,1)-RANDBETWEEN(0,1)</f>
        <v>639</v>
      </c>
      <c r="G173">
        <v>171</v>
      </c>
    </row>
    <row r="174" spans="1:7" x14ac:dyDescent="0.45">
      <c r="A174">
        <f ca="1">VLOOKUP(dict_zul_Var_Meth[[#This Row],[ignored_rank]],help_zuord_Var_Meth[],2)</f>
        <v>46</v>
      </c>
      <c r="B174">
        <v>138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4">
        <f ca="1">RAND()</f>
        <v>0.78625416750595589</v>
      </c>
      <c r="E174">
        <f ca="1">RANK(dict_zul_Var_Meth[[#This Row],[ignored_rand]],dict_zul_Var_Meth[ignored_rand])</f>
        <v>174</v>
      </c>
      <c r="F174">
        <f ca="1">ROUNDUP(748/200*help_zuord_Var_Meth[[#This Row],[ignored_help_VarsID]],0)+RANDBETWEEN(0,1)-RANDBETWEEN(0,1)</f>
        <v>644</v>
      </c>
      <c r="G174">
        <v>172</v>
      </c>
    </row>
    <row r="175" spans="1:7" x14ac:dyDescent="0.45">
      <c r="A175">
        <f ca="1">VLOOKUP(dict_zul_Var_Meth[[#This Row],[ignored_rank]],help_zuord_Var_Meth[],2)</f>
        <v>46</v>
      </c>
      <c r="B175">
        <v>304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5">
        <f ca="1">RAND()</f>
        <v>0.78652069830697602</v>
      </c>
      <c r="E175">
        <f ca="1">RANK(dict_zul_Var_Meth[[#This Row],[ignored_rand]],dict_zul_Var_Meth[ignored_rand])</f>
        <v>173</v>
      </c>
      <c r="F175">
        <f ca="1">ROUNDUP(748/200*help_zuord_Var_Meth[[#This Row],[ignored_help_VarsID]],0)+RANDBETWEEN(0,1)-RANDBETWEEN(0,1)</f>
        <v>648</v>
      </c>
      <c r="G175">
        <v>173</v>
      </c>
    </row>
    <row r="176" spans="1:7" x14ac:dyDescent="0.45">
      <c r="A176">
        <f ca="1">VLOOKUP(dict_zul_Var_Meth[[#This Row],[ignored_rank]],help_zuord_Var_Meth[],2)</f>
        <v>46</v>
      </c>
      <c r="B176">
        <v>372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6">
        <f ca="1">RAND()</f>
        <v>0.78214524453637102</v>
      </c>
      <c r="E176">
        <f ca="1">RANK(dict_zul_Var_Meth[[#This Row],[ignored_rand]],dict_zul_Var_Meth[ignored_rand])</f>
        <v>175</v>
      </c>
      <c r="F176">
        <f ca="1">ROUNDUP(748/200*help_zuord_Var_Meth[[#This Row],[ignored_help_VarsID]],0)+RANDBETWEEN(0,1)-RANDBETWEEN(0,1)</f>
        <v>650</v>
      </c>
      <c r="G176">
        <v>174</v>
      </c>
    </row>
    <row r="177" spans="1:7" x14ac:dyDescent="0.45">
      <c r="A177">
        <f ca="1">VLOOKUP(dict_zul_Var_Meth[[#This Row],[ignored_rank]],help_zuord_Var_Meth[],2)</f>
        <v>47</v>
      </c>
      <c r="B177">
        <v>24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7">
        <f ca="1">RAND()</f>
        <v>0.78064232140889833</v>
      </c>
      <c r="E177">
        <f ca="1">RANK(dict_zul_Var_Meth[[#This Row],[ignored_rand]],dict_zul_Var_Meth[ignored_rand])</f>
        <v>177</v>
      </c>
      <c r="F177">
        <f ca="1">ROUNDUP(748/200*help_zuord_Var_Meth[[#This Row],[ignored_help_VarsID]],0)+RANDBETWEEN(0,1)-RANDBETWEEN(0,1)</f>
        <v>655</v>
      </c>
      <c r="G177">
        <v>175</v>
      </c>
    </row>
    <row r="178" spans="1:7" x14ac:dyDescent="0.45">
      <c r="A178">
        <f ca="1">VLOOKUP(dict_zul_Var_Meth[[#This Row],[ignored_rank]],help_zuord_Var_Meth[],2)</f>
        <v>47</v>
      </c>
      <c r="B178">
        <v>320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8">
        <f ca="1">RAND()</f>
        <v>0.77608567401953721</v>
      </c>
      <c r="E178">
        <f ca="1">RANK(dict_zul_Var_Meth[[#This Row],[ignored_rand]],dict_zul_Var_Meth[ignored_rand])</f>
        <v>180</v>
      </c>
      <c r="F178">
        <f ca="1">ROUNDUP(748/200*help_zuord_Var_Meth[[#This Row],[ignored_help_VarsID]],0)+RANDBETWEEN(0,1)-RANDBETWEEN(0,1)</f>
        <v>658</v>
      </c>
      <c r="G178">
        <v>176</v>
      </c>
    </row>
    <row r="179" spans="1:7" x14ac:dyDescent="0.45">
      <c r="A179">
        <f ca="1">VLOOKUP(dict_zul_Var_Meth[[#This Row],[ignored_rank]],help_zuord_Var_Meth[],2)</f>
        <v>47</v>
      </c>
      <c r="B179">
        <v>343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9">
        <f ca="1">RAND()</f>
        <v>0.78125387688704129</v>
      </c>
      <c r="E179">
        <f ca="1">RANK(dict_zul_Var_Meth[[#This Row],[ignored_rand]],dict_zul_Var_Meth[ignored_rand])</f>
        <v>176</v>
      </c>
      <c r="F179">
        <f ca="1">ROUNDUP(748/200*help_zuord_Var_Meth[[#This Row],[ignored_help_VarsID]],0)+RANDBETWEEN(0,1)-RANDBETWEEN(0,1)</f>
        <v>662</v>
      </c>
      <c r="G179">
        <v>177</v>
      </c>
    </row>
    <row r="180" spans="1:7" x14ac:dyDescent="0.45">
      <c r="A180">
        <f ca="1">VLOOKUP(dict_zul_Var_Meth[[#This Row],[ignored_rank]],help_zuord_Var_Meth[],2)</f>
        <v>47</v>
      </c>
      <c r="B180">
        <v>451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0">
        <f ca="1">RAND()</f>
        <v>0.77658317158739198</v>
      </c>
      <c r="E180">
        <f ca="1">RANK(dict_zul_Var_Meth[[#This Row],[ignored_rand]],dict_zul_Var_Meth[ignored_rand])</f>
        <v>179</v>
      </c>
      <c r="F180">
        <f ca="1">ROUNDUP(748/200*help_zuord_Var_Meth[[#This Row],[ignored_help_VarsID]],0)+RANDBETWEEN(0,1)-RANDBETWEEN(0,1)</f>
        <v>665</v>
      </c>
      <c r="G180">
        <v>178</v>
      </c>
    </row>
    <row r="181" spans="1:7" x14ac:dyDescent="0.45">
      <c r="A181">
        <f ca="1">VLOOKUP(dict_zul_Var_Meth[[#This Row],[ignored_rank]],help_zuord_Var_Meth[],2)</f>
        <v>47</v>
      </c>
      <c r="B181">
        <v>473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1">
        <f ca="1">RAND()</f>
        <v>0.77981207729155888</v>
      </c>
      <c r="E181">
        <f ca="1">RANK(dict_zul_Var_Meth[[#This Row],[ignored_rand]],dict_zul_Var_Meth[ignored_rand])</f>
        <v>178</v>
      </c>
      <c r="F181">
        <f ca="1">ROUNDUP(748/200*help_zuord_Var_Meth[[#This Row],[ignored_help_VarsID]],0)+RANDBETWEEN(0,1)-RANDBETWEEN(0,1)</f>
        <v>671</v>
      </c>
      <c r="G181">
        <v>179</v>
      </c>
    </row>
    <row r="182" spans="1:7" x14ac:dyDescent="0.45">
      <c r="A182" s="3">
        <f ca="1">VLOOKUP(dict_zul_Var_Meth[[#This Row],[ignored_rank]],help_zuord_Var_Meth[],2)</f>
        <v>48</v>
      </c>
      <c r="B182">
        <v>327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2">
        <f ca="1">RAND()</f>
        <v>0.77266364794554199</v>
      </c>
      <c r="E182" s="3">
        <f ca="1">RANK(dict_zul_Var_Meth[[#This Row],[ignored_rand]],dict_zul_Var_Meth[ignored_rand])</f>
        <v>182</v>
      </c>
      <c r="F182">
        <f ca="1">ROUNDUP(748/200*help_zuord_Var_Meth[[#This Row],[ignored_help_VarsID]],0)+RANDBETWEEN(0,1)-RANDBETWEEN(0,1)</f>
        <v>673</v>
      </c>
      <c r="G182">
        <v>180</v>
      </c>
    </row>
    <row r="183" spans="1:7" x14ac:dyDescent="0.45">
      <c r="A183">
        <f ca="1">VLOOKUP(dict_zul_Var_Meth[[#This Row],[ignored_rank]],help_zuord_Var_Meth[],2)</f>
        <v>48</v>
      </c>
      <c r="B183">
        <v>643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3">
        <f ca="1">RAND()</f>
        <v>0.77560422442471788</v>
      </c>
      <c r="E183">
        <f ca="1">RANK(dict_zul_Var_Meth[[#This Row],[ignored_rand]],dict_zul_Var_Meth[ignored_rand])</f>
        <v>181</v>
      </c>
      <c r="F183">
        <f ca="1">ROUNDUP(748/200*help_zuord_Var_Meth[[#This Row],[ignored_help_VarsID]],0)+RANDBETWEEN(0,1)-RANDBETWEEN(0,1)</f>
        <v>677</v>
      </c>
      <c r="G183">
        <v>181</v>
      </c>
    </row>
    <row r="184" spans="1:7" x14ac:dyDescent="0.45">
      <c r="A184">
        <f ca="1">VLOOKUP(dict_zul_Var_Meth[[#This Row],[ignored_rank]],help_zuord_Var_Meth[],2)</f>
        <v>49</v>
      </c>
      <c r="B184">
        <v>36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4">
        <f ca="1">RAND()</f>
        <v>0.76975401374151686</v>
      </c>
      <c r="E184">
        <f ca="1">RANK(dict_zul_Var_Meth[[#This Row],[ignored_rand]],dict_zul_Var_Meth[ignored_rand])</f>
        <v>185</v>
      </c>
      <c r="F184">
        <f ca="1">ROUNDUP(748/200*help_zuord_Var_Meth[[#This Row],[ignored_help_VarsID]],0)+RANDBETWEEN(0,1)-RANDBETWEEN(0,1)</f>
        <v>681</v>
      </c>
      <c r="G184">
        <v>182</v>
      </c>
    </row>
    <row r="185" spans="1:7" x14ac:dyDescent="0.45">
      <c r="A185" s="3">
        <f ca="1">VLOOKUP(dict_zul_Var_Meth[[#This Row],[ignored_rank]],help_zuord_Var_Meth[],2)</f>
        <v>49</v>
      </c>
      <c r="B185">
        <v>200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5">
        <f ca="1">RAND()</f>
        <v>0.77250809043159152</v>
      </c>
      <c r="E185" s="3">
        <f ca="1">RANK(dict_zul_Var_Meth[[#This Row],[ignored_rand]],dict_zul_Var_Meth[ignored_rand])</f>
        <v>183</v>
      </c>
      <c r="F185">
        <f ca="1">ROUNDUP(748/200*help_zuord_Var_Meth[[#This Row],[ignored_help_VarsID]],0)+RANDBETWEEN(0,1)-RANDBETWEEN(0,1)</f>
        <v>685</v>
      </c>
      <c r="G185">
        <v>183</v>
      </c>
    </row>
    <row r="186" spans="1:7" x14ac:dyDescent="0.45">
      <c r="A186">
        <f ca="1">VLOOKUP(dict_zul_Var_Meth[[#This Row],[ignored_rank]],help_zuord_Var_Meth[],2)</f>
        <v>49</v>
      </c>
      <c r="B186">
        <v>265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6">
        <f ca="1">RAND()</f>
        <v>0.77227797976427537</v>
      </c>
      <c r="E186">
        <f ca="1">RANK(dict_zul_Var_Meth[[#This Row],[ignored_rand]],dict_zul_Var_Meth[ignored_rand])</f>
        <v>184</v>
      </c>
      <c r="F186">
        <f ca="1">ROUNDUP(748/200*help_zuord_Var_Meth[[#This Row],[ignored_help_VarsID]],0)+RANDBETWEEN(0,1)-RANDBETWEEN(0,1)</f>
        <v>689</v>
      </c>
      <c r="G186">
        <v>184</v>
      </c>
    </row>
    <row r="187" spans="1:7" x14ac:dyDescent="0.45">
      <c r="A187">
        <f ca="1">VLOOKUP(dict_zul_Var_Meth[[#This Row],[ignored_rank]],help_zuord_Var_Meth[],2)</f>
        <v>49</v>
      </c>
      <c r="B187">
        <v>373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7">
        <f ca="1">RAND()</f>
        <v>0.76874584089572717</v>
      </c>
      <c r="E187">
        <f ca="1">RANK(dict_zul_Var_Meth[[#This Row],[ignored_rand]],dict_zul_Var_Meth[ignored_rand])</f>
        <v>186</v>
      </c>
      <c r="F187">
        <f ca="1">ROUNDUP(748/200*help_zuord_Var_Meth[[#This Row],[ignored_help_VarsID]],0)+RANDBETWEEN(0,1)-RANDBETWEEN(0,1)</f>
        <v>692</v>
      </c>
      <c r="G187">
        <v>185</v>
      </c>
    </row>
    <row r="188" spans="1:7" x14ac:dyDescent="0.45">
      <c r="A188">
        <f ca="1">VLOOKUP(dict_zul_Var_Meth[[#This Row],[ignored_rank]],help_zuord_Var_Meth[],2)</f>
        <v>49</v>
      </c>
      <c r="B188">
        <v>577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8">
        <f ca="1">RAND()</f>
        <v>0.76834296204488728</v>
      </c>
      <c r="E188">
        <f ca="1">RANK(dict_zul_Var_Meth[[#This Row],[ignored_rand]],dict_zul_Var_Meth[ignored_rand])</f>
        <v>187</v>
      </c>
      <c r="F188">
        <f ca="1">ROUNDUP(748/200*help_zuord_Var_Meth[[#This Row],[ignored_help_VarsID]],0)+RANDBETWEEN(0,1)-RANDBETWEEN(0,1)</f>
        <v>696</v>
      </c>
      <c r="G188">
        <v>186</v>
      </c>
    </row>
    <row r="189" spans="1:7" x14ac:dyDescent="0.45">
      <c r="A189">
        <f ca="1">VLOOKUP(dict_zul_Var_Meth[[#This Row],[ignored_rank]],help_zuord_Var_Meth[],2)</f>
        <v>50</v>
      </c>
      <c r="B189">
        <v>16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9">
        <f ca="1">RAND()</f>
        <v>0.76763409010604655</v>
      </c>
      <c r="E189">
        <f ca="1">RANK(dict_zul_Var_Meth[[#This Row],[ignored_rand]],dict_zul_Var_Meth[ignored_rand])</f>
        <v>188</v>
      </c>
      <c r="F189">
        <f ca="1">ROUNDUP(748/200*help_zuord_Var_Meth[[#This Row],[ignored_help_VarsID]],0)+RANDBETWEEN(0,1)-RANDBETWEEN(0,1)</f>
        <v>700</v>
      </c>
      <c r="G189">
        <v>187</v>
      </c>
    </row>
    <row r="190" spans="1:7" x14ac:dyDescent="0.45">
      <c r="A190">
        <f ca="1">VLOOKUP(dict_zul_Var_Meth[[#This Row],[ignored_rank]],help_zuord_Var_Meth[],2)</f>
        <v>50</v>
      </c>
      <c r="B190">
        <v>345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0">
        <f ca="1">RAND()</f>
        <v>0.76404684742284235</v>
      </c>
      <c r="E190">
        <f ca="1">RANK(dict_zul_Var_Meth[[#This Row],[ignored_rand]],dict_zul_Var_Meth[ignored_rand])</f>
        <v>189</v>
      </c>
      <c r="F190">
        <f ca="1">ROUNDUP(748/200*help_zuord_Var_Meth[[#This Row],[ignored_help_VarsID]],0)+RANDBETWEEN(0,1)-RANDBETWEEN(0,1)</f>
        <v>703</v>
      </c>
      <c r="G190">
        <v>188</v>
      </c>
    </row>
    <row r="191" spans="1:7" x14ac:dyDescent="0.45">
      <c r="A191">
        <f ca="1">VLOOKUP(dict_zul_Var_Meth[[#This Row],[ignored_rank]],help_zuord_Var_Meth[],2)</f>
        <v>51</v>
      </c>
      <c r="B191">
        <v>57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1">
        <f ca="1">RAND()</f>
        <v>0.76089601553893338</v>
      </c>
      <c r="E191">
        <f ca="1">RANK(dict_zul_Var_Meth[[#This Row],[ignored_rand]],dict_zul_Var_Meth[ignored_rand])</f>
        <v>193</v>
      </c>
      <c r="F191">
        <f ca="1">ROUNDUP(748/200*help_zuord_Var_Meth[[#This Row],[ignored_help_VarsID]],0)+RANDBETWEEN(0,1)-RANDBETWEEN(0,1)</f>
        <v>707</v>
      </c>
      <c r="G191">
        <v>189</v>
      </c>
    </row>
    <row r="192" spans="1:7" x14ac:dyDescent="0.45">
      <c r="A192">
        <f ca="1">VLOOKUP(dict_zul_Var_Meth[[#This Row],[ignored_rank]],help_zuord_Var_Meth[],2)</f>
        <v>51</v>
      </c>
      <c r="B192">
        <v>474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2">
        <f ca="1">RAND()</f>
        <v>0.7627073860415805</v>
      </c>
      <c r="E192">
        <f ca="1">RANK(dict_zul_Var_Meth[[#This Row],[ignored_rand]],dict_zul_Var_Meth[ignored_rand])</f>
        <v>192</v>
      </c>
      <c r="F192">
        <f ca="1">ROUNDUP(748/200*help_zuord_Var_Meth[[#This Row],[ignored_help_VarsID]],0)+RANDBETWEEN(0,1)-RANDBETWEEN(0,1)</f>
        <v>712</v>
      </c>
      <c r="G192">
        <v>190</v>
      </c>
    </row>
    <row r="193" spans="1:7" x14ac:dyDescent="0.45">
      <c r="A193">
        <f ca="1">VLOOKUP(dict_zul_Var_Meth[[#This Row],[ignored_rank]],help_zuord_Var_Meth[],2)</f>
        <v>51</v>
      </c>
      <c r="B193">
        <v>555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3">
        <f ca="1">RAND()</f>
        <v>0.76358658535859558</v>
      </c>
      <c r="E193">
        <f ca="1">RANK(dict_zul_Var_Meth[[#This Row],[ignored_rand]],dict_zul_Var_Meth[ignored_rand])</f>
        <v>190</v>
      </c>
      <c r="F193">
        <f ca="1">ROUNDUP(748/200*help_zuord_Var_Meth[[#This Row],[ignored_help_VarsID]],0)+RANDBETWEEN(0,1)-RANDBETWEEN(0,1)</f>
        <v>716</v>
      </c>
      <c r="G193">
        <v>191</v>
      </c>
    </row>
    <row r="194" spans="1:7" x14ac:dyDescent="0.45">
      <c r="A194">
        <f ca="1">VLOOKUP(dict_zul_Var_Meth[[#This Row],[ignored_rank]],help_zuord_Var_Meth[],2)</f>
        <v>51</v>
      </c>
      <c r="B194">
        <v>665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4">
        <f ca="1">RAND()</f>
        <v>0.76305693348018477</v>
      </c>
      <c r="E194">
        <f ca="1">RANK(dict_zul_Var_Meth[[#This Row],[ignored_rand]],dict_zul_Var_Meth[ignored_rand])</f>
        <v>191</v>
      </c>
      <c r="F194">
        <f ca="1">ROUNDUP(748/200*help_zuord_Var_Meth[[#This Row],[ignored_help_VarsID]],0)+RANDBETWEEN(0,1)-RANDBETWEEN(0,1)</f>
        <v>718</v>
      </c>
      <c r="G194">
        <v>192</v>
      </c>
    </row>
    <row r="195" spans="1:7" x14ac:dyDescent="0.45">
      <c r="A195">
        <f ca="1">VLOOKUP(dict_zul_Var_Meth[[#This Row],[ignored_rank]],help_zuord_Var_Meth[],2)</f>
        <v>52</v>
      </c>
      <c r="B195">
        <v>154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5">
        <f ca="1">RAND()</f>
        <v>0.76037924557576275</v>
      </c>
      <c r="E195">
        <f ca="1">RANK(dict_zul_Var_Meth[[#This Row],[ignored_rand]],dict_zul_Var_Meth[ignored_rand])</f>
        <v>194</v>
      </c>
      <c r="F195">
        <f ca="1">ROUNDUP(748/200*help_zuord_Var_Meth[[#This Row],[ignored_help_VarsID]],0)+RANDBETWEEN(0,1)-RANDBETWEEN(0,1)</f>
        <v>721</v>
      </c>
      <c r="G195">
        <v>193</v>
      </c>
    </row>
    <row r="196" spans="1:7" x14ac:dyDescent="0.45">
      <c r="A196">
        <f ca="1">VLOOKUP(dict_zul_Var_Meth[[#This Row],[ignored_rank]],help_zuord_Var_Meth[],2)</f>
        <v>52</v>
      </c>
      <c r="B196">
        <v>179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6">
        <f ca="1">RAND()</f>
        <v>0.76019050498497676</v>
      </c>
      <c r="E196">
        <f ca="1">RANK(dict_zul_Var_Meth[[#This Row],[ignored_rand]],dict_zul_Var_Meth[ignored_rand])</f>
        <v>195</v>
      </c>
      <c r="F196">
        <f ca="1">ROUNDUP(748/200*help_zuord_Var_Meth[[#This Row],[ignored_help_VarsID]],0)+RANDBETWEEN(0,1)-RANDBETWEEN(0,1)</f>
        <v>726</v>
      </c>
      <c r="G196">
        <v>194</v>
      </c>
    </row>
    <row r="197" spans="1:7" x14ac:dyDescent="0.45">
      <c r="A197">
        <f ca="1">VLOOKUP(dict_zul_Var_Meth[[#This Row],[ignored_rank]],help_zuord_Var_Meth[],2)</f>
        <v>52</v>
      </c>
      <c r="B197">
        <v>329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7">
        <f ca="1">RAND()</f>
        <v>0.75837423300306461</v>
      </c>
      <c r="E197">
        <f ca="1">RANK(dict_zul_Var_Meth[[#This Row],[ignored_rand]],dict_zul_Var_Meth[ignored_rand])</f>
        <v>197</v>
      </c>
      <c r="F197">
        <f ca="1">ROUNDUP(748/200*help_zuord_Var_Meth[[#This Row],[ignored_help_VarsID]],0)+RANDBETWEEN(0,1)-RANDBETWEEN(0,1)</f>
        <v>730</v>
      </c>
      <c r="G197">
        <v>195</v>
      </c>
    </row>
    <row r="198" spans="1:7" x14ac:dyDescent="0.45">
      <c r="A198">
        <f ca="1">VLOOKUP(dict_zul_Var_Meth[[#This Row],[ignored_rank]],help_zuord_Var_Meth[],2)</f>
        <v>52</v>
      </c>
      <c r="B198">
        <v>492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8">
        <f ca="1">RAND()</f>
        <v>0.76012938641904282</v>
      </c>
      <c r="E198">
        <f ca="1">RANK(dict_zul_Var_Meth[[#This Row],[ignored_rand]],dict_zul_Var_Meth[ignored_rand])</f>
        <v>196</v>
      </c>
      <c r="F198">
        <f ca="1">ROUNDUP(748/200*help_zuord_Var_Meth[[#This Row],[ignored_help_VarsID]],0)+RANDBETWEEN(0,1)-RANDBETWEEN(0,1)</f>
        <v>734</v>
      </c>
      <c r="G198">
        <v>196</v>
      </c>
    </row>
    <row r="199" spans="1:7" x14ac:dyDescent="0.45">
      <c r="A199">
        <f ca="1">VLOOKUP(dict_zul_Var_Meth[[#This Row],[ignored_rank]],help_zuord_Var_Meth[],2)</f>
        <v>53</v>
      </c>
      <c r="B199">
        <v>28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9">
        <f ca="1">RAND()</f>
        <v>0.75583487738721911</v>
      </c>
      <c r="E199">
        <f ca="1">RANK(dict_zul_Var_Meth[[#This Row],[ignored_rand]],dict_zul_Var_Meth[ignored_rand])</f>
        <v>199</v>
      </c>
      <c r="F199">
        <f ca="1">ROUNDUP(748/200*help_zuord_Var_Meth[[#This Row],[ignored_help_VarsID]],0)+RANDBETWEEN(0,1)-RANDBETWEEN(0,1)</f>
        <v>737</v>
      </c>
      <c r="G199">
        <v>197</v>
      </c>
    </row>
    <row r="200" spans="1:7" x14ac:dyDescent="0.45">
      <c r="A200">
        <f ca="1">VLOOKUP(dict_zul_Var_Meth[[#This Row],[ignored_rank]],help_zuord_Var_Meth[],2)</f>
        <v>53</v>
      </c>
      <c r="B200">
        <v>423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0">
        <f ca="1">RAND()</f>
        <v>0.75641808089119311</v>
      </c>
      <c r="E200">
        <f ca="1">RANK(dict_zul_Var_Meth[[#This Row],[ignored_rand]],dict_zul_Var_Meth[ignored_rand])</f>
        <v>198</v>
      </c>
      <c r="F200">
        <f ca="1">ROUNDUP(748/200*help_zuord_Var_Meth[[#This Row],[ignored_help_VarsID]],0)+RANDBETWEEN(0,1)-RANDBETWEEN(0,1)</f>
        <v>742</v>
      </c>
      <c r="G200">
        <v>198</v>
      </c>
    </row>
    <row r="201" spans="1:7" x14ac:dyDescent="0.45">
      <c r="A201">
        <f ca="1">VLOOKUP(dict_zul_Var_Meth[[#This Row],[ignored_rank]],help_zuord_Var_Meth[],2)</f>
        <v>53</v>
      </c>
      <c r="B201">
        <v>533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1">
        <f ca="1">RAND()</f>
        <v>0.75427313443448207</v>
      </c>
      <c r="E201">
        <f ca="1">RANK(dict_zul_Var_Meth[[#This Row],[ignored_rand]],dict_zul_Var_Meth[ignored_rand])</f>
        <v>200</v>
      </c>
      <c r="F201">
        <f ca="1">ROUNDUP(748/200*help_zuord_Var_Meth[[#This Row],[ignored_help_VarsID]],0)+RANDBETWEEN(0,1)-RANDBETWEEN(0,1)</f>
        <v>744</v>
      </c>
      <c r="G201">
        <v>199</v>
      </c>
    </row>
    <row r="202" spans="1:7" x14ac:dyDescent="0.45">
      <c r="A202">
        <f ca="1">VLOOKUP(dict_zul_Var_Meth[[#This Row],[ignored_rank]],help_zuord_Var_Meth[],2)</f>
        <v>54</v>
      </c>
      <c r="B202">
        <v>183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2">
        <f ca="1">RAND()</f>
        <v>0.75085639290937489</v>
      </c>
      <c r="E202">
        <f ca="1">RANK(dict_zul_Var_Meth[[#This Row],[ignored_rand]],dict_zul_Var_Meth[ignored_rand])</f>
        <v>205</v>
      </c>
      <c r="F202">
        <f ca="1">ROUNDUP(748/200*help_zuord_Var_Meth[[#This Row],[ignored_help_VarsID]],0)+RANDBETWEEN(0,1)-RANDBETWEEN(0,1)</f>
        <v>748</v>
      </c>
      <c r="G202">
        <v>200</v>
      </c>
    </row>
    <row r="203" spans="1:7" x14ac:dyDescent="0.45">
      <c r="A203">
        <f ca="1">VLOOKUP(dict_zul_Var_Meth[[#This Row],[ignored_rank]],help_zuord_Var_Meth[],2)</f>
        <v>54</v>
      </c>
      <c r="B203">
        <v>225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3">
        <f ca="1">RAND()</f>
        <v>0.75165988601829981</v>
      </c>
      <c r="E203">
        <f ca="1">RANK(dict_zul_Var_Meth[[#This Row],[ignored_rand]],dict_zul_Var_Meth[ignored_rand])</f>
        <v>202</v>
      </c>
    </row>
    <row r="204" spans="1:7" x14ac:dyDescent="0.45">
      <c r="A204">
        <f ca="1">VLOOKUP(dict_zul_Var_Meth[[#This Row],[ignored_rank]],help_zuord_Var_Meth[],2)</f>
        <v>54</v>
      </c>
      <c r="B204">
        <v>287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4">
        <f ca="1">RAND()</f>
        <v>0.75323458198216353</v>
      </c>
      <c r="E204">
        <f ca="1">RANK(dict_zul_Var_Meth[[#This Row],[ignored_rand]],dict_zul_Var_Meth[ignored_rand])</f>
        <v>201</v>
      </c>
    </row>
    <row r="205" spans="1:7" x14ac:dyDescent="0.45">
      <c r="A205">
        <f ca="1">VLOOKUP(dict_zul_Var_Meth[[#This Row],[ignored_rank]],help_zuord_Var_Meth[],2)</f>
        <v>54</v>
      </c>
      <c r="B205">
        <v>299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5">
        <f ca="1">RAND()</f>
        <v>0.75129697085944447</v>
      </c>
      <c r="E205">
        <f ca="1">RANK(dict_zul_Var_Meth[[#This Row],[ignored_rand]],dict_zul_Var_Meth[ignored_rand])</f>
        <v>204</v>
      </c>
    </row>
    <row r="206" spans="1:7" x14ac:dyDescent="0.45">
      <c r="A206">
        <f ca="1">VLOOKUP(dict_zul_Var_Meth[[#This Row],[ignored_rank]],help_zuord_Var_Meth[],2)</f>
        <v>54</v>
      </c>
      <c r="B206">
        <v>517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6">
        <f ca="1">RAND()</f>
        <v>0.75152177132506448</v>
      </c>
      <c r="E206">
        <f ca="1">RANK(dict_zul_Var_Meth[[#This Row],[ignored_rand]],dict_zul_Var_Meth[ignored_rand])</f>
        <v>203</v>
      </c>
    </row>
    <row r="207" spans="1:7" x14ac:dyDescent="0.45">
      <c r="A207">
        <f ca="1">VLOOKUP(dict_zul_Var_Meth[[#This Row],[ignored_rank]],help_zuord_Var_Meth[],2)</f>
        <v>55</v>
      </c>
      <c r="B207">
        <v>6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7">
        <f ca="1">RAND()</f>
        <v>0.74540184885705774</v>
      </c>
      <c r="E207">
        <f ca="1">RANK(dict_zul_Var_Meth[[#This Row],[ignored_rand]],dict_zul_Var_Meth[ignored_rand])</f>
        <v>208</v>
      </c>
    </row>
    <row r="208" spans="1:7" x14ac:dyDescent="0.45">
      <c r="A208">
        <f ca="1">VLOOKUP(dict_zul_Var_Meth[[#This Row],[ignored_rank]],help_zuord_Var_Meth[],2)</f>
        <v>55</v>
      </c>
      <c r="B208">
        <v>58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8">
        <f ca="1">RAND()</f>
        <v>0.74491376535957254</v>
      </c>
      <c r="E208">
        <f ca="1">RANK(dict_zul_Var_Meth[[#This Row],[ignored_rand]],dict_zul_Var_Meth[ignored_rand])</f>
        <v>209</v>
      </c>
    </row>
    <row r="209" spans="1:5" x14ac:dyDescent="0.45">
      <c r="A209">
        <f ca="1">VLOOKUP(dict_zul_Var_Meth[[#This Row],[ignored_rank]],help_zuord_Var_Meth[],2)</f>
        <v>55</v>
      </c>
      <c r="B209">
        <v>204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9">
        <f ca="1">RAND()</f>
        <v>0.74930175080528039</v>
      </c>
      <c r="E209">
        <f ca="1">RANK(dict_zul_Var_Meth[[#This Row],[ignored_rand]],dict_zul_Var_Meth[ignored_rand])</f>
        <v>206</v>
      </c>
    </row>
    <row r="210" spans="1:5" x14ac:dyDescent="0.45">
      <c r="A210">
        <f ca="1">VLOOKUP(dict_zul_Var_Meth[[#This Row],[ignored_rank]],help_zuord_Var_Meth[],2)</f>
        <v>55</v>
      </c>
      <c r="B210">
        <v>680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0">
        <f ca="1">RAND()</f>
        <v>0.74884812310977034</v>
      </c>
      <c r="E210">
        <f ca="1">RANK(dict_zul_Var_Meth[[#This Row],[ignored_rand]],dict_zul_Var_Meth[ignored_rand])</f>
        <v>207</v>
      </c>
    </row>
    <row r="211" spans="1:5" x14ac:dyDescent="0.45">
      <c r="A211">
        <f ca="1">VLOOKUP(dict_zul_Var_Meth[[#This Row],[ignored_rank]],help_zuord_Var_Meth[],2)</f>
        <v>56</v>
      </c>
      <c r="B211">
        <v>152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1">
        <f ca="1">RAND()</f>
        <v>0.73914183388230092</v>
      </c>
      <c r="E211">
        <f ca="1">RANK(dict_zul_Var_Meth[[#This Row],[ignored_rand]],dict_zul_Var_Meth[ignored_rand])</f>
        <v>212</v>
      </c>
    </row>
    <row r="212" spans="1:5" x14ac:dyDescent="0.45">
      <c r="A212">
        <f ca="1">VLOOKUP(dict_zul_Var_Meth[[#This Row],[ignored_rank]],help_zuord_Var_Meth[],2)</f>
        <v>56</v>
      </c>
      <c r="B212">
        <v>181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2">
        <f ca="1">RAND()</f>
        <v>0.73802235178744713</v>
      </c>
      <c r="E212">
        <f ca="1">RANK(dict_zul_Var_Meth[[#This Row],[ignored_rand]],dict_zul_Var_Meth[ignored_rand])</f>
        <v>213</v>
      </c>
    </row>
    <row r="213" spans="1:5" x14ac:dyDescent="0.45">
      <c r="A213">
        <f ca="1">VLOOKUP(dict_zul_Var_Meth[[#This Row],[ignored_rank]],help_zuord_Var_Meth[],2)</f>
        <v>56</v>
      </c>
      <c r="B213">
        <v>547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3">
        <f ca="1">RAND()</f>
        <v>0.73985870666843034</v>
      </c>
      <c r="E213">
        <f ca="1">RANK(dict_zul_Var_Meth[[#This Row],[ignored_rand]],dict_zul_Var_Meth[ignored_rand])</f>
        <v>211</v>
      </c>
    </row>
    <row r="214" spans="1:5" x14ac:dyDescent="0.45">
      <c r="A214">
        <f ca="1">VLOOKUP(dict_zul_Var_Meth[[#This Row],[ignored_rank]],help_zuord_Var_Meth[],2)</f>
        <v>56</v>
      </c>
      <c r="B214">
        <v>574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4">
        <f ca="1">RAND()</f>
        <v>0.74461075657628728</v>
      </c>
      <c r="E214">
        <f ca="1">RANK(dict_zul_Var_Meth[[#This Row],[ignored_rand]],dict_zul_Var_Meth[ignored_rand])</f>
        <v>210</v>
      </c>
    </row>
    <row r="215" spans="1:5" x14ac:dyDescent="0.45">
      <c r="A215">
        <f ca="1">VLOOKUP(dict_zul_Var_Meth[[#This Row],[ignored_rank]],help_zuord_Var_Meth[],2)</f>
        <v>57</v>
      </c>
      <c r="B215">
        <v>8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5">
        <f ca="1">RAND()</f>
        <v>0.73577236113828237</v>
      </c>
      <c r="E215">
        <f ca="1">RANK(dict_zul_Var_Meth[[#This Row],[ignored_rand]],dict_zul_Var_Meth[ignored_rand])</f>
        <v>216</v>
      </c>
    </row>
    <row r="216" spans="1:5" x14ac:dyDescent="0.45">
      <c r="A216">
        <f ca="1">VLOOKUP(dict_zul_Var_Meth[[#This Row],[ignored_rank]],help_zuord_Var_Meth[],2)</f>
        <v>57</v>
      </c>
      <c r="B216">
        <v>392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6">
        <f ca="1">RAND()</f>
        <v>0.73670931687843921</v>
      </c>
      <c r="E216">
        <f ca="1">RANK(dict_zul_Var_Meth[[#This Row],[ignored_rand]],dict_zul_Var_Meth[ignored_rand])</f>
        <v>214</v>
      </c>
    </row>
    <row r="217" spans="1:5" x14ac:dyDescent="0.45">
      <c r="A217">
        <f ca="1">VLOOKUP(dict_zul_Var_Meth[[#This Row],[ignored_rank]],help_zuord_Var_Meth[],2)</f>
        <v>57</v>
      </c>
      <c r="B217">
        <v>564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7">
        <f ca="1">RAND()</f>
        <v>0.73626410813980769</v>
      </c>
      <c r="E217">
        <f ca="1">RANK(dict_zul_Var_Meth[[#This Row],[ignored_rand]],dict_zul_Var_Meth[ignored_rand])</f>
        <v>215</v>
      </c>
    </row>
    <row r="218" spans="1:5" x14ac:dyDescent="0.45">
      <c r="A218">
        <f ca="1">VLOOKUP(dict_zul_Var_Meth[[#This Row],[ignored_rank]],help_zuord_Var_Meth[],2)</f>
        <v>58</v>
      </c>
      <c r="B218">
        <v>65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8">
        <f ca="1">RAND()</f>
        <v>0.73040993380784236</v>
      </c>
      <c r="E218">
        <f ca="1">RANK(dict_zul_Var_Meth[[#This Row],[ignored_rand]],dict_zul_Var_Meth[ignored_rand])</f>
        <v>218</v>
      </c>
    </row>
    <row r="219" spans="1:5" x14ac:dyDescent="0.45">
      <c r="A219">
        <f ca="1">VLOOKUP(dict_zul_Var_Meth[[#This Row],[ignored_rank]],help_zuord_Var_Meth[],2)</f>
        <v>58</v>
      </c>
      <c r="B219">
        <v>229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9">
        <f ca="1">RAND()</f>
        <v>0.72692050746878056</v>
      </c>
      <c r="E219">
        <f ca="1">RANK(dict_zul_Var_Meth[[#This Row],[ignored_rand]],dict_zul_Var_Meth[ignored_rand])</f>
        <v>219</v>
      </c>
    </row>
    <row r="220" spans="1:5" x14ac:dyDescent="0.45">
      <c r="A220">
        <f ca="1">VLOOKUP(dict_zul_Var_Meth[[#This Row],[ignored_rank]],help_zuord_Var_Meth[],2)</f>
        <v>58</v>
      </c>
      <c r="B220">
        <v>663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0">
        <f ca="1">RAND()</f>
        <v>0.73056842925439169</v>
      </c>
      <c r="E220">
        <f ca="1">RANK(dict_zul_Var_Meth[[#This Row],[ignored_rand]],dict_zul_Var_Meth[ignored_rand])</f>
        <v>217</v>
      </c>
    </row>
    <row r="221" spans="1:5" x14ac:dyDescent="0.45">
      <c r="A221" s="3">
        <f ca="1">VLOOKUP(dict_zul_Var_Meth[[#This Row],[ignored_rank]],help_zuord_Var_Meth[],2)</f>
        <v>59</v>
      </c>
      <c r="B221">
        <v>101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1">
        <f ca="1">RAND()</f>
        <v>0.72172974468582785</v>
      </c>
      <c r="E221" s="3">
        <f ca="1">RANK(dict_zul_Var_Meth[[#This Row],[ignored_rand]],dict_zul_Var_Meth[ignored_rand])</f>
        <v>224</v>
      </c>
    </row>
    <row r="222" spans="1:5" x14ac:dyDescent="0.45">
      <c r="A222">
        <f ca="1">VLOOKUP(dict_zul_Var_Meth[[#This Row],[ignored_rank]],help_zuord_Var_Meth[],2)</f>
        <v>59</v>
      </c>
      <c r="B222">
        <v>185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2">
        <f ca="1">RAND()</f>
        <v>0.72589499059515905</v>
      </c>
      <c r="E222">
        <f ca="1">RANK(dict_zul_Var_Meth[[#This Row],[ignored_rand]],dict_zul_Var_Meth[ignored_rand])</f>
        <v>220</v>
      </c>
    </row>
    <row r="223" spans="1:5" x14ac:dyDescent="0.45">
      <c r="A223">
        <f ca="1">VLOOKUP(dict_zul_Var_Meth[[#This Row],[ignored_rank]],help_zuord_Var_Meth[],2)</f>
        <v>59</v>
      </c>
      <c r="B223">
        <v>206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3">
        <f ca="1">RAND()</f>
        <v>0.72099049544920624</v>
      </c>
      <c r="E223">
        <f ca="1">RANK(dict_zul_Var_Meth[[#This Row],[ignored_rand]],dict_zul_Var_Meth[ignored_rand])</f>
        <v>225</v>
      </c>
    </row>
    <row r="224" spans="1:5" x14ac:dyDescent="0.45">
      <c r="A224">
        <f ca="1">VLOOKUP(dict_zul_Var_Meth[[#This Row],[ignored_rank]],help_zuord_Var_Meth[],2)</f>
        <v>59</v>
      </c>
      <c r="B224">
        <v>368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4">
        <f ca="1">RAND()</f>
        <v>0.72509738422243653</v>
      </c>
      <c r="E224">
        <f ca="1">RANK(dict_zul_Var_Meth[[#This Row],[ignored_rand]],dict_zul_Var_Meth[ignored_rand])</f>
        <v>221</v>
      </c>
    </row>
    <row r="225" spans="1:5" x14ac:dyDescent="0.45">
      <c r="A225">
        <f ca="1">VLOOKUP(dict_zul_Var_Meth[[#This Row],[ignored_rank]],help_zuord_Var_Meth[],2)</f>
        <v>59</v>
      </c>
      <c r="B225">
        <v>381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5">
        <f ca="1">RAND()</f>
        <v>0.7237601417800813</v>
      </c>
      <c r="E225">
        <f ca="1">RANK(dict_zul_Var_Meth[[#This Row],[ignored_rand]],dict_zul_Var_Meth[ignored_rand])</f>
        <v>222</v>
      </c>
    </row>
    <row r="226" spans="1:5" x14ac:dyDescent="0.45">
      <c r="A226">
        <f ca="1">VLOOKUP(dict_zul_Var_Meth[[#This Row],[ignored_rank]],help_zuord_Var_Meth[],2)</f>
        <v>59</v>
      </c>
      <c r="B226">
        <v>678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6">
        <f ca="1">RAND()</f>
        <v>0.72346439629583315</v>
      </c>
      <c r="E226">
        <f ca="1">RANK(dict_zul_Var_Meth[[#This Row],[ignored_rand]],dict_zul_Var_Meth[ignored_rand])</f>
        <v>223</v>
      </c>
    </row>
    <row r="227" spans="1:5" x14ac:dyDescent="0.45">
      <c r="A227" s="3">
        <f ca="1">VLOOKUP(dict_zul_Var_Meth[[#This Row],[ignored_rank]],help_zuord_Var_Meth[],2)</f>
        <v>60</v>
      </c>
      <c r="B227">
        <v>11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7">
        <f ca="1">RAND()</f>
        <v>0.72043821741595726</v>
      </c>
      <c r="E227" s="3">
        <f ca="1">RANK(dict_zul_Var_Meth[[#This Row],[ignored_rand]],dict_zul_Var_Meth[ignored_rand])</f>
        <v>226</v>
      </c>
    </row>
    <row r="228" spans="1:5" x14ac:dyDescent="0.45">
      <c r="A228">
        <f ca="1">VLOOKUP(dict_zul_Var_Meth[[#This Row],[ignored_rank]],help_zuord_Var_Meth[],2)</f>
        <v>60</v>
      </c>
      <c r="B228">
        <v>553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8">
        <f ca="1">RAND()</f>
        <v>0.718549657931568</v>
      </c>
      <c r="E228">
        <f ca="1">RANK(dict_zul_Var_Meth[[#This Row],[ignored_rand]],dict_zul_Var_Meth[ignored_rand])</f>
        <v>227</v>
      </c>
    </row>
    <row r="229" spans="1:5" x14ac:dyDescent="0.45">
      <c r="A229">
        <f ca="1">VLOOKUP(dict_zul_Var_Meth[[#This Row],[ignored_rank]],help_zuord_Var_Meth[],2)</f>
        <v>61</v>
      </c>
      <c r="B229">
        <v>0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9">
        <f ca="1">RAND()</f>
        <v>0.71700477499919213</v>
      </c>
      <c r="E229">
        <f ca="1">RANK(dict_zul_Var_Meth[[#This Row],[ignored_rand]],dict_zul_Var_Meth[ignored_rand])</f>
        <v>228</v>
      </c>
    </row>
    <row r="230" spans="1:5" x14ac:dyDescent="0.45">
      <c r="A230">
        <f ca="1">VLOOKUP(dict_zul_Var_Meth[[#This Row],[ignored_rank]],help_zuord_Var_Meth[],2)</f>
        <v>61</v>
      </c>
      <c r="B230">
        <v>274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0">
        <f ca="1">RAND()</f>
        <v>0.71434926103783702</v>
      </c>
      <c r="E230">
        <f ca="1">RANK(dict_zul_Var_Meth[[#This Row],[ignored_rand]],dict_zul_Var_Meth[ignored_rand])</f>
        <v>230</v>
      </c>
    </row>
    <row r="231" spans="1:5" x14ac:dyDescent="0.45">
      <c r="A231">
        <f ca="1">VLOOKUP(dict_zul_Var_Meth[[#This Row],[ignored_rank]],help_zuord_Var_Meth[],2)</f>
        <v>61</v>
      </c>
      <c r="B231">
        <v>626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1">
        <f ca="1">RAND()</f>
        <v>0.7157855273174808</v>
      </c>
      <c r="E231">
        <f ca="1">RANK(dict_zul_Var_Meth[[#This Row],[ignored_rand]],dict_zul_Var_Meth[ignored_rand])</f>
        <v>229</v>
      </c>
    </row>
    <row r="232" spans="1:5" x14ac:dyDescent="0.45">
      <c r="A232">
        <f ca="1">VLOOKUP(dict_zul_Var_Meth[[#This Row],[ignored_rank]],help_zuord_Var_Meth[],2)</f>
        <v>62</v>
      </c>
      <c r="B232">
        <v>61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2">
        <f ca="1">RAND()</f>
        <v>0.71129249172204567</v>
      </c>
      <c r="E232">
        <f ca="1">RANK(dict_zul_Var_Meth[[#This Row],[ignored_rand]],dict_zul_Var_Meth[ignored_rand])</f>
        <v>233</v>
      </c>
    </row>
    <row r="233" spans="1:5" x14ac:dyDescent="0.45">
      <c r="A233">
        <f ca="1">VLOOKUP(dict_zul_Var_Meth[[#This Row],[ignored_rank]],help_zuord_Var_Meth[],2)</f>
        <v>62</v>
      </c>
      <c r="B233">
        <v>294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3">
        <f ca="1">RAND()</f>
        <v>0.71203792571588298</v>
      </c>
      <c r="E233">
        <f ca="1">RANK(dict_zul_Var_Meth[[#This Row],[ignored_rand]],dict_zul_Var_Meth[ignored_rand])</f>
        <v>231</v>
      </c>
    </row>
    <row r="234" spans="1:5" x14ac:dyDescent="0.45">
      <c r="A234">
        <f ca="1">VLOOKUP(dict_zul_Var_Meth[[#This Row],[ignored_rank]],help_zuord_Var_Meth[],2)</f>
        <v>62</v>
      </c>
      <c r="B234">
        <v>425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4">
        <f ca="1">RAND()</f>
        <v>0.71117092388842473</v>
      </c>
      <c r="E234">
        <f ca="1">RANK(dict_zul_Var_Meth[[#This Row],[ignored_rand]],dict_zul_Var_Meth[ignored_rand])</f>
        <v>234</v>
      </c>
    </row>
    <row r="235" spans="1:5" x14ac:dyDescent="0.45">
      <c r="A235">
        <f ca="1">VLOOKUP(dict_zul_Var_Meth[[#This Row],[ignored_rank]],help_zuord_Var_Meth[],2)</f>
        <v>62</v>
      </c>
      <c r="B235">
        <v>455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5">
        <f ca="1">RAND()</f>
        <v>0.7113523781432719</v>
      </c>
      <c r="E235">
        <f ca="1">RANK(dict_zul_Var_Meth[[#This Row],[ignored_rand]],dict_zul_Var_Meth[ignored_rand])</f>
        <v>232</v>
      </c>
    </row>
    <row r="236" spans="1:5" x14ac:dyDescent="0.45">
      <c r="A236">
        <f ca="1">VLOOKUP(dict_zul_Var_Meth[[#This Row],[ignored_rank]],help_zuord_Var_Meth[],2)</f>
        <v>62</v>
      </c>
      <c r="B236">
        <v>601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6">
        <f ca="1">RAND()</f>
        <v>0.71075858283236981</v>
      </c>
      <c r="E236">
        <f ca="1">RANK(dict_zul_Var_Meth[[#This Row],[ignored_rand]],dict_zul_Var_Meth[ignored_rand])</f>
        <v>235</v>
      </c>
    </row>
    <row r="237" spans="1:5" x14ac:dyDescent="0.45">
      <c r="A237">
        <f ca="1">VLOOKUP(dict_zul_Var_Meth[[#This Row],[ignored_rank]],help_zuord_Var_Meth[],2)</f>
        <v>63</v>
      </c>
      <c r="B237">
        <v>73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7">
        <f ca="1">RAND()</f>
        <v>0.71008323941784168</v>
      </c>
      <c r="E237">
        <f ca="1">RANK(dict_zul_Var_Meth[[#This Row],[ignored_rand]],dict_zul_Var_Meth[ignored_rand])</f>
        <v>237</v>
      </c>
    </row>
    <row r="238" spans="1:5" x14ac:dyDescent="0.45">
      <c r="A238" s="3">
        <f ca="1">VLOOKUP(dict_zul_Var_Meth[[#This Row],[ignored_rank]],help_zuord_Var_Meth[],2)</f>
        <v>63</v>
      </c>
      <c r="B238">
        <v>262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8">
        <f ca="1">RAND()</f>
        <v>0.70956137779771045</v>
      </c>
      <c r="E238" s="3">
        <f ca="1">RANK(dict_zul_Var_Meth[[#This Row],[ignored_rand]],dict_zul_Var_Meth[ignored_rand])</f>
        <v>238</v>
      </c>
    </row>
    <row r="239" spans="1:5" x14ac:dyDescent="0.45">
      <c r="A239">
        <f ca="1">VLOOKUP(dict_zul_Var_Meth[[#This Row],[ignored_rank]],help_zuord_Var_Meth[],2)</f>
        <v>63</v>
      </c>
      <c r="B239">
        <v>566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9">
        <f ca="1">RAND()</f>
        <v>0.70867016327812027</v>
      </c>
      <c r="E239">
        <f ca="1">RANK(dict_zul_Var_Meth[[#This Row],[ignored_rand]],dict_zul_Var_Meth[ignored_rand])</f>
        <v>239</v>
      </c>
    </row>
    <row r="240" spans="1:5" x14ac:dyDescent="0.45">
      <c r="A240">
        <f ca="1">VLOOKUP(dict_zul_Var_Meth[[#This Row],[ignored_rank]],help_zuord_Var_Meth[],2)</f>
        <v>63</v>
      </c>
      <c r="B240">
        <v>648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0">
        <f ca="1">RAND()</f>
        <v>0.71020176811517599</v>
      </c>
      <c r="E240">
        <f ca="1">RANK(dict_zul_Var_Meth[[#This Row],[ignored_rand]],dict_zul_Var_Meth[ignored_rand])</f>
        <v>236</v>
      </c>
    </row>
    <row r="241" spans="1:5" x14ac:dyDescent="0.45">
      <c r="A241">
        <f ca="1">VLOOKUP(dict_zul_Var_Meth[[#This Row],[ignored_rank]],help_zuord_Var_Meth[],2)</f>
        <v>64</v>
      </c>
      <c r="B241">
        <v>110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1">
        <f ca="1">RAND()</f>
        <v>0.70785523363461833</v>
      </c>
      <c r="E241">
        <f ca="1">RANK(dict_zul_Var_Meth[[#This Row],[ignored_rand]],dict_zul_Var_Meth[ignored_rand])</f>
        <v>240</v>
      </c>
    </row>
    <row r="242" spans="1:5" x14ac:dyDescent="0.45">
      <c r="A242">
        <f ca="1">VLOOKUP(dict_zul_Var_Meth[[#This Row],[ignored_rank]],help_zuord_Var_Meth[],2)</f>
        <v>64</v>
      </c>
      <c r="B242">
        <v>174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2">
        <f ca="1">RAND()</f>
        <v>0.70588968800582297</v>
      </c>
      <c r="E242">
        <f ca="1">RANK(dict_zul_Var_Meth[[#This Row],[ignored_rand]],dict_zul_Var_Meth[ignored_rand])</f>
        <v>244</v>
      </c>
    </row>
    <row r="243" spans="1:5" x14ac:dyDescent="0.45">
      <c r="A243">
        <f ca="1">VLOOKUP(dict_zul_Var_Meth[[#This Row],[ignored_rank]],help_zuord_Var_Meth[],2)</f>
        <v>64</v>
      </c>
      <c r="B243">
        <v>226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3">
        <f ca="1">RAND()</f>
        <v>0.70759337348444706</v>
      </c>
      <c r="E243">
        <f ca="1">RANK(dict_zul_Var_Meth[[#This Row],[ignored_rand]],dict_zul_Var_Meth[ignored_rand])</f>
        <v>241</v>
      </c>
    </row>
    <row r="244" spans="1:5" x14ac:dyDescent="0.45">
      <c r="A244">
        <f ca="1">VLOOKUP(dict_zul_Var_Meth[[#This Row],[ignored_rank]],help_zuord_Var_Meth[],2)</f>
        <v>64</v>
      </c>
      <c r="B244">
        <v>332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4">
        <f ca="1">RAND()</f>
        <v>0.70597055423413857</v>
      </c>
      <c r="E244">
        <f ca="1">RANK(dict_zul_Var_Meth[[#This Row],[ignored_rand]],dict_zul_Var_Meth[ignored_rand])</f>
        <v>243</v>
      </c>
    </row>
    <row r="245" spans="1:5" x14ac:dyDescent="0.45">
      <c r="A245">
        <f ca="1">VLOOKUP(dict_zul_Var_Meth[[#This Row],[ignored_rank]],help_zuord_Var_Meth[],2)</f>
        <v>64</v>
      </c>
      <c r="B245">
        <v>649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5">
        <f ca="1">RAND()</f>
        <v>0.70661017508851265</v>
      </c>
      <c r="E245">
        <f ca="1">RANK(dict_zul_Var_Meth[[#This Row],[ignored_rand]],dict_zul_Var_Meth[ignored_rand])</f>
        <v>242</v>
      </c>
    </row>
    <row r="246" spans="1:5" x14ac:dyDescent="0.45">
      <c r="A246">
        <f ca="1">VLOOKUP(dict_zul_Var_Meth[[#This Row],[ignored_rank]],help_zuord_Var_Meth[],2)</f>
        <v>65</v>
      </c>
      <c r="B246">
        <v>164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6">
        <f ca="1">RAND()</f>
        <v>0.70408267332661068</v>
      </c>
      <c r="E246">
        <f ca="1">RANK(dict_zul_Var_Meth[[#This Row],[ignored_rand]],dict_zul_Var_Meth[ignored_rand])</f>
        <v>246</v>
      </c>
    </row>
    <row r="247" spans="1:5" x14ac:dyDescent="0.45">
      <c r="A247">
        <f ca="1">VLOOKUP(dict_zul_Var_Meth[[#This Row],[ignored_rank]],help_zuord_Var_Meth[],2)</f>
        <v>65</v>
      </c>
      <c r="B247">
        <v>235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7">
        <f ca="1">RAND()</f>
        <v>0.70585660620477564</v>
      </c>
      <c r="E247">
        <f ca="1">RANK(dict_zul_Var_Meth[[#This Row],[ignored_rand]],dict_zul_Var_Meth[ignored_rand])</f>
        <v>245</v>
      </c>
    </row>
    <row r="248" spans="1:5" x14ac:dyDescent="0.45">
      <c r="A248">
        <f ca="1">VLOOKUP(dict_zul_Var_Meth[[#This Row],[ignored_rank]],help_zuord_Var_Meth[],2)</f>
        <v>65</v>
      </c>
      <c r="B248">
        <v>520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8">
        <f ca="1">RAND()</f>
        <v>0.70383265155020147</v>
      </c>
      <c r="E248">
        <f ca="1">RANK(dict_zul_Var_Meth[[#This Row],[ignored_rand]],dict_zul_Var_Meth[ignored_rand])</f>
        <v>247</v>
      </c>
    </row>
    <row r="249" spans="1:5" x14ac:dyDescent="0.45">
      <c r="A249">
        <f ca="1">VLOOKUP(dict_zul_Var_Meth[[#This Row],[ignored_rank]],help_zuord_Var_Meth[],2)</f>
        <v>66</v>
      </c>
      <c r="B249">
        <v>62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9">
        <f ca="1">RAND()</f>
        <v>0.70279621479212717</v>
      </c>
      <c r="E249">
        <f ca="1">RANK(dict_zul_Var_Meth[[#This Row],[ignored_rand]],dict_zul_Var_Meth[ignored_rand])</f>
        <v>248</v>
      </c>
    </row>
    <row r="250" spans="1:5" x14ac:dyDescent="0.45">
      <c r="A250" s="3">
        <f ca="1">VLOOKUP(dict_zul_Var_Meth[[#This Row],[ignored_rank]],help_zuord_Var_Meth[],2)</f>
        <v>66</v>
      </c>
      <c r="B250">
        <v>190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0">
        <f ca="1">RAND()</f>
        <v>0.70060755585529688</v>
      </c>
      <c r="E250" s="3">
        <f ca="1">RANK(dict_zul_Var_Meth[[#This Row],[ignored_rand]],dict_zul_Var_Meth[ignored_rand])</f>
        <v>250</v>
      </c>
    </row>
    <row r="251" spans="1:5" x14ac:dyDescent="0.45">
      <c r="A251">
        <f ca="1">VLOOKUP(dict_zul_Var_Meth[[#This Row],[ignored_rank]],help_zuord_Var_Meth[],2)</f>
        <v>66</v>
      </c>
      <c r="B251">
        <v>209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1">
        <f ca="1">RAND()</f>
        <v>0.6999153779561752</v>
      </c>
      <c r="E251">
        <f ca="1">RANK(dict_zul_Var_Meth[[#This Row],[ignored_rand]],dict_zul_Var_Meth[ignored_rand])</f>
        <v>251</v>
      </c>
    </row>
    <row r="252" spans="1:5" x14ac:dyDescent="0.45">
      <c r="A252">
        <f ca="1">VLOOKUP(dict_zul_Var_Meth[[#This Row],[ignored_rank]],help_zuord_Var_Meth[],2)</f>
        <v>66</v>
      </c>
      <c r="B252">
        <v>596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2">
        <f ca="1">RAND()</f>
        <v>0.70163272466995852</v>
      </c>
      <c r="E252">
        <f ca="1">RANK(dict_zul_Var_Meth[[#This Row],[ignored_rand]],dict_zul_Var_Meth[ignored_rand])</f>
        <v>249</v>
      </c>
    </row>
    <row r="253" spans="1:5" x14ac:dyDescent="0.45">
      <c r="A253">
        <f ca="1">VLOOKUP(dict_zul_Var_Meth[[#This Row],[ignored_rank]],help_zuord_Var_Meth[],2)</f>
        <v>67</v>
      </c>
      <c r="B253">
        <v>14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3">
        <f ca="1">RAND()</f>
        <v>0.69668593717696226</v>
      </c>
      <c r="E253">
        <f ca="1">RANK(dict_zul_Var_Meth[[#This Row],[ignored_rand]],dict_zul_Var_Meth[ignored_rand])</f>
        <v>254</v>
      </c>
    </row>
    <row r="254" spans="1:5" x14ac:dyDescent="0.45">
      <c r="A254">
        <f ca="1">VLOOKUP(dict_zul_Var_Meth[[#This Row],[ignored_rank]],help_zuord_Var_Meth[],2)</f>
        <v>67</v>
      </c>
      <c r="B254">
        <v>604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4">
        <f ca="1">RAND()</f>
        <v>0.69672301286570426</v>
      </c>
      <c r="E254">
        <f ca="1">RANK(dict_zul_Var_Meth[[#This Row],[ignored_rand]],dict_zul_Var_Meth[ignored_rand])</f>
        <v>253</v>
      </c>
    </row>
    <row r="255" spans="1:5" x14ac:dyDescent="0.45">
      <c r="A255">
        <f ca="1">VLOOKUP(dict_zul_Var_Meth[[#This Row],[ignored_rank]],help_zuord_Var_Meth[],2)</f>
        <v>67</v>
      </c>
      <c r="B255">
        <v>676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5">
        <f ca="1">RAND()</f>
        <v>0.69822615709323721</v>
      </c>
      <c r="E255">
        <f ca="1">RANK(dict_zul_Var_Meth[[#This Row],[ignored_rand]],dict_zul_Var_Meth[ignored_rand])</f>
        <v>252</v>
      </c>
    </row>
    <row r="256" spans="1:5" x14ac:dyDescent="0.45">
      <c r="A256">
        <f ca="1">VLOOKUP(dict_zul_Var_Meth[[#This Row],[ignored_rank]],help_zuord_Var_Meth[],2)</f>
        <v>68</v>
      </c>
      <c r="B256">
        <v>6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6">
        <f ca="1">RAND()</f>
        <v>0.694272576104353</v>
      </c>
      <c r="E256">
        <f ca="1">RANK(dict_zul_Var_Meth[[#This Row],[ignored_rand]],dict_zul_Var_Meth[ignored_rand])</f>
        <v>255</v>
      </c>
    </row>
    <row r="257" spans="1:5" x14ac:dyDescent="0.45">
      <c r="A257">
        <f ca="1">VLOOKUP(dict_zul_Var_Meth[[#This Row],[ignored_rank]],help_zuord_Var_Meth[],2)</f>
        <v>68</v>
      </c>
      <c r="B257">
        <v>70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7">
        <f ca="1">RAND()</f>
        <v>0.69164273570254009</v>
      </c>
      <c r="E257">
        <f ca="1">RANK(dict_zul_Var_Meth[[#This Row],[ignored_rand]],dict_zul_Var_Meth[ignored_rand])</f>
        <v>257</v>
      </c>
    </row>
    <row r="258" spans="1:5" x14ac:dyDescent="0.45">
      <c r="A258">
        <f ca="1">VLOOKUP(dict_zul_Var_Meth[[#This Row],[ignored_rank]],help_zuord_Var_Meth[],2)</f>
        <v>68</v>
      </c>
      <c r="B258">
        <v>439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8">
        <f ca="1">RAND()</f>
        <v>0.69301545624419469</v>
      </c>
      <c r="E258">
        <f ca="1">RANK(dict_zul_Var_Meth[[#This Row],[ignored_rand]],dict_zul_Var_Meth[ignored_rand])</f>
        <v>256</v>
      </c>
    </row>
    <row r="259" spans="1:5" x14ac:dyDescent="0.45">
      <c r="A259">
        <f ca="1">VLOOKUP(dict_zul_Var_Meth[[#This Row],[ignored_rank]],help_zuord_Var_Meth[],2)</f>
        <v>69</v>
      </c>
      <c r="B259">
        <v>108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9">
        <f ca="1">RAND()</f>
        <v>0.69045598141256104</v>
      </c>
      <c r="E259">
        <f ca="1">RANK(dict_zul_Var_Meth[[#This Row],[ignored_rand]],dict_zul_Var_Meth[ignored_rand])</f>
        <v>259</v>
      </c>
    </row>
    <row r="260" spans="1:5" x14ac:dyDescent="0.45">
      <c r="A260" s="3">
        <f ca="1">VLOOKUP(dict_zul_Var_Meth[[#This Row],[ignored_rank]],help_zuord_Var_Meth[],2)</f>
        <v>69</v>
      </c>
      <c r="B260">
        <v>137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0">
        <f ca="1">RAND()</f>
        <v>0.6890076215775458</v>
      </c>
      <c r="E260" s="3">
        <f ca="1">RANK(dict_zul_Var_Meth[[#This Row],[ignored_rand]],dict_zul_Var_Meth[ignored_rand])</f>
        <v>260</v>
      </c>
    </row>
    <row r="261" spans="1:5" x14ac:dyDescent="0.45">
      <c r="A261">
        <f ca="1">VLOOKUP(dict_zul_Var_Meth[[#This Row],[ignored_rank]],help_zuord_Var_Meth[],2)</f>
        <v>69</v>
      </c>
      <c r="B261">
        <v>167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1">
        <f ca="1">RAND()</f>
        <v>0.69141403926118183</v>
      </c>
      <c r="E261">
        <f ca="1">RANK(dict_zul_Var_Meth[[#This Row],[ignored_rand]],dict_zul_Var_Meth[ignored_rand])</f>
        <v>258</v>
      </c>
    </row>
    <row r="262" spans="1:5" x14ac:dyDescent="0.45">
      <c r="A262">
        <f ca="1">VLOOKUP(dict_zul_Var_Meth[[#This Row],[ignored_rank]],help_zuord_Var_Meth[],2)</f>
        <v>70</v>
      </c>
      <c r="B262">
        <v>7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2">
        <f ca="1">RAND()</f>
        <v>0.6813743465710782</v>
      </c>
      <c r="E262">
        <f ca="1">RANK(dict_zul_Var_Meth[[#This Row],[ignored_rand]],dict_zul_Var_Meth[ignored_rand])</f>
        <v>266</v>
      </c>
    </row>
    <row r="263" spans="1:5" x14ac:dyDescent="0.45">
      <c r="A263">
        <f ca="1">VLOOKUP(dict_zul_Var_Meth[[#This Row],[ignored_rank]],help_zuord_Var_Meth[],2)</f>
        <v>70</v>
      </c>
      <c r="B263">
        <v>56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3">
        <f ca="1">RAND()</f>
        <v>0.6886111975865653</v>
      </c>
      <c r="E263">
        <f ca="1">RANK(dict_zul_Var_Meth[[#This Row],[ignored_rand]],dict_zul_Var_Meth[ignored_rand])</f>
        <v>261</v>
      </c>
    </row>
    <row r="264" spans="1:5" x14ac:dyDescent="0.45">
      <c r="A264">
        <f ca="1">VLOOKUP(dict_zul_Var_Meth[[#This Row],[ignored_rank]],help_zuord_Var_Meth[],2)</f>
        <v>70</v>
      </c>
      <c r="B264">
        <v>96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4">
        <f ca="1">RAND()</f>
        <v>0.68500656707437046</v>
      </c>
      <c r="E264">
        <f ca="1">RANK(dict_zul_Var_Meth[[#This Row],[ignored_rand]],dict_zul_Var_Meth[ignored_rand])</f>
        <v>265</v>
      </c>
    </row>
    <row r="265" spans="1:5" x14ac:dyDescent="0.45">
      <c r="A265">
        <f ca="1">VLOOKUP(dict_zul_Var_Meth[[#This Row],[ignored_rank]],help_zuord_Var_Meth[],2)</f>
        <v>70</v>
      </c>
      <c r="B265">
        <v>98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5">
        <f ca="1">RAND()</f>
        <v>0.68515196537592216</v>
      </c>
      <c r="E265">
        <f ca="1">RANK(dict_zul_Var_Meth[[#This Row],[ignored_rand]],dict_zul_Var_Meth[ignored_rand])</f>
        <v>264</v>
      </c>
    </row>
    <row r="266" spans="1:5" x14ac:dyDescent="0.45">
      <c r="A266">
        <f ca="1">VLOOKUP(dict_zul_Var_Meth[[#This Row],[ignored_rank]],help_zuord_Var_Meth[],2)</f>
        <v>70</v>
      </c>
      <c r="B266">
        <v>412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6">
        <f ca="1">RAND()</f>
        <v>0.68720088026632509</v>
      </c>
      <c r="E266">
        <f ca="1">RANK(dict_zul_Var_Meth[[#This Row],[ignored_rand]],dict_zul_Var_Meth[ignored_rand])</f>
        <v>263</v>
      </c>
    </row>
    <row r="267" spans="1:5" x14ac:dyDescent="0.45">
      <c r="A267">
        <f ca="1">VLOOKUP(dict_zul_Var_Meth[[#This Row],[ignored_rank]],help_zuord_Var_Meth[],2)</f>
        <v>70</v>
      </c>
      <c r="B267">
        <v>448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7">
        <f ca="1">RAND()</f>
        <v>0.68848856293136718</v>
      </c>
      <c r="E267">
        <f ca="1">RANK(dict_zul_Var_Meth[[#This Row],[ignored_rand]],dict_zul_Var_Meth[ignored_rand])</f>
        <v>262</v>
      </c>
    </row>
    <row r="268" spans="1:5" x14ac:dyDescent="0.45">
      <c r="A268">
        <f ca="1">VLOOKUP(dict_zul_Var_Meth[[#This Row],[ignored_rank]],help_zuord_Var_Meth[],2)</f>
        <v>71</v>
      </c>
      <c r="B268">
        <v>267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8">
        <f ca="1">RAND()</f>
        <v>0.67470969501853029</v>
      </c>
      <c r="E268">
        <f ca="1">RANK(dict_zul_Var_Meth[[#This Row],[ignored_rand]],dict_zul_Var_Meth[ignored_rand])</f>
        <v>269</v>
      </c>
    </row>
    <row r="269" spans="1:5" x14ac:dyDescent="0.45">
      <c r="A269">
        <f ca="1">VLOOKUP(dict_zul_Var_Meth[[#This Row],[ignored_rank]],help_zuord_Var_Meth[],2)</f>
        <v>71</v>
      </c>
      <c r="B269">
        <v>452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9">
        <f ca="1">RAND()</f>
        <v>0.68127565848103633</v>
      </c>
      <c r="E269">
        <f ca="1">RANK(dict_zul_Var_Meth[[#This Row],[ignored_rand]],dict_zul_Var_Meth[ignored_rand])</f>
        <v>267</v>
      </c>
    </row>
    <row r="270" spans="1:5" x14ac:dyDescent="0.45">
      <c r="A270" s="3">
        <f ca="1">VLOOKUP(dict_zul_Var_Meth[[#This Row],[ignored_rank]],help_zuord_Var_Meth[],2)</f>
        <v>71</v>
      </c>
      <c r="B270">
        <v>481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0">
        <f ca="1">RAND()</f>
        <v>0.67499317857268526</v>
      </c>
      <c r="E270" s="3">
        <f ca="1">RANK(dict_zul_Var_Meth[[#This Row],[ignored_rand]],dict_zul_Var_Meth[ignored_rand])</f>
        <v>268</v>
      </c>
    </row>
    <row r="271" spans="1:5" x14ac:dyDescent="0.45">
      <c r="A271">
        <f ca="1">VLOOKUP(dict_zul_Var_Meth[[#This Row],[ignored_rank]],help_zuord_Var_Meth[],2)</f>
        <v>72</v>
      </c>
      <c r="B271">
        <v>216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1">
        <f ca="1">RAND()</f>
        <v>0.67368473399705697</v>
      </c>
      <c r="E271">
        <f ca="1">RANK(dict_zul_Var_Meth[[#This Row],[ignored_rand]],dict_zul_Var_Meth[ignored_rand])</f>
        <v>270</v>
      </c>
    </row>
    <row r="272" spans="1:5" x14ac:dyDescent="0.45">
      <c r="A272">
        <f ca="1">VLOOKUP(dict_zul_Var_Meth[[#This Row],[ignored_rank]],help_zuord_Var_Meth[],2)</f>
        <v>72</v>
      </c>
      <c r="B272">
        <v>393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2">
        <f ca="1">RAND()</f>
        <v>0.67138770650317348</v>
      </c>
      <c r="E272">
        <f ca="1">RANK(dict_zul_Var_Meth[[#This Row],[ignored_rand]],dict_zul_Var_Meth[ignored_rand])</f>
        <v>272</v>
      </c>
    </row>
    <row r="273" spans="1:5" x14ac:dyDescent="0.45">
      <c r="A273">
        <f ca="1">VLOOKUP(dict_zul_Var_Meth[[#This Row],[ignored_rank]],help_zuord_Var_Meth[],2)</f>
        <v>72</v>
      </c>
      <c r="B273">
        <v>599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3">
        <f ca="1">RAND()</f>
        <v>0.67361019045190462</v>
      </c>
      <c r="E273">
        <f ca="1">RANK(dict_zul_Var_Meth[[#This Row],[ignored_rand]],dict_zul_Var_Meth[ignored_rand])</f>
        <v>271</v>
      </c>
    </row>
    <row r="274" spans="1:5" x14ac:dyDescent="0.45">
      <c r="A274">
        <f ca="1">VLOOKUP(dict_zul_Var_Meth[[#This Row],[ignored_rank]],help_zuord_Var_Meth[],2)</f>
        <v>73</v>
      </c>
      <c r="B274">
        <v>23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4">
        <f ca="1">RAND()</f>
        <v>0.66577052477406862</v>
      </c>
      <c r="E274">
        <f ca="1">RANK(dict_zul_Var_Meth[[#This Row],[ignored_rand]],dict_zul_Var_Meth[ignored_rand])</f>
        <v>277</v>
      </c>
    </row>
    <row r="275" spans="1:5" x14ac:dyDescent="0.45">
      <c r="A275">
        <f ca="1">VLOOKUP(dict_zul_Var_Meth[[#This Row],[ignored_rank]],help_zuord_Var_Meth[],2)</f>
        <v>73</v>
      </c>
      <c r="B275">
        <v>321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5">
        <f ca="1">RAND()</f>
        <v>0.67111876374472679</v>
      </c>
      <c r="E275">
        <f ca="1">RANK(dict_zul_Var_Meth[[#This Row],[ignored_rand]],dict_zul_Var_Meth[ignored_rand])</f>
        <v>273</v>
      </c>
    </row>
    <row r="276" spans="1:5" x14ac:dyDescent="0.45">
      <c r="A276">
        <f ca="1">VLOOKUP(dict_zul_Var_Meth[[#This Row],[ignored_rank]],help_zuord_Var_Meth[],2)</f>
        <v>73</v>
      </c>
      <c r="B276">
        <v>325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6">
        <f ca="1">RAND()</f>
        <v>0.66803959315583028</v>
      </c>
      <c r="E276">
        <f ca="1">RANK(dict_zul_Var_Meth[[#This Row],[ignored_rand]],dict_zul_Var_Meth[ignored_rand])</f>
        <v>276</v>
      </c>
    </row>
    <row r="277" spans="1:5" x14ac:dyDescent="0.45">
      <c r="A277">
        <f ca="1">VLOOKUP(dict_zul_Var_Meth[[#This Row],[ignored_rank]],help_zuord_Var_Meth[],2)</f>
        <v>73</v>
      </c>
      <c r="B277">
        <v>567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7">
        <f ca="1">RAND()</f>
        <v>0.66990567245767518</v>
      </c>
      <c r="E277">
        <f ca="1">RANK(dict_zul_Var_Meth[[#This Row],[ignored_rand]],dict_zul_Var_Meth[ignored_rand])</f>
        <v>274</v>
      </c>
    </row>
    <row r="278" spans="1:5" x14ac:dyDescent="0.45">
      <c r="A278">
        <f ca="1">VLOOKUP(dict_zul_Var_Meth[[#This Row],[ignored_rank]],help_zuord_Var_Meth[],2)</f>
        <v>73</v>
      </c>
      <c r="B278">
        <v>654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8">
        <f ca="1">RAND()</f>
        <v>0.66876857498007813</v>
      </c>
      <c r="E278">
        <f ca="1">RANK(dict_zul_Var_Meth[[#This Row],[ignored_rand]],dict_zul_Var_Meth[ignored_rand])</f>
        <v>275</v>
      </c>
    </row>
    <row r="279" spans="1:5" x14ac:dyDescent="0.45">
      <c r="A279">
        <f ca="1">VLOOKUP(dict_zul_Var_Meth[[#This Row],[ignored_rank]],help_zuord_Var_Meth[],2)</f>
        <v>74</v>
      </c>
      <c r="B279">
        <v>18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9">
        <f ca="1">RAND()</f>
        <v>0.65894945745908107</v>
      </c>
      <c r="E279">
        <f ca="1">RANK(dict_zul_Var_Meth[[#This Row],[ignored_rand]],dict_zul_Var_Meth[ignored_rand])</f>
        <v>280</v>
      </c>
    </row>
    <row r="280" spans="1:5" x14ac:dyDescent="0.45">
      <c r="A280">
        <f ca="1">VLOOKUP(dict_zul_Var_Meth[[#This Row],[ignored_rank]],help_zuord_Var_Meth[],2)</f>
        <v>74</v>
      </c>
      <c r="B280">
        <v>396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0">
        <f ca="1">RAND()</f>
        <v>0.66023284285227823</v>
      </c>
      <c r="E280">
        <f ca="1">RANK(dict_zul_Var_Meth[[#This Row],[ignored_rand]],dict_zul_Var_Meth[ignored_rand])</f>
        <v>279</v>
      </c>
    </row>
    <row r="281" spans="1:5" x14ac:dyDescent="0.45">
      <c r="A281">
        <f ca="1">VLOOKUP(dict_zul_Var_Meth[[#This Row],[ignored_rank]],help_zuord_Var_Meth[],2)</f>
        <v>74</v>
      </c>
      <c r="B281">
        <v>613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1">
        <f ca="1">RAND()</f>
        <v>0.66125313589507684</v>
      </c>
      <c r="E281">
        <f ca="1">RANK(dict_zul_Var_Meth[[#This Row],[ignored_rand]],dict_zul_Var_Meth[ignored_rand])</f>
        <v>278</v>
      </c>
    </row>
    <row r="282" spans="1:5" x14ac:dyDescent="0.45">
      <c r="A282">
        <f ca="1">VLOOKUP(dict_zul_Var_Meth[[#This Row],[ignored_rank]],help_zuord_Var_Meth[],2)</f>
        <v>75</v>
      </c>
      <c r="B282">
        <v>45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2">
        <f ca="1">RAND()</f>
        <v>0.65403243153987678</v>
      </c>
      <c r="E282">
        <f ca="1">RANK(dict_zul_Var_Meth[[#This Row],[ignored_rand]],dict_zul_Var_Meth[ignored_rand])</f>
        <v>282</v>
      </c>
    </row>
    <row r="283" spans="1:5" x14ac:dyDescent="0.45">
      <c r="A283">
        <f ca="1">VLOOKUP(dict_zul_Var_Meth[[#This Row],[ignored_rank]],help_zuord_Var_Meth[],2)</f>
        <v>75</v>
      </c>
      <c r="B283">
        <v>133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3">
        <f ca="1">RAND()</f>
        <v>0.65877073236200456</v>
      </c>
      <c r="E283">
        <f ca="1">RANK(dict_zul_Var_Meth[[#This Row],[ignored_rand]],dict_zul_Var_Meth[ignored_rand])</f>
        <v>281</v>
      </c>
    </row>
    <row r="284" spans="1:5" x14ac:dyDescent="0.45">
      <c r="A284">
        <f ca="1">VLOOKUP(dict_zul_Var_Meth[[#This Row],[ignored_rank]],help_zuord_Var_Meth[],2)</f>
        <v>75</v>
      </c>
      <c r="B284">
        <v>222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4">
        <f ca="1">RAND()</f>
        <v>0.65312750564926514</v>
      </c>
      <c r="E284">
        <f ca="1">RANK(dict_zul_Var_Meth[[#This Row],[ignored_rand]],dict_zul_Var_Meth[ignored_rand])</f>
        <v>284</v>
      </c>
    </row>
    <row r="285" spans="1:5" x14ac:dyDescent="0.45">
      <c r="A285">
        <f ca="1">VLOOKUP(dict_zul_Var_Meth[[#This Row],[ignored_rank]],help_zuord_Var_Meth[],2)</f>
        <v>75</v>
      </c>
      <c r="B285">
        <v>698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5">
        <f ca="1">RAND()</f>
        <v>0.65373822201188303</v>
      </c>
      <c r="E285">
        <f ca="1">RANK(dict_zul_Var_Meth[[#This Row],[ignored_rand]],dict_zul_Var_Meth[ignored_rand])</f>
        <v>283</v>
      </c>
    </row>
    <row r="286" spans="1:5" x14ac:dyDescent="0.45">
      <c r="A286">
        <f ca="1">VLOOKUP(dict_zul_Var_Meth[[#This Row],[ignored_rank]],help_zuord_Var_Meth[],2)</f>
        <v>76</v>
      </c>
      <c r="B286">
        <v>227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6">
        <f ca="1">RAND()</f>
        <v>0.65143558864441076</v>
      </c>
      <c r="E286">
        <f ca="1">RANK(dict_zul_Var_Meth[[#This Row],[ignored_rand]],dict_zul_Var_Meth[ignored_rand])</f>
        <v>287</v>
      </c>
    </row>
    <row r="287" spans="1:5" x14ac:dyDescent="0.45">
      <c r="A287">
        <f ca="1">VLOOKUP(dict_zul_Var_Meth[[#This Row],[ignored_rank]],help_zuord_Var_Meth[],2)</f>
        <v>76</v>
      </c>
      <c r="B287">
        <v>309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7">
        <f ca="1">RAND()</f>
        <v>0.65248002099342206</v>
      </c>
      <c r="E287">
        <f ca="1">RANK(dict_zul_Var_Meth[[#This Row],[ignored_rand]],dict_zul_Var_Meth[ignored_rand])</f>
        <v>285</v>
      </c>
    </row>
    <row r="288" spans="1:5" x14ac:dyDescent="0.45">
      <c r="A288">
        <f ca="1">VLOOKUP(dict_zul_Var_Meth[[#This Row],[ignored_rank]],help_zuord_Var_Meth[],2)</f>
        <v>76</v>
      </c>
      <c r="B288">
        <v>367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8">
        <f ca="1">RAND()</f>
        <v>0.64717022553861436</v>
      </c>
      <c r="E288">
        <f ca="1">RANK(dict_zul_Var_Meth[[#This Row],[ignored_rand]],dict_zul_Var_Meth[ignored_rand])</f>
        <v>288</v>
      </c>
    </row>
    <row r="289" spans="1:5" x14ac:dyDescent="0.45">
      <c r="A289">
        <f ca="1">VLOOKUP(dict_zul_Var_Meth[[#This Row],[ignored_rank]],help_zuord_Var_Meth[],2)</f>
        <v>76</v>
      </c>
      <c r="B289">
        <v>535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9">
        <f ca="1">RAND()</f>
        <v>0.65147329368485785</v>
      </c>
      <c r="E289">
        <f ca="1">RANK(dict_zul_Var_Meth[[#This Row],[ignored_rand]],dict_zul_Var_Meth[ignored_rand])</f>
        <v>286</v>
      </c>
    </row>
    <row r="290" spans="1:5" x14ac:dyDescent="0.45">
      <c r="A290">
        <f ca="1">VLOOKUP(dict_zul_Var_Meth[[#This Row],[ignored_rank]],help_zuord_Var_Meth[],2)</f>
        <v>77</v>
      </c>
      <c r="B290">
        <v>30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0">
        <f ca="1">RAND()</f>
        <v>0.64524194189466522</v>
      </c>
      <c r="E290">
        <f ca="1">RANK(dict_zul_Var_Meth[[#This Row],[ignored_rand]],dict_zul_Var_Meth[ignored_rand])</f>
        <v>290</v>
      </c>
    </row>
    <row r="291" spans="1:5" x14ac:dyDescent="0.45">
      <c r="A291">
        <f ca="1">VLOOKUP(dict_zul_Var_Meth[[#This Row],[ignored_rank]],help_zuord_Var_Meth[],2)</f>
        <v>77</v>
      </c>
      <c r="B291">
        <v>80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1">
        <f ca="1">RAND()</f>
        <v>0.64699806236414381</v>
      </c>
      <c r="E291">
        <f ca="1">RANK(dict_zul_Var_Meth[[#This Row],[ignored_rand]],dict_zul_Var_Meth[ignored_rand])</f>
        <v>289</v>
      </c>
    </row>
    <row r="292" spans="1:5" x14ac:dyDescent="0.45">
      <c r="A292">
        <f ca="1">VLOOKUP(dict_zul_Var_Meth[[#This Row],[ignored_rank]],help_zuord_Var_Meth[],2)</f>
        <v>78</v>
      </c>
      <c r="B292">
        <v>15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2">
        <f ca="1">RAND()</f>
        <v>0.63465239104247928</v>
      </c>
      <c r="E292">
        <f ca="1">RANK(dict_zul_Var_Meth[[#This Row],[ignored_rand]],dict_zul_Var_Meth[ignored_rand])</f>
        <v>294</v>
      </c>
    </row>
    <row r="293" spans="1:5" x14ac:dyDescent="0.45">
      <c r="A293">
        <f ca="1">VLOOKUP(dict_zul_Var_Meth[[#This Row],[ignored_rank]],help_zuord_Var_Meth[],2)</f>
        <v>78</v>
      </c>
      <c r="B293">
        <v>59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3">
        <f ca="1">RAND()</f>
        <v>0.63748209597538696</v>
      </c>
      <c r="E293">
        <f ca="1">RANK(dict_zul_Var_Meth[[#This Row],[ignored_rand]],dict_zul_Var_Meth[ignored_rand])</f>
        <v>293</v>
      </c>
    </row>
    <row r="294" spans="1:5" x14ac:dyDescent="0.45">
      <c r="A294">
        <f ca="1">VLOOKUP(dict_zul_Var_Meth[[#This Row],[ignored_rank]],help_zuord_Var_Meth[],2)</f>
        <v>78</v>
      </c>
      <c r="B294">
        <v>168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4">
        <f ca="1">RAND()</f>
        <v>0.64389729558925601</v>
      </c>
      <c r="E294">
        <f ca="1">RANK(dict_zul_Var_Meth[[#This Row],[ignored_rand]],dict_zul_Var_Meth[ignored_rand])</f>
        <v>291</v>
      </c>
    </row>
    <row r="295" spans="1:5" x14ac:dyDescent="0.45">
      <c r="A295">
        <f ca="1">VLOOKUP(dict_zul_Var_Meth[[#This Row],[ignored_rank]],help_zuord_Var_Meth[],2)</f>
        <v>78</v>
      </c>
      <c r="B295">
        <v>324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5">
        <f ca="1">RAND()</f>
        <v>0.64208506779765573</v>
      </c>
      <c r="E295">
        <f ca="1">RANK(dict_zul_Var_Meth[[#This Row],[ignored_rand]],dict_zul_Var_Meth[ignored_rand])</f>
        <v>292</v>
      </c>
    </row>
    <row r="296" spans="1:5" x14ac:dyDescent="0.45">
      <c r="A296">
        <f ca="1">VLOOKUP(dict_zul_Var_Meth[[#This Row],[ignored_rank]],help_zuord_Var_Meth[],2)</f>
        <v>79</v>
      </c>
      <c r="B296">
        <v>72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6">
        <f ca="1">RAND()</f>
        <v>0.62809966907988402</v>
      </c>
      <c r="E296">
        <f ca="1">RANK(dict_zul_Var_Meth[[#This Row],[ignored_rand]],dict_zul_Var_Meth[ignored_rand])</f>
        <v>299</v>
      </c>
    </row>
    <row r="297" spans="1:5" x14ac:dyDescent="0.45">
      <c r="A297">
        <f ca="1">VLOOKUP(dict_zul_Var_Meth[[#This Row],[ignored_rank]],help_zuord_Var_Meth[],2)</f>
        <v>79</v>
      </c>
      <c r="B297">
        <v>240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7">
        <f ca="1">RAND()</f>
        <v>0.63175466514159506</v>
      </c>
      <c r="E297">
        <f ca="1">RANK(dict_zul_Var_Meth[[#This Row],[ignored_rand]],dict_zul_Var_Meth[ignored_rand])</f>
        <v>296</v>
      </c>
    </row>
    <row r="298" spans="1:5" x14ac:dyDescent="0.45">
      <c r="A298">
        <f ca="1">VLOOKUP(dict_zul_Var_Meth[[#This Row],[ignored_rank]],help_zuord_Var_Meth[],2)</f>
        <v>79</v>
      </c>
      <c r="B298">
        <v>254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8">
        <f ca="1">RAND()</f>
        <v>0.6289833031236638</v>
      </c>
      <c r="E298">
        <f ca="1">RANK(dict_zul_Var_Meth[[#This Row],[ignored_rand]],dict_zul_Var_Meth[ignored_rand])</f>
        <v>298</v>
      </c>
    </row>
    <row r="299" spans="1:5" x14ac:dyDescent="0.45">
      <c r="A299">
        <f ca="1">VLOOKUP(dict_zul_Var_Meth[[#This Row],[ignored_rank]],help_zuord_Var_Meth[],2)</f>
        <v>79</v>
      </c>
      <c r="B299">
        <v>334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9">
        <f ca="1">RAND()</f>
        <v>0.63258620794160569</v>
      </c>
      <c r="E299">
        <f ca="1">RANK(dict_zul_Var_Meth[[#This Row],[ignored_rand]],dict_zul_Var_Meth[ignored_rand])</f>
        <v>295</v>
      </c>
    </row>
    <row r="300" spans="1:5" x14ac:dyDescent="0.45">
      <c r="A300">
        <f ca="1">VLOOKUP(dict_zul_Var_Meth[[#This Row],[ignored_rank]],help_zuord_Var_Meth[],2)</f>
        <v>79</v>
      </c>
      <c r="B300">
        <v>519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0">
        <f ca="1">RAND()</f>
        <v>0.62955797697540805</v>
      </c>
      <c r="E300">
        <f ca="1">RANK(dict_zul_Var_Meth[[#This Row],[ignored_rand]],dict_zul_Var_Meth[ignored_rand])</f>
        <v>297</v>
      </c>
    </row>
    <row r="301" spans="1:5" x14ac:dyDescent="0.45">
      <c r="A301" s="3">
        <f ca="1">VLOOKUP(dict_zul_Var_Meth[[#This Row],[ignored_rank]],help_zuord_Var_Meth[],2)</f>
        <v>80</v>
      </c>
      <c r="B301">
        <v>5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1">
        <f ca="1">RAND()</f>
        <v>0.62629059789239938</v>
      </c>
      <c r="E301" s="3">
        <f ca="1">RANK(dict_zul_Var_Meth[[#This Row],[ignored_rand]],dict_zul_Var_Meth[ignored_rand])</f>
        <v>302</v>
      </c>
    </row>
    <row r="302" spans="1:5" x14ac:dyDescent="0.45">
      <c r="A302">
        <f ca="1">VLOOKUP(dict_zul_Var_Meth[[#This Row],[ignored_rank]],help_zuord_Var_Meth[],2)</f>
        <v>80</v>
      </c>
      <c r="B302">
        <v>259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2">
        <f ca="1">RAND()</f>
        <v>0.62648936892586038</v>
      </c>
      <c r="E302">
        <f ca="1">RANK(dict_zul_Var_Meth[[#This Row],[ignored_rand]],dict_zul_Var_Meth[ignored_rand])</f>
        <v>301</v>
      </c>
    </row>
    <row r="303" spans="1:5" x14ac:dyDescent="0.45">
      <c r="A303">
        <f ca="1">VLOOKUP(dict_zul_Var_Meth[[#This Row],[ignored_rank]],help_zuord_Var_Meth[],2)</f>
        <v>80</v>
      </c>
      <c r="B303">
        <v>500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3">
        <f ca="1">RAND()</f>
        <v>0.62767664318929517</v>
      </c>
      <c r="E303">
        <f ca="1">RANK(dict_zul_Var_Meth[[#This Row],[ignored_rand]],dict_zul_Var_Meth[ignored_rand])</f>
        <v>300</v>
      </c>
    </row>
    <row r="304" spans="1:5" x14ac:dyDescent="0.45">
      <c r="A304">
        <f ca="1">VLOOKUP(dict_zul_Var_Meth[[#This Row],[ignored_rank]],help_zuord_Var_Meth[],2)</f>
        <v>81</v>
      </c>
      <c r="B304">
        <v>1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4">
        <f ca="1">RAND()</f>
        <v>0.62124541834664504</v>
      </c>
      <c r="E304">
        <f ca="1">RANK(dict_zul_Var_Meth[[#This Row],[ignored_rand]],dict_zul_Var_Meth[ignored_rand])</f>
        <v>306</v>
      </c>
    </row>
    <row r="305" spans="1:5" x14ac:dyDescent="0.45">
      <c r="A305">
        <f ca="1">VLOOKUP(dict_zul_Var_Meth[[#This Row],[ignored_rank]],help_zuord_Var_Meth[],2)</f>
        <v>81</v>
      </c>
      <c r="B305">
        <v>50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5">
        <f ca="1">RAND()</f>
        <v>0.62221907522381059</v>
      </c>
      <c r="E305">
        <f ca="1">RANK(dict_zul_Var_Meth[[#This Row],[ignored_rand]],dict_zul_Var_Meth[ignored_rand])</f>
        <v>305</v>
      </c>
    </row>
    <row r="306" spans="1:5" x14ac:dyDescent="0.45">
      <c r="A306">
        <f ca="1">VLOOKUP(dict_zul_Var_Meth[[#This Row],[ignored_rank]],help_zuord_Var_Meth[],2)</f>
        <v>81</v>
      </c>
      <c r="B306">
        <v>125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6">
        <f ca="1">RAND()</f>
        <v>0.62270857346349584</v>
      </c>
      <c r="E306">
        <f ca="1">RANK(dict_zul_Var_Meth[[#This Row],[ignored_rand]],dict_zul_Var_Meth[ignored_rand])</f>
        <v>303</v>
      </c>
    </row>
    <row r="307" spans="1:5" x14ac:dyDescent="0.45">
      <c r="A307">
        <f ca="1">VLOOKUP(dict_zul_Var_Meth[[#This Row],[ignored_rank]],help_zuord_Var_Meth[],2)</f>
        <v>81</v>
      </c>
      <c r="B307">
        <v>562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7">
        <f ca="1">RAND()</f>
        <v>0.62251974839668822</v>
      </c>
      <c r="E307">
        <f ca="1">RANK(dict_zul_Var_Meth[[#This Row],[ignored_rand]],dict_zul_Var_Meth[ignored_rand])</f>
        <v>304</v>
      </c>
    </row>
    <row r="308" spans="1:5" x14ac:dyDescent="0.45">
      <c r="A308">
        <f ca="1">VLOOKUP(dict_zul_Var_Meth[[#This Row],[ignored_rank]],help_zuord_Var_Meth[],2)</f>
        <v>82</v>
      </c>
      <c r="B308">
        <v>37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8">
        <f ca="1">RAND()</f>
        <v>0.61665687152015736</v>
      </c>
      <c r="E308">
        <f ca="1">RANK(dict_zul_Var_Meth[[#This Row],[ignored_rand]],dict_zul_Var_Meth[ignored_rand])</f>
        <v>308</v>
      </c>
    </row>
    <row r="309" spans="1:5" x14ac:dyDescent="0.45">
      <c r="A309">
        <f ca="1">VLOOKUP(dict_zul_Var_Meth[[#This Row],[ignored_rank]],help_zuord_Var_Meth[],2)</f>
        <v>82</v>
      </c>
      <c r="B309">
        <v>220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9">
        <f ca="1">RAND()</f>
        <v>0.62014053641361855</v>
      </c>
      <c r="E309">
        <f ca="1">RANK(dict_zul_Var_Meth[[#This Row],[ignored_rand]],dict_zul_Var_Meth[ignored_rand])</f>
        <v>307</v>
      </c>
    </row>
    <row r="310" spans="1:5" x14ac:dyDescent="0.45">
      <c r="A310">
        <f ca="1">VLOOKUP(dict_zul_Var_Meth[[#This Row],[ignored_rank]],help_zuord_Var_Meth[],2)</f>
        <v>82</v>
      </c>
      <c r="B310">
        <v>270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0">
        <f ca="1">RAND()</f>
        <v>0.6142452164458243</v>
      </c>
      <c r="E310">
        <f ca="1">RANK(dict_zul_Var_Meth[[#This Row],[ignored_rand]],dict_zul_Var_Meth[ignored_rand])</f>
        <v>310</v>
      </c>
    </row>
    <row r="311" spans="1:5" x14ac:dyDescent="0.45">
      <c r="A311">
        <f ca="1">VLOOKUP(dict_zul_Var_Meth[[#This Row],[ignored_rank]],help_zuord_Var_Meth[],2)</f>
        <v>82</v>
      </c>
      <c r="B311">
        <v>516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1">
        <f ca="1">RAND()</f>
        <v>0.61447458915962549</v>
      </c>
      <c r="E311">
        <f ca="1">RANK(dict_zul_Var_Meth[[#This Row],[ignored_rand]],dict_zul_Var_Meth[ignored_rand])</f>
        <v>309</v>
      </c>
    </row>
    <row r="312" spans="1:5" x14ac:dyDescent="0.45">
      <c r="A312" s="3">
        <f ca="1">VLOOKUP(dict_zul_Var_Meth[[#This Row],[ignored_rank]],help_zuord_Var_Meth[],2)</f>
        <v>83</v>
      </c>
      <c r="B312">
        <v>48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2">
        <f ca="1">RAND()</f>
        <v>0.6109660398586213</v>
      </c>
      <c r="E312" s="3">
        <f ca="1">RANK(dict_zul_Var_Meth[[#This Row],[ignored_rand]],dict_zul_Var_Meth[ignored_rand])</f>
        <v>313</v>
      </c>
    </row>
    <row r="313" spans="1:5" x14ac:dyDescent="0.45">
      <c r="A313">
        <f ca="1">VLOOKUP(dict_zul_Var_Meth[[#This Row],[ignored_rank]],help_zuord_Var_Meth[],2)</f>
        <v>83</v>
      </c>
      <c r="B313">
        <v>217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3">
        <f ca="1">RAND()</f>
        <v>0.61261709542542986</v>
      </c>
      <c r="E313">
        <f ca="1">RANK(dict_zul_Var_Meth[[#This Row],[ignored_rand]],dict_zul_Var_Meth[ignored_rand])</f>
        <v>311</v>
      </c>
    </row>
    <row r="314" spans="1:5" x14ac:dyDescent="0.45">
      <c r="A314">
        <f ca="1">VLOOKUP(dict_zul_Var_Meth[[#This Row],[ignored_rank]],help_zuord_Var_Meth[],2)</f>
        <v>83</v>
      </c>
      <c r="B314">
        <v>383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4">
        <f ca="1">RAND()</f>
        <v>0.60834851782871324</v>
      </c>
      <c r="E314">
        <f ca="1">RANK(dict_zul_Var_Meth[[#This Row],[ignored_rand]],dict_zul_Var_Meth[ignored_rand])</f>
        <v>314</v>
      </c>
    </row>
    <row r="315" spans="1:5" x14ac:dyDescent="0.45">
      <c r="A315" s="3">
        <f ca="1">VLOOKUP(dict_zul_Var_Meth[[#This Row],[ignored_rank]],help_zuord_Var_Meth[],2)</f>
        <v>83</v>
      </c>
      <c r="B315">
        <v>480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5">
        <f ca="1">RAND()</f>
        <v>0.6114692351236195</v>
      </c>
      <c r="E315" s="3">
        <f ca="1">RANK(dict_zul_Var_Meth[[#This Row],[ignored_rand]],dict_zul_Var_Meth[ignored_rand])</f>
        <v>312</v>
      </c>
    </row>
    <row r="316" spans="1:5" x14ac:dyDescent="0.45">
      <c r="A316">
        <f ca="1">VLOOKUP(dict_zul_Var_Meth[[#This Row],[ignored_rank]],help_zuord_Var_Meth[],2)</f>
        <v>84</v>
      </c>
      <c r="B316">
        <v>68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6">
        <f ca="1">RAND()</f>
        <v>0.60593946257594899</v>
      </c>
      <c r="E316">
        <f ca="1">RANK(dict_zul_Var_Meth[[#This Row],[ignored_rand]],dict_zul_Var_Meth[ignored_rand])</f>
        <v>315</v>
      </c>
    </row>
    <row r="317" spans="1:5" x14ac:dyDescent="0.45">
      <c r="A317">
        <f ca="1">VLOOKUP(dict_zul_Var_Meth[[#This Row],[ignored_rank]],help_zuord_Var_Meth[],2)</f>
        <v>84</v>
      </c>
      <c r="B317">
        <v>623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7">
        <f ca="1">RAND()</f>
        <v>0.60487278585984194</v>
      </c>
      <c r="E317">
        <f ca="1">RANK(dict_zul_Var_Meth[[#This Row],[ignored_rand]],dict_zul_Var_Meth[ignored_rand])</f>
        <v>316</v>
      </c>
    </row>
    <row r="318" spans="1:5" x14ac:dyDescent="0.45">
      <c r="A318">
        <f ca="1">VLOOKUP(dict_zul_Var_Meth[[#This Row],[ignored_rank]],help_zuord_Var_Meth[],2)</f>
        <v>84</v>
      </c>
      <c r="B318">
        <v>629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8">
        <f ca="1">RAND()</f>
        <v>0.6012120627194133</v>
      </c>
      <c r="E318">
        <f ca="1">RANK(dict_zul_Var_Meth[[#This Row],[ignored_rand]],dict_zul_Var_Meth[ignored_rand])</f>
        <v>318</v>
      </c>
    </row>
    <row r="319" spans="1:5" x14ac:dyDescent="0.45">
      <c r="A319">
        <f ca="1">VLOOKUP(dict_zul_Var_Meth[[#This Row],[ignored_rank]],help_zuord_Var_Meth[],2)</f>
        <v>84</v>
      </c>
      <c r="B319">
        <v>653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9">
        <f ca="1">RAND()</f>
        <v>0.60242900431796909</v>
      </c>
      <c r="E319">
        <f ca="1">RANK(dict_zul_Var_Meth[[#This Row],[ignored_rand]],dict_zul_Var_Meth[ignored_rand])</f>
        <v>317</v>
      </c>
    </row>
    <row r="320" spans="1:5" x14ac:dyDescent="0.45">
      <c r="A320">
        <f ca="1">VLOOKUP(dict_zul_Var_Meth[[#This Row],[ignored_rank]],help_zuord_Var_Meth[],2)</f>
        <v>85</v>
      </c>
      <c r="B320">
        <v>382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0">
        <f ca="1">RAND()</f>
        <v>0.59845246829787369</v>
      </c>
      <c r="E320">
        <f ca="1">RANK(dict_zul_Var_Meth[[#This Row],[ignored_rand]],dict_zul_Var_Meth[ignored_rand])</f>
        <v>320</v>
      </c>
    </row>
    <row r="321" spans="1:5" x14ac:dyDescent="0.45">
      <c r="A321">
        <f ca="1">VLOOKUP(dict_zul_Var_Meth[[#This Row],[ignored_rank]],help_zuord_Var_Meth[],2)</f>
        <v>85</v>
      </c>
      <c r="B321">
        <v>666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1">
        <f ca="1">RAND()</f>
        <v>0.59884434425397037</v>
      </c>
      <c r="E321">
        <f ca="1">RANK(dict_zul_Var_Meth[[#This Row],[ignored_rand]],dict_zul_Var_Meth[ignored_rand])</f>
        <v>319</v>
      </c>
    </row>
    <row r="322" spans="1:5" x14ac:dyDescent="0.45">
      <c r="A322">
        <f ca="1">VLOOKUP(dict_zul_Var_Meth[[#This Row],[ignored_rank]],help_zuord_Var_Meth[],2)</f>
        <v>86</v>
      </c>
      <c r="B322">
        <v>142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2">
        <f ca="1">RAND()</f>
        <v>0.59837038487652239</v>
      </c>
      <c r="E322">
        <f ca="1">RANK(dict_zul_Var_Meth[[#This Row],[ignored_rand]],dict_zul_Var_Meth[ignored_rand])</f>
        <v>321</v>
      </c>
    </row>
    <row r="323" spans="1:5" x14ac:dyDescent="0.45">
      <c r="A323">
        <f ca="1">VLOOKUP(dict_zul_Var_Meth[[#This Row],[ignored_rank]],help_zuord_Var_Meth[],2)</f>
        <v>86</v>
      </c>
      <c r="B323">
        <v>494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3">
        <f ca="1">RAND()</f>
        <v>0.59773803074391063</v>
      </c>
      <c r="E323">
        <f ca="1">RANK(dict_zul_Var_Meth[[#This Row],[ignored_rand]],dict_zul_Var_Meth[ignored_rand])</f>
        <v>322</v>
      </c>
    </row>
    <row r="324" spans="1:5" x14ac:dyDescent="0.45">
      <c r="A324">
        <f ca="1">VLOOKUP(dict_zul_Var_Meth[[#This Row],[ignored_rank]],help_zuord_Var_Meth[],2)</f>
        <v>86</v>
      </c>
      <c r="B324">
        <v>594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4">
        <f ca="1">RAND()</f>
        <v>0.59563203977221291</v>
      </c>
      <c r="E324">
        <f ca="1">RANK(dict_zul_Var_Meth[[#This Row],[ignored_rand]],dict_zul_Var_Meth[ignored_rand])</f>
        <v>324</v>
      </c>
    </row>
    <row r="325" spans="1:5" x14ac:dyDescent="0.45">
      <c r="A325">
        <f ca="1">VLOOKUP(dict_zul_Var_Meth[[#This Row],[ignored_rank]],help_zuord_Var_Meth[],2)</f>
        <v>86</v>
      </c>
      <c r="B325">
        <v>684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5">
        <f ca="1">RAND()</f>
        <v>0.59742551516980869</v>
      </c>
      <c r="E325">
        <f ca="1">RANK(dict_zul_Var_Meth[[#This Row],[ignored_rand]],dict_zul_Var_Meth[ignored_rand])</f>
        <v>323</v>
      </c>
    </row>
    <row r="326" spans="1:5" x14ac:dyDescent="0.45">
      <c r="A326">
        <f ca="1">VLOOKUP(dict_zul_Var_Meth[[#This Row],[ignored_rank]],help_zuord_Var_Meth[],2)</f>
        <v>87</v>
      </c>
      <c r="B326">
        <v>31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6">
        <f ca="1">RAND()</f>
        <v>0.59073687978076528</v>
      </c>
      <c r="E326">
        <f ca="1">RANK(dict_zul_Var_Meth[[#This Row],[ignored_rand]],dict_zul_Var_Meth[ignored_rand])</f>
        <v>329</v>
      </c>
    </row>
    <row r="327" spans="1:5" x14ac:dyDescent="0.45">
      <c r="A327">
        <f ca="1">VLOOKUP(dict_zul_Var_Meth[[#This Row],[ignored_rank]],help_zuord_Var_Meth[],2)</f>
        <v>87</v>
      </c>
      <c r="B327">
        <v>114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7">
        <f ca="1">RAND()</f>
        <v>0.5909023871159772</v>
      </c>
      <c r="E327">
        <f ca="1">RANK(dict_zul_Var_Meth[[#This Row],[ignored_rand]],dict_zul_Var_Meth[ignored_rand])</f>
        <v>328</v>
      </c>
    </row>
    <row r="328" spans="1:5" x14ac:dyDescent="0.45">
      <c r="A328">
        <f ca="1">VLOOKUP(dict_zul_Var_Meth[[#This Row],[ignored_rank]],help_zuord_Var_Meth[],2)</f>
        <v>87</v>
      </c>
      <c r="B328">
        <v>116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8">
        <f ca="1">RAND()</f>
        <v>0.59112476583499673</v>
      </c>
      <c r="E328">
        <f ca="1">RANK(dict_zul_Var_Meth[[#This Row],[ignored_rand]],dict_zul_Var_Meth[ignored_rand])</f>
        <v>327</v>
      </c>
    </row>
    <row r="329" spans="1:5" x14ac:dyDescent="0.45">
      <c r="A329">
        <f ca="1">VLOOKUP(dict_zul_Var_Meth[[#This Row],[ignored_rank]],help_zuord_Var_Meth[],2)</f>
        <v>87</v>
      </c>
      <c r="B329">
        <v>143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9">
        <f ca="1">RAND()</f>
        <v>0.59293288912577247</v>
      </c>
      <c r="E329">
        <f ca="1">RANK(dict_zul_Var_Meth[[#This Row],[ignored_rand]],dict_zul_Var_Meth[ignored_rand])</f>
        <v>326</v>
      </c>
    </row>
    <row r="330" spans="1:5" x14ac:dyDescent="0.45">
      <c r="A330">
        <f ca="1">VLOOKUP(dict_zul_Var_Meth[[#This Row],[ignored_rank]],help_zuord_Var_Meth[],2)</f>
        <v>87</v>
      </c>
      <c r="B330">
        <v>340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0">
        <f ca="1">RAND()</f>
        <v>0.59523457984683881</v>
      </c>
      <c r="E330">
        <f ca="1">RANK(dict_zul_Var_Meth[[#This Row],[ignored_rand]],dict_zul_Var_Meth[ignored_rand])</f>
        <v>325</v>
      </c>
    </row>
    <row r="331" spans="1:5" x14ac:dyDescent="0.45">
      <c r="A331">
        <f ca="1">VLOOKUP(dict_zul_Var_Meth[[#This Row],[ignored_rank]],help_zuord_Var_Meth[],2)</f>
        <v>88</v>
      </c>
      <c r="B331">
        <v>231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1">
        <f ca="1">RAND()</f>
        <v>0.58957417556955249</v>
      </c>
      <c r="E331">
        <f ca="1">RANK(dict_zul_Var_Meth[[#This Row],[ignored_rand]],dict_zul_Var_Meth[ignored_rand])</f>
        <v>332</v>
      </c>
    </row>
    <row r="332" spans="1:5" x14ac:dyDescent="0.45">
      <c r="A332">
        <f ca="1">VLOOKUP(dict_zul_Var_Meth[[#This Row],[ignored_rank]],help_zuord_Var_Meth[],2)</f>
        <v>88</v>
      </c>
      <c r="B332">
        <v>344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2">
        <f ca="1">RAND()</f>
        <v>0.58980929281583683</v>
      </c>
      <c r="E332">
        <f ca="1">RANK(dict_zul_Var_Meth[[#This Row],[ignored_rand]],dict_zul_Var_Meth[ignored_rand])</f>
        <v>331</v>
      </c>
    </row>
    <row r="333" spans="1:5" x14ac:dyDescent="0.45">
      <c r="A333">
        <f ca="1">VLOOKUP(dict_zul_Var_Meth[[#This Row],[ignored_rank]],help_zuord_Var_Meth[],2)</f>
        <v>88</v>
      </c>
      <c r="B333">
        <v>592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3">
        <f ca="1">RAND()</f>
        <v>0.5892900612886629</v>
      </c>
      <c r="E333">
        <f ca="1">RANK(dict_zul_Var_Meth[[#This Row],[ignored_rand]],dict_zul_Var_Meth[ignored_rand])</f>
        <v>333</v>
      </c>
    </row>
    <row r="334" spans="1:5" x14ac:dyDescent="0.45">
      <c r="A334">
        <f ca="1">VLOOKUP(dict_zul_Var_Meth[[#This Row],[ignored_rank]],help_zuord_Var_Meth[],2)</f>
        <v>88</v>
      </c>
      <c r="B334">
        <v>600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4">
        <f ca="1">RAND()</f>
        <v>0.59025639796067575</v>
      </c>
      <c r="E334">
        <f ca="1">RANK(dict_zul_Var_Meth[[#This Row],[ignored_rand]],dict_zul_Var_Meth[ignored_rand])</f>
        <v>330</v>
      </c>
    </row>
    <row r="335" spans="1:5" x14ac:dyDescent="0.45">
      <c r="A335">
        <f ca="1">VLOOKUP(dict_zul_Var_Meth[[#This Row],[ignored_rank]],help_zuord_Var_Meth[],2)</f>
        <v>89</v>
      </c>
      <c r="B335">
        <v>285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5">
        <f ca="1">RAND()</f>
        <v>0.5853420195765372</v>
      </c>
      <c r="E335">
        <f ca="1">RANK(dict_zul_Var_Meth[[#This Row],[ignored_rand]],dict_zul_Var_Meth[ignored_rand])</f>
        <v>334</v>
      </c>
    </row>
    <row r="336" spans="1:5" x14ac:dyDescent="0.45">
      <c r="A336">
        <f ca="1">VLOOKUP(dict_zul_Var_Meth[[#This Row],[ignored_rank]],help_zuord_Var_Meth[],2)</f>
        <v>89</v>
      </c>
      <c r="B336">
        <v>558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6">
        <f ca="1">RAND()</f>
        <v>0.58528736366889167</v>
      </c>
      <c r="E336">
        <f ca="1">RANK(dict_zul_Var_Meth[[#This Row],[ignored_rand]],dict_zul_Var_Meth[ignored_rand])</f>
        <v>335</v>
      </c>
    </row>
    <row r="337" spans="1:5" x14ac:dyDescent="0.45">
      <c r="A337">
        <f ca="1">VLOOKUP(dict_zul_Var_Meth[[#This Row],[ignored_rank]],help_zuord_Var_Meth[],2)</f>
        <v>90</v>
      </c>
      <c r="B337">
        <v>13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7">
        <f ca="1">RAND()</f>
        <v>0.57127505466687067</v>
      </c>
      <c r="E337">
        <f ca="1">RANK(dict_zul_Var_Meth[[#This Row],[ignored_rand]],dict_zul_Var_Meth[ignored_rand])</f>
        <v>341</v>
      </c>
    </row>
    <row r="338" spans="1:5" x14ac:dyDescent="0.45">
      <c r="A338">
        <f ca="1">VLOOKUP(dict_zul_Var_Meth[[#This Row],[ignored_rank]],help_zuord_Var_Meth[],2)</f>
        <v>90</v>
      </c>
      <c r="B338">
        <v>184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8">
        <f ca="1">RAND()</f>
        <v>0.58427185953670058</v>
      </c>
      <c r="E338">
        <f ca="1">RANK(dict_zul_Var_Meth[[#This Row],[ignored_rand]],dict_zul_Var_Meth[ignored_rand])</f>
        <v>338</v>
      </c>
    </row>
    <row r="339" spans="1:5" x14ac:dyDescent="0.45">
      <c r="A339">
        <f ca="1">VLOOKUP(dict_zul_Var_Meth[[#This Row],[ignored_rank]],help_zuord_Var_Meth[],2)</f>
        <v>90</v>
      </c>
      <c r="B339">
        <v>228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9">
        <f ca="1">RAND()</f>
        <v>0.5772548775536307</v>
      </c>
      <c r="E339">
        <f ca="1">RANK(dict_zul_Var_Meth[[#This Row],[ignored_rand]],dict_zul_Var_Meth[ignored_rand])</f>
        <v>339</v>
      </c>
    </row>
    <row r="340" spans="1:5" x14ac:dyDescent="0.45">
      <c r="A340">
        <f ca="1">VLOOKUP(dict_zul_Var_Meth[[#This Row],[ignored_rank]],help_zuord_Var_Meth[],2)</f>
        <v>90</v>
      </c>
      <c r="B340">
        <v>450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0">
        <f ca="1">RAND()</f>
        <v>0.58467186680540206</v>
      </c>
      <c r="E340">
        <f ca="1">RANK(dict_zul_Var_Meth[[#This Row],[ignored_rand]],dict_zul_Var_Meth[ignored_rand])</f>
        <v>337</v>
      </c>
    </row>
    <row r="341" spans="1:5" x14ac:dyDescent="0.45">
      <c r="A341">
        <f ca="1">VLOOKUP(dict_zul_Var_Meth[[#This Row],[ignored_rank]],help_zuord_Var_Meth[],2)</f>
        <v>90</v>
      </c>
      <c r="B341">
        <v>543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1">
        <f ca="1">RAND()</f>
        <v>0.57410696662729721</v>
      </c>
      <c r="E341">
        <f ca="1">RANK(dict_zul_Var_Meth[[#This Row],[ignored_rand]],dict_zul_Var_Meth[ignored_rand])</f>
        <v>340</v>
      </c>
    </row>
    <row r="342" spans="1:5" x14ac:dyDescent="0.45">
      <c r="A342">
        <f ca="1">VLOOKUP(dict_zul_Var_Meth[[#This Row],[ignored_rank]],help_zuord_Var_Meth[],2)</f>
        <v>90</v>
      </c>
      <c r="B342">
        <v>619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2">
        <f ca="1">RAND()</f>
        <v>0.58494105717991784</v>
      </c>
      <c r="E342">
        <f ca="1">RANK(dict_zul_Var_Meth[[#This Row],[ignored_rand]],dict_zul_Var_Meth[ignored_rand])</f>
        <v>336</v>
      </c>
    </row>
    <row r="343" spans="1:5" x14ac:dyDescent="0.45">
      <c r="A343">
        <f ca="1">VLOOKUP(dict_zul_Var_Meth[[#This Row],[ignored_rank]],help_zuord_Var_Meth[],2)</f>
        <v>91</v>
      </c>
      <c r="B343">
        <v>159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3">
        <f ca="1">RAND()</f>
        <v>0.57030540326349155</v>
      </c>
      <c r="E343">
        <f ca="1">RANK(dict_zul_Var_Meth[[#This Row],[ignored_rand]],dict_zul_Var_Meth[ignored_rand])</f>
        <v>342</v>
      </c>
    </row>
    <row r="344" spans="1:5" x14ac:dyDescent="0.45">
      <c r="A344">
        <f ca="1">VLOOKUP(dict_zul_Var_Meth[[#This Row],[ignored_rank]],help_zuord_Var_Meth[],2)</f>
        <v>91</v>
      </c>
      <c r="B344">
        <v>212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4">
        <f ca="1">RAND()</f>
        <v>0.569338293802785</v>
      </c>
      <c r="E344">
        <f ca="1">RANK(dict_zul_Var_Meth[[#This Row],[ignored_rand]],dict_zul_Var_Meth[ignored_rand])</f>
        <v>344</v>
      </c>
    </row>
    <row r="345" spans="1:5" x14ac:dyDescent="0.45">
      <c r="A345">
        <f ca="1">VLOOKUP(dict_zul_Var_Meth[[#This Row],[ignored_rank]],help_zuord_Var_Meth[],2)</f>
        <v>91</v>
      </c>
      <c r="B345">
        <v>404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5">
        <f ca="1">RAND()</f>
        <v>0.56950722976204426</v>
      </c>
      <c r="E345">
        <f ca="1">RANK(dict_zul_Var_Meth[[#This Row],[ignored_rand]],dict_zul_Var_Meth[ignored_rand])</f>
        <v>343</v>
      </c>
    </row>
    <row r="346" spans="1:5" x14ac:dyDescent="0.45">
      <c r="A346">
        <f ca="1">VLOOKUP(dict_zul_Var_Meth[[#This Row],[ignored_rank]],help_zuord_Var_Meth[],2)</f>
        <v>92</v>
      </c>
      <c r="B346">
        <v>38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6">
        <f ca="1">RAND()</f>
        <v>0.567021327845314</v>
      </c>
      <c r="E346">
        <f ca="1">RANK(dict_zul_Var_Meth[[#This Row],[ignored_rand]],dict_zul_Var_Meth[ignored_rand])</f>
        <v>346</v>
      </c>
    </row>
    <row r="347" spans="1:5" x14ac:dyDescent="0.45">
      <c r="A347">
        <f ca="1">VLOOKUP(dict_zul_Var_Meth[[#This Row],[ignored_rank]],help_zuord_Var_Meth[],2)</f>
        <v>92</v>
      </c>
      <c r="B347">
        <v>189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7">
        <f ca="1">RAND()</f>
        <v>0.56448028498530589</v>
      </c>
      <c r="E347">
        <f ca="1">RANK(dict_zul_Var_Meth[[#This Row],[ignored_rand]],dict_zul_Var_Meth[ignored_rand])</f>
        <v>347</v>
      </c>
    </row>
    <row r="348" spans="1:5" x14ac:dyDescent="0.45">
      <c r="A348">
        <f ca="1">VLOOKUP(dict_zul_Var_Meth[[#This Row],[ignored_rank]],help_zuord_Var_Meth[],2)</f>
        <v>92</v>
      </c>
      <c r="B348">
        <v>544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8">
        <f ca="1">RAND()</f>
        <v>0.56845449342285281</v>
      </c>
      <c r="E348">
        <f ca="1">RANK(dict_zul_Var_Meth[[#This Row],[ignored_rand]],dict_zul_Var_Meth[ignored_rand])</f>
        <v>345</v>
      </c>
    </row>
    <row r="349" spans="1:5" x14ac:dyDescent="0.45">
      <c r="A349" s="3">
        <f ca="1">VLOOKUP(dict_zul_Var_Meth[[#This Row],[ignored_rank]],help_zuord_Var_Meth[],2)</f>
        <v>92</v>
      </c>
      <c r="B349">
        <v>546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9">
        <f ca="1">RAND()</f>
        <v>0.56045817577330603</v>
      </c>
      <c r="E349" s="3">
        <f ca="1">RANK(dict_zul_Var_Meth[[#This Row],[ignored_rand]],dict_zul_Var_Meth[ignored_rand])</f>
        <v>348</v>
      </c>
    </row>
    <row r="350" spans="1:5" x14ac:dyDescent="0.45">
      <c r="A350">
        <f ca="1">VLOOKUP(dict_zul_Var_Meth[[#This Row],[ignored_rank]],help_zuord_Var_Meth[],2)</f>
        <v>93</v>
      </c>
      <c r="B350">
        <v>391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0">
        <f ca="1">RAND()</f>
        <v>0.5585412498944462</v>
      </c>
      <c r="E350">
        <f ca="1">RANK(dict_zul_Var_Meth[[#This Row],[ignored_rand]],dict_zul_Var_Meth[ignored_rand])</f>
        <v>349</v>
      </c>
    </row>
    <row r="351" spans="1:5" x14ac:dyDescent="0.45">
      <c r="A351">
        <f ca="1">VLOOKUP(dict_zul_Var_Meth[[#This Row],[ignored_rank]],help_zuord_Var_Meth[],2)</f>
        <v>93</v>
      </c>
      <c r="B351">
        <v>542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1">
        <f ca="1">RAND()</f>
        <v>0.55762183440474189</v>
      </c>
      <c r="E351">
        <f ca="1">RANK(dict_zul_Var_Meth[[#This Row],[ignored_rand]],dict_zul_Var_Meth[ignored_rand])</f>
        <v>350</v>
      </c>
    </row>
    <row r="352" spans="1:5" x14ac:dyDescent="0.45">
      <c r="A352">
        <f ca="1">VLOOKUP(dict_zul_Var_Meth[[#This Row],[ignored_rank]],help_zuord_Var_Meth[],2)</f>
        <v>94</v>
      </c>
      <c r="B352">
        <v>239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2">
        <f ca="1">RAND()</f>
        <v>0.55345471449972539</v>
      </c>
      <c r="E352">
        <f ca="1">RANK(dict_zul_Var_Meth[[#This Row],[ignored_rand]],dict_zul_Var_Meth[ignored_rand])</f>
        <v>354</v>
      </c>
    </row>
    <row r="353" spans="1:5" x14ac:dyDescent="0.45">
      <c r="A353">
        <f ca="1">VLOOKUP(dict_zul_Var_Meth[[#This Row],[ignored_rank]],help_zuord_Var_Meth[],2)</f>
        <v>94</v>
      </c>
      <c r="B353">
        <v>255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3">
        <f ca="1">RAND()</f>
        <v>0.55362331619137328</v>
      </c>
      <c r="E353">
        <f ca="1">RANK(dict_zul_Var_Meth[[#This Row],[ignored_rand]],dict_zul_Var_Meth[ignored_rand])</f>
        <v>353</v>
      </c>
    </row>
    <row r="354" spans="1:5" x14ac:dyDescent="0.45">
      <c r="A354">
        <f ca="1">VLOOKUP(dict_zul_Var_Meth[[#This Row],[ignored_rank]],help_zuord_Var_Meth[],2)</f>
        <v>94</v>
      </c>
      <c r="B354">
        <v>385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4">
        <f ca="1">RAND()</f>
        <v>0.55415507477933867</v>
      </c>
      <c r="E354">
        <f ca="1">RANK(dict_zul_Var_Meth[[#This Row],[ignored_rand]],dict_zul_Var_Meth[ignored_rand])</f>
        <v>352</v>
      </c>
    </row>
    <row r="355" spans="1:5" x14ac:dyDescent="0.45">
      <c r="A355">
        <f ca="1">VLOOKUP(dict_zul_Var_Meth[[#This Row],[ignored_rank]],help_zuord_Var_Meth[],2)</f>
        <v>94</v>
      </c>
      <c r="B355">
        <v>397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5">
        <f ca="1">RAND()</f>
        <v>0.55746377783546108</v>
      </c>
      <c r="E355">
        <f ca="1">RANK(dict_zul_Var_Meth[[#This Row],[ignored_rand]],dict_zul_Var_Meth[ignored_rand])</f>
        <v>351</v>
      </c>
    </row>
    <row r="356" spans="1:5" x14ac:dyDescent="0.45">
      <c r="A356">
        <f ca="1">VLOOKUP(dict_zul_Var_Meth[[#This Row],[ignored_rank]],help_zuord_Var_Meth[],2)</f>
        <v>95</v>
      </c>
      <c r="B356">
        <v>89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6">
        <f ca="1">RAND()</f>
        <v>0.54500578392481747</v>
      </c>
      <c r="E356">
        <f ca="1">RANK(dict_zul_Var_Meth[[#This Row],[ignored_rand]],dict_zul_Var_Meth[ignored_rand])</f>
        <v>360</v>
      </c>
    </row>
    <row r="357" spans="1:5" x14ac:dyDescent="0.45">
      <c r="A357">
        <f ca="1">VLOOKUP(dict_zul_Var_Meth[[#This Row],[ignored_rank]],help_zuord_Var_Meth[],2)</f>
        <v>95</v>
      </c>
      <c r="B357">
        <v>180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7">
        <f ca="1">RAND()</f>
        <v>0.55173149849836267</v>
      </c>
      <c r="E357">
        <f ca="1">RANK(dict_zul_Var_Meth[[#This Row],[ignored_rand]],dict_zul_Var_Meth[ignored_rand])</f>
        <v>356</v>
      </c>
    </row>
    <row r="358" spans="1:5" x14ac:dyDescent="0.45">
      <c r="A358">
        <f ca="1">VLOOKUP(dict_zul_Var_Meth[[#This Row],[ignored_rank]],help_zuord_Var_Meth[],2)</f>
        <v>95</v>
      </c>
      <c r="B358">
        <v>188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8">
        <f ca="1">RAND()</f>
        <v>0.54795418118319739</v>
      </c>
      <c r="E358">
        <f ca="1">RANK(dict_zul_Var_Meth[[#This Row],[ignored_rand]],dict_zul_Var_Meth[ignored_rand])</f>
        <v>358</v>
      </c>
    </row>
    <row r="359" spans="1:5" x14ac:dyDescent="0.45">
      <c r="A359">
        <f ca="1">VLOOKUP(dict_zul_Var_Meth[[#This Row],[ignored_rank]],help_zuord_Var_Meth[],2)</f>
        <v>95</v>
      </c>
      <c r="B359">
        <v>432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9">
        <f ca="1">RAND()</f>
        <v>0.55282730827621751</v>
      </c>
      <c r="E359">
        <f ca="1">RANK(dict_zul_Var_Meth[[#This Row],[ignored_rand]],dict_zul_Var_Meth[ignored_rand])</f>
        <v>355</v>
      </c>
    </row>
    <row r="360" spans="1:5" x14ac:dyDescent="0.45">
      <c r="A360">
        <f ca="1">VLOOKUP(dict_zul_Var_Meth[[#This Row],[ignored_rank]],help_zuord_Var_Meth[],2)</f>
        <v>95</v>
      </c>
      <c r="B360">
        <v>568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0">
        <f ca="1">RAND()</f>
        <v>0.54523213200308618</v>
      </c>
      <c r="E360">
        <f ca="1">RANK(dict_zul_Var_Meth[[#This Row],[ignored_rand]],dict_zul_Var_Meth[ignored_rand])</f>
        <v>359</v>
      </c>
    </row>
    <row r="361" spans="1:5" x14ac:dyDescent="0.45">
      <c r="A361">
        <f ca="1">VLOOKUP(dict_zul_Var_Meth[[#This Row],[ignored_rank]],help_zuord_Var_Meth[],2)</f>
        <v>95</v>
      </c>
      <c r="B361">
        <v>644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1">
        <f ca="1">RAND()</f>
        <v>0.54825316690013448</v>
      </c>
      <c r="E361">
        <f ca="1">RANK(dict_zul_Var_Meth[[#This Row],[ignored_rand]],dict_zul_Var_Meth[ignored_rand])</f>
        <v>357</v>
      </c>
    </row>
    <row r="362" spans="1:5" x14ac:dyDescent="0.45">
      <c r="A362">
        <f ca="1">VLOOKUP(dict_zul_Var_Meth[[#This Row],[ignored_rank]],help_zuord_Var_Meth[],2)</f>
        <v>96</v>
      </c>
      <c r="B362">
        <v>353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2">
        <f ca="1">RAND()</f>
        <v>0.54419858265233145</v>
      </c>
      <c r="E362">
        <f ca="1">RANK(dict_zul_Var_Meth[[#This Row],[ignored_rand]],dict_zul_Var_Meth[ignored_rand])</f>
        <v>362</v>
      </c>
    </row>
    <row r="363" spans="1:5" x14ac:dyDescent="0.45">
      <c r="A363">
        <f ca="1">VLOOKUP(dict_zul_Var_Meth[[#This Row],[ignored_rank]],help_zuord_Var_Meth[],2)</f>
        <v>96</v>
      </c>
      <c r="B363">
        <v>418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3">
        <f ca="1">RAND()</f>
        <v>0.54468727934346317</v>
      </c>
      <c r="E363">
        <f ca="1">RANK(dict_zul_Var_Meth[[#This Row],[ignored_rand]],dict_zul_Var_Meth[ignored_rand])</f>
        <v>361</v>
      </c>
    </row>
    <row r="364" spans="1:5" x14ac:dyDescent="0.45">
      <c r="A364">
        <f ca="1">VLOOKUP(dict_zul_Var_Meth[[#This Row],[ignored_rank]],help_zuord_Var_Meth[],2)</f>
        <v>97</v>
      </c>
      <c r="B364">
        <v>87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4">
        <f ca="1">RAND()</f>
        <v>0.54209508862458333</v>
      </c>
      <c r="E364">
        <f ca="1">RANK(dict_zul_Var_Meth[[#This Row],[ignored_rand]],dict_zul_Var_Meth[ignored_rand])</f>
        <v>363</v>
      </c>
    </row>
    <row r="365" spans="1:5" x14ac:dyDescent="0.45">
      <c r="A365">
        <f ca="1">VLOOKUP(dict_zul_Var_Meth[[#This Row],[ignored_rank]],help_zuord_Var_Meth[],2)</f>
        <v>97</v>
      </c>
      <c r="B365">
        <v>198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5">
        <f ca="1">RAND()</f>
        <v>0.54161398383914883</v>
      </c>
      <c r="E365">
        <f ca="1">RANK(dict_zul_Var_Meth[[#This Row],[ignored_rand]],dict_zul_Var_Meth[ignored_rand])</f>
        <v>364</v>
      </c>
    </row>
    <row r="366" spans="1:5" x14ac:dyDescent="0.45">
      <c r="A366">
        <f ca="1">VLOOKUP(dict_zul_Var_Meth[[#This Row],[ignored_rank]],help_zuord_Var_Meth[],2)</f>
        <v>97</v>
      </c>
      <c r="B366">
        <v>552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6">
        <f ca="1">RAND()</f>
        <v>0.53745053708336477</v>
      </c>
      <c r="E366">
        <f ca="1">RANK(dict_zul_Var_Meth[[#This Row],[ignored_rand]],dict_zul_Var_Meth[ignored_rand])</f>
        <v>365</v>
      </c>
    </row>
    <row r="367" spans="1:5" x14ac:dyDescent="0.45">
      <c r="A367">
        <f ca="1">VLOOKUP(dict_zul_Var_Meth[[#This Row],[ignored_rank]],help_zuord_Var_Meth[],2)</f>
        <v>97</v>
      </c>
      <c r="B367">
        <v>627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7">
        <f ca="1">RAND()</f>
        <v>0.53693573065834244</v>
      </c>
      <c r="E367">
        <f ca="1">RANK(dict_zul_Var_Meth[[#This Row],[ignored_rand]],dict_zul_Var_Meth[ignored_rand])</f>
        <v>366</v>
      </c>
    </row>
    <row r="368" spans="1:5" x14ac:dyDescent="0.45">
      <c r="A368">
        <f ca="1">VLOOKUP(dict_zul_Var_Meth[[#This Row],[ignored_rank]],help_zuord_Var_Meth[],2)</f>
        <v>98</v>
      </c>
      <c r="B368">
        <v>302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8">
        <f ca="1">RAND()</f>
        <v>0.5328897444506473</v>
      </c>
      <c r="E368">
        <f ca="1">RANK(dict_zul_Var_Meth[[#This Row],[ignored_rand]],dict_zul_Var_Meth[ignored_rand])</f>
        <v>369</v>
      </c>
    </row>
    <row r="369" spans="1:5" x14ac:dyDescent="0.45">
      <c r="A369">
        <f ca="1">VLOOKUP(dict_zul_Var_Meth[[#This Row],[ignored_rank]],help_zuord_Var_Meth[],2)</f>
        <v>98</v>
      </c>
      <c r="B369">
        <v>348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9">
        <f ca="1">RAND()</f>
        <v>0.53630747533992817</v>
      </c>
      <c r="E369">
        <f ca="1">RANK(dict_zul_Var_Meth[[#This Row],[ignored_rand]],dict_zul_Var_Meth[ignored_rand])</f>
        <v>368</v>
      </c>
    </row>
    <row r="370" spans="1:5" x14ac:dyDescent="0.45">
      <c r="A370" s="3">
        <f ca="1">VLOOKUP(dict_zul_Var_Meth[[#This Row],[ignored_rank]],help_zuord_Var_Meth[],2)</f>
        <v>98</v>
      </c>
      <c r="B370">
        <v>528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0">
        <f ca="1">RAND()</f>
        <v>0.53675254402126638</v>
      </c>
      <c r="E370" s="3">
        <f ca="1">RANK(dict_zul_Var_Meth[[#This Row],[ignored_rand]],dict_zul_Var_Meth[ignored_rand])</f>
        <v>367</v>
      </c>
    </row>
    <row r="371" spans="1:5" x14ac:dyDescent="0.45">
      <c r="A371">
        <f ca="1">VLOOKUP(dict_zul_Var_Meth[[#This Row],[ignored_rank]],help_zuord_Var_Meth[],2)</f>
        <v>99</v>
      </c>
      <c r="B371">
        <v>22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1">
        <f ca="1">RAND()</f>
        <v>0.53168244259191066</v>
      </c>
      <c r="E371">
        <f ca="1">RANK(dict_zul_Var_Meth[[#This Row],[ignored_rand]],dict_zul_Var_Meth[ignored_rand])</f>
        <v>371</v>
      </c>
    </row>
    <row r="372" spans="1:5" x14ac:dyDescent="0.45">
      <c r="A372" s="3">
        <f ca="1">VLOOKUP(dict_zul_Var_Meth[[#This Row],[ignored_rank]],help_zuord_Var_Meth[],2)</f>
        <v>99</v>
      </c>
      <c r="B372">
        <v>117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2">
        <f ca="1">RAND()</f>
        <v>0.52635709830405708</v>
      </c>
      <c r="E372" s="3">
        <f ca="1">RANK(dict_zul_Var_Meth[[#This Row],[ignored_rand]],dict_zul_Var_Meth[ignored_rand])</f>
        <v>373</v>
      </c>
    </row>
    <row r="373" spans="1:5" x14ac:dyDescent="0.45">
      <c r="A373">
        <f ca="1">VLOOKUP(dict_zul_Var_Meth[[#This Row],[ignored_rank]],help_zuord_Var_Meth[],2)</f>
        <v>99</v>
      </c>
      <c r="B373">
        <v>476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3">
        <f ca="1">RAND()</f>
        <v>0.52769646296410466</v>
      </c>
      <c r="E373">
        <f ca="1">RANK(dict_zul_Var_Meth[[#This Row],[ignored_rand]],dict_zul_Var_Meth[ignored_rand])</f>
        <v>372</v>
      </c>
    </row>
    <row r="374" spans="1:5" x14ac:dyDescent="0.45">
      <c r="A374">
        <f ca="1">VLOOKUP(dict_zul_Var_Meth[[#This Row],[ignored_rank]],help_zuord_Var_Meth[],2)</f>
        <v>99</v>
      </c>
      <c r="B374">
        <v>488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4">
        <f ca="1">RAND()</f>
        <v>0.53251701965374476</v>
      </c>
      <c r="E374">
        <f ca="1">RANK(dict_zul_Var_Meth[[#This Row],[ignored_rand]],dict_zul_Var_Meth[ignored_rand])</f>
        <v>370</v>
      </c>
    </row>
    <row r="375" spans="1:5" x14ac:dyDescent="0.45">
      <c r="A375" s="3">
        <f ca="1">VLOOKUP(dict_zul_Var_Meth[[#This Row],[ignored_rank]],help_zuord_Var_Meth[],2)</f>
        <v>99</v>
      </c>
      <c r="B375">
        <v>504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5">
        <f ca="1">RAND()</f>
        <v>0.52504529958513735</v>
      </c>
      <c r="E375" s="3">
        <f ca="1">RANK(dict_zul_Var_Meth[[#This Row],[ignored_rand]],dict_zul_Var_Meth[ignored_rand])</f>
        <v>374</v>
      </c>
    </row>
    <row r="376" spans="1:5" x14ac:dyDescent="0.45">
      <c r="A376" s="3">
        <f ca="1">VLOOKUP(dict_zul_Var_Meth[[#This Row],[ignored_rank]],help_zuord_Var_Meth[],2)</f>
        <v>100</v>
      </c>
      <c r="B376">
        <v>170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6">
        <f ca="1">RAND()</f>
        <v>0.52279099910285498</v>
      </c>
      <c r="E376" s="3">
        <f ca="1">RANK(dict_zul_Var_Meth[[#This Row],[ignored_rand]],dict_zul_Var_Meth[ignored_rand])</f>
        <v>377</v>
      </c>
    </row>
    <row r="377" spans="1:5" x14ac:dyDescent="0.45">
      <c r="A377">
        <f ca="1">VLOOKUP(dict_zul_Var_Meth[[#This Row],[ignored_rank]],help_zuord_Var_Meth[],2)</f>
        <v>100</v>
      </c>
      <c r="B377">
        <v>362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7">
        <f ca="1">RAND()</f>
        <v>0.52488671583654489</v>
      </c>
      <c r="E377">
        <f ca="1">RANK(dict_zul_Var_Meth[[#This Row],[ignored_rand]],dict_zul_Var_Meth[ignored_rand])</f>
        <v>376</v>
      </c>
    </row>
    <row r="378" spans="1:5" x14ac:dyDescent="0.45">
      <c r="A378">
        <f ca="1">VLOOKUP(dict_zul_Var_Meth[[#This Row],[ignored_rank]],help_zuord_Var_Meth[],2)</f>
        <v>100</v>
      </c>
      <c r="B378">
        <v>628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8">
        <f ca="1">RAND()</f>
        <v>0.52502888398186787</v>
      </c>
      <c r="E378">
        <f ca="1">RANK(dict_zul_Var_Meth[[#This Row],[ignored_rand]],dict_zul_Var_Meth[ignored_rand])</f>
        <v>375</v>
      </c>
    </row>
    <row r="379" spans="1:5" x14ac:dyDescent="0.45">
      <c r="A379">
        <f ca="1">VLOOKUP(dict_zul_Var_Meth[[#This Row],[ignored_rank]],help_zuord_Var_Meth[],2)</f>
        <v>101</v>
      </c>
      <c r="B379">
        <v>370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9">
        <f ca="1">RAND()</f>
        <v>0.51994501491422251</v>
      </c>
      <c r="E379">
        <f ca="1">RANK(dict_zul_Var_Meth[[#This Row],[ignored_rand]],dict_zul_Var_Meth[ignored_rand])</f>
        <v>378</v>
      </c>
    </row>
    <row r="380" spans="1:5" x14ac:dyDescent="0.45">
      <c r="A380">
        <f ca="1">VLOOKUP(dict_zul_Var_Meth[[#This Row],[ignored_rank]],help_zuord_Var_Meth[],2)</f>
        <v>101</v>
      </c>
      <c r="B380">
        <v>410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0">
        <f ca="1">RAND()</f>
        <v>0.51808033194430747</v>
      </c>
      <c r="E380">
        <f ca="1">RANK(dict_zul_Var_Meth[[#This Row],[ignored_rand]],dict_zul_Var_Meth[ignored_rand])</f>
        <v>380</v>
      </c>
    </row>
    <row r="381" spans="1:5" x14ac:dyDescent="0.45">
      <c r="A381" s="3">
        <f ca="1">VLOOKUP(dict_zul_Var_Meth[[#This Row],[ignored_rank]],help_zuord_Var_Meth[],2)</f>
        <v>101</v>
      </c>
      <c r="B381">
        <v>462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1">
        <f ca="1">RAND()</f>
        <v>0.51510682246888895</v>
      </c>
      <c r="E381" s="3">
        <f ca="1">RANK(dict_zul_Var_Meth[[#This Row],[ignored_rand]],dict_zul_Var_Meth[ignored_rand])</f>
        <v>381</v>
      </c>
    </row>
    <row r="382" spans="1:5" x14ac:dyDescent="0.45">
      <c r="A382">
        <f ca="1">VLOOKUP(dict_zul_Var_Meth[[#This Row],[ignored_rank]],help_zuord_Var_Meth[],2)</f>
        <v>101</v>
      </c>
      <c r="B382">
        <v>586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2">
        <f ca="1">RAND()</f>
        <v>0.519030356105883</v>
      </c>
      <c r="E382">
        <f ca="1">RANK(dict_zul_Var_Meth[[#This Row],[ignored_rand]],dict_zul_Var_Meth[ignored_rand])</f>
        <v>379</v>
      </c>
    </row>
    <row r="383" spans="1:5" x14ac:dyDescent="0.45">
      <c r="A383">
        <f ca="1">VLOOKUP(dict_zul_Var_Meth[[#This Row],[ignored_rank]],help_zuord_Var_Meth[],2)</f>
        <v>102</v>
      </c>
      <c r="B383">
        <v>49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3">
        <f ca="1">RAND()</f>
        <v>0.51330031699464185</v>
      </c>
      <c r="E383">
        <f ca="1">RANK(dict_zul_Var_Meth[[#This Row],[ignored_rand]],dict_zul_Var_Meth[ignored_rand])</f>
        <v>383</v>
      </c>
    </row>
    <row r="384" spans="1:5" x14ac:dyDescent="0.45">
      <c r="A384">
        <f ca="1">VLOOKUP(dict_zul_Var_Meth[[#This Row],[ignored_rank]],help_zuord_Var_Meth[],2)</f>
        <v>102</v>
      </c>
      <c r="B384">
        <v>66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4">
        <f ca="1">RAND()</f>
        <v>0.51183353822858757</v>
      </c>
      <c r="E384">
        <f ca="1">RANK(dict_zul_Var_Meth[[#This Row],[ignored_rand]],dict_zul_Var_Meth[ignored_rand])</f>
        <v>385</v>
      </c>
    </row>
    <row r="385" spans="1:5" x14ac:dyDescent="0.45">
      <c r="A385">
        <f ca="1">VLOOKUP(dict_zul_Var_Meth[[#This Row],[ignored_rank]],help_zuord_Var_Meth[],2)</f>
        <v>102</v>
      </c>
      <c r="B385">
        <v>71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5">
        <f ca="1">RAND()</f>
        <v>0.51281212531359111</v>
      </c>
      <c r="E385">
        <f ca="1">RANK(dict_zul_Var_Meth[[#This Row],[ignored_rand]],dict_zul_Var_Meth[ignored_rand])</f>
        <v>384</v>
      </c>
    </row>
    <row r="386" spans="1:5" x14ac:dyDescent="0.45">
      <c r="A386">
        <f ca="1">VLOOKUP(dict_zul_Var_Meth[[#This Row],[ignored_rank]],help_zuord_Var_Meth[],2)</f>
        <v>102</v>
      </c>
      <c r="B386">
        <v>361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6">
        <f ca="1">RAND()</f>
        <v>0.5143157035837701</v>
      </c>
      <c r="E386">
        <f ca="1">RANK(dict_zul_Var_Meth[[#This Row],[ignored_rand]],dict_zul_Var_Meth[ignored_rand])</f>
        <v>382</v>
      </c>
    </row>
    <row r="387" spans="1:5" x14ac:dyDescent="0.45">
      <c r="A387">
        <f ca="1">VLOOKUP(dict_zul_Var_Meth[[#This Row],[ignored_rank]],help_zuord_Var_Meth[],2)</f>
        <v>103</v>
      </c>
      <c r="B387">
        <v>21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7">
        <f ca="1">RAND()</f>
        <v>0.51175271561207047</v>
      </c>
      <c r="E387">
        <f ca="1">RANK(dict_zul_Var_Meth[[#This Row],[ignored_rand]],dict_zul_Var_Meth[ignored_rand])</f>
        <v>386</v>
      </c>
    </row>
    <row r="388" spans="1:5" x14ac:dyDescent="0.45">
      <c r="A388">
        <f ca="1">VLOOKUP(dict_zul_Var_Meth[[#This Row],[ignored_rank]],help_zuord_Var_Meth[],2)</f>
        <v>103</v>
      </c>
      <c r="B388">
        <v>105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8">
        <f ca="1">RAND()</f>
        <v>0.50963445341180269</v>
      </c>
      <c r="E388">
        <f ca="1">RANK(dict_zul_Var_Meth[[#This Row],[ignored_rand]],dict_zul_Var_Meth[ignored_rand])</f>
        <v>388</v>
      </c>
    </row>
    <row r="389" spans="1:5" x14ac:dyDescent="0.45">
      <c r="A389">
        <f ca="1">VLOOKUP(dict_zul_Var_Meth[[#This Row],[ignored_rank]],help_zuord_Var_Meth[],2)</f>
        <v>103</v>
      </c>
      <c r="B389">
        <v>472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9">
        <f ca="1">RAND()</f>
        <v>0.51097185529587885</v>
      </c>
      <c r="E389">
        <f ca="1">RANK(dict_zul_Var_Meth[[#This Row],[ignored_rand]],dict_zul_Var_Meth[ignored_rand])</f>
        <v>387</v>
      </c>
    </row>
    <row r="390" spans="1:5" x14ac:dyDescent="0.45">
      <c r="A390">
        <f ca="1">VLOOKUP(dict_zul_Var_Meth[[#This Row],[ignored_rank]],help_zuord_Var_Meth[],2)</f>
        <v>104</v>
      </c>
      <c r="B390">
        <v>53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0">
        <f ca="1">RAND()</f>
        <v>0.50606619834377231</v>
      </c>
      <c r="E390">
        <f ca="1">RANK(dict_zul_Var_Meth[[#This Row],[ignored_rand]],dict_zul_Var_Meth[ignored_rand])</f>
        <v>392</v>
      </c>
    </row>
    <row r="391" spans="1:5" x14ac:dyDescent="0.45">
      <c r="A391">
        <f ca="1">VLOOKUP(dict_zul_Var_Meth[[#This Row],[ignored_rank]],help_zuord_Var_Meth[],2)</f>
        <v>104</v>
      </c>
      <c r="B391">
        <v>454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1">
        <f ca="1">RAND()</f>
        <v>0.50741638811049838</v>
      </c>
      <c r="E391">
        <f ca="1">RANK(dict_zul_Var_Meth[[#This Row],[ignored_rand]],dict_zul_Var_Meth[ignored_rand])</f>
        <v>390</v>
      </c>
    </row>
    <row r="392" spans="1:5" x14ac:dyDescent="0.45">
      <c r="A392">
        <f ca="1">VLOOKUP(dict_zul_Var_Meth[[#This Row],[ignored_rank]],help_zuord_Var_Meth[],2)</f>
        <v>104</v>
      </c>
      <c r="B392">
        <v>489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2">
        <f ca="1">RAND()</f>
        <v>0.50746600879658676</v>
      </c>
      <c r="E392">
        <f ca="1">RANK(dict_zul_Var_Meth[[#This Row],[ignored_rand]],dict_zul_Var_Meth[ignored_rand])</f>
        <v>389</v>
      </c>
    </row>
    <row r="393" spans="1:5" x14ac:dyDescent="0.45">
      <c r="A393">
        <f ca="1">VLOOKUP(dict_zul_Var_Meth[[#This Row],[ignored_rank]],help_zuord_Var_Meth[],2)</f>
        <v>104</v>
      </c>
      <c r="B393">
        <v>630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3">
        <f ca="1">RAND()</f>
        <v>0.50693880729372398</v>
      </c>
      <c r="E393">
        <f ca="1">RANK(dict_zul_Var_Meth[[#This Row],[ignored_rand]],dict_zul_Var_Meth[ignored_rand])</f>
        <v>391</v>
      </c>
    </row>
    <row r="394" spans="1:5" x14ac:dyDescent="0.45">
      <c r="A394">
        <f ca="1">VLOOKUP(dict_zul_Var_Meth[[#This Row],[ignored_rank]],help_zuord_Var_Meth[],2)</f>
        <v>105</v>
      </c>
      <c r="B394">
        <v>10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4">
        <f ca="1">RAND()</f>
        <v>0.5053889467494449</v>
      </c>
      <c r="E394">
        <f ca="1">RANK(dict_zul_Var_Meth[[#This Row],[ignored_rand]],dict_zul_Var_Meth[ignored_rand])</f>
        <v>393</v>
      </c>
    </row>
    <row r="395" spans="1:5" x14ac:dyDescent="0.45">
      <c r="A395">
        <f ca="1">VLOOKUP(dict_zul_Var_Meth[[#This Row],[ignored_rank]],help_zuord_Var_Meth[],2)</f>
        <v>105</v>
      </c>
      <c r="B395">
        <v>187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5">
        <f ca="1">RAND()</f>
        <v>0.50314288863324308</v>
      </c>
      <c r="E395">
        <f ca="1">RANK(dict_zul_Var_Meth[[#This Row],[ignored_rand]],dict_zul_Var_Meth[ignored_rand])</f>
        <v>394</v>
      </c>
    </row>
    <row r="396" spans="1:5" x14ac:dyDescent="0.45">
      <c r="A396" s="3">
        <f ca="1">VLOOKUP(dict_zul_Var_Meth[[#This Row],[ignored_rank]],help_zuord_Var_Meth[],2)</f>
        <v>105</v>
      </c>
      <c r="B396">
        <v>215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6">
        <f ca="1">RAND()</f>
        <v>0.5026832816734127</v>
      </c>
      <c r="E396" s="3">
        <f ca="1">RANK(dict_zul_Var_Meth[[#This Row],[ignored_rand]],dict_zul_Var_Meth[ignored_rand])</f>
        <v>396</v>
      </c>
    </row>
    <row r="397" spans="1:5" x14ac:dyDescent="0.45">
      <c r="A397">
        <f ca="1">VLOOKUP(dict_zul_Var_Meth[[#This Row],[ignored_rank]],help_zuord_Var_Meth[],2)</f>
        <v>105</v>
      </c>
      <c r="B397">
        <v>557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7">
        <f ca="1">RAND()</f>
        <v>0.50289426796777215</v>
      </c>
      <c r="E397">
        <f ca="1">RANK(dict_zul_Var_Meth[[#This Row],[ignored_rand]],dict_zul_Var_Meth[ignored_rand])</f>
        <v>395</v>
      </c>
    </row>
    <row r="398" spans="1:5" x14ac:dyDescent="0.45">
      <c r="A398">
        <f ca="1">VLOOKUP(dict_zul_Var_Meth[[#This Row],[ignored_rank]],help_zuord_Var_Meth[],2)</f>
        <v>106</v>
      </c>
      <c r="B398">
        <v>88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8">
        <f ca="1">RAND()</f>
        <v>0.49651369497423115</v>
      </c>
      <c r="E398">
        <f ca="1">RANK(dict_zul_Var_Meth[[#This Row],[ignored_rand]],dict_zul_Var_Meth[ignored_rand])</f>
        <v>398</v>
      </c>
    </row>
    <row r="399" spans="1:5" x14ac:dyDescent="0.45">
      <c r="A399">
        <f ca="1">VLOOKUP(dict_zul_Var_Meth[[#This Row],[ignored_rank]],help_zuord_Var_Meth[],2)</f>
        <v>106</v>
      </c>
      <c r="B399">
        <v>380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9">
        <f ca="1">RAND()</f>
        <v>0.4943052783510703</v>
      </c>
      <c r="E399">
        <f ca="1">RANK(dict_zul_Var_Meth[[#This Row],[ignored_rand]],dict_zul_Var_Meth[ignored_rand])</f>
        <v>400</v>
      </c>
    </row>
    <row r="400" spans="1:5" x14ac:dyDescent="0.45">
      <c r="A400">
        <f ca="1">VLOOKUP(dict_zul_Var_Meth[[#This Row],[ignored_rank]],help_zuord_Var_Meth[],2)</f>
        <v>106</v>
      </c>
      <c r="B400">
        <v>470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0">
        <f ca="1">RAND()</f>
        <v>0.5001499212077869</v>
      </c>
      <c r="E400">
        <f ca="1">RANK(dict_zul_Var_Meth[[#This Row],[ignored_rand]],dict_zul_Var_Meth[ignored_rand])</f>
        <v>397</v>
      </c>
    </row>
    <row r="401" spans="1:5" x14ac:dyDescent="0.45">
      <c r="A401">
        <f ca="1">VLOOKUP(dict_zul_Var_Meth[[#This Row],[ignored_rank]],help_zuord_Var_Meth[],2)</f>
        <v>106</v>
      </c>
      <c r="B401">
        <v>635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1">
        <f ca="1">RAND()</f>
        <v>0.49461312215850317</v>
      </c>
      <c r="E401">
        <f ca="1">RANK(dict_zul_Var_Meth[[#This Row],[ignored_rand]],dict_zul_Var_Meth[ignored_rand])</f>
        <v>399</v>
      </c>
    </row>
    <row r="402" spans="1:5" x14ac:dyDescent="0.45">
      <c r="A402">
        <f ca="1">VLOOKUP(dict_zul_Var_Meth[[#This Row],[ignored_rank]],help_zuord_Var_Meth[],2)</f>
        <v>107</v>
      </c>
      <c r="B402">
        <v>355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2">
        <f ca="1">RAND()</f>
        <v>0.49318653535580481</v>
      </c>
      <c r="E402">
        <f ca="1">RANK(dict_zul_Var_Meth[[#This Row],[ignored_rand]],dict_zul_Var_Meth[ignored_rand])</f>
        <v>402</v>
      </c>
    </row>
    <row r="403" spans="1:5" x14ac:dyDescent="0.45">
      <c r="A403">
        <f ca="1">VLOOKUP(dict_zul_Var_Meth[[#This Row],[ignored_rank]],help_zuord_Var_Meth[],2)</f>
        <v>107</v>
      </c>
      <c r="B403">
        <v>427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3">
        <f ca="1">RAND()</f>
        <v>0.49272069404616614</v>
      </c>
      <c r="E403">
        <f ca="1">RANK(dict_zul_Var_Meth[[#This Row],[ignored_rand]],dict_zul_Var_Meth[ignored_rand])</f>
        <v>403</v>
      </c>
    </row>
    <row r="404" spans="1:5" x14ac:dyDescent="0.45">
      <c r="A404">
        <f ca="1">VLOOKUP(dict_zul_Var_Meth[[#This Row],[ignored_rank]],help_zuord_Var_Meth[],2)</f>
        <v>107</v>
      </c>
      <c r="B404">
        <v>491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4">
        <f ca="1">RAND()</f>
        <v>0.49416268214718517</v>
      </c>
      <c r="E404">
        <f ca="1">RANK(dict_zul_Var_Meth[[#This Row],[ignored_rand]],dict_zul_Var_Meth[ignored_rand])</f>
        <v>401</v>
      </c>
    </row>
    <row r="405" spans="1:5" x14ac:dyDescent="0.45">
      <c r="A405" s="3">
        <f ca="1">VLOOKUP(dict_zul_Var_Meth[[#This Row],[ignored_rank]],help_zuord_Var_Meth[],2)</f>
        <v>108</v>
      </c>
      <c r="B405">
        <v>305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5">
        <f ca="1">RAND()</f>
        <v>0.49039522104052613</v>
      </c>
      <c r="E405" s="3">
        <f ca="1">RANK(dict_zul_Var_Meth[[#This Row],[ignored_rand]],dict_zul_Var_Meth[ignored_rand])</f>
        <v>407</v>
      </c>
    </row>
    <row r="406" spans="1:5" x14ac:dyDescent="0.45">
      <c r="A406">
        <f ca="1">VLOOKUP(dict_zul_Var_Meth[[#This Row],[ignored_rank]],help_zuord_Var_Meth[],2)</f>
        <v>108</v>
      </c>
      <c r="B406">
        <v>675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6">
        <f ca="1">RAND()</f>
        <v>0.4927140708014659</v>
      </c>
      <c r="E406">
        <f ca="1">RANK(dict_zul_Var_Meth[[#This Row],[ignored_rand]],dict_zul_Var_Meth[ignored_rand])</f>
        <v>404</v>
      </c>
    </row>
    <row r="407" spans="1:5" x14ac:dyDescent="0.45">
      <c r="A407">
        <f ca="1">VLOOKUP(dict_zul_Var_Meth[[#This Row],[ignored_rank]],help_zuord_Var_Meth[],2)</f>
        <v>108</v>
      </c>
      <c r="B407">
        <v>679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7">
        <f ca="1">RAND()</f>
        <v>0.4925801424391788</v>
      </c>
      <c r="E407">
        <f ca="1">RANK(dict_zul_Var_Meth[[#This Row],[ignored_rand]],dict_zul_Var_Meth[ignored_rand])</f>
        <v>405</v>
      </c>
    </row>
    <row r="408" spans="1:5" x14ac:dyDescent="0.45">
      <c r="A408">
        <f ca="1">VLOOKUP(dict_zul_Var_Meth[[#This Row],[ignored_rank]],help_zuord_Var_Meth[],2)</f>
        <v>108</v>
      </c>
      <c r="B408">
        <v>687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8">
        <f ca="1">RAND()</f>
        <v>0.49129709149906098</v>
      </c>
      <c r="E408">
        <f ca="1">RANK(dict_zul_Var_Meth[[#This Row],[ignored_rand]],dict_zul_Var_Meth[ignored_rand])</f>
        <v>406</v>
      </c>
    </row>
    <row r="409" spans="1:5" x14ac:dyDescent="0.45">
      <c r="A409">
        <f ca="1">VLOOKUP(dict_zul_Var_Meth[[#This Row],[ignored_rank]],help_zuord_Var_Meth[],2)</f>
        <v>109</v>
      </c>
      <c r="B409">
        <v>107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9">
        <f ca="1">RAND()</f>
        <v>0.48571261290182932</v>
      </c>
      <c r="E409">
        <f ca="1">RANK(dict_zul_Var_Meth[[#This Row],[ignored_rand]],dict_zul_Var_Meth[ignored_rand])</f>
        <v>410</v>
      </c>
    </row>
    <row r="410" spans="1:5" x14ac:dyDescent="0.45">
      <c r="A410">
        <f ca="1">VLOOKUP(dict_zul_Var_Meth[[#This Row],[ignored_rank]],help_zuord_Var_Meth[],2)</f>
        <v>109</v>
      </c>
      <c r="B410">
        <v>243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0">
        <f ca="1">RAND()</f>
        <v>0.48537933234822472</v>
      </c>
      <c r="E410">
        <f ca="1">RANK(dict_zul_Var_Meth[[#This Row],[ignored_rand]],dict_zul_Var_Meth[ignored_rand])</f>
        <v>411</v>
      </c>
    </row>
    <row r="411" spans="1:5" x14ac:dyDescent="0.45">
      <c r="A411">
        <f ca="1">VLOOKUP(dict_zul_Var_Meth[[#This Row],[ignored_rank]],help_zuord_Var_Meth[],2)</f>
        <v>109</v>
      </c>
      <c r="B411">
        <v>337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1">
        <f ca="1">RAND()</f>
        <v>0.48736053322468909</v>
      </c>
      <c r="E411">
        <f ca="1">RANK(dict_zul_Var_Meth[[#This Row],[ignored_rand]],dict_zul_Var_Meth[ignored_rand])</f>
        <v>409</v>
      </c>
    </row>
    <row r="412" spans="1:5" x14ac:dyDescent="0.45">
      <c r="A412">
        <f ca="1">VLOOKUP(dict_zul_Var_Meth[[#This Row],[ignored_rank]],help_zuord_Var_Meth[],2)</f>
        <v>109</v>
      </c>
      <c r="B412">
        <v>656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2">
        <f ca="1">RAND()</f>
        <v>0.48995252407766177</v>
      </c>
      <c r="E412">
        <f ca="1">RANK(dict_zul_Var_Meth[[#This Row],[ignored_rand]],dict_zul_Var_Meth[ignored_rand])</f>
        <v>408</v>
      </c>
    </row>
    <row r="413" spans="1:5" x14ac:dyDescent="0.45">
      <c r="A413" s="3">
        <f ca="1">VLOOKUP(dict_zul_Var_Meth[[#This Row],[ignored_rank]],help_zuord_Var_Meth[],2)</f>
        <v>110</v>
      </c>
      <c r="B413">
        <v>102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3">
        <f ca="1">RAND()</f>
        <v>0.47986139969978403</v>
      </c>
      <c r="E413" s="3">
        <f ca="1">RANK(dict_zul_Var_Meth[[#This Row],[ignored_rand]],dict_zul_Var_Meth[ignored_rand])</f>
        <v>414</v>
      </c>
    </row>
    <row r="414" spans="1:5" x14ac:dyDescent="0.45">
      <c r="A414">
        <f ca="1">VLOOKUP(dict_zul_Var_Meth[[#This Row],[ignored_rank]],help_zuord_Var_Meth[],2)</f>
        <v>110</v>
      </c>
      <c r="B414">
        <v>109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4">
        <f ca="1">RAND()</f>
        <v>0.48426054972352428</v>
      </c>
      <c r="E414">
        <f ca="1">RANK(dict_zul_Var_Meth[[#This Row],[ignored_rand]],dict_zul_Var_Meth[ignored_rand])</f>
        <v>412</v>
      </c>
    </row>
    <row r="415" spans="1:5" x14ac:dyDescent="0.45">
      <c r="A415">
        <f ca="1">VLOOKUP(dict_zul_Var_Meth[[#This Row],[ignored_rank]],help_zuord_Var_Meth[],2)</f>
        <v>110</v>
      </c>
      <c r="B415">
        <v>501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5">
        <f ca="1">RAND()</f>
        <v>0.48166859792324945</v>
      </c>
      <c r="E415">
        <f ca="1">RANK(dict_zul_Var_Meth[[#This Row],[ignored_rand]],dict_zul_Var_Meth[ignored_rand])</f>
        <v>413</v>
      </c>
    </row>
    <row r="416" spans="1:5" x14ac:dyDescent="0.45">
      <c r="A416">
        <f ca="1">VLOOKUP(dict_zul_Var_Meth[[#This Row],[ignored_rank]],help_zuord_Var_Meth[],2)</f>
        <v>111</v>
      </c>
      <c r="B416">
        <v>155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6">
        <f ca="1">RAND()</f>
        <v>0.47842503812084813</v>
      </c>
      <c r="E416">
        <f ca="1">RANK(dict_zul_Var_Meth[[#This Row],[ignored_rand]],dict_zul_Var_Meth[ignored_rand])</f>
        <v>415</v>
      </c>
    </row>
    <row r="417" spans="1:5" x14ac:dyDescent="0.45">
      <c r="A417">
        <f ca="1">VLOOKUP(dict_zul_Var_Meth[[#This Row],[ignored_rank]],help_zuord_Var_Meth[],2)</f>
        <v>111</v>
      </c>
      <c r="B417">
        <v>342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7">
        <f ca="1">RAND()</f>
        <v>0.47653887212273804</v>
      </c>
      <c r="E417">
        <f ca="1">RANK(dict_zul_Var_Meth[[#This Row],[ignored_rand]],dict_zul_Var_Meth[ignored_rand])</f>
        <v>416</v>
      </c>
    </row>
    <row r="418" spans="1:5" x14ac:dyDescent="0.45">
      <c r="A418">
        <f ca="1">VLOOKUP(dict_zul_Var_Meth[[#This Row],[ignored_rank]],help_zuord_Var_Meth[],2)</f>
        <v>111</v>
      </c>
      <c r="B418">
        <v>420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8">
        <f ca="1">RAND()</f>
        <v>0.47161017250703041</v>
      </c>
      <c r="E418">
        <f ca="1">RANK(dict_zul_Var_Meth[[#This Row],[ignored_rand]],dict_zul_Var_Meth[ignored_rand])</f>
        <v>418</v>
      </c>
    </row>
    <row r="419" spans="1:5" x14ac:dyDescent="0.45">
      <c r="A419">
        <f ca="1">VLOOKUP(dict_zul_Var_Meth[[#This Row],[ignored_rank]],help_zuord_Var_Meth[],2)</f>
        <v>111</v>
      </c>
      <c r="B419">
        <v>442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9">
        <f ca="1">RAND()</f>
        <v>0.47495454915857238</v>
      </c>
      <c r="E419">
        <f ca="1">RANK(dict_zul_Var_Meth[[#This Row],[ignored_rand]],dict_zul_Var_Meth[ignored_rand])</f>
        <v>417</v>
      </c>
    </row>
    <row r="420" spans="1:5" x14ac:dyDescent="0.45">
      <c r="A420">
        <f ca="1">VLOOKUP(dict_zul_Var_Meth[[#This Row],[ignored_rank]],help_zuord_Var_Meth[],2)</f>
        <v>112</v>
      </c>
      <c r="B420">
        <v>48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0">
        <f ca="1">RAND()</f>
        <v>0.46688837844555031</v>
      </c>
      <c r="E420">
        <f ca="1">RANK(dict_zul_Var_Meth[[#This Row],[ignored_rand]],dict_zul_Var_Meth[ignored_rand])</f>
        <v>421</v>
      </c>
    </row>
    <row r="421" spans="1:5" x14ac:dyDescent="0.45">
      <c r="A421">
        <f ca="1">VLOOKUP(dict_zul_Var_Meth[[#This Row],[ignored_rank]],help_zuord_Var_Meth[],2)</f>
        <v>112</v>
      </c>
      <c r="B421">
        <v>308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1">
        <f ca="1">RAND()</f>
        <v>0.47070027522678592</v>
      </c>
      <c r="E421">
        <f ca="1">RANK(dict_zul_Var_Meth[[#This Row],[ignored_rand]],dict_zul_Var_Meth[ignored_rand])</f>
        <v>419</v>
      </c>
    </row>
    <row r="422" spans="1:5" x14ac:dyDescent="0.45">
      <c r="A422">
        <f ca="1">VLOOKUP(dict_zul_Var_Meth[[#This Row],[ignored_rank]],help_zuord_Var_Meth[],2)</f>
        <v>112</v>
      </c>
      <c r="B422">
        <v>465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2">
        <f ca="1">RAND()</f>
        <v>0.46278574342108447</v>
      </c>
      <c r="E422">
        <f ca="1">RANK(dict_zul_Var_Meth[[#This Row],[ignored_rand]],dict_zul_Var_Meth[ignored_rand])</f>
        <v>422</v>
      </c>
    </row>
    <row r="423" spans="1:5" x14ac:dyDescent="0.45">
      <c r="A423">
        <f ca="1">VLOOKUP(dict_zul_Var_Meth[[#This Row],[ignored_rank]],help_zuord_Var_Meth[],2)</f>
        <v>112</v>
      </c>
      <c r="B423">
        <v>673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3">
        <f ca="1">RAND()</f>
        <v>0.46988632095313632</v>
      </c>
      <c r="E423">
        <f ca="1">RANK(dict_zul_Var_Meth[[#This Row],[ignored_rand]],dict_zul_Var_Meth[ignored_rand])</f>
        <v>420</v>
      </c>
    </row>
    <row r="424" spans="1:5" x14ac:dyDescent="0.45">
      <c r="A424">
        <f ca="1">VLOOKUP(dict_zul_Var_Meth[[#This Row],[ignored_rank]],help_zuord_Var_Meth[],2)</f>
        <v>113</v>
      </c>
      <c r="B424">
        <v>34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4">
        <f ca="1">RAND()</f>
        <v>0.4568208984065526</v>
      </c>
      <c r="E424">
        <f ca="1">RANK(dict_zul_Var_Meth[[#This Row],[ignored_rand]],dict_zul_Var_Meth[ignored_rand])</f>
        <v>425</v>
      </c>
    </row>
    <row r="425" spans="1:5" x14ac:dyDescent="0.45">
      <c r="A425">
        <f ca="1">VLOOKUP(dict_zul_Var_Meth[[#This Row],[ignored_rank]],help_zuord_Var_Meth[],2)</f>
        <v>113</v>
      </c>
      <c r="B425">
        <v>177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5">
        <f ca="1">RAND()</f>
        <v>0.45725963016289661</v>
      </c>
      <c r="E425">
        <f ca="1">RANK(dict_zul_Var_Meth[[#This Row],[ignored_rand]],dict_zul_Var_Meth[ignored_rand])</f>
        <v>424</v>
      </c>
    </row>
    <row r="426" spans="1:5" x14ac:dyDescent="0.45">
      <c r="A426">
        <f ca="1">VLOOKUP(dict_zul_Var_Meth[[#This Row],[ignored_rank]],help_zuord_Var_Meth[],2)</f>
        <v>113</v>
      </c>
      <c r="B426">
        <v>695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6">
        <f ca="1">RAND()</f>
        <v>0.462103146975815</v>
      </c>
      <c r="E426">
        <f ca="1">RANK(dict_zul_Var_Meth[[#This Row],[ignored_rand]],dict_zul_Var_Meth[ignored_rand])</f>
        <v>423</v>
      </c>
    </row>
    <row r="427" spans="1:5" x14ac:dyDescent="0.45">
      <c r="A427">
        <f ca="1">VLOOKUP(dict_zul_Var_Meth[[#This Row],[ignored_rank]],help_zuord_Var_Meth[],2)</f>
        <v>114</v>
      </c>
      <c r="B427">
        <v>26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7">
        <f ca="1">RAND()</f>
        <v>0.45299332432757233</v>
      </c>
      <c r="E427">
        <f ca="1">RANK(dict_zul_Var_Meth[[#This Row],[ignored_rand]],dict_zul_Var_Meth[ignored_rand])</f>
        <v>430</v>
      </c>
    </row>
    <row r="428" spans="1:5" x14ac:dyDescent="0.45">
      <c r="A428">
        <f ca="1">VLOOKUP(dict_zul_Var_Meth[[#This Row],[ignored_rank]],help_zuord_Var_Meth[],2)</f>
        <v>114</v>
      </c>
      <c r="B428">
        <v>148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8">
        <f ca="1">RAND()</f>
        <v>0.45395594584085819</v>
      </c>
      <c r="E428">
        <f ca="1">RANK(dict_zul_Var_Meth[[#This Row],[ignored_rand]],dict_zul_Var_Meth[ignored_rand])</f>
        <v>428</v>
      </c>
    </row>
    <row r="429" spans="1:5" x14ac:dyDescent="0.45">
      <c r="A429">
        <f ca="1">VLOOKUP(dict_zul_Var_Meth[[#This Row],[ignored_rank]],help_zuord_Var_Meth[],2)</f>
        <v>114</v>
      </c>
      <c r="B429">
        <v>388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9">
        <f ca="1">RAND()</f>
        <v>0.45568152146143637</v>
      </c>
      <c r="E429">
        <f ca="1">RANK(dict_zul_Var_Meth[[#This Row],[ignored_rand]],dict_zul_Var_Meth[ignored_rand])</f>
        <v>426</v>
      </c>
    </row>
    <row r="430" spans="1:5" x14ac:dyDescent="0.45">
      <c r="A430">
        <f ca="1">VLOOKUP(dict_zul_Var_Meth[[#This Row],[ignored_rank]],help_zuord_Var_Meth[],2)</f>
        <v>114</v>
      </c>
      <c r="B430">
        <v>449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0">
        <f ca="1">RAND()</f>
        <v>0.44934707405835106</v>
      </c>
      <c r="E430">
        <f ca="1">RANK(dict_zul_Var_Meth[[#This Row],[ignored_rand]],dict_zul_Var_Meth[ignored_rand])</f>
        <v>431</v>
      </c>
    </row>
    <row r="431" spans="1:5" x14ac:dyDescent="0.45">
      <c r="A431">
        <f ca="1">VLOOKUP(dict_zul_Var_Meth[[#This Row],[ignored_rank]],help_zuord_Var_Meth[],2)</f>
        <v>114</v>
      </c>
      <c r="B431">
        <v>550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1">
        <f ca="1">RAND()</f>
        <v>0.45440018153194894</v>
      </c>
      <c r="E431">
        <f ca="1">RANK(dict_zul_Var_Meth[[#This Row],[ignored_rand]],dict_zul_Var_Meth[ignored_rand])</f>
        <v>427</v>
      </c>
    </row>
    <row r="432" spans="1:5" x14ac:dyDescent="0.45">
      <c r="A432">
        <f ca="1">VLOOKUP(dict_zul_Var_Meth[[#This Row],[ignored_rank]],help_zuord_Var_Meth[],2)</f>
        <v>114</v>
      </c>
      <c r="B432">
        <v>694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2">
        <f ca="1">RAND()</f>
        <v>0.45333632979152449</v>
      </c>
      <c r="E432">
        <f ca="1">RANK(dict_zul_Var_Meth[[#This Row],[ignored_rand]],dict_zul_Var_Meth[ignored_rand])</f>
        <v>429</v>
      </c>
    </row>
    <row r="433" spans="1:5" x14ac:dyDescent="0.45">
      <c r="A433">
        <f ca="1">VLOOKUP(dict_zul_Var_Meth[[#This Row],[ignored_rank]],help_zuord_Var_Meth[],2)</f>
        <v>115</v>
      </c>
      <c r="B433">
        <v>192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3">
        <f ca="1">RAND()</f>
        <v>0.44487592286765709</v>
      </c>
      <c r="E433">
        <f ca="1">RANK(dict_zul_Var_Meth[[#This Row],[ignored_rand]],dict_zul_Var_Meth[ignored_rand])</f>
        <v>432</v>
      </c>
    </row>
    <row r="434" spans="1:5" x14ac:dyDescent="0.45">
      <c r="A434">
        <f ca="1">VLOOKUP(dict_zul_Var_Meth[[#This Row],[ignored_rank]],help_zuord_Var_Meth[],2)</f>
        <v>115</v>
      </c>
      <c r="B434">
        <v>379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4">
        <f ca="1">RAND()</f>
        <v>0.44478874494539899</v>
      </c>
      <c r="E434">
        <f ca="1">RANK(dict_zul_Var_Meth[[#This Row],[ignored_rand]],dict_zul_Var_Meth[ignored_rand])</f>
        <v>433</v>
      </c>
    </row>
    <row r="435" spans="1:5" x14ac:dyDescent="0.45">
      <c r="A435">
        <f ca="1">VLOOKUP(dict_zul_Var_Meth[[#This Row],[ignored_rank]],help_zuord_Var_Meth[],2)</f>
        <v>116</v>
      </c>
      <c r="B435">
        <v>186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5">
        <f ca="1">RAND()</f>
        <v>0.43824043919671118</v>
      </c>
      <c r="E435">
        <f ca="1">RANK(dict_zul_Var_Meth[[#This Row],[ignored_rand]],dict_zul_Var_Meth[ignored_rand])</f>
        <v>437</v>
      </c>
    </row>
    <row r="436" spans="1:5" x14ac:dyDescent="0.45">
      <c r="A436">
        <f ca="1">VLOOKUP(dict_zul_Var_Meth[[#This Row],[ignored_rank]],help_zuord_Var_Meth[],2)</f>
        <v>116</v>
      </c>
      <c r="B436">
        <v>539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6">
        <f ca="1">RAND()</f>
        <v>0.44450564045041019</v>
      </c>
      <c r="E436">
        <f ca="1">RANK(dict_zul_Var_Meth[[#This Row],[ignored_rand]],dict_zul_Var_Meth[ignored_rand])</f>
        <v>435</v>
      </c>
    </row>
    <row r="437" spans="1:5" x14ac:dyDescent="0.45">
      <c r="A437">
        <f ca="1">VLOOKUP(dict_zul_Var_Meth[[#This Row],[ignored_rank]],help_zuord_Var_Meth[],2)</f>
        <v>116</v>
      </c>
      <c r="B437">
        <v>668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7">
        <f ca="1">RAND()</f>
        <v>0.44456525390988211</v>
      </c>
      <c r="E437">
        <f ca="1">RANK(dict_zul_Var_Meth[[#This Row],[ignored_rand]],dict_zul_Var_Meth[ignored_rand])</f>
        <v>434</v>
      </c>
    </row>
    <row r="438" spans="1:5" x14ac:dyDescent="0.45">
      <c r="A438">
        <f ca="1">VLOOKUP(dict_zul_Var_Meth[[#This Row],[ignored_rank]],help_zuord_Var_Meth[],2)</f>
        <v>116</v>
      </c>
      <c r="B438">
        <v>696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8">
        <f ca="1">RAND()</f>
        <v>0.43996880761213253</v>
      </c>
      <c r="E438">
        <f ca="1">RANK(dict_zul_Var_Meth[[#This Row],[ignored_rand]],dict_zul_Var_Meth[ignored_rand])</f>
        <v>436</v>
      </c>
    </row>
    <row r="439" spans="1:5" x14ac:dyDescent="0.45">
      <c r="A439" s="3">
        <f ca="1">VLOOKUP(dict_zul_Var_Meth[[#This Row],[ignored_rank]],help_zuord_Var_Meth[],2)</f>
        <v>117</v>
      </c>
      <c r="B439">
        <v>29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9">
        <f ca="1">RAND()</f>
        <v>0.43750057134027331</v>
      </c>
      <c r="E439" s="3">
        <f ca="1">RANK(dict_zul_Var_Meth[[#This Row],[ignored_rand]],dict_zul_Var_Meth[ignored_rand])</f>
        <v>438</v>
      </c>
    </row>
    <row r="440" spans="1:5" x14ac:dyDescent="0.45">
      <c r="A440">
        <f ca="1">VLOOKUP(dict_zul_Var_Meth[[#This Row],[ignored_rank]],help_zuord_Var_Meth[],2)</f>
        <v>117</v>
      </c>
      <c r="B440">
        <v>281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0">
        <f ca="1">RAND()</f>
        <v>0.43442265481741993</v>
      </c>
      <c r="E440">
        <f ca="1">RANK(dict_zul_Var_Meth[[#This Row],[ignored_rand]],dict_zul_Var_Meth[ignored_rand])</f>
        <v>440</v>
      </c>
    </row>
    <row r="441" spans="1:5" x14ac:dyDescent="0.45">
      <c r="A441">
        <f ca="1">VLOOKUP(dict_zul_Var_Meth[[#This Row],[ignored_rank]],help_zuord_Var_Meth[],2)</f>
        <v>117</v>
      </c>
      <c r="B441">
        <v>445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1">
        <f ca="1">RAND()</f>
        <v>0.43739081645022126</v>
      </c>
      <c r="E441">
        <f ca="1">RANK(dict_zul_Var_Meth[[#This Row],[ignored_rand]],dict_zul_Var_Meth[ignored_rand])</f>
        <v>439</v>
      </c>
    </row>
    <row r="442" spans="1:5" x14ac:dyDescent="0.45">
      <c r="A442" s="3">
        <f ca="1">VLOOKUP(dict_zul_Var_Meth[[#This Row],[ignored_rank]],help_zuord_Var_Meth[],2)</f>
        <v>118</v>
      </c>
      <c r="B442">
        <v>52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2">
        <f ca="1">RAND()</f>
        <v>0.42908282348913829</v>
      </c>
      <c r="E442" s="3">
        <f ca="1">RANK(dict_zul_Var_Meth[[#This Row],[ignored_rand]],dict_zul_Var_Meth[ignored_rand])</f>
        <v>445</v>
      </c>
    </row>
    <row r="443" spans="1:5" x14ac:dyDescent="0.45">
      <c r="A443">
        <f ca="1">VLOOKUP(dict_zul_Var_Meth[[#This Row],[ignored_rank]],help_zuord_Var_Meth[],2)</f>
        <v>118</v>
      </c>
      <c r="B443">
        <v>157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3">
        <f ca="1">RAND()</f>
        <v>0.43051152520338865</v>
      </c>
      <c r="E443">
        <f ca="1">RANK(dict_zul_Var_Meth[[#This Row],[ignored_rand]],dict_zul_Var_Meth[ignored_rand])</f>
        <v>443</v>
      </c>
    </row>
    <row r="444" spans="1:5" x14ac:dyDescent="0.45">
      <c r="A444">
        <f ca="1">VLOOKUP(dict_zul_Var_Meth[[#This Row],[ignored_rank]],help_zuord_Var_Meth[],2)</f>
        <v>118</v>
      </c>
      <c r="B444">
        <v>161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4">
        <f ca="1">RAND()</f>
        <v>0.43071343205292201</v>
      </c>
      <c r="E444">
        <f ca="1">RANK(dict_zul_Var_Meth[[#This Row],[ignored_rand]],dict_zul_Var_Meth[ignored_rand])</f>
        <v>442</v>
      </c>
    </row>
    <row r="445" spans="1:5" x14ac:dyDescent="0.45">
      <c r="A445">
        <f ca="1">VLOOKUP(dict_zul_Var_Meth[[#This Row],[ignored_rank]],help_zuord_Var_Meth[],2)</f>
        <v>118</v>
      </c>
      <c r="B445">
        <v>280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5">
        <f ca="1">RAND()</f>
        <v>0.42916160912405632</v>
      </c>
      <c r="E445">
        <f ca="1">RANK(dict_zul_Var_Meth[[#This Row],[ignored_rand]],dict_zul_Var_Meth[ignored_rand])</f>
        <v>444</v>
      </c>
    </row>
    <row r="446" spans="1:5" x14ac:dyDescent="0.45">
      <c r="A446">
        <f ca="1">VLOOKUP(dict_zul_Var_Meth[[#This Row],[ignored_rank]],help_zuord_Var_Meth[],2)</f>
        <v>118</v>
      </c>
      <c r="B446">
        <v>560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6">
        <f ca="1">RAND()</f>
        <v>0.43101922528348646</v>
      </c>
      <c r="E446">
        <f ca="1">RANK(dict_zul_Var_Meth[[#This Row],[ignored_rand]],dict_zul_Var_Meth[ignored_rand])</f>
        <v>441</v>
      </c>
    </row>
    <row r="447" spans="1:5" x14ac:dyDescent="0.45">
      <c r="A447">
        <f ca="1">VLOOKUP(dict_zul_Var_Meth[[#This Row],[ignored_rank]],help_zuord_Var_Meth[],2)</f>
        <v>119</v>
      </c>
      <c r="B447">
        <v>40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7">
        <f ca="1">RAND()</f>
        <v>0.42732268093361137</v>
      </c>
      <c r="E447">
        <f ca="1">RANK(dict_zul_Var_Meth[[#This Row],[ignored_rand]],dict_zul_Var_Meth[ignored_rand])</f>
        <v>446</v>
      </c>
    </row>
    <row r="448" spans="1:5" x14ac:dyDescent="0.45">
      <c r="A448">
        <f ca="1">VLOOKUP(dict_zul_Var_Meth[[#This Row],[ignored_rank]],help_zuord_Var_Meth[],2)</f>
        <v>119</v>
      </c>
      <c r="B448">
        <v>253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8">
        <f ca="1">RAND()</f>
        <v>0.42699660014802332</v>
      </c>
      <c r="E448">
        <f ca="1">RANK(dict_zul_Var_Meth[[#This Row],[ignored_rand]],dict_zul_Var_Meth[ignored_rand])</f>
        <v>447</v>
      </c>
    </row>
    <row r="449" spans="1:5" x14ac:dyDescent="0.45">
      <c r="A449">
        <f ca="1">VLOOKUP(dict_zul_Var_Meth[[#This Row],[ignored_rank]],help_zuord_Var_Meth[],2)</f>
        <v>119</v>
      </c>
      <c r="B449">
        <v>646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9">
        <f ca="1">RAND()</f>
        <v>0.42636248745104366</v>
      </c>
      <c r="E449">
        <f ca="1">RANK(dict_zul_Var_Meth[[#This Row],[ignored_rand]],dict_zul_Var_Meth[ignored_rand])</f>
        <v>448</v>
      </c>
    </row>
    <row r="450" spans="1:5" x14ac:dyDescent="0.45">
      <c r="A450">
        <f ca="1">VLOOKUP(dict_zul_Var_Meth[[#This Row],[ignored_rank]],help_zuord_Var_Meth[],2)</f>
        <v>120</v>
      </c>
      <c r="B450">
        <v>56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0">
        <f ca="1">RAND()</f>
        <v>0.42545190986879455</v>
      </c>
      <c r="E450">
        <f ca="1">RANK(dict_zul_Var_Meth[[#This Row],[ignored_rand]],dict_zul_Var_Meth[ignored_rand])</f>
        <v>449</v>
      </c>
    </row>
    <row r="451" spans="1:5" x14ac:dyDescent="0.45">
      <c r="A451">
        <f ca="1">VLOOKUP(dict_zul_Var_Meth[[#This Row],[ignored_rank]],help_zuord_Var_Meth[],2)</f>
        <v>120</v>
      </c>
      <c r="B451">
        <v>123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1">
        <f ca="1">RAND()</f>
        <v>0.41682445512341137</v>
      </c>
      <c r="E451">
        <f ca="1">RANK(dict_zul_Var_Meth[[#This Row],[ignored_rand]],dict_zul_Var_Meth[ignored_rand])</f>
        <v>452</v>
      </c>
    </row>
    <row r="452" spans="1:5" x14ac:dyDescent="0.45">
      <c r="A452">
        <f ca="1">VLOOKUP(dict_zul_Var_Meth[[#This Row],[ignored_rank]],help_zuord_Var_Meth[],2)</f>
        <v>120</v>
      </c>
      <c r="B452">
        <v>140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2">
        <f ca="1">RAND()</f>
        <v>0.4210049767841354</v>
      </c>
      <c r="E452">
        <f ca="1">RANK(dict_zul_Var_Meth[[#This Row],[ignored_rand]],dict_zul_Var_Meth[ignored_rand])</f>
        <v>451</v>
      </c>
    </row>
    <row r="453" spans="1:5" x14ac:dyDescent="0.45">
      <c r="A453">
        <f ca="1">VLOOKUP(dict_zul_Var_Meth[[#This Row],[ignored_rank]],help_zuord_Var_Meth[],2)</f>
        <v>120</v>
      </c>
      <c r="B453">
        <v>314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3">
        <f ca="1">RAND()</f>
        <v>0.414565456897108</v>
      </c>
      <c r="E453">
        <f ca="1">RANK(dict_zul_Var_Meth[[#This Row],[ignored_rand]],dict_zul_Var_Meth[ignored_rand])</f>
        <v>453</v>
      </c>
    </row>
    <row r="454" spans="1:5" x14ac:dyDescent="0.45">
      <c r="A454">
        <f ca="1">VLOOKUP(dict_zul_Var_Meth[[#This Row],[ignored_rank]],help_zuord_Var_Meth[],2)</f>
        <v>120</v>
      </c>
      <c r="B454">
        <v>434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4">
        <f ca="1">RAND()</f>
        <v>0.42126041195689645</v>
      </c>
      <c r="E454">
        <f ca="1">RANK(dict_zul_Var_Meth[[#This Row],[ignored_rand]],dict_zul_Var_Meth[ignored_rand])</f>
        <v>450</v>
      </c>
    </row>
    <row r="455" spans="1:5" x14ac:dyDescent="0.45">
      <c r="A455">
        <f ca="1">VLOOKUP(dict_zul_Var_Meth[[#This Row],[ignored_rank]],help_zuord_Var_Meth[],2)</f>
        <v>121</v>
      </c>
      <c r="B455">
        <v>484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5">
        <f ca="1">RAND()</f>
        <v>0.41158383410884936</v>
      </c>
      <c r="E455">
        <f ca="1">RANK(dict_zul_Var_Meth[[#This Row],[ignored_rand]],dict_zul_Var_Meth[ignored_rand])</f>
        <v>455</v>
      </c>
    </row>
    <row r="456" spans="1:5" x14ac:dyDescent="0.45">
      <c r="A456">
        <f ca="1">VLOOKUP(dict_zul_Var_Meth[[#This Row],[ignored_rank]],help_zuord_Var_Meth[],2)</f>
        <v>121</v>
      </c>
      <c r="B456">
        <v>497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6">
        <f ca="1">RAND()</f>
        <v>0.41112414698766031</v>
      </c>
      <c r="E456">
        <f ca="1">RANK(dict_zul_Var_Meth[[#This Row],[ignored_rand]],dict_zul_Var_Meth[ignored_rand])</f>
        <v>456</v>
      </c>
    </row>
    <row r="457" spans="1:5" x14ac:dyDescent="0.45">
      <c r="A457">
        <f ca="1">VLOOKUP(dict_zul_Var_Meth[[#This Row],[ignored_rank]],help_zuord_Var_Meth[],2)</f>
        <v>121</v>
      </c>
      <c r="B457">
        <v>607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7">
        <f ca="1">RAND()</f>
        <v>0.41453955239198581</v>
      </c>
      <c r="E457">
        <f ca="1">RANK(dict_zul_Var_Meth[[#This Row],[ignored_rand]],dict_zul_Var_Meth[ignored_rand])</f>
        <v>454</v>
      </c>
    </row>
    <row r="458" spans="1:5" x14ac:dyDescent="0.45">
      <c r="A458">
        <f ca="1">VLOOKUP(dict_zul_Var_Meth[[#This Row],[ignored_rank]],help_zuord_Var_Meth[],2)</f>
        <v>122</v>
      </c>
      <c r="B458">
        <v>33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8">
        <f ca="1">RAND()</f>
        <v>0.40317208320044751</v>
      </c>
      <c r="E458">
        <f ca="1">RANK(dict_zul_Var_Meth[[#This Row],[ignored_rand]],dict_zul_Var_Meth[ignored_rand])</f>
        <v>460</v>
      </c>
    </row>
    <row r="459" spans="1:5" x14ac:dyDescent="0.45">
      <c r="A459">
        <f ca="1">VLOOKUP(dict_zul_Var_Meth[[#This Row],[ignored_rank]],help_zuord_Var_Meth[],2)</f>
        <v>122</v>
      </c>
      <c r="B459">
        <v>93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9">
        <f ca="1">RAND()</f>
        <v>0.40586912682544629</v>
      </c>
      <c r="E459">
        <f ca="1">RANK(dict_zul_Var_Meth[[#This Row],[ignored_rand]],dict_zul_Var_Meth[ignored_rand])</f>
        <v>459</v>
      </c>
    </row>
    <row r="460" spans="1:5" x14ac:dyDescent="0.45">
      <c r="A460">
        <f ca="1">VLOOKUP(dict_zul_Var_Meth[[#This Row],[ignored_rank]],help_zuord_Var_Meth[],2)</f>
        <v>122</v>
      </c>
      <c r="B460">
        <v>514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0">
        <f ca="1">RAND()</f>
        <v>0.41106698520966201</v>
      </c>
      <c r="E460">
        <f ca="1">RANK(dict_zul_Var_Meth[[#This Row],[ignored_rand]],dict_zul_Var_Meth[ignored_rand])</f>
        <v>457</v>
      </c>
    </row>
    <row r="461" spans="1:5" x14ac:dyDescent="0.45">
      <c r="A461">
        <f ca="1">VLOOKUP(dict_zul_Var_Meth[[#This Row],[ignored_rank]],help_zuord_Var_Meth[],2)</f>
        <v>122</v>
      </c>
      <c r="B461">
        <v>616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1">
        <f ca="1">RAND()</f>
        <v>0.40697561466772814</v>
      </c>
      <c r="E461">
        <f ca="1">RANK(dict_zul_Var_Meth[[#This Row],[ignored_rand]],dict_zul_Var_Meth[ignored_rand])</f>
        <v>458</v>
      </c>
    </row>
    <row r="462" spans="1:5" x14ac:dyDescent="0.45">
      <c r="A462">
        <f ca="1">VLOOKUP(dict_zul_Var_Meth[[#This Row],[ignored_rank]],help_zuord_Var_Meth[],2)</f>
        <v>123</v>
      </c>
      <c r="B462">
        <v>461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2">
        <f ca="1">RAND()</f>
        <v>0.40058883054477856</v>
      </c>
      <c r="E462">
        <f ca="1">RANK(dict_zul_Var_Meth[[#This Row],[ignored_rand]],dict_zul_Var_Meth[ignored_rand])</f>
        <v>462</v>
      </c>
    </row>
    <row r="463" spans="1:5" x14ac:dyDescent="0.45">
      <c r="A463">
        <f ca="1">VLOOKUP(dict_zul_Var_Meth[[#This Row],[ignored_rank]],help_zuord_Var_Meth[],2)</f>
        <v>123</v>
      </c>
      <c r="B463">
        <v>538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3">
        <f ca="1">RAND()</f>
        <v>0.39944321386280301</v>
      </c>
      <c r="E463">
        <f ca="1">RANK(dict_zul_Var_Meth[[#This Row],[ignored_rand]],dict_zul_Var_Meth[ignored_rand])</f>
        <v>463</v>
      </c>
    </row>
    <row r="464" spans="1:5" x14ac:dyDescent="0.45">
      <c r="A464">
        <f ca="1">VLOOKUP(dict_zul_Var_Meth[[#This Row],[ignored_rank]],help_zuord_Var_Meth[],2)</f>
        <v>123</v>
      </c>
      <c r="B464">
        <v>571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4">
        <f ca="1">RAND()</f>
        <v>0.40122275358282222</v>
      </c>
      <c r="E464">
        <f ca="1">RANK(dict_zul_Var_Meth[[#This Row],[ignored_rand]],dict_zul_Var_Meth[ignored_rand])</f>
        <v>461</v>
      </c>
    </row>
    <row r="465" spans="1:5" x14ac:dyDescent="0.45">
      <c r="A465">
        <f ca="1">VLOOKUP(dict_zul_Var_Meth[[#This Row],[ignored_rank]],help_zuord_Var_Meth[],2)</f>
        <v>124</v>
      </c>
      <c r="B465">
        <v>112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5">
        <f ca="1">RAND()</f>
        <v>0.3978042109805644</v>
      </c>
      <c r="E465">
        <f ca="1">RANK(dict_zul_Var_Meth[[#This Row],[ignored_rand]],dict_zul_Var_Meth[ignored_rand])</f>
        <v>464</v>
      </c>
    </row>
    <row r="466" spans="1:5" x14ac:dyDescent="0.45">
      <c r="A466">
        <f ca="1">VLOOKUP(dict_zul_Var_Meth[[#This Row],[ignored_rank]],help_zuord_Var_Meth[],2)</f>
        <v>124</v>
      </c>
      <c r="B466">
        <v>256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6">
        <f ca="1">RAND()</f>
        <v>0.39393688130486293</v>
      </c>
      <c r="E466">
        <f ca="1">RANK(dict_zul_Var_Meth[[#This Row],[ignored_rand]],dict_zul_Var_Meth[ignored_rand])</f>
        <v>466</v>
      </c>
    </row>
    <row r="467" spans="1:5" x14ac:dyDescent="0.45">
      <c r="A467">
        <f ca="1">VLOOKUP(dict_zul_Var_Meth[[#This Row],[ignored_rank]],help_zuord_Var_Meth[],2)</f>
        <v>124</v>
      </c>
      <c r="B467">
        <v>316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7">
        <f ca="1">RAND()</f>
        <v>0.39686155422899605</v>
      </c>
      <c r="E467">
        <f ca="1">RANK(dict_zul_Var_Meth[[#This Row],[ignored_rand]],dict_zul_Var_Meth[ignored_rand])</f>
        <v>465</v>
      </c>
    </row>
    <row r="468" spans="1:5" x14ac:dyDescent="0.45">
      <c r="A468">
        <f ca="1">VLOOKUP(dict_zul_Var_Meth[[#This Row],[ignored_rank]],help_zuord_Var_Meth[],2)</f>
        <v>124</v>
      </c>
      <c r="B468">
        <v>685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8">
        <f ca="1">RAND()</f>
        <v>0.39040286250876266</v>
      </c>
      <c r="E468">
        <f ca="1">RANK(dict_zul_Var_Meth[[#This Row],[ignored_rand]],dict_zul_Var_Meth[ignored_rand])</f>
        <v>467</v>
      </c>
    </row>
    <row r="469" spans="1:5" x14ac:dyDescent="0.45">
      <c r="A469">
        <f ca="1">VLOOKUP(dict_zul_Var_Meth[[#This Row],[ignored_rank]],help_zuord_Var_Meth[],2)</f>
        <v>125</v>
      </c>
      <c r="B469">
        <v>17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9">
        <f ca="1">RAND()</f>
        <v>0.38458393260674084</v>
      </c>
      <c r="E469">
        <f ca="1">RANK(dict_zul_Var_Meth[[#This Row],[ignored_rand]],dict_zul_Var_Meth[ignored_rand])</f>
        <v>471</v>
      </c>
    </row>
    <row r="470" spans="1:5" x14ac:dyDescent="0.45">
      <c r="A470">
        <f ca="1">VLOOKUP(dict_zul_Var_Meth[[#This Row],[ignored_rank]],help_zuord_Var_Meth[],2)</f>
        <v>125</v>
      </c>
      <c r="B470">
        <v>21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0">
        <f ca="1">RAND()</f>
        <v>0.38514934384475019</v>
      </c>
      <c r="E470">
        <f ca="1">RANK(dict_zul_Var_Meth[[#This Row],[ignored_rand]],dict_zul_Var_Meth[ignored_rand])</f>
        <v>470</v>
      </c>
    </row>
    <row r="471" spans="1:5" x14ac:dyDescent="0.45">
      <c r="A471">
        <f ca="1">VLOOKUP(dict_zul_Var_Meth[[#This Row],[ignored_rank]],help_zuord_Var_Meth[],2)</f>
        <v>125</v>
      </c>
      <c r="B471">
        <v>51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1">
        <f ca="1">RAND()</f>
        <v>0.39018949819363036</v>
      </c>
      <c r="E471">
        <f ca="1">RANK(dict_zul_Var_Meth[[#This Row],[ignored_rand]],dict_zul_Var_Meth[ignored_rand])</f>
        <v>468</v>
      </c>
    </row>
    <row r="472" spans="1:5" x14ac:dyDescent="0.45">
      <c r="A472">
        <f ca="1">VLOOKUP(dict_zul_Var_Meth[[#This Row],[ignored_rank]],help_zuord_Var_Meth[],2)</f>
        <v>125</v>
      </c>
      <c r="B472">
        <v>234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2">
        <f ca="1">RAND()</f>
        <v>0.38405565291665678</v>
      </c>
      <c r="E472">
        <f ca="1">RANK(dict_zul_Var_Meth[[#This Row],[ignored_rand]],dict_zul_Var_Meth[ignored_rand])</f>
        <v>472</v>
      </c>
    </row>
    <row r="473" spans="1:5" x14ac:dyDescent="0.45">
      <c r="A473" s="3">
        <f ca="1">VLOOKUP(dict_zul_Var_Meth[[#This Row],[ignored_rank]],help_zuord_Var_Meth[],2)</f>
        <v>125</v>
      </c>
      <c r="B473">
        <v>664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3">
        <f ca="1">RAND()</f>
        <v>0.39000274313439831</v>
      </c>
      <c r="E473" s="3">
        <f ca="1">RANK(dict_zul_Var_Meth[[#This Row],[ignored_rand]],dict_zul_Var_Meth[ignored_rand])</f>
        <v>469</v>
      </c>
    </row>
    <row r="474" spans="1:5" x14ac:dyDescent="0.45">
      <c r="A474">
        <f ca="1">VLOOKUP(dict_zul_Var_Meth[[#This Row],[ignored_rank]],help_zuord_Var_Meth[],2)</f>
        <v>126</v>
      </c>
      <c r="B474">
        <v>119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4">
        <f ca="1">RAND()</f>
        <v>0.3816634979786071</v>
      </c>
      <c r="E474">
        <f ca="1">RANK(dict_zul_Var_Meth[[#This Row],[ignored_rand]],dict_zul_Var_Meth[ignored_rand])</f>
        <v>473</v>
      </c>
    </row>
    <row r="475" spans="1:5" x14ac:dyDescent="0.45">
      <c r="A475" s="3">
        <f ca="1">VLOOKUP(dict_zul_Var_Meth[[#This Row],[ignored_rank]],help_zuord_Var_Meth[],2)</f>
        <v>127</v>
      </c>
      <c r="B475">
        <v>3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5">
        <f ca="1">RAND()</f>
        <v>0.37602049576711183</v>
      </c>
      <c r="E475" s="3">
        <f ca="1">RANK(dict_zul_Var_Meth[[#This Row],[ignored_rand]],dict_zul_Var_Meth[ignored_rand])</f>
        <v>478</v>
      </c>
    </row>
    <row r="476" spans="1:5" x14ac:dyDescent="0.45">
      <c r="A476">
        <f ca="1">VLOOKUP(dict_zul_Var_Meth[[#This Row],[ignored_rank]],help_zuord_Var_Meth[],2)</f>
        <v>127</v>
      </c>
      <c r="B476">
        <v>19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6">
        <f ca="1">RAND()</f>
        <v>0.38034603665731148</v>
      </c>
      <c r="E476">
        <f ca="1">RANK(dict_zul_Var_Meth[[#This Row],[ignored_rand]],dict_zul_Var_Meth[ignored_rand])</f>
        <v>475</v>
      </c>
    </row>
    <row r="477" spans="1:5" x14ac:dyDescent="0.45">
      <c r="A477">
        <f ca="1">VLOOKUP(dict_zul_Var_Meth[[#This Row],[ignored_rank]],help_zuord_Var_Meth[],2)</f>
        <v>127</v>
      </c>
      <c r="B477">
        <v>336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7">
        <f ca="1">RAND()</f>
        <v>0.3807632902337309</v>
      </c>
      <c r="E477">
        <f ca="1">RANK(dict_zul_Var_Meth[[#This Row],[ignored_rand]],dict_zul_Var_Meth[ignored_rand])</f>
        <v>474</v>
      </c>
    </row>
    <row r="478" spans="1:5" x14ac:dyDescent="0.45">
      <c r="A478">
        <f ca="1">VLOOKUP(dict_zul_Var_Meth[[#This Row],[ignored_rank]],help_zuord_Var_Meth[],2)</f>
        <v>127</v>
      </c>
      <c r="B478">
        <v>415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8">
        <f ca="1">RAND()</f>
        <v>0.37874671441485974</v>
      </c>
      <c r="E478">
        <f ca="1">RANK(dict_zul_Var_Meth[[#This Row],[ignored_rand]],dict_zul_Var_Meth[ignored_rand])</f>
        <v>476</v>
      </c>
    </row>
    <row r="479" spans="1:5" x14ac:dyDescent="0.45">
      <c r="A479">
        <f ca="1">VLOOKUP(dict_zul_Var_Meth[[#This Row],[ignored_rank]],help_zuord_Var_Meth[],2)</f>
        <v>127</v>
      </c>
      <c r="B479">
        <v>511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9">
        <f ca="1">RAND()</f>
        <v>0.37744038326358165</v>
      </c>
      <c r="E479">
        <f ca="1">RANK(dict_zul_Var_Meth[[#This Row],[ignored_rand]],dict_zul_Var_Meth[ignored_rand])</f>
        <v>477</v>
      </c>
    </row>
    <row r="480" spans="1:5" x14ac:dyDescent="0.45">
      <c r="A480">
        <f ca="1">VLOOKUP(dict_zul_Var_Meth[[#This Row],[ignored_rank]],help_zuord_Var_Meth[],2)</f>
        <v>128</v>
      </c>
      <c r="B480">
        <v>32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0">
        <f ca="1">RAND()</f>
        <v>0.37288123018967567</v>
      </c>
      <c r="E480">
        <f ca="1">RANK(dict_zul_Var_Meth[[#This Row],[ignored_rand]],dict_zul_Var_Meth[ignored_rand])</f>
        <v>481</v>
      </c>
    </row>
    <row r="481" spans="1:5" x14ac:dyDescent="0.45">
      <c r="A481">
        <f ca="1">VLOOKUP(dict_zul_Var_Meth[[#This Row],[ignored_rank]],help_zuord_Var_Meth[],2)</f>
        <v>128</v>
      </c>
      <c r="B481">
        <v>522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1">
        <f ca="1">RAND()</f>
        <v>0.36801825770129382</v>
      </c>
      <c r="E481">
        <f ca="1">RANK(dict_zul_Var_Meth[[#This Row],[ignored_rand]],dict_zul_Var_Meth[ignored_rand])</f>
        <v>482</v>
      </c>
    </row>
    <row r="482" spans="1:5" x14ac:dyDescent="0.45">
      <c r="A482" s="3">
        <f ca="1">VLOOKUP(dict_zul_Var_Meth[[#This Row],[ignored_rank]],help_zuord_Var_Meth[],2)</f>
        <v>128</v>
      </c>
      <c r="B482">
        <v>526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2">
        <f ca="1">RAND()</f>
        <v>0.37397822541772852</v>
      </c>
      <c r="E482" s="3">
        <f ca="1">RANK(dict_zul_Var_Meth[[#This Row],[ignored_rand]],dict_zul_Var_Meth[ignored_rand])</f>
        <v>479</v>
      </c>
    </row>
    <row r="483" spans="1:5" x14ac:dyDescent="0.45">
      <c r="A483">
        <f ca="1">VLOOKUP(dict_zul_Var_Meth[[#This Row],[ignored_rank]],help_zuord_Var_Meth[],2)</f>
        <v>128</v>
      </c>
      <c r="B483">
        <v>631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3">
        <f ca="1">RAND()</f>
        <v>0.37288800795341492</v>
      </c>
      <c r="E483">
        <f ca="1">RANK(dict_zul_Var_Meth[[#This Row],[ignored_rand]],dict_zul_Var_Meth[ignored_rand])</f>
        <v>480</v>
      </c>
    </row>
    <row r="484" spans="1:5" x14ac:dyDescent="0.45">
      <c r="A484">
        <f ca="1">VLOOKUP(dict_zul_Var_Meth[[#This Row],[ignored_rank]],help_zuord_Var_Meth[],2)</f>
        <v>129</v>
      </c>
      <c r="B484">
        <v>374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4">
        <f ca="1">RAND()</f>
        <v>0.36635241626714932</v>
      </c>
      <c r="E484">
        <f ca="1">RANK(dict_zul_Var_Meth[[#This Row],[ignored_rand]],dict_zul_Var_Meth[ignored_rand])</f>
        <v>484</v>
      </c>
    </row>
    <row r="485" spans="1:5" x14ac:dyDescent="0.45">
      <c r="A485">
        <f ca="1">VLOOKUP(dict_zul_Var_Meth[[#This Row],[ignored_rank]],help_zuord_Var_Meth[],2)</f>
        <v>129</v>
      </c>
      <c r="B485">
        <v>475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5">
        <f ca="1">RAND()</f>
        <v>0.36740768842515303</v>
      </c>
      <c r="E485">
        <f ca="1">RANK(dict_zul_Var_Meth[[#This Row],[ignored_rand]],dict_zul_Var_Meth[ignored_rand])</f>
        <v>483</v>
      </c>
    </row>
    <row r="486" spans="1:5" x14ac:dyDescent="0.45">
      <c r="A486">
        <f ca="1">VLOOKUP(dict_zul_Var_Meth[[#This Row],[ignored_rank]],help_zuord_Var_Meth[],2)</f>
        <v>129</v>
      </c>
      <c r="B486">
        <v>518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6">
        <f ca="1">RAND()</f>
        <v>0.36413313464608532</v>
      </c>
      <c r="E486">
        <f ca="1">RANK(dict_zul_Var_Meth[[#This Row],[ignored_rand]],dict_zul_Var_Meth[ignored_rand])</f>
        <v>485</v>
      </c>
    </row>
    <row r="487" spans="1:5" x14ac:dyDescent="0.45">
      <c r="A487">
        <f ca="1">VLOOKUP(dict_zul_Var_Meth[[#This Row],[ignored_rank]],help_zuord_Var_Meth[],2)</f>
        <v>130</v>
      </c>
      <c r="B487">
        <v>106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7">
        <f ca="1">RAND()</f>
        <v>0.3615864055335839</v>
      </c>
      <c r="E487">
        <f ca="1">RANK(dict_zul_Var_Meth[[#This Row],[ignored_rand]],dict_zul_Var_Meth[ignored_rand])</f>
        <v>487</v>
      </c>
    </row>
    <row r="488" spans="1:5" x14ac:dyDescent="0.45">
      <c r="A488">
        <f ca="1">VLOOKUP(dict_zul_Var_Meth[[#This Row],[ignored_rank]],help_zuord_Var_Meth[],2)</f>
        <v>130</v>
      </c>
      <c r="B488">
        <v>347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8">
        <f ca="1">RAND()</f>
        <v>0.35917653351899415</v>
      </c>
      <c r="E488">
        <f ca="1">RANK(dict_zul_Var_Meth[[#This Row],[ignored_rand]],dict_zul_Var_Meth[ignored_rand])</f>
        <v>488</v>
      </c>
    </row>
    <row r="489" spans="1:5" x14ac:dyDescent="0.45">
      <c r="A489">
        <f ca="1">VLOOKUP(dict_zul_Var_Meth[[#This Row],[ignored_rank]],help_zuord_Var_Meth[],2)</f>
        <v>130</v>
      </c>
      <c r="B489">
        <v>513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9">
        <f ca="1">RAND()</f>
        <v>0.36334895713145354</v>
      </c>
      <c r="E489">
        <f ca="1">RANK(dict_zul_Var_Meth[[#This Row],[ignored_rand]],dict_zul_Var_Meth[ignored_rand])</f>
        <v>486</v>
      </c>
    </row>
    <row r="490" spans="1:5" x14ac:dyDescent="0.45">
      <c r="A490" s="3">
        <f ca="1">VLOOKUP(dict_zul_Var_Meth[[#This Row],[ignored_rank]],help_zuord_Var_Meth[],2)</f>
        <v>130</v>
      </c>
      <c r="B490">
        <v>633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0">
        <f ca="1">RAND()</f>
        <v>0.35624791116176513</v>
      </c>
      <c r="E490" s="3">
        <f ca="1">RANK(dict_zul_Var_Meth[[#This Row],[ignored_rand]],dict_zul_Var_Meth[ignored_rand])</f>
        <v>489</v>
      </c>
    </row>
    <row r="491" spans="1:5" x14ac:dyDescent="0.45">
      <c r="A491">
        <f ca="1">VLOOKUP(dict_zul_Var_Meth[[#This Row],[ignored_rank]],help_zuord_Var_Meth[],2)</f>
        <v>131</v>
      </c>
      <c r="B491">
        <v>86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1">
        <f ca="1">RAND()</f>
        <v>0.35043171850732224</v>
      </c>
      <c r="E491">
        <f ca="1">RANK(dict_zul_Var_Meth[[#This Row],[ignored_rand]],dict_zul_Var_Meth[ignored_rand])</f>
        <v>492</v>
      </c>
    </row>
    <row r="492" spans="1:5" x14ac:dyDescent="0.45">
      <c r="A492">
        <f ca="1">VLOOKUP(dict_zul_Var_Meth[[#This Row],[ignored_rank]],help_zuord_Var_Meth[],2)</f>
        <v>131</v>
      </c>
      <c r="B492">
        <v>113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2">
        <f ca="1">RAND()</f>
        <v>0.3553580959022089</v>
      </c>
      <c r="E492">
        <f ca="1">RANK(dict_zul_Var_Meth[[#This Row],[ignored_rand]],dict_zul_Var_Meth[ignored_rand])</f>
        <v>490</v>
      </c>
    </row>
    <row r="493" spans="1:5" x14ac:dyDescent="0.45">
      <c r="A493">
        <f ca="1">VLOOKUP(dict_zul_Var_Meth[[#This Row],[ignored_rank]],help_zuord_Var_Meth[],2)</f>
        <v>131</v>
      </c>
      <c r="B493">
        <v>609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3">
        <f ca="1">RAND()</f>
        <v>0.34730088905203249</v>
      </c>
      <c r="E493">
        <f ca="1">RANK(dict_zul_Var_Meth[[#This Row],[ignored_rand]],dict_zul_Var_Meth[ignored_rand])</f>
        <v>493</v>
      </c>
    </row>
    <row r="494" spans="1:5" x14ac:dyDescent="0.45">
      <c r="A494">
        <f ca="1">VLOOKUP(dict_zul_Var_Meth[[#This Row],[ignored_rank]],help_zuord_Var_Meth[],2)</f>
        <v>131</v>
      </c>
      <c r="B494">
        <v>700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4">
        <f ca="1">RAND()</f>
        <v>0.35230674395828654</v>
      </c>
      <c r="E494">
        <f ca="1">RANK(dict_zul_Var_Meth[[#This Row],[ignored_rand]],dict_zul_Var_Meth[ignored_rand])</f>
        <v>491</v>
      </c>
    </row>
    <row r="495" spans="1:5" x14ac:dyDescent="0.45">
      <c r="A495">
        <f ca="1">VLOOKUP(dict_zul_Var_Meth[[#This Row],[ignored_rank]],help_zuord_Var_Meth[],2)</f>
        <v>132</v>
      </c>
      <c r="B495">
        <v>2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5">
        <f ca="1">RAND()</f>
        <v>0.3440146330839976</v>
      </c>
      <c r="E495">
        <f ca="1">RANK(dict_zul_Var_Meth[[#This Row],[ignored_rand]],dict_zul_Var_Meth[ignored_rand])</f>
        <v>494</v>
      </c>
    </row>
    <row r="496" spans="1:5" x14ac:dyDescent="0.45">
      <c r="A496">
        <f ca="1">VLOOKUP(dict_zul_Var_Meth[[#This Row],[ignored_rank]],help_zuord_Var_Meth[],2)</f>
        <v>132</v>
      </c>
      <c r="B496">
        <v>4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6">
        <f ca="1">RAND()</f>
        <v>0.34123540688356446</v>
      </c>
      <c r="E496">
        <f ca="1">RANK(dict_zul_Var_Meth[[#This Row],[ignored_rand]],dict_zul_Var_Meth[ignored_rand])</f>
        <v>496</v>
      </c>
    </row>
    <row r="497" spans="1:5" x14ac:dyDescent="0.45">
      <c r="A497">
        <f ca="1">VLOOKUP(dict_zul_Var_Meth[[#This Row],[ignored_rank]],help_zuord_Var_Meth[],2)</f>
        <v>132</v>
      </c>
      <c r="B497">
        <v>295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7">
        <f ca="1">RAND()</f>
        <v>0.34182727821760739</v>
      </c>
      <c r="E497">
        <f ca="1">RANK(dict_zul_Var_Meth[[#This Row],[ignored_rand]],dict_zul_Var_Meth[ignored_rand])</f>
        <v>495</v>
      </c>
    </row>
    <row r="498" spans="1:5" x14ac:dyDescent="0.45">
      <c r="A498">
        <f ca="1">VLOOKUP(dict_zul_Var_Meth[[#This Row],[ignored_rank]],help_zuord_Var_Meth[],2)</f>
        <v>133</v>
      </c>
      <c r="B498">
        <v>14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8">
        <f ca="1">RAND()</f>
        <v>0.33647161932192593</v>
      </c>
      <c r="E498">
        <f ca="1">RANK(dict_zul_Var_Meth[[#This Row],[ignored_rand]],dict_zul_Var_Meth[ignored_rand])</f>
        <v>500</v>
      </c>
    </row>
    <row r="499" spans="1:5" x14ac:dyDescent="0.45">
      <c r="A499">
        <f ca="1">VLOOKUP(dict_zul_Var_Meth[[#This Row],[ignored_rank]],help_zuord_Var_Meth[],2)</f>
        <v>133</v>
      </c>
      <c r="B499">
        <v>213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9">
        <f ca="1">RAND()</f>
        <v>0.33677305296207893</v>
      </c>
      <c r="E499">
        <f ca="1">RANK(dict_zul_Var_Meth[[#This Row],[ignored_rand]],dict_zul_Var_Meth[ignored_rand])</f>
        <v>499</v>
      </c>
    </row>
    <row r="500" spans="1:5" x14ac:dyDescent="0.45">
      <c r="A500">
        <f ca="1">VLOOKUP(dict_zul_Var_Meth[[#This Row],[ignored_rank]],help_zuord_Var_Meth[],2)</f>
        <v>133</v>
      </c>
      <c r="B500">
        <v>306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0">
        <f ca="1">RAND()</f>
        <v>0.34033911622926005</v>
      </c>
      <c r="E500">
        <f ca="1">RANK(dict_zul_Var_Meth[[#This Row],[ignored_rand]],dict_zul_Var_Meth[ignored_rand])</f>
        <v>497</v>
      </c>
    </row>
    <row r="501" spans="1:5" x14ac:dyDescent="0.45">
      <c r="A501">
        <f ca="1">VLOOKUP(dict_zul_Var_Meth[[#This Row],[ignored_rank]],help_zuord_Var_Meth[],2)</f>
        <v>133</v>
      </c>
      <c r="B501">
        <v>471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1">
        <f ca="1">RAND()</f>
        <v>0.33474824631621902</v>
      </c>
      <c r="E501">
        <f ca="1">RANK(dict_zul_Var_Meth[[#This Row],[ignored_rand]],dict_zul_Var_Meth[ignored_rand])</f>
        <v>501</v>
      </c>
    </row>
    <row r="502" spans="1:5" x14ac:dyDescent="0.45">
      <c r="A502">
        <f ca="1">VLOOKUP(dict_zul_Var_Meth[[#This Row],[ignored_rank]],help_zuord_Var_Meth[],2)</f>
        <v>133</v>
      </c>
      <c r="B502">
        <v>508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2">
        <f ca="1">RAND()</f>
        <v>0.33836378433377934</v>
      </c>
      <c r="E502">
        <f ca="1">RANK(dict_zul_Var_Meth[[#This Row],[ignored_rand]],dict_zul_Var_Meth[ignored_rand])</f>
        <v>498</v>
      </c>
    </row>
    <row r="503" spans="1:5" x14ac:dyDescent="0.45">
      <c r="A503">
        <f ca="1">VLOOKUP(dict_zul_Var_Meth[[#This Row],[ignored_rank]],help_zuord_Var_Meth[],2)</f>
        <v>133</v>
      </c>
      <c r="B503">
        <v>556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3">
        <f ca="1">RAND()</f>
        <v>0.33474180618123361</v>
      </c>
      <c r="E503">
        <f ca="1">RANK(dict_zul_Var_Meth[[#This Row],[ignored_rand]],dict_zul_Var_Meth[ignored_rand])</f>
        <v>502</v>
      </c>
    </row>
    <row r="504" spans="1:5" x14ac:dyDescent="0.45">
      <c r="A504">
        <f ca="1">VLOOKUP(dict_zul_Var_Meth[[#This Row],[ignored_rank]],help_zuord_Var_Meth[],2)</f>
        <v>134</v>
      </c>
      <c r="B504">
        <v>363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4">
        <f ca="1">RAND()</f>
        <v>0.33243548581309423</v>
      </c>
      <c r="E504">
        <f ca="1">RANK(dict_zul_Var_Meth[[#This Row],[ignored_rand]],dict_zul_Var_Meth[ignored_rand])</f>
        <v>503</v>
      </c>
    </row>
    <row r="505" spans="1:5" x14ac:dyDescent="0.45">
      <c r="A505">
        <f ca="1">VLOOKUP(dict_zul_Var_Meth[[#This Row],[ignored_rank]],help_zuord_Var_Meth[],2)</f>
        <v>134</v>
      </c>
      <c r="B505">
        <v>611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5">
        <f ca="1">RAND()</f>
        <v>0.33186175567354492</v>
      </c>
      <c r="E505">
        <f ca="1">RANK(dict_zul_Var_Meth[[#This Row],[ignored_rand]],dict_zul_Var_Meth[ignored_rand])</f>
        <v>504</v>
      </c>
    </row>
    <row r="506" spans="1:5" x14ac:dyDescent="0.45">
      <c r="A506" s="3">
        <f ca="1">VLOOKUP(dict_zul_Var_Meth[[#This Row],[ignored_rank]],help_zuord_Var_Meth[],2)</f>
        <v>135</v>
      </c>
      <c r="B506">
        <v>19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6">
        <f ca="1">RAND()</f>
        <v>0.32364059479733331</v>
      </c>
      <c r="E506" s="3">
        <f ca="1">RANK(dict_zul_Var_Meth[[#This Row],[ignored_rand]],dict_zul_Var_Meth[ignored_rand])</f>
        <v>507</v>
      </c>
    </row>
    <row r="507" spans="1:5" x14ac:dyDescent="0.45">
      <c r="A507" s="3">
        <f ca="1">VLOOKUP(dict_zul_Var_Meth[[#This Row],[ignored_rank]],help_zuord_Var_Meth[],2)</f>
        <v>135</v>
      </c>
      <c r="B507">
        <v>85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7">
        <f ca="1">RAND()</f>
        <v>0.3264522786333709</v>
      </c>
      <c r="E507" s="3">
        <f ca="1">RANK(dict_zul_Var_Meth[[#This Row],[ignored_rand]],dict_zul_Var_Meth[ignored_rand])</f>
        <v>505</v>
      </c>
    </row>
    <row r="508" spans="1:5" x14ac:dyDescent="0.45">
      <c r="A508">
        <f ca="1">VLOOKUP(dict_zul_Var_Meth[[#This Row],[ignored_rank]],help_zuord_Var_Meth[],2)</f>
        <v>135</v>
      </c>
      <c r="B508">
        <v>339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8">
        <f ca="1">RAND()</f>
        <v>0.32435060616890909</v>
      </c>
      <c r="E508">
        <f ca="1">RANK(dict_zul_Var_Meth[[#This Row],[ignored_rand]],dict_zul_Var_Meth[ignored_rand])</f>
        <v>506</v>
      </c>
    </row>
    <row r="509" spans="1:5" x14ac:dyDescent="0.45">
      <c r="A509">
        <f ca="1">VLOOKUP(dict_zul_Var_Meth[[#This Row],[ignored_rank]],help_zuord_Var_Meth[],2)</f>
        <v>135</v>
      </c>
      <c r="B509">
        <v>401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9">
        <f ca="1">RAND()</f>
        <v>0.32319266755144327</v>
      </c>
      <c r="E509">
        <f ca="1">RANK(dict_zul_Var_Meth[[#This Row],[ignored_rand]],dict_zul_Var_Meth[ignored_rand])</f>
        <v>508</v>
      </c>
    </row>
    <row r="510" spans="1:5" x14ac:dyDescent="0.45">
      <c r="A510">
        <f ca="1">VLOOKUP(dict_zul_Var_Meth[[#This Row],[ignored_rank]],help_zuord_Var_Meth[],2)</f>
        <v>136</v>
      </c>
      <c r="B510">
        <v>333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0">
        <f ca="1">RAND()</f>
        <v>0.32192024069032632</v>
      </c>
      <c r="E510">
        <f ca="1">RANK(dict_zul_Var_Meth[[#This Row],[ignored_rand]],dict_zul_Var_Meth[ignored_rand])</f>
        <v>510</v>
      </c>
    </row>
    <row r="511" spans="1:5" x14ac:dyDescent="0.45">
      <c r="A511">
        <f ca="1">VLOOKUP(dict_zul_Var_Meth[[#This Row],[ignored_rank]],help_zuord_Var_Meth[],2)</f>
        <v>136</v>
      </c>
      <c r="B511">
        <v>541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1">
        <f ca="1">RAND()</f>
        <v>0.32138642671000262</v>
      </c>
      <c r="E511">
        <f ca="1">RANK(dict_zul_Var_Meth[[#This Row],[ignored_rand]],dict_zul_Var_Meth[ignored_rand])</f>
        <v>511</v>
      </c>
    </row>
    <row r="512" spans="1:5" x14ac:dyDescent="0.45">
      <c r="A512">
        <f ca="1">VLOOKUP(dict_zul_Var_Meth[[#This Row],[ignored_rank]],help_zuord_Var_Meth[],2)</f>
        <v>136</v>
      </c>
      <c r="B512">
        <v>590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2">
        <f ca="1">RAND()</f>
        <v>0.32309558467414168</v>
      </c>
      <c r="E512">
        <f ca="1">RANK(dict_zul_Var_Meth[[#This Row],[ignored_rand]],dict_zul_Var_Meth[ignored_rand])</f>
        <v>509</v>
      </c>
    </row>
    <row r="513" spans="1:5" x14ac:dyDescent="0.45">
      <c r="A513">
        <f ca="1">VLOOKUP(dict_zul_Var_Meth[[#This Row],[ignored_rank]],help_zuord_Var_Meth[],2)</f>
        <v>137</v>
      </c>
      <c r="B513">
        <v>139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3">
        <f ca="1">RAND()</f>
        <v>0.31695306873151674</v>
      </c>
      <c r="E513">
        <f ca="1">RANK(dict_zul_Var_Meth[[#This Row],[ignored_rand]],dict_zul_Var_Meth[ignored_rand])</f>
        <v>514</v>
      </c>
    </row>
    <row r="514" spans="1:5" x14ac:dyDescent="0.45">
      <c r="A514">
        <f ca="1">VLOOKUP(dict_zul_Var_Meth[[#This Row],[ignored_rank]],help_zuord_Var_Meth[],2)</f>
        <v>137</v>
      </c>
      <c r="B514">
        <v>151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4">
        <f ca="1">RAND()</f>
        <v>0.31641532398083183</v>
      </c>
      <c r="E514">
        <f ca="1">RANK(dict_zul_Var_Meth[[#This Row],[ignored_rand]],dict_zul_Var_Meth[ignored_rand])</f>
        <v>515</v>
      </c>
    </row>
    <row r="515" spans="1:5" x14ac:dyDescent="0.45">
      <c r="A515">
        <f ca="1">VLOOKUP(dict_zul_Var_Meth[[#This Row],[ignored_rank]],help_zuord_Var_Meth[],2)</f>
        <v>137</v>
      </c>
      <c r="B515">
        <v>166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5">
        <f ca="1">RAND()</f>
        <v>0.31631960892898747</v>
      </c>
      <c r="E515">
        <f ca="1">RANK(dict_zul_Var_Meth[[#This Row],[ignored_rand]],dict_zul_Var_Meth[ignored_rand])</f>
        <v>516</v>
      </c>
    </row>
    <row r="516" spans="1:5" x14ac:dyDescent="0.45">
      <c r="A516">
        <f ca="1">VLOOKUP(dict_zul_Var_Meth[[#This Row],[ignored_rank]],help_zuord_Var_Meth[],2)</f>
        <v>137</v>
      </c>
      <c r="B516">
        <v>276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6">
        <f ca="1">RAND()</f>
        <v>0.31863757716207208</v>
      </c>
      <c r="E516">
        <f ca="1">RANK(dict_zul_Var_Meth[[#This Row],[ignored_rand]],dict_zul_Var_Meth[ignored_rand])</f>
        <v>512</v>
      </c>
    </row>
    <row r="517" spans="1:5" x14ac:dyDescent="0.45">
      <c r="A517">
        <f ca="1">VLOOKUP(dict_zul_Var_Meth[[#This Row],[ignored_rank]],help_zuord_Var_Meth[],2)</f>
        <v>137</v>
      </c>
      <c r="B517">
        <v>580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7">
        <f ca="1">RAND()</f>
        <v>0.31850088143600863</v>
      </c>
      <c r="E517">
        <f ca="1">RANK(dict_zul_Var_Meth[[#This Row],[ignored_rand]],dict_zul_Var_Meth[ignored_rand])</f>
        <v>513</v>
      </c>
    </row>
    <row r="518" spans="1:5" x14ac:dyDescent="0.45">
      <c r="A518">
        <f ca="1">VLOOKUP(dict_zul_Var_Meth[[#This Row],[ignored_rank]],help_zuord_Var_Meth[],2)</f>
        <v>138</v>
      </c>
      <c r="B518">
        <v>175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8">
        <f ca="1">RAND()</f>
        <v>0.31469201604070574</v>
      </c>
      <c r="E518">
        <f ca="1">RANK(dict_zul_Var_Meth[[#This Row],[ignored_rand]],dict_zul_Var_Meth[ignored_rand])</f>
        <v>517</v>
      </c>
    </row>
    <row r="519" spans="1:5" x14ac:dyDescent="0.45">
      <c r="A519">
        <f ca="1">VLOOKUP(dict_zul_Var_Meth[[#This Row],[ignored_rank]],help_zuord_Var_Meth[],2)</f>
        <v>138</v>
      </c>
      <c r="B519">
        <v>346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9">
        <f ca="1">RAND()</f>
        <v>0.31444677030318069</v>
      </c>
      <c r="E519">
        <f ca="1">RANK(dict_zul_Var_Meth[[#This Row],[ignored_rand]],dict_zul_Var_Meth[ignored_rand])</f>
        <v>518</v>
      </c>
    </row>
    <row r="520" spans="1:5" x14ac:dyDescent="0.45">
      <c r="A520">
        <f ca="1">VLOOKUP(dict_zul_Var_Meth[[#This Row],[ignored_rank]],help_zuord_Var_Meth[],2)</f>
        <v>138</v>
      </c>
      <c r="B520">
        <v>469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0">
        <f ca="1">RAND()</f>
        <v>0.31422110841039375</v>
      </c>
      <c r="E520">
        <f ca="1">RANK(dict_zul_Var_Meth[[#This Row],[ignored_rand]],dict_zul_Var_Meth[ignored_rand])</f>
        <v>519</v>
      </c>
    </row>
    <row r="521" spans="1:5" x14ac:dyDescent="0.45">
      <c r="A521">
        <f ca="1">VLOOKUP(dict_zul_Var_Meth[[#This Row],[ignored_rank]],help_zuord_Var_Meth[],2)</f>
        <v>138</v>
      </c>
      <c r="B521">
        <v>639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1">
        <f ca="1">RAND()</f>
        <v>0.31297102877268101</v>
      </c>
      <c r="E521">
        <f ca="1">RANK(dict_zul_Var_Meth[[#This Row],[ignored_rand]],dict_zul_Var_Meth[ignored_rand])</f>
        <v>520</v>
      </c>
    </row>
    <row r="522" spans="1:5" x14ac:dyDescent="0.45">
      <c r="A522">
        <f ca="1">VLOOKUP(dict_zul_Var_Meth[[#This Row],[ignored_rank]],help_zuord_Var_Meth[],2)</f>
        <v>139</v>
      </c>
      <c r="B522">
        <v>69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2">
        <f ca="1">RAND()</f>
        <v>0.3113033167141368</v>
      </c>
      <c r="E522">
        <f ca="1">RANK(dict_zul_Var_Meth[[#This Row],[ignored_rand]],dict_zul_Var_Meth[ignored_rand])</f>
        <v>522</v>
      </c>
    </row>
    <row r="523" spans="1:5" x14ac:dyDescent="0.45">
      <c r="A523">
        <f ca="1">VLOOKUP(dict_zul_Var_Meth[[#This Row],[ignored_rank]],help_zuord_Var_Meth[],2)</f>
        <v>139</v>
      </c>
      <c r="B523">
        <v>460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3">
        <f ca="1">RAND()</f>
        <v>0.31151340755823831</v>
      </c>
      <c r="E523">
        <f ca="1">RANK(dict_zul_Var_Meth[[#This Row],[ignored_rand]],dict_zul_Var_Meth[ignored_rand])</f>
        <v>521</v>
      </c>
    </row>
    <row r="524" spans="1:5" x14ac:dyDescent="0.45">
      <c r="A524">
        <f ca="1">VLOOKUP(dict_zul_Var_Meth[[#This Row],[ignored_rank]],help_zuord_Var_Meth[],2)</f>
        <v>139</v>
      </c>
      <c r="B524">
        <v>688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4">
        <f ca="1">RAND()</f>
        <v>0.30952136041485967</v>
      </c>
      <c r="E524">
        <f ca="1">RANK(dict_zul_Var_Meth[[#This Row],[ignored_rand]],dict_zul_Var_Meth[ignored_rand])</f>
        <v>523</v>
      </c>
    </row>
    <row r="525" spans="1:5" x14ac:dyDescent="0.45">
      <c r="A525">
        <f ca="1">VLOOKUP(dict_zul_Var_Meth[[#This Row],[ignored_rank]],help_zuord_Var_Meth[],2)</f>
        <v>140</v>
      </c>
      <c r="B525">
        <v>297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5">
        <f ca="1">RAND()</f>
        <v>0.30896068493628481</v>
      </c>
      <c r="E525">
        <f ca="1">RANK(dict_zul_Var_Meth[[#This Row],[ignored_rand]],dict_zul_Var_Meth[ignored_rand])</f>
        <v>524</v>
      </c>
    </row>
    <row r="526" spans="1:5" x14ac:dyDescent="0.45">
      <c r="A526" s="3">
        <f ca="1">VLOOKUP(dict_zul_Var_Meth[[#This Row],[ignored_rank]],help_zuord_Var_Meth[],2)</f>
        <v>140</v>
      </c>
      <c r="B526">
        <v>389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6">
        <f ca="1">RAND()</f>
        <v>0.30460043895582656</v>
      </c>
      <c r="E526" s="3">
        <f ca="1">RANK(dict_zul_Var_Meth[[#This Row],[ignored_rand]],dict_zul_Var_Meth[ignored_rand])</f>
        <v>526</v>
      </c>
    </row>
    <row r="527" spans="1:5" x14ac:dyDescent="0.45">
      <c r="A527">
        <f ca="1">VLOOKUP(dict_zul_Var_Meth[[#This Row],[ignored_rank]],help_zuord_Var_Meth[],2)</f>
        <v>140</v>
      </c>
      <c r="B527">
        <v>551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7">
        <f ca="1">RAND()</f>
        <v>0.30279958488780878</v>
      </c>
      <c r="E527">
        <f ca="1">RANK(dict_zul_Var_Meth[[#This Row],[ignored_rand]],dict_zul_Var_Meth[ignored_rand])</f>
        <v>527</v>
      </c>
    </row>
    <row r="528" spans="1:5" x14ac:dyDescent="0.45">
      <c r="A528">
        <f ca="1">VLOOKUP(dict_zul_Var_Meth[[#This Row],[ignored_rank]],help_zuord_Var_Meth[],2)</f>
        <v>140</v>
      </c>
      <c r="B528">
        <v>606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8">
        <f ca="1">RAND()</f>
        <v>0.30832541741281694</v>
      </c>
      <c r="E528">
        <f ca="1">RANK(dict_zul_Var_Meth[[#This Row],[ignored_rand]],dict_zul_Var_Meth[ignored_rand])</f>
        <v>525</v>
      </c>
    </row>
    <row r="529" spans="1:5" x14ac:dyDescent="0.45">
      <c r="A529">
        <f ca="1">VLOOKUP(dict_zul_Var_Meth[[#This Row],[ignored_rank]],help_zuord_Var_Meth[],2)</f>
        <v>141</v>
      </c>
      <c r="B529">
        <v>38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9">
        <f ca="1">RAND()</f>
        <v>0.29883486431465234</v>
      </c>
      <c r="E529">
        <f ca="1">RANK(dict_zul_Var_Meth[[#This Row],[ignored_rand]],dict_zul_Var_Meth[ignored_rand])</f>
        <v>531</v>
      </c>
    </row>
    <row r="530" spans="1:5" x14ac:dyDescent="0.45">
      <c r="A530">
        <f ca="1">VLOOKUP(dict_zul_Var_Meth[[#This Row],[ignored_rank]],help_zuord_Var_Meth[],2)</f>
        <v>141</v>
      </c>
      <c r="B530">
        <v>399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0">
        <f ca="1">RAND()</f>
        <v>0.29994717787376191</v>
      </c>
      <c r="E530">
        <f ca="1">RANK(dict_zul_Var_Meth[[#This Row],[ignored_rand]],dict_zul_Var_Meth[ignored_rand])</f>
        <v>530</v>
      </c>
    </row>
    <row r="531" spans="1:5" x14ac:dyDescent="0.45">
      <c r="A531">
        <f ca="1">VLOOKUP(dict_zul_Var_Meth[[#This Row],[ignored_rank]],help_zuord_Var_Meth[],2)</f>
        <v>141</v>
      </c>
      <c r="B531">
        <v>435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1">
        <f ca="1">RAND()</f>
        <v>0.30253255320911998</v>
      </c>
      <c r="E531">
        <f ca="1">RANK(dict_zul_Var_Meth[[#This Row],[ignored_rand]],dict_zul_Var_Meth[ignored_rand])</f>
        <v>528</v>
      </c>
    </row>
    <row r="532" spans="1:5" x14ac:dyDescent="0.45">
      <c r="A532">
        <f ca="1">VLOOKUP(dict_zul_Var_Meth[[#This Row],[ignored_rank]],help_zuord_Var_Meth[],2)</f>
        <v>141</v>
      </c>
      <c r="B532">
        <v>570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2">
        <f ca="1">RAND()</f>
        <v>0.30114764350585488</v>
      </c>
      <c r="E532">
        <f ca="1">RANK(dict_zul_Var_Meth[[#This Row],[ignored_rand]],dict_zul_Var_Meth[ignored_rand])</f>
        <v>529</v>
      </c>
    </row>
    <row r="533" spans="1:5" x14ac:dyDescent="0.45">
      <c r="A533">
        <f ca="1">VLOOKUP(dict_zul_Var_Meth[[#This Row],[ignored_rank]],help_zuord_Var_Meth[],2)</f>
        <v>142</v>
      </c>
      <c r="B533">
        <v>45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3">
        <f ca="1">RAND()</f>
        <v>0.29628430124883331</v>
      </c>
      <c r="E533">
        <f ca="1">RANK(dict_zul_Var_Meth[[#This Row],[ignored_rand]],dict_zul_Var_Meth[ignored_rand])</f>
        <v>533</v>
      </c>
    </row>
    <row r="534" spans="1:5" x14ac:dyDescent="0.45">
      <c r="A534">
        <f ca="1">VLOOKUP(dict_zul_Var_Meth[[#This Row],[ignored_rank]],help_zuord_Var_Meth[],2)</f>
        <v>142</v>
      </c>
      <c r="B534">
        <v>160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4">
        <f ca="1">RAND()</f>
        <v>0.29584310291324634</v>
      </c>
      <c r="E534">
        <f ca="1">RANK(dict_zul_Var_Meth[[#This Row],[ignored_rand]],dict_zul_Var_Meth[ignored_rand])</f>
        <v>534</v>
      </c>
    </row>
    <row r="535" spans="1:5" x14ac:dyDescent="0.45">
      <c r="A535">
        <f ca="1">VLOOKUP(dict_zul_Var_Meth[[#This Row],[ignored_rank]],help_zuord_Var_Meth[],2)</f>
        <v>142</v>
      </c>
      <c r="B535">
        <v>575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5">
        <f ca="1">RAND()</f>
        <v>0.29835774340971877</v>
      </c>
      <c r="E535">
        <f ca="1">RANK(dict_zul_Var_Meth[[#This Row],[ignored_rand]],dict_zul_Var_Meth[ignored_rand])</f>
        <v>532</v>
      </c>
    </row>
    <row r="536" spans="1:5" x14ac:dyDescent="0.45">
      <c r="A536">
        <f ca="1">VLOOKUP(dict_zul_Var_Meth[[#This Row],[ignored_rank]],help_zuord_Var_Meth[],2)</f>
        <v>143</v>
      </c>
      <c r="B536">
        <v>8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6">
        <f ca="1">RAND()</f>
        <v>0.29447392673015704</v>
      </c>
      <c r="E536">
        <f ca="1">RANK(dict_zul_Var_Meth[[#This Row],[ignored_rand]],dict_zul_Var_Meth[ignored_rand])</f>
        <v>536</v>
      </c>
    </row>
    <row r="537" spans="1:5" x14ac:dyDescent="0.45">
      <c r="A537">
        <f ca="1">VLOOKUP(dict_zul_Var_Meth[[#This Row],[ignored_rank]],help_zuord_Var_Meth[],2)</f>
        <v>143</v>
      </c>
      <c r="B537">
        <v>271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7">
        <f ca="1">RAND()</f>
        <v>0.29579608477075892</v>
      </c>
      <c r="E537">
        <f ca="1">RANK(dict_zul_Var_Meth[[#This Row],[ignored_rand]],dict_zul_Var_Meth[ignored_rand])</f>
        <v>535</v>
      </c>
    </row>
    <row r="538" spans="1:5" x14ac:dyDescent="0.45">
      <c r="A538">
        <f ca="1">VLOOKUP(dict_zul_Var_Meth[[#This Row],[ignored_rank]],help_zuord_Var_Meth[],2)</f>
        <v>143</v>
      </c>
      <c r="B538">
        <v>298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8">
        <f ca="1">RAND()</f>
        <v>0.29115895166878125</v>
      </c>
      <c r="E538">
        <f ca="1">RANK(dict_zul_Var_Meth[[#This Row],[ignored_rand]],dict_zul_Var_Meth[ignored_rand])</f>
        <v>539</v>
      </c>
    </row>
    <row r="539" spans="1:5" x14ac:dyDescent="0.45">
      <c r="A539">
        <f ca="1">VLOOKUP(dict_zul_Var_Meth[[#This Row],[ignored_rank]],help_zuord_Var_Meth[],2)</f>
        <v>143</v>
      </c>
      <c r="B539">
        <v>464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9">
        <f ca="1">RAND()</f>
        <v>0.29409815241762904</v>
      </c>
      <c r="E539">
        <f ca="1">RANK(dict_zul_Var_Meth[[#This Row],[ignored_rand]],dict_zul_Var_Meth[ignored_rand])</f>
        <v>537</v>
      </c>
    </row>
    <row r="540" spans="1:5" x14ac:dyDescent="0.45">
      <c r="A540">
        <f ca="1">VLOOKUP(dict_zul_Var_Meth[[#This Row],[ignored_rank]],help_zuord_Var_Meth[],2)</f>
        <v>143</v>
      </c>
      <c r="B540">
        <v>505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0">
        <f ca="1">RAND()</f>
        <v>0.29178524278669715</v>
      </c>
      <c r="E540">
        <f ca="1">RANK(dict_zul_Var_Meth[[#This Row],[ignored_rand]],dict_zul_Var_Meth[ignored_rand])</f>
        <v>538</v>
      </c>
    </row>
    <row r="541" spans="1:5" x14ac:dyDescent="0.45">
      <c r="A541">
        <f ca="1">VLOOKUP(dict_zul_Var_Meth[[#This Row],[ignored_rank]],help_zuord_Var_Meth[],2)</f>
        <v>144</v>
      </c>
      <c r="B541">
        <v>57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1">
        <f ca="1">RAND()</f>
        <v>0.29105727904937129</v>
      </c>
      <c r="E541">
        <f ca="1">RANK(dict_zul_Var_Meth[[#This Row],[ignored_rand]],dict_zul_Var_Meth[ignored_rand])</f>
        <v>540</v>
      </c>
    </row>
    <row r="542" spans="1:5" x14ac:dyDescent="0.45">
      <c r="A542">
        <f ca="1">VLOOKUP(dict_zul_Var_Meth[[#This Row],[ignored_rank]],help_zuord_Var_Meth[],2)</f>
        <v>144</v>
      </c>
      <c r="B542">
        <v>197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2">
        <f ca="1">RAND()</f>
        <v>0.29091363889229549</v>
      </c>
      <c r="E542">
        <f ca="1">RANK(dict_zul_Var_Meth[[#This Row],[ignored_rand]],dict_zul_Var_Meth[ignored_rand])</f>
        <v>541</v>
      </c>
    </row>
    <row r="543" spans="1:5" x14ac:dyDescent="0.45">
      <c r="A543">
        <f ca="1">VLOOKUP(dict_zul_Var_Meth[[#This Row],[ignored_rank]],help_zuord_Var_Meth[],2)</f>
        <v>144</v>
      </c>
      <c r="B543">
        <v>681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3">
        <f ca="1">RAND()</f>
        <v>0.28748936495013222</v>
      </c>
      <c r="E543">
        <f ca="1">RANK(dict_zul_Var_Meth[[#This Row],[ignored_rand]],dict_zul_Var_Meth[ignored_rand])</f>
        <v>542</v>
      </c>
    </row>
    <row r="544" spans="1:5" x14ac:dyDescent="0.45">
      <c r="A544" s="3">
        <f ca="1">VLOOKUP(dict_zul_Var_Meth[[#This Row],[ignored_rank]],help_zuord_Var_Meth[],2)</f>
        <v>145</v>
      </c>
      <c r="B544">
        <v>153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4">
        <f ca="1">RAND()</f>
        <v>0.28694081604174559</v>
      </c>
      <c r="E544" s="3">
        <f ca="1">RANK(dict_zul_Var_Meth[[#This Row],[ignored_rand]],dict_zul_Var_Meth[ignored_rand])</f>
        <v>543</v>
      </c>
    </row>
    <row r="545" spans="1:5" x14ac:dyDescent="0.45">
      <c r="A545">
        <f ca="1">VLOOKUP(dict_zul_Var_Meth[[#This Row],[ignored_rank]],help_zuord_Var_Meth[],2)</f>
        <v>145</v>
      </c>
      <c r="B545">
        <v>269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5">
        <f ca="1">RAND()</f>
        <v>0.28398098091455926</v>
      </c>
      <c r="E545">
        <f ca="1">RANK(dict_zul_Var_Meth[[#This Row],[ignored_rand]],dict_zul_Var_Meth[ignored_rand])</f>
        <v>545</v>
      </c>
    </row>
    <row r="546" spans="1:5" x14ac:dyDescent="0.45">
      <c r="A546">
        <f ca="1">VLOOKUP(dict_zul_Var_Meth[[#This Row],[ignored_rank]],help_zuord_Var_Meth[],2)</f>
        <v>145</v>
      </c>
      <c r="B546">
        <v>301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6">
        <f ca="1">RAND()</f>
        <v>0.28478754332828859</v>
      </c>
      <c r="E546">
        <f ca="1">RANK(dict_zul_Var_Meth[[#This Row],[ignored_rand]],dict_zul_Var_Meth[ignored_rand])</f>
        <v>544</v>
      </c>
    </row>
    <row r="547" spans="1:5" x14ac:dyDescent="0.45">
      <c r="A547">
        <f ca="1">VLOOKUP(dict_zul_Var_Meth[[#This Row],[ignored_rank]],help_zuord_Var_Meth[],2)</f>
        <v>145</v>
      </c>
      <c r="B547">
        <v>312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7">
        <f ca="1">RAND()</f>
        <v>0.28325391502488928</v>
      </c>
      <c r="E547">
        <f ca="1">RANK(dict_zul_Var_Meth[[#This Row],[ignored_rand]],dict_zul_Var_Meth[ignored_rand])</f>
        <v>547</v>
      </c>
    </row>
    <row r="548" spans="1:5" x14ac:dyDescent="0.45">
      <c r="A548">
        <f ca="1">VLOOKUP(dict_zul_Var_Meth[[#This Row],[ignored_rank]],help_zuord_Var_Meth[],2)</f>
        <v>145</v>
      </c>
      <c r="B548">
        <v>322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8">
        <f ca="1">RAND()</f>
        <v>0.28328351549136055</v>
      </c>
      <c r="E548">
        <f ca="1">RANK(dict_zul_Var_Meth[[#This Row],[ignored_rand]],dict_zul_Var_Meth[ignored_rand])</f>
        <v>546</v>
      </c>
    </row>
    <row r="549" spans="1:5" x14ac:dyDescent="0.45">
      <c r="A549">
        <f ca="1">VLOOKUP(dict_zul_Var_Meth[[#This Row],[ignored_rank]],help_zuord_Var_Meth[],2)</f>
        <v>146</v>
      </c>
      <c r="B549">
        <v>440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9">
        <f ca="1">RAND()</f>
        <v>0.28221886082890457</v>
      </c>
      <c r="E549">
        <f ca="1">RANK(dict_zul_Var_Meth[[#This Row],[ignored_rand]],dict_zul_Var_Meth[ignored_rand])</f>
        <v>548</v>
      </c>
    </row>
    <row r="550" spans="1:5" x14ac:dyDescent="0.45">
      <c r="A550">
        <f ca="1">VLOOKUP(dict_zul_Var_Meth[[#This Row],[ignored_rank]],help_zuord_Var_Meth[],2)</f>
        <v>147</v>
      </c>
      <c r="B550">
        <v>145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0">
        <f ca="1">RAND()</f>
        <v>0.27709037146037685</v>
      </c>
      <c r="E550">
        <f ca="1">RANK(dict_zul_Var_Meth[[#This Row],[ignored_rand]],dict_zul_Var_Meth[ignored_rand])</f>
        <v>549</v>
      </c>
    </row>
    <row r="551" spans="1:5" x14ac:dyDescent="0.45">
      <c r="A551">
        <f ca="1">VLOOKUP(dict_zul_Var_Meth[[#This Row],[ignored_rank]],help_zuord_Var_Meth[],2)</f>
        <v>147</v>
      </c>
      <c r="B551">
        <v>563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1">
        <f ca="1">RAND()</f>
        <v>0.27413834355740285</v>
      </c>
      <c r="E551">
        <f ca="1">RANK(dict_zul_Var_Meth[[#This Row],[ignored_rand]],dict_zul_Var_Meth[ignored_rand])</f>
        <v>552</v>
      </c>
    </row>
    <row r="552" spans="1:5" x14ac:dyDescent="0.45">
      <c r="A552">
        <f ca="1">VLOOKUP(dict_zul_Var_Meth[[#This Row],[ignored_rank]],help_zuord_Var_Meth[],2)</f>
        <v>147</v>
      </c>
      <c r="B552">
        <v>622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2">
        <f ca="1">RAND()</f>
        <v>0.27631025975864709</v>
      </c>
      <c r="E552">
        <f ca="1">RANK(dict_zul_Var_Meth[[#This Row],[ignored_rand]],dict_zul_Var_Meth[ignored_rand])</f>
        <v>550</v>
      </c>
    </row>
    <row r="553" spans="1:5" x14ac:dyDescent="0.45">
      <c r="A553">
        <f ca="1">VLOOKUP(dict_zul_Var_Meth[[#This Row],[ignored_rank]],help_zuord_Var_Meth[],2)</f>
        <v>147</v>
      </c>
      <c r="B553">
        <v>657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3">
        <f ca="1">RAND()</f>
        <v>0.2748784382507502</v>
      </c>
      <c r="E553">
        <f ca="1">RANK(dict_zul_Var_Meth[[#This Row],[ignored_rand]],dict_zul_Var_Meth[ignored_rand])</f>
        <v>551</v>
      </c>
    </row>
    <row r="554" spans="1:5" x14ac:dyDescent="0.45">
      <c r="A554">
        <f ca="1">VLOOKUP(dict_zul_Var_Meth[[#This Row],[ignored_rank]],help_zuord_Var_Meth[],2)</f>
        <v>148</v>
      </c>
      <c r="B554">
        <v>52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4">
        <f ca="1">RAND()</f>
        <v>0.26068605423111357</v>
      </c>
      <c r="E554">
        <f ca="1">RANK(dict_zul_Var_Meth[[#This Row],[ignored_rand]],dict_zul_Var_Meth[ignored_rand])</f>
        <v>556</v>
      </c>
    </row>
    <row r="555" spans="1:5" x14ac:dyDescent="0.45">
      <c r="A555">
        <f ca="1">VLOOKUP(dict_zul_Var_Meth[[#This Row],[ignored_rank]],help_zuord_Var_Meth[],2)</f>
        <v>148</v>
      </c>
      <c r="B555">
        <v>307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5">
        <f ca="1">RAND()</f>
        <v>0.26886410650840065</v>
      </c>
      <c r="E555">
        <f ca="1">RANK(dict_zul_Var_Meth[[#This Row],[ignored_rand]],dict_zul_Var_Meth[ignored_rand])</f>
        <v>554</v>
      </c>
    </row>
    <row r="556" spans="1:5" x14ac:dyDescent="0.45">
      <c r="A556" s="3">
        <f ca="1">VLOOKUP(dict_zul_Var_Meth[[#This Row],[ignored_rank]],help_zuord_Var_Meth[],2)</f>
        <v>148</v>
      </c>
      <c r="B556">
        <v>341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6">
        <f ca="1">RAND()</f>
        <v>0.26313793260742124</v>
      </c>
      <c r="E556" s="3">
        <f ca="1">RANK(dict_zul_Var_Meth[[#This Row],[ignored_rand]],dict_zul_Var_Meth[ignored_rand])</f>
        <v>555</v>
      </c>
    </row>
    <row r="557" spans="1:5" x14ac:dyDescent="0.45">
      <c r="A557">
        <f ca="1">VLOOKUP(dict_zul_Var_Meth[[#This Row],[ignored_rank]],help_zuord_Var_Meth[],2)</f>
        <v>148</v>
      </c>
      <c r="B557">
        <v>359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7">
        <f ca="1">RAND()</f>
        <v>0.27364399234055625</v>
      </c>
      <c r="E557">
        <f ca="1">RANK(dict_zul_Var_Meth[[#This Row],[ignored_rand]],dict_zul_Var_Meth[ignored_rand])</f>
        <v>553</v>
      </c>
    </row>
    <row r="558" spans="1:5" x14ac:dyDescent="0.45">
      <c r="A558">
        <f ca="1">VLOOKUP(dict_zul_Var_Meth[[#This Row],[ignored_rank]],help_zuord_Var_Meth[],2)</f>
        <v>148</v>
      </c>
      <c r="B558">
        <v>652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8">
        <f ca="1">RAND()</f>
        <v>0.26023638511241642</v>
      </c>
      <c r="E558">
        <f ca="1">RANK(dict_zul_Var_Meth[[#This Row],[ignored_rand]],dict_zul_Var_Meth[ignored_rand])</f>
        <v>557</v>
      </c>
    </row>
    <row r="559" spans="1:5" x14ac:dyDescent="0.45">
      <c r="A559">
        <f ca="1">VLOOKUP(dict_zul_Var_Meth[[#This Row],[ignored_rank]],help_zuord_Var_Meth[],2)</f>
        <v>149</v>
      </c>
      <c r="B559">
        <v>122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9">
        <f ca="1">RAND()</f>
        <v>0.25910250700149384</v>
      </c>
      <c r="E559">
        <f ca="1">RANK(dict_zul_Var_Meth[[#This Row],[ignored_rand]],dict_zul_Var_Meth[ignored_rand])</f>
        <v>559</v>
      </c>
    </row>
    <row r="560" spans="1:5" x14ac:dyDescent="0.45">
      <c r="A560">
        <f ca="1">VLOOKUP(dict_zul_Var_Meth[[#This Row],[ignored_rank]],help_zuord_Var_Meth[],2)</f>
        <v>149</v>
      </c>
      <c r="B560">
        <v>366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0">
        <f ca="1">RAND()</f>
        <v>0.25827574611405901</v>
      </c>
      <c r="E560">
        <f ca="1">RANK(dict_zul_Var_Meth[[#This Row],[ignored_rand]],dict_zul_Var_Meth[ignored_rand])</f>
        <v>560</v>
      </c>
    </row>
    <row r="561" spans="1:5" x14ac:dyDescent="0.45">
      <c r="A561">
        <f ca="1">VLOOKUP(dict_zul_Var_Meth[[#This Row],[ignored_rank]],help_zuord_Var_Meth[],2)</f>
        <v>149</v>
      </c>
      <c r="B561">
        <v>483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1">
        <f ca="1">RAND()</f>
        <v>0.26014862418090912</v>
      </c>
      <c r="E561">
        <f ca="1">RANK(dict_zul_Var_Meth[[#This Row],[ignored_rand]],dict_zul_Var_Meth[ignored_rand])</f>
        <v>558</v>
      </c>
    </row>
    <row r="562" spans="1:5" x14ac:dyDescent="0.45">
      <c r="A562">
        <f ca="1">VLOOKUP(dict_zul_Var_Meth[[#This Row],[ignored_rank]],help_zuord_Var_Meth[],2)</f>
        <v>150</v>
      </c>
      <c r="B562">
        <v>47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2">
        <f ca="1">RAND()</f>
        <v>0.25744181602490623</v>
      </c>
      <c r="E562">
        <f ca="1">RANK(dict_zul_Var_Meth[[#This Row],[ignored_rand]],dict_zul_Var_Meth[ignored_rand])</f>
        <v>562</v>
      </c>
    </row>
    <row r="563" spans="1:5" x14ac:dyDescent="0.45">
      <c r="A563">
        <f ca="1">VLOOKUP(dict_zul_Var_Meth[[#This Row],[ignored_rank]],help_zuord_Var_Meth[],2)</f>
        <v>150</v>
      </c>
      <c r="B563">
        <v>149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3">
        <f ca="1">RAND()</f>
        <v>0.25132066338214587</v>
      </c>
      <c r="E563">
        <f ca="1">RANK(dict_zul_Var_Meth[[#This Row],[ignored_rand]],dict_zul_Var_Meth[ignored_rand])</f>
        <v>564</v>
      </c>
    </row>
    <row r="564" spans="1:5" x14ac:dyDescent="0.45">
      <c r="A564">
        <f ca="1">VLOOKUP(dict_zul_Var_Meth[[#This Row],[ignored_rank]],help_zuord_Var_Meth[],2)</f>
        <v>150</v>
      </c>
      <c r="B564">
        <v>264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4">
        <f ca="1">RAND()</f>
        <v>0.25448945062499484</v>
      </c>
      <c r="E564">
        <f ca="1">RANK(dict_zul_Var_Meth[[#This Row],[ignored_rand]],dict_zul_Var_Meth[ignored_rand])</f>
        <v>563</v>
      </c>
    </row>
    <row r="565" spans="1:5" x14ac:dyDescent="0.45">
      <c r="A565">
        <f ca="1">VLOOKUP(dict_zul_Var_Meth[[#This Row],[ignored_rank]],help_zuord_Var_Meth[],2)</f>
        <v>150</v>
      </c>
      <c r="B565">
        <v>602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5">
        <f ca="1">RAND()</f>
        <v>0.25783733060527758</v>
      </c>
      <c r="E565">
        <f ca="1">RANK(dict_zul_Var_Meth[[#This Row],[ignored_rand]],dict_zul_Var_Meth[ignored_rand])</f>
        <v>561</v>
      </c>
    </row>
    <row r="566" spans="1:5" x14ac:dyDescent="0.45">
      <c r="A566">
        <f ca="1">VLOOKUP(dict_zul_Var_Meth[[#This Row],[ignored_rank]],help_zuord_Var_Meth[],2)</f>
        <v>151</v>
      </c>
      <c r="B566">
        <v>1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6">
        <f ca="1">RAND()</f>
        <v>0.24964541912920368</v>
      </c>
      <c r="E566">
        <f ca="1">RANK(dict_zul_Var_Meth[[#This Row],[ignored_rand]],dict_zul_Var_Meth[ignored_rand])</f>
        <v>567</v>
      </c>
    </row>
    <row r="567" spans="1:5" x14ac:dyDescent="0.45">
      <c r="A567">
        <f ca="1">VLOOKUP(dict_zul_Var_Meth[[#This Row],[ignored_rank]],help_zuord_Var_Meth[],2)</f>
        <v>151</v>
      </c>
      <c r="B567">
        <v>47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7">
        <f ca="1">RAND()</f>
        <v>0.25053067546586705</v>
      </c>
      <c r="E567">
        <f ca="1">RANK(dict_zul_Var_Meth[[#This Row],[ignored_rand]],dict_zul_Var_Meth[ignored_rand])</f>
        <v>565</v>
      </c>
    </row>
    <row r="568" spans="1:5" x14ac:dyDescent="0.45">
      <c r="A568">
        <f ca="1">VLOOKUP(dict_zul_Var_Meth[[#This Row],[ignored_rank]],help_zuord_Var_Meth[],2)</f>
        <v>151</v>
      </c>
      <c r="B568">
        <v>311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8">
        <f ca="1">RAND()</f>
        <v>0.24973884754049847</v>
      </c>
      <c r="E568">
        <f ca="1">RANK(dict_zul_Var_Meth[[#This Row],[ignored_rand]],dict_zul_Var_Meth[ignored_rand])</f>
        <v>566</v>
      </c>
    </row>
    <row r="569" spans="1:5" x14ac:dyDescent="0.45">
      <c r="A569">
        <f ca="1">VLOOKUP(dict_zul_Var_Meth[[#This Row],[ignored_rank]],help_zuord_Var_Meth[],2)</f>
        <v>151</v>
      </c>
      <c r="B569">
        <v>495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9">
        <f ca="1">RAND()</f>
        <v>0.24936521717709526</v>
      </c>
      <c r="E569">
        <f ca="1">RANK(dict_zul_Var_Meth[[#This Row],[ignored_rand]],dict_zul_Var_Meth[ignored_rand])</f>
        <v>568</v>
      </c>
    </row>
    <row r="570" spans="1:5" x14ac:dyDescent="0.45">
      <c r="A570">
        <f ca="1">VLOOKUP(dict_zul_Var_Meth[[#This Row],[ignored_rank]],help_zuord_Var_Meth[],2)</f>
        <v>152</v>
      </c>
      <c r="B570">
        <v>23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0">
        <f ca="1">RAND()</f>
        <v>0.24644073799893995</v>
      </c>
      <c r="E570">
        <f ca="1">RANK(dict_zul_Var_Meth[[#This Row],[ignored_rand]],dict_zul_Var_Meth[ignored_rand])</f>
        <v>571</v>
      </c>
    </row>
    <row r="571" spans="1:5" x14ac:dyDescent="0.45">
      <c r="A571">
        <f ca="1">VLOOKUP(dict_zul_Var_Meth[[#This Row],[ignored_rank]],help_zuord_Var_Meth[],2)</f>
        <v>152</v>
      </c>
      <c r="B571">
        <v>482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1">
        <f ca="1">RAND()</f>
        <v>0.24898499486743075</v>
      </c>
      <c r="E571">
        <f ca="1">RANK(dict_zul_Var_Meth[[#This Row],[ignored_rand]],dict_zul_Var_Meth[ignored_rand])</f>
        <v>569</v>
      </c>
    </row>
    <row r="572" spans="1:5" x14ac:dyDescent="0.45">
      <c r="A572">
        <f ca="1">VLOOKUP(dict_zul_Var_Meth[[#This Row],[ignored_rank]],help_zuord_Var_Meth[],2)</f>
        <v>152</v>
      </c>
      <c r="B572">
        <v>572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2">
        <f ca="1">RAND()</f>
        <v>0.2460998843841411</v>
      </c>
      <c r="E572">
        <f ca="1">RANK(dict_zul_Var_Meth[[#This Row],[ignored_rand]],dict_zul_Var_Meth[ignored_rand])</f>
        <v>572</v>
      </c>
    </row>
    <row r="573" spans="1:5" x14ac:dyDescent="0.45">
      <c r="A573">
        <f ca="1">VLOOKUP(dict_zul_Var_Meth[[#This Row],[ignored_rank]],help_zuord_Var_Meth[],2)</f>
        <v>152</v>
      </c>
      <c r="B573">
        <v>624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3">
        <f ca="1">RAND()</f>
        <v>0.24674156485776222</v>
      </c>
      <c r="E573">
        <f ca="1">RANK(dict_zul_Var_Meth[[#This Row],[ignored_rand]],dict_zul_Var_Meth[ignored_rand])</f>
        <v>570</v>
      </c>
    </row>
    <row r="574" spans="1:5" x14ac:dyDescent="0.45">
      <c r="A574">
        <f ca="1">VLOOKUP(dict_zul_Var_Meth[[#This Row],[ignored_rank]],help_zuord_Var_Meth[],2)</f>
        <v>153</v>
      </c>
      <c r="B574">
        <v>13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4">
        <f ca="1">RAND()</f>
        <v>0.24575951370653271</v>
      </c>
      <c r="E574">
        <f ca="1">RANK(dict_zul_Var_Meth[[#This Row],[ignored_rand]],dict_zul_Var_Meth[ignored_rand])</f>
        <v>574</v>
      </c>
    </row>
    <row r="575" spans="1:5" x14ac:dyDescent="0.45">
      <c r="A575">
        <f ca="1">VLOOKUP(dict_zul_Var_Meth[[#This Row],[ignored_rank]],help_zuord_Var_Meth[],2)</f>
        <v>153</v>
      </c>
      <c r="B575">
        <v>78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5">
        <f ca="1">RAND()</f>
        <v>0.24597201697831339</v>
      </c>
      <c r="E575">
        <f ca="1">RANK(dict_zul_Var_Meth[[#This Row],[ignored_rand]],dict_zul_Var_Meth[ignored_rand])</f>
        <v>573</v>
      </c>
    </row>
    <row r="576" spans="1:5" x14ac:dyDescent="0.45">
      <c r="A576">
        <f ca="1">VLOOKUP(dict_zul_Var_Meth[[#This Row],[ignored_rank]],help_zuord_Var_Meth[],2)</f>
        <v>153</v>
      </c>
      <c r="B576">
        <v>579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6">
        <f ca="1">RAND()</f>
        <v>0.2447884918757236</v>
      </c>
      <c r="E576">
        <f ca="1">RANK(dict_zul_Var_Meth[[#This Row],[ignored_rand]],dict_zul_Var_Meth[ignored_rand])</f>
        <v>575</v>
      </c>
    </row>
    <row r="577" spans="1:5" x14ac:dyDescent="0.45">
      <c r="A577" s="3">
        <f ca="1">VLOOKUP(dict_zul_Var_Meth[[#This Row],[ignored_rank]],help_zuord_Var_Meth[],2)</f>
        <v>154</v>
      </c>
      <c r="B577">
        <v>63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7">
        <f ca="1">RAND()</f>
        <v>0.23892490449808179</v>
      </c>
      <c r="E577" s="3">
        <f ca="1">RANK(dict_zul_Var_Meth[[#This Row],[ignored_rand]],dict_zul_Var_Meth[ignored_rand])</f>
        <v>578</v>
      </c>
    </row>
    <row r="578" spans="1:5" x14ac:dyDescent="0.45">
      <c r="A578">
        <f ca="1">VLOOKUP(dict_zul_Var_Meth[[#This Row],[ignored_rank]],help_zuord_Var_Meth[],2)</f>
        <v>154</v>
      </c>
      <c r="B578">
        <v>376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8">
        <f ca="1">RAND()</f>
        <v>0.23839525080303203</v>
      </c>
      <c r="E578">
        <f ca="1">RANK(dict_zul_Var_Meth[[#This Row],[ignored_rand]],dict_zul_Var_Meth[ignored_rand])</f>
        <v>579</v>
      </c>
    </row>
    <row r="579" spans="1:5" x14ac:dyDescent="0.45">
      <c r="A579">
        <f ca="1">VLOOKUP(dict_zul_Var_Meth[[#This Row],[ignored_rank]],help_zuord_Var_Meth[],2)</f>
        <v>154</v>
      </c>
      <c r="B579">
        <v>625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9">
        <f ca="1">RAND()</f>
        <v>0.24354255906518463</v>
      </c>
      <c r="E579">
        <f ca="1">RANK(dict_zul_Var_Meth[[#This Row],[ignored_rand]],dict_zul_Var_Meth[ignored_rand])</f>
        <v>576</v>
      </c>
    </row>
    <row r="580" spans="1:5" x14ac:dyDescent="0.45">
      <c r="A580">
        <f ca="1">VLOOKUP(dict_zul_Var_Meth[[#This Row],[ignored_rank]],help_zuord_Var_Meth[],2)</f>
        <v>154</v>
      </c>
      <c r="B580">
        <v>645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0">
        <f ca="1">RAND()</f>
        <v>0.24236928983533712</v>
      </c>
      <c r="E580">
        <f ca="1">RANK(dict_zul_Var_Meth[[#This Row],[ignored_rand]],dict_zul_Var_Meth[ignored_rand])</f>
        <v>577</v>
      </c>
    </row>
    <row r="581" spans="1:5" x14ac:dyDescent="0.45">
      <c r="A581">
        <f ca="1">VLOOKUP(dict_zul_Var_Meth[[#This Row],[ignored_rank]],help_zuord_Var_Meth[],2)</f>
        <v>155</v>
      </c>
      <c r="B581">
        <v>3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1">
        <f ca="1">RAND()</f>
        <v>0.23270947302162892</v>
      </c>
      <c r="E581">
        <f ca="1">RANK(dict_zul_Var_Meth[[#This Row],[ignored_rand]],dict_zul_Var_Meth[ignored_rand])</f>
        <v>584</v>
      </c>
    </row>
    <row r="582" spans="1:5" x14ac:dyDescent="0.45">
      <c r="A582">
        <f ca="1">VLOOKUP(dict_zul_Var_Meth[[#This Row],[ignored_rank]],help_zuord_Var_Meth[],2)</f>
        <v>155</v>
      </c>
      <c r="B582">
        <v>84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2">
        <f ca="1">RAND()</f>
        <v>0.23780722562377921</v>
      </c>
      <c r="E582">
        <f ca="1">RANK(dict_zul_Var_Meth[[#This Row],[ignored_rand]],dict_zul_Var_Meth[ignored_rand])</f>
        <v>580</v>
      </c>
    </row>
    <row r="583" spans="1:5" x14ac:dyDescent="0.45">
      <c r="A583">
        <f ca="1">VLOOKUP(dict_zul_Var_Meth[[#This Row],[ignored_rank]],help_zuord_Var_Meth[],2)</f>
        <v>155</v>
      </c>
      <c r="B583">
        <v>245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3">
        <f ca="1">RAND()</f>
        <v>0.23622914136315132</v>
      </c>
      <c r="E583">
        <f ca="1">RANK(dict_zul_Var_Meth[[#This Row],[ignored_rand]],dict_zul_Var_Meth[ignored_rand])</f>
        <v>581</v>
      </c>
    </row>
    <row r="584" spans="1:5" x14ac:dyDescent="0.45">
      <c r="A584">
        <f ca="1">VLOOKUP(dict_zul_Var_Meth[[#This Row],[ignored_rank]],help_zuord_Var_Meth[],2)</f>
        <v>155</v>
      </c>
      <c r="B584">
        <v>493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4">
        <f ca="1">RAND()</f>
        <v>0.23309027059294063</v>
      </c>
      <c r="E584">
        <f ca="1">RANK(dict_zul_Var_Meth[[#This Row],[ignored_rand]],dict_zul_Var_Meth[ignored_rand])</f>
        <v>583</v>
      </c>
    </row>
    <row r="585" spans="1:5" x14ac:dyDescent="0.45">
      <c r="A585">
        <f ca="1">VLOOKUP(dict_zul_Var_Meth[[#This Row],[ignored_rank]],help_zuord_Var_Meth[],2)</f>
        <v>155</v>
      </c>
      <c r="B585">
        <v>642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5">
        <f ca="1">RAND()</f>
        <v>0.23339831298493285</v>
      </c>
      <c r="E585">
        <f ca="1">RANK(dict_zul_Var_Meth[[#This Row],[ignored_rand]],dict_zul_Var_Meth[ignored_rand])</f>
        <v>582</v>
      </c>
    </row>
    <row r="586" spans="1:5" x14ac:dyDescent="0.45">
      <c r="A586">
        <f ca="1">VLOOKUP(dict_zul_Var_Meth[[#This Row],[ignored_rank]],help_zuord_Var_Meth[],2)</f>
        <v>156</v>
      </c>
      <c r="B586">
        <v>82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6">
        <f ca="1">RAND()</f>
        <v>0.23210998768276048</v>
      </c>
      <c r="E586">
        <f ca="1">RANK(dict_zul_Var_Meth[[#This Row],[ignored_rand]],dict_zul_Var_Meth[ignored_rand])</f>
        <v>585</v>
      </c>
    </row>
    <row r="587" spans="1:5" x14ac:dyDescent="0.45">
      <c r="A587">
        <f ca="1">VLOOKUP(dict_zul_Var_Meth[[#This Row],[ignored_rank]],help_zuord_Var_Meth[],2)</f>
        <v>156</v>
      </c>
      <c r="B587">
        <v>477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7">
        <f ca="1">RAND()</f>
        <v>0.22677446014206337</v>
      </c>
      <c r="E587">
        <f ca="1">RANK(dict_zul_Var_Meth[[#This Row],[ignored_rand]],dict_zul_Var_Meth[ignored_rand])</f>
        <v>587</v>
      </c>
    </row>
    <row r="588" spans="1:5" x14ac:dyDescent="0.45">
      <c r="A588">
        <f ca="1">VLOOKUP(dict_zul_Var_Meth[[#This Row],[ignored_rank]],help_zuord_Var_Meth[],2)</f>
        <v>156</v>
      </c>
      <c r="B588">
        <v>620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8">
        <f ca="1">RAND()</f>
        <v>0.22707217282346859</v>
      </c>
      <c r="E588">
        <f ca="1">RANK(dict_zul_Var_Meth[[#This Row],[ignored_rand]],dict_zul_Var_Meth[ignored_rand])</f>
        <v>586</v>
      </c>
    </row>
    <row r="589" spans="1:5" x14ac:dyDescent="0.45">
      <c r="A589">
        <f ca="1">VLOOKUP(dict_zul_Var_Meth[[#This Row],[ignored_rank]],help_zuord_Var_Meth[],2)</f>
        <v>157</v>
      </c>
      <c r="B589">
        <v>467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9">
        <f ca="1">RAND()</f>
        <v>0.22553289669987309</v>
      </c>
      <c r="E589">
        <f ca="1">RANK(dict_zul_Var_Meth[[#This Row],[ignored_rand]],dict_zul_Var_Meth[ignored_rand])</f>
        <v>589</v>
      </c>
    </row>
    <row r="590" spans="1:5" x14ac:dyDescent="0.45">
      <c r="A590">
        <f ca="1">VLOOKUP(dict_zul_Var_Meth[[#This Row],[ignored_rank]],help_zuord_Var_Meth[],2)</f>
        <v>157</v>
      </c>
      <c r="B590">
        <v>532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0">
        <f ca="1">RAND()</f>
        <v>0.2245421349567801</v>
      </c>
      <c r="E590">
        <f ca="1">RANK(dict_zul_Var_Meth[[#This Row],[ignored_rand]],dict_zul_Var_Meth[ignored_rand])</f>
        <v>590</v>
      </c>
    </row>
    <row r="591" spans="1:5" x14ac:dyDescent="0.45">
      <c r="A591">
        <f ca="1">VLOOKUP(dict_zul_Var_Meth[[#This Row],[ignored_rank]],help_zuord_Var_Meth[],2)</f>
        <v>157</v>
      </c>
      <c r="B591">
        <v>597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1">
        <f ca="1">RAND()</f>
        <v>0.22563187735198076</v>
      </c>
      <c r="E591">
        <f ca="1">RANK(dict_zul_Var_Meth[[#This Row],[ignored_rand]],dict_zul_Var_Meth[ignored_rand])</f>
        <v>588</v>
      </c>
    </row>
    <row r="592" spans="1:5" x14ac:dyDescent="0.45">
      <c r="A592">
        <f ca="1">VLOOKUP(dict_zul_Var_Meth[[#This Row],[ignored_rank]],help_zuord_Var_Meth[],2)</f>
        <v>158</v>
      </c>
      <c r="B592">
        <v>29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2">
        <f ca="1">RAND()</f>
        <v>0.22002485778811853</v>
      </c>
      <c r="E592">
        <f ca="1">RANK(dict_zul_Var_Meth[[#This Row],[ignored_rand]],dict_zul_Var_Meth[ignored_rand])</f>
        <v>594</v>
      </c>
    </row>
    <row r="593" spans="1:5" x14ac:dyDescent="0.45">
      <c r="A593">
        <f ca="1">VLOOKUP(dict_zul_Var_Meth[[#This Row],[ignored_rank]],help_zuord_Var_Meth[],2)</f>
        <v>158</v>
      </c>
      <c r="B593">
        <v>279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3">
        <f ca="1">RAND()</f>
        <v>0.22148421964919296</v>
      </c>
      <c r="E593">
        <f ca="1">RANK(dict_zul_Var_Meth[[#This Row],[ignored_rand]],dict_zul_Var_Meth[ignored_rand])</f>
        <v>593</v>
      </c>
    </row>
    <row r="594" spans="1:5" x14ac:dyDescent="0.45">
      <c r="A594" s="3">
        <f ca="1">VLOOKUP(dict_zul_Var_Meth[[#This Row],[ignored_rank]],help_zuord_Var_Meth[],2)</f>
        <v>158</v>
      </c>
      <c r="B594">
        <v>416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4">
        <f ca="1">RAND()</f>
        <v>0.22250804114878608</v>
      </c>
      <c r="E594" s="3">
        <f ca="1">RANK(dict_zul_Var_Meth[[#This Row],[ignored_rand]],dict_zul_Var_Meth[ignored_rand])</f>
        <v>592</v>
      </c>
    </row>
    <row r="595" spans="1:5" x14ac:dyDescent="0.45">
      <c r="A595">
        <f ca="1">VLOOKUP(dict_zul_Var_Meth[[#This Row],[ignored_rank]],help_zuord_Var_Meth[],2)</f>
        <v>158</v>
      </c>
      <c r="B595">
        <v>502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5">
        <f ca="1">RAND()</f>
        <v>0.21966526036316281</v>
      </c>
      <c r="E595">
        <f ca="1">RANK(dict_zul_Var_Meth[[#This Row],[ignored_rand]],dict_zul_Var_Meth[ignored_rand])</f>
        <v>595</v>
      </c>
    </row>
    <row r="596" spans="1:5" x14ac:dyDescent="0.45">
      <c r="A596">
        <f ca="1">VLOOKUP(dict_zul_Var_Meth[[#This Row],[ignored_rank]],help_zuord_Var_Meth[],2)</f>
        <v>158</v>
      </c>
      <c r="B596">
        <v>670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6">
        <f ca="1">RAND()</f>
        <v>0.22412401725822273</v>
      </c>
      <c r="E596">
        <f ca="1">RANK(dict_zul_Var_Meth[[#This Row],[ignored_rand]],dict_zul_Var_Meth[ignored_rand])</f>
        <v>591</v>
      </c>
    </row>
    <row r="597" spans="1:5" x14ac:dyDescent="0.45">
      <c r="A597">
        <f ca="1">VLOOKUP(dict_zul_Var_Meth[[#This Row],[ignored_rank]],help_zuord_Var_Meth[],2)</f>
        <v>159</v>
      </c>
      <c r="B597">
        <v>194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7">
        <f ca="1">RAND()</f>
        <v>0.21654041257698409</v>
      </c>
      <c r="E597">
        <f ca="1">RANK(dict_zul_Var_Meth[[#This Row],[ignored_rand]],dict_zul_Var_Meth[ignored_rand])</f>
        <v>597</v>
      </c>
    </row>
    <row r="598" spans="1:5" x14ac:dyDescent="0.45">
      <c r="A598">
        <f ca="1">VLOOKUP(dict_zul_Var_Meth[[#This Row],[ignored_rank]],help_zuord_Var_Meth[],2)</f>
        <v>159</v>
      </c>
      <c r="B598">
        <v>258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8">
        <f ca="1">RAND()</f>
        <v>0.21536058686893733</v>
      </c>
      <c r="E598">
        <f ca="1">RANK(dict_zul_Var_Meth[[#This Row],[ignored_rand]],dict_zul_Var_Meth[ignored_rand])</f>
        <v>598</v>
      </c>
    </row>
    <row r="599" spans="1:5" x14ac:dyDescent="0.45">
      <c r="A599">
        <f ca="1">VLOOKUP(dict_zul_Var_Meth[[#This Row],[ignored_rank]],help_zuord_Var_Meth[],2)</f>
        <v>159</v>
      </c>
      <c r="B599">
        <v>621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9">
        <f ca="1">RAND()</f>
        <v>0.21943039459367919</v>
      </c>
      <c r="E599">
        <f ca="1">RANK(dict_zul_Var_Meth[[#This Row],[ignored_rand]],dict_zul_Var_Meth[ignored_rand])</f>
        <v>596</v>
      </c>
    </row>
    <row r="600" spans="1:5" x14ac:dyDescent="0.45">
      <c r="A600">
        <f ca="1">VLOOKUP(dict_zul_Var_Meth[[#This Row],[ignored_rank]],help_zuord_Var_Meth[],2)</f>
        <v>160</v>
      </c>
      <c r="B600">
        <v>124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0">
        <f ca="1">RAND()</f>
        <v>0.20867042716619233</v>
      </c>
      <c r="E600">
        <f ca="1">RANK(dict_zul_Var_Meth[[#This Row],[ignored_rand]],dict_zul_Var_Meth[ignored_rand])</f>
        <v>600</v>
      </c>
    </row>
    <row r="601" spans="1:5" x14ac:dyDescent="0.45">
      <c r="A601">
        <f ca="1">VLOOKUP(dict_zul_Var_Meth[[#This Row],[ignored_rank]],help_zuord_Var_Meth[],2)</f>
        <v>160</v>
      </c>
      <c r="B601">
        <v>172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1">
        <f ca="1">RAND()</f>
        <v>0.20752021148917688</v>
      </c>
      <c r="E601">
        <f ca="1">RANK(dict_zul_Var_Meth[[#This Row],[ignored_rand]],dict_zul_Var_Meth[ignored_rand])</f>
        <v>601</v>
      </c>
    </row>
    <row r="602" spans="1:5" x14ac:dyDescent="0.45">
      <c r="A602">
        <f ca="1">VLOOKUP(dict_zul_Var_Meth[[#This Row],[ignored_rank]],help_zuord_Var_Meth[],2)</f>
        <v>160</v>
      </c>
      <c r="B602">
        <v>356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2">
        <f ca="1">RAND()</f>
        <v>0.21364147921429855</v>
      </c>
      <c r="E602">
        <f ca="1">RANK(dict_zul_Var_Meth[[#This Row],[ignored_rand]],dict_zul_Var_Meth[ignored_rand])</f>
        <v>599</v>
      </c>
    </row>
    <row r="603" spans="1:5" x14ac:dyDescent="0.45">
      <c r="A603">
        <f ca="1">VLOOKUP(dict_zul_Var_Meth[[#This Row],[ignored_rank]],help_zuord_Var_Meth[],2)</f>
        <v>160</v>
      </c>
      <c r="B603">
        <v>545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3">
        <f ca="1">RAND()</f>
        <v>0.20736808545074448</v>
      </c>
      <c r="E603">
        <f ca="1">RANK(dict_zul_Var_Meth[[#This Row],[ignored_rand]],dict_zul_Var_Meth[ignored_rand])</f>
        <v>602</v>
      </c>
    </row>
    <row r="604" spans="1:5" x14ac:dyDescent="0.45">
      <c r="A604">
        <f ca="1">VLOOKUP(dict_zul_Var_Meth[[#This Row],[ignored_rank]],help_zuord_Var_Meth[],2)</f>
        <v>161</v>
      </c>
      <c r="B604">
        <v>141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4">
        <f ca="1">RAND()</f>
        <v>0.20629115030120893</v>
      </c>
      <c r="E604">
        <f ca="1">RANK(dict_zul_Var_Meth[[#This Row],[ignored_rand]],dict_zul_Var_Meth[ignored_rand])</f>
        <v>603</v>
      </c>
    </row>
    <row r="605" spans="1:5" x14ac:dyDescent="0.45">
      <c r="A605">
        <f ca="1">VLOOKUP(dict_zul_Var_Meth[[#This Row],[ignored_rank]],help_zuord_Var_Meth[],2)</f>
        <v>161</v>
      </c>
      <c r="B605">
        <v>260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5">
        <f ca="1">RAND()</f>
        <v>0.20625377273822587</v>
      </c>
      <c r="E605">
        <f ca="1">RANK(dict_zul_Var_Meth[[#This Row],[ignored_rand]],dict_zul_Var_Meth[ignored_rand])</f>
        <v>604</v>
      </c>
    </row>
    <row r="606" spans="1:5" x14ac:dyDescent="0.45">
      <c r="A606">
        <f ca="1">VLOOKUP(dict_zul_Var_Meth[[#This Row],[ignored_rank]],help_zuord_Var_Meth[],2)</f>
        <v>162</v>
      </c>
      <c r="B606">
        <v>10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6">
        <f ca="1">RAND()</f>
        <v>0.20130179926433922</v>
      </c>
      <c r="E606">
        <f ca="1">RANK(dict_zul_Var_Meth[[#This Row],[ignored_rand]],dict_zul_Var_Meth[ignored_rand])</f>
        <v>607</v>
      </c>
    </row>
    <row r="607" spans="1:5" x14ac:dyDescent="0.45">
      <c r="A607">
        <f ca="1">VLOOKUP(dict_zul_Var_Meth[[#This Row],[ignored_rank]],help_zuord_Var_Meth[],2)</f>
        <v>162</v>
      </c>
      <c r="B607">
        <v>135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7">
        <f ca="1">RAND()</f>
        <v>0.20348935631875187</v>
      </c>
      <c r="E607">
        <f ca="1">RANK(dict_zul_Var_Meth[[#This Row],[ignored_rand]],dict_zul_Var_Meth[ignored_rand])</f>
        <v>606</v>
      </c>
    </row>
    <row r="608" spans="1:5" x14ac:dyDescent="0.45">
      <c r="A608">
        <f ca="1">VLOOKUP(dict_zul_Var_Meth[[#This Row],[ignored_rank]],help_zuord_Var_Meth[],2)</f>
        <v>162</v>
      </c>
      <c r="B608">
        <v>249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8">
        <f ca="1">RAND()</f>
        <v>0.1992622165454474</v>
      </c>
      <c r="E608">
        <f ca="1">RANK(dict_zul_Var_Meth[[#This Row],[ignored_rand]],dict_zul_Var_Meth[ignored_rand])</f>
        <v>608</v>
      </c>
    </row>
    <row r="609" spans="1:5" x14ac:dyDescent="0.45">
      <c r="A609">
        <f ca="1">VLOOKUP(dict_zul_Var_Meth[[#This Row],[ignored_rank]],help_zuord_Var_Meth[],2)</f>
        <v>162</v>
      </c>
      <c r="B609">
        <v>587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9">
        <f ca="1">RAND()</f>
        <v>0.19561270335426351</v>
      </c>
      <c r="E609">
        <f ca="1">RANK(dict_zul_Var_Meth[[#This Row],[ignored_rand]],dict_zul_Var_Meth[ignored_rand])</f>
        <v>609</v>
      </c>
    </row>
    <row r="610" spans="1:5" x14ac:dyDescent="0.45">
      <c r="A610">
        <f ca="1">VLOOKUP(dict_zul_Var_Meth[[#This Row],[ignored_rank]],help_zuord_Var_Meth[],2)</f>
        <v>162</v>
      </c>
      <c r="B610">
        <v>603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0">
        <f ca="1">RAND()</f>
        <v>0.19464646495256388</v>
      </c>
      <c r="E610">
        <f ca="1">RANK(dict_zul_Var_Meth[[#This Row],[ignored_rand]],dict_zul_Var_Meth[ignored_rand])</f>
        <v>610</v>
      </c>
    </row>
    <row r="611" spans="1:5" x14ac:dyDescent="0.45">
      <c r="A611">
        <f ca="1">VLOOKUP(dict_zul_Var_Meth[[#This Row],[ignored_rank]],help_zuord_Var_Meth[],2)</f>
        <v>162</v>
      </c>
      <c r="B611">
        <v>669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1">
        <f ca="1">RAND()</f>
        <v>0.20360670309253259</v>
      </c>
      <c r="E611">
        <f ca="1">RANK(dict_zul_Var_Meth[[#This Row],[ignored_rand]],dict_zul_Var_Meth[ignored_rand])</f>
        <v>605</v>
      </c>
    </row>
    <row r="612" spans="1:5" x14ac:dyDescent="0.45">
      <c r="A612" s="3">
        <f ca="1">VLOOKUP(dict_zul_Var_Meth[[#This Row],[ignored_rank]],help_zuord_Var_Meth[],2)</f>
        <v>163</v>
      </c>
      <c r="B612">
        <v>33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2">
        <f ca="1">RAND()</f>
        <v>0.19104284394017057</v>
      </c>
      <c r="E612" s="3">
        <f ca="1">RANK(dict_zul_Var_Meth[[#This Row],[ignored_rand]],dict_zul_Var_Meth[ignored_rand])</f>
        <v>613</v>
      </c>
    </row>
    <row r="613" spans="1:5" x14ac:dyDescent="0.45">
      <c r="A613">
        <f ca="1">VLOOKUP(dict_zul_Var_Meth[[#This Row],[ignored_rank]],help_zuord_Var_Meth[],2)</f>
        <v>163</v>
      </c>
      <c r="B613">
        <v>90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3">
        <f ca="1">RAND()</f>
        <v>0.19369456240615224</v>
      </c>
      <c r="E613">
        <f ca="1">RANK(dict_zul_Var_Meth[[#This Row],[ignored_rand]],dict_zul_Var_Meth[ignored_rand])</f>
        <v>611</v>
      </c>
    </row>
    <row r="614" spans="1:5" x14ac:dyDescent="0.45">
      <c r="A614">
        <f ca="1">VLOOKUP(dict_zul_Var_Meth[[#This Row],[ignored_rank]],help_zuord_Var_Meth[],2)</f>
        <v>163</v>
      </c>
      <c r="B614">
        <v>598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4">
        <f ca="1">RAND()</f>
        <v>0.19131814577015238</v>
      </c>
      <c r="E614">
        <f ca="1">RANK(dict_zul_Var_Meth[[#This Row],[ignored_rand]],dict_zul_Var_Meth[ignored_rand])</f>
        <v>612</v>
      </c>
    </row>
    <row r="615" spans="1:5" x14ac:dyDescent="0.45">
      <c r="A615">
        <f ca="1">VLOOKUP(dict_zul_Var_Meth[[#This Row],[ignored_rank]],help_zuord_Var_Meth[],2)</f>
        <v>164</v>
      </c>
      <c r="B615">
        <v>266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5">
        <f ca="1">RAND()</f>
        <v>0.18849979503798564</v>
      </c>
      <c r="E615">
        <f ca="1">RANK(dict_zul_Var_Meth[[#This Row],[ignored_rand]],dict_zul_Var_Meth[ignored_rand])</f>
        <v>615</v>
      </c>
    </row>
    <row r="616" spans="1:5" x14ac:dyDescent="0.45">
      <c r="A616">
        <f ca="1">VLOOKUP(dict_zul_Var_Meth[[#This Row],[ignored_rank]],help_zuord_Var_Meth[],2)</f>
        <v>164</v>
      </c>
      <c r="B616">
        <v>288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6">
        <f ca="1">RAND()</f>
        <v>0.18625318079068753</v>
      </c>
      <c r="E616">
        <f ca="1">RANK(dict_zul_Var_Meth[[#This Row],[ignored_rand]],dict_zul_Var_Meth[ignored_rand])</f>
        <v>616</v>
      </c>
    </row>
    <row r="617" spans="1:5" x14ac:dyDescent="0.45">
      <c r="A617">
        <f ca="1">VLOOKUP(dict_zul_Var_Meth[[#This Row],[ignored_rank]],help_zuord_Var_Meth[],2)</f>
        <v>164</v>
      </c>
      <c r="B617">
        <v>507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7">
        <f ca="1">RAND()</f>
        <v>0.18881517103338796</v>
      </c>
      <c r="E617">
        <f ca="1">RANK(dict_zul_Var_Meth[[#This Row],[ignored_rand]],dict_zul_Var_Meth[ignored_rand])</f>
        <v>614</v>
      </c>
    </row>
    <row r="618" spans="1:5" x14ac:dyDescent="0.45">
      <c r="A618">
        <f ca="1">VLOOKUP(dict_zul_Var_Meth[[#This Row],[ignored_rank]],help_zuord_Var_Meth[],2)</f>
        <v>164</v>
      </c>
      <c r="B618">
        <v>549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8">
        <f ca="1">RAND()</f>
        <v>0.1861769696621437</v>
      </c>
      <c r="E618">
        <f ca="1">RANK(dict_zul_Var_Meth[[#This Row],[ignored_rand]],dict_zul_Var_Meth[ignored_rand])</f>
        <v>617</v>
      </c>
    </row>
    <row r="619" spans="1:5" x14ac:dyDescent="0.45">
      <c r="A619">
        <f ca="1">VLOOKUP(dict_zul_Var_Meth[[#This Row],[ignored_rank]],help_zuord_Var_Meth[],2)</f>
        <v>164</v>
      </c>
      <c r="B619">
        <v>641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9">
        <f ca="1">RAND()</f>
        <v>0.18499798519142152</v>
      </c>
      <c r="E619">
        <f ca="1">RANK(dict_zul_Var_Meth[[#This Row],[ignored_rand]],dict_zul_Var_Meth[ignored_rand])</f>
        <v>618</v>
      </c>
    </row>
    <row r="620" spans="1:5" x14ac:dyDescent="0.45">
      <c r="A620">
        <f ca="1">VLOOKUP(dict_zul_Var_Meth[[#This Row],[ignored_rank]],help_zuord_Var_Meth[],2)</f>
        <v>165</v>
      </c>
      <c r="B620">
        <v>79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0">
        <f ca="1">RAND()</f>
        <v>0.18302585096767754</v>
      </c>
      <c r="E620">
        <f ca="1">RANK(dict_zul_Var_Meth[[#This Row],[ignored_rand]],dict_zul_Var_Meth[ignored_rand])</f>
        <v>619</v>
      </c>
    </row>
    <row r="621" spans="1:5" x14ac:dyDescent="0.45">
      <c r="A621">
        <f ca="1">VLOOKUP(dict_zul_Var_Meth[[#This Row],[ignored_rank]],help_zuord_Var_Meth[],2)</f>
        <v>165</v>
      </c>
      <c r="B621">
        <v>417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1">
        <f ca="1">RAND()</f>
        <v>0.18113585123737141</v>
      </c>
      <c r="E621">
        <f ca="1">RANK(dict_zul_Var_Meth[[#This Row],[ignored_rand]],dict_zul_Var_Meth[ignored_rand])</f>
        <v>620</v>
      </c>
    </row>
    <row r="622" spans="1:5" x14ac:dyDescent="0.45">
      <c r="A622">
        <f ca="1">VLOOKUP(dict_zul_Var_Meth[[#This Row],[ignored_rank]],help_zuord_Var_Meth[],2)</f>
        <v>166</v>
      </c>
      <c r="B622">
        <v>208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2">
        <f ca="1">RAND()</f>
        <v>0.17428458294421512</v>
      </c>
      <c r="E622">
        <f ca="1">RANK(dict_zul_Var_Meth[[#This Row],[ignored_rand]],dict_zul_Var_Meth[ignored_rand])</f>
        <v>624</v>
      </c>
    </row>
    <row r="623" spans="1:5" x14ac:dyDescent="0.45">
      <c r="A623">
        <f ca="1">VLOOKUP(dict_zul_Var_Meth[[#This Row],[ignored_rank]],help_zuord_Var_Meth[],2)</f>
        <v>166</v>
      </c>
      <c r="B623">
        <v>447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3">
        <f ca="1">RAND()</f>
        <v>0.17471665433999672</v>
      </c>
      <c r="E623">
        <f ca="1">RANK(dict_zul_Var_Meth[[#This Row],[ignored_rand]],dict_zul_Var_Meth[ignored_rand])</f>
        <v>623</v>
      </c>
    </row>
    <row r="624" spans="1:5" x14ac:dyDescent="0.45">
      <c r="A624">
        <f ca="1">VLOOKUP(dict_zul_Var_Meth[[#This Row],[ignored_rank]],help_zuord_Var_Meth[],2)</f>
        <v>166</v>
      </c>
      <c r="B624">
        <v>662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4">
        <f ca="1">RAND()</f>
        <v>0.17843720820104336</v>
      </c>
      <c r="E624">
        <f ca="1">RANK(dict_zul_Var_Meth[[#This Row],[ignored_rand]],dict_zul_Var_Meth[ignored_rand])</f>
        <v>621</v>
      </c>
    </row>
    <row r="625" spans="1:5" x14ac:dyDescent="0.45">
      <c r="A625">
        <f ca="1">VLOOKUP(dict_zul_Var_Meth[[#This Row],[ignored_rank]],help_zuord_Var_Meth[],2)</f>
        <v>166</v>
      </c>
      <c r="B625">
        <v>686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5">
        <f ca="1">RAND()</f>
        <v>0.17620018146172611</v>
      </c>
      <c r="E625">
        <f ca="1">RANK(dict_zul_Var_Meth[[#This Row],[ignored_rand]],dict_zul_Var_Meth[ignored_rand])</f>
        <v>622</v>
      </c>
    </row>
    <row r="626" spans="1:5" x14ac:dyDescent="0.45">
      <c r="A626">
        <f ca="1">VLOOKUP(dict_zul_Var_Meth[[#This Row],[ignored_rank]],help_zuord_Var_Meth[],2)</f>
        <v>167</v>
      </c>
      <c r="B626">
        <v>43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6">
        <f ca="1">RAND()</f>
        <v>0.1732474436857987</v>
      </c>
      <c r="E626">
        <f ca="1">RANK(dict_zul_Var_Meth[[#This Row],[ignored_rand]],dict_zul_Var_Meth[ignored_rand])</f>
        <v>625</v>
      </c>
    </row>
    <row r="627" spans="1:5" x14ac:dyDescent="0.45">
      <c r="A627">
        <f ca="1">VLOOKUP(dict_zul_Var_Meth[[#This Row],[ignored_rank]],help_zuord_Var_Meth[],2)</f>
        <v>167</v>
      </c>
      <c r="B627">
        <v>428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7">
        <f ca="1">RAND()</f>
        <v>0.17284554610393665</v>
      </c>
      <c r="E627">
        <f ca="1">RANK(dict_zul_Var_Meth[[#This Row],[ignored_rand]],dict_zul_Var_Meth[ignored_rand])</f>
        <v>626</v>
      </c>
    </row>
    <row r="628" spans="1:5" x14ac:dyDescent="0.45">
      <c r="A628">
        <f ca="1">VLOOKUP(dict_zul_Var_Meth[[#This Row],[ignored_rank]],help_zuord_Var_Meth[],2)</f>
        <v>167</v>
      </c>
      <c r="B628">
        <v>503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8">
        <f ca="1">RAND()</f>
        <v>0.17211475751150562</v>
      </c>
      <c r="E628">
        <f ca="1">RANK(dict_zul_Var_Meth[[#This Row],[ignored_rand]],dict_zul_Var_Meth[ignored_rand])</f>
        <v>627</v>
      </c>
    </row>
    <row r="629" spans="1:5" x14ac:dyDescent="0.45">
      <c r="A629">
        <f ca="1">VLOOKUP(dict_zul_Var_Meth[[#This Row],[ignored_rank]],help_zuord_Var_Meth[],2)</f>
        <v>168</v>
      </c>
      <c r="B629">
        <v>25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9">
        <f ca="1">RAND()</f>
        <v>0.170228074744042</v>
      </c>
      <c r="E629">
        <f ca="1">RANK(dict_zul_Var_Meth[[#This Row],[ignored_rand]],dict_zul_Var_Meth[ignored_rand])</f>
        <v>630</v>
      </c>
    </row>
    <row r="630" spans="1:5" x14ac:dyDescent="0.45">
      <c r="A630">
        <f ca="1">VLOOKUP(dict_zul_Var_Meth[[#This Row],[ignored_rank]],help_zuord_Var_Meth[],2)</f>
        <v>168</v>
      </c>
      <c r="B630">
        <v>261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0">
        <f ca="1">RAND()</f>
        <v>0.16937595816647033</v>
      </c>
      <c r="E630">
        <f ca="1">RANK(dict_zul_Var_Meth[[#This Row],[ignored_rand]],dict_zul_Var_Meth[ignored_rand])</f>
        <v>632</v>
      </c>
    </row>
    <row r="631" spans="1:5" x14ac:dyDescent="0.45">
      <c r="A631">
        <f ca="1">VLOOKUP(dict_zul_Var_Meth[[#This Row],[ignored_rank]],help_zuord_Var_Meth[],2)</f>
        <v>168</v>
      </c>
      <c r="B631">
        <v>292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1">
        <f ca="1">RAND()</f>
        <v>0.17057634837276758</v>
      </c>
      <c r="E631">
        <f ca="1">RANK(dict_zul_Var_Meth[[#This Row],[ignored_rand]],dict_zul_Var_Meth[ignored_rand])</f>
        <v>629</v>
      </c>
    </row>
    <row r="632" spans="1:5" x14ac:dyDescent="0.45">
      <c r="A632">
        <f ca="1">VLOOKUP(dict_zul_Var_Meth[[#This Row],[ignored_rank]],help_zuord_Var_Meth[],2)</f>
        <v>168</v>
      </c>
      <c r="B632">
        <v>300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2">
        <f ca="1">RAND()</f>
        <v>0.16939353196519757</v>
      </c>
      <c r="E632">
        <f ca="1">RANK(dict_zul_Var_Meth[[#This Row],[ignored_rand]],dict_zul_Var_Meth[ignored_rand])</f>
        <v>631</v>
      </c>
    </row>
    <row r="633" spans="1:5" x14ac:dyDescent="0.45">
      <c r="A633" s="3">
        <f ca="1">VLOOKUP(dict_zul_Var_Meth[[#This Row],[ignored_rank]],help_zuord_Var_Meth[],2)</f>
        <v>168</v>
      </c>
      <c r="B633">
        <v>411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3">
        <f ca="1">RAND()</f>
        <v>0.17129899838851403</v>
      </c>
      <c r="E633" s="3">
        <f ca="1">RANK(dict_zul_Var_Meth[[#This Row],[ignored_rand]],dict_zul_Var_Meth[ignored_rand])</f>
        <v>628</v>
      </c>
    </row>
    <row r="634" spans="1:5" x14ac:dyDescent="0.45">
      <c r="A634">
        <f ca="1">VLOOKUP(dict_zul_Var_Meth[[#This Row],[ignored_rank]],help_zuord_Var_Meth[],2)</f>
        <v>169</v>
      </c>
      <c r="B634">
        <v>210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4">
        <f ca="1">RAND()</f>
        <v>0.16574799581878374</v>
      </c>
      <c r="E634">
        <f ca="1">RANK(dict_zul_Var_Meth[[#This Row],[ignored_rand]],dict_zul_Var_Meth[ignored_rand])</f>
        <v>635</v>
      </c>
    </row>
    <row r="635" spans="1:5" x14ac:dyDescent="0.45">
      <c r="A635">
        <f ca="1">VLOOKUP(dict_zul_Var_Meth[[#This Row],[ignored_rank]],help_zuord_Var_Meth[],2)</f>
        <v>169</v>
      </c>
      <c r="B635">
        <v>537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5">
        <f ca="1">RAND()</f>
        <v>0.16930932298854506</v>
      </c>
      <c r="E635">
        <f ca="1">RANK(dict_zul_Var_Meth[[#This Row],[ignored_rand]],dict_zul_Var_Meth[ignored_rand])</f>
        <v>633</v>
      </c>
    </row>
    <row r="636" spans="1:5" x14ac:dyDescent="0.45">
      <c r="A636">
        <f ca="1">VLOOKUP(dict_zul_Var_Meth[[#This Row],[ignored_rank]],help_zuord_Var_Meth[],2)</f>
        <v>169</v>
      </c>
      <c r="B636">
        <v>647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6">
        <f ca="1">RAND()</f>
        <v>0.1662655156282169</v>
      </c>
      <c r="E636">
        <f ca="1">RANK(dict_zul_Var_Meth[[#This Row],[ignored_rand]],dict_zul_Var_Meth[ignored_rand])</f>
        <v>634</v>
      </c>
    </row>
    <row r="637" spans="1:5" x14ac:dyDescent="0.45">
      <c r="A637">
        <f ca="1">VLOOKUP(dict_zul_Var_Meth[[#This Row],[ignored_rank]],help_zuord_Var_Meth[],2)</f>
        <v>170</v>
      </c>
      <c r="B637">
        <v>2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7">
        <f ca="1">RAND()</f>
        <v>0.16187055921087468</v>
      </c>
      <c r="E637">
        <f ca="1">RANK(dict_zul_Var_Meth[[#This Row],[ignored_rand]],dict_zul_Var_Meth[ignored_rand])</f>
        <v>638</v>
      </c>
    </row>
    <row r="638" spans="1:5" x14ac:dyDescent="0.45">
      <c r="A638">
        <f ca="1">VLOOKUP(dict_zul_Var_Meth[[#This Row],[ignored_rank]],help_zuord_Var_Meth[],2)</f>
        <v>170</v>
      </c>
      <c r="B638">
        <v>67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8">
        <f ca="1">RAND()</f>
        <v>0.16291597451168416</v>
      </c>
      <c r="E638">
        <f ca="1">RANK(dict_zul_Var_Meth[[#This Row],[ignored_rand]],dict_zul_Var_Meth[ignored_rand])</f>
        <v>637</v>
      </c>
    </row>
    <row r="639" spans="1:5" x14ac:dyDescent="0.45">
      <c r="A639">
        <f ca="1">VLOOKUP(dict_zul_Var_Meth[[#This Row],[ignored_rank]],help_zuord_Var_Meth[],2)</f>
        <v>170</v>
      </c>
      <c r="B639">
        <v>682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9">
        <f ca="1">RAND()</f>
        <v>0.16298236274798272</v>
      </c>
      <c r="E639">
        <f ca="1">RANK(dict_zul_Var_Meth[[#This Row],[ignored_rand]],dict_zul_Var_Meth[ignored_rand])</f>
        <v>636</v>
      </c>
    </row>
    <row r="640" spans="1:5" x14ac:dyDescent="0.45">
      <c r="A640">
        <f ca="1">VLOOKUP(dict_zul_Var_Meth[[#This Row],[ignored_rank]],help_zuord_Var_Meth[],2)</f>
        <v>171</v>
      </c>
      <c r="B640">
        <v>5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0">
        <f ca="1">RAND()</f>
        <v>0.15988504465665687</v>
      </c>
      <c r="E640">
        <f ca="1">RANK(dict_zul_Var_Meth[[#This Row],[ignored_rand]],dict_zul_Var_Meth[ignored_rand])</f>
        <v>639</v>
      </c>
    </row>
    <row r="641" spans="1:5" x14ac:dyDescent="0.45">
      <c r="A641">
        <f ca="1">VLOOKUP(dict_zul_Var_Meth[[#This Row],[ignored_rank]],help_zuord_Var_Meth[],2)</f>
        <v>171</v>
      </c>
      <c r="B641">
        <v>25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1">
        <f ca="1">RAND()</f>
        <v>0.15662290975920234</v>
      </c>
      <c r="E641">
        <f ca="1">RANK(dict_zul_Var_Meth[[#This Row],[ignored_rand]],dict_zul_Var_Meth[ignored_rand])</f>
        <v>641</v>
      </c>
    </row>
    <row r="642" spans="1:5" x14ac:dyDescent="0.45">
      <c r="A642">
        <f ca="1">VLOOKUP(dict_zul_Var_Meth[[#This Row],[ignored_rank]],help_zuord_Var_Meth[],2)</f>
        <v>171</v>
      </c>
      <c r="B642">
        <v>83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2">
        <f ca="1">RAND()</f>
        <v>0.15615523141720256</v>
      </c>
      <c r="E642">
        <f ca="1">RANK(dict_zul_Var_Meth[[#This Row],[ignored_rand]],dict_zul_Var_Meth[ignored_rand])</f>
        <v>642</v>
      </c>
    </row>
    <row r="643" spans="1:5" x14ac:dyDescent="0.45">
      <c r="A643" s="3">
        <f ca="1">VLOOKUP(dict_zul_Var_Meth[[#This Row],[ignored_rank]],help_zuord_Var_Meth[],2)</f>
        <v>171</v>
      </c>
      <c r="B643">
        <v>296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3">
        <f ca="1">RAND()</f>
        <v>0.15585256879033471</v>
      </c>
      <c r="E643" s="3">
        <f ca="1">RANK(dict_zul_Var_Meth[[#This Row],[ignored_rand]],dict_zul_Var_Meth[ignored_rand])</f>
        <v>643</v>
      </c>
    </row>
    <row r="644" spans="1:5" x14ac:dyDescent="0.45">
      <c r="A644">
        <f ca="1">VLOOKUP(dict_zul_Var_Meth[[#This Row],[ignored_rank]],help_zuord_Var_Meth[],2)</f>
        <v>171</v>
      </c>
      <c r="B644">
        <v>589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4">
        <f ca="1">RAND()</f>
        <v>0.15747098976493235</v>
      </c>
      <c r="E644">
        <f ca="1">RANK(dict_zul_Var_Meth[[#This Row],[ignored_rand]],dict_zul_Var_Meth[ignored_rand])</f>
        <v>640</v>
      </c>
    </row>
    <row r="645" spans="1:5" x14ac:dyDescent="0.45">
      <c r="A645">
        <f ca="1">VLOOKUP(dict_zul_Var_Meth[[#This Row],[ignored_rank]],help_zuord_Var_Meth[],2)</f>
        <v>172</v>
      </c>
      <c r="B645">
        <v>317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5">
        <f ca="1">RAND()</f>
        <v>0.153414178917886</v>
      </c>
      <c r="E645">
        <f ca="1">RANK(dict_zul_Var_Meth[[#This Row],[ignored_rand]],dict_zul_Var_Meth[ignored_rand])</f>
        <v>647</v>
      </c>
    </row>
    <row r="646" spans="1:5" x14ac:dyDescent="0.45">
      <c r="A646">
        <f ca="1">VLOOKUP(dict_zul_Var_Meth[[#This Row],[ignored_rank]],help_zuord_Var_Meth[],2)</f>
        <v>172</v>
      </c>
      <c r="B646">
        <v>413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6">
        <f ca="1">RAND()</f>
        <v>0.15441543987406403</v>
      </c>
      <c r="E646">
        <f ca="1">RANK(dict_zul_Var_Meth[[#This Row],[ignored_rand]],dict_zul_Var_Meth[ignored_rand])</f>
        <v>644</v>
      </c>
    </row>
    <row r="647" spans="1:5" x14ac:dyDescent="0.45">
      <c r="A647">
        <f ca="1">VLOOKUP(dict_zul_Var_Meth[[#This Row],[ignored_rank]],help_zuord_Var_Meth[],2)</f>
        <v>172</v>
      </c>
      <c r="B647">
        <v>463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7">
        <f ca="1">RAND()</f>
        <v>0.15345586763655972</v>
      </c>
      <c r="E647">
        <f ca="1">RANK(dict_zul_Var_Meth[[#This Row],[ignored_rand]],dict_zul_Var_Meth[ignored_rand])</f>
        <v>646</v>
      </c>
    </row>
    <row r="648" spans="1:5" x14ac:dyDescent="0.45">
      <c r="A648">
        <f ca="1">VLOOKUP(dict_zul_Var_Meth[[#This Row],[ignored_rank]],help_zuord_Var_Meth[],2)</f>
        <v>172</v>
      </c>
      <c r="B648">
        <v>584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8">
        <f ca="1">RAND()</f>
        <v>0.15392355144440562</v>
      </c>
      <c r="E648">
        <f ca="1">RANK(dict_zul_Var_Meth[[#This Row],[ignored_rand]],dict_zul_Var_Meth[ignored_rand])</f>
        <v>645</v>
      </c>
    </row>
    <row r="649" spans="1:5" x14ac:dyDescent="0.45">
      <c r="A649">
        <f ca="1">VLOOKUP(dict_zul_Var_Meth[[#This Row],[ignored_rank]],help_zuord_Var_Meth[],2)</f>
        <v>173</v>
      </c>
      <c r="B649">
        <v>636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9">
        <f ca="1">RAND()</f>
        <v>0.15117449393586213</v>
      </c>
      <c r="E649">
        <f ca="1">RANK(dict_zul_Var_Meth[[#This Row],[ignored_rand]],dict_zul_Var_Meth[ignored_rand])</f>
        <v>649</v>
      </c>
    </row>
    <row r="650" spans="1:5" x14ac:dyDescent="0.45">
      <c r="A650">
        <f ca="1">VLOOKUP(dict_zul_Var_Meth[[#This Row],[ignored_rank]],help_zuord_Var_Meth[],2)</f>
        <v>173</v>
      </c>
      <c r="B650">
        <v>692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0">
        <f ca="1">RAND()</f>
        <v>0.15176172391757459</v>
      </c>
      <c r="E650">
        <f ca="1">RANK(dict_zul_Var_Meth[[#This Row],[ignored_rand]],dict_zul_Var_Meth[ignored_rand])</f>
        <v>648</v>
      </c>
    </row>
    <row r="651" spans="1:5" x14ac:dyDescent="0.45">
      <c r="A651">
        <f ca="1">VLOOKUP(dict_zul_Var_Meth[[#This Row],[ignored_rank]],help_zuord_Var_Meth[],2)</f>
        <v>174</v>
      </c>
      <c r="B651">
        <v>118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1">
        <f ca="1">RAND()</f>
        <v>0.14651357149732114</v>
      </c>
      <c r="E651">
        <f ca="1">RANK(dict_zul_Var_Meth[[#This Row],[ignored_rand]],dict_zul_Var_Meth[ignored_rand])</f>
        <v>654</v>
      </c>
    </row>
    <row r="652" spans="1:5" x14ac:dyDescent="0.45">
      <c r="A652">
        <f ca="1">VLOOKUP(dict_zul_Var_Meth[[#This Row],[ignored_rank]],help_zuord_Var_Meth[],2)</f>
        <v>174</v>
      </c>
      <c r="B652">
        <v>144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2">
        <f ca="1">RAND()</f>
        <v>0.14991660939840135</v>
      </c>
      <c r="E652">
        <f ca="1">RANK(dict_zul_Var_Meth[[#This Row],[ignored_rand]],dict_zul_Var_Meth[ignored_rand])</f>
        <v>652</v>
      </c>
    </row>
    <row r="653" spans="1:5" x14ac:dyDescent="0.45">
      <c r="A653" s="3">
        <f ca="1">VLOOKUP(dict_zul_Var_Meth[[#This Row],[ignored_rank]],help_zuord_Var_Meth[],2)</f>
        <v>174</v>
      </c>
      <c r="B653">
        <v>273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3">
        <f ca="1">RAND()</f>
        <v>0.14851265722696672</v>
      </c>
      <c r="E653" s="3">
        <f ca="1">RANK(dict_zul_Var_Meth[[#This Row],[ignored_rand]],dict_zul_Var_Meth[ignored_rand])</f>
        <v>653</v>
      </c>
    </row>
    <row r="654" spans="1:5" x14ac:dyDescent="0.45">
      <c r="A654">
        <f ca="1">VLOOKUP(dict_zul_Var_Meth[[#This Row],[ignored_rank]],help_zuord_Var_Meth[],2)</f>
        <v>174</v>
      </c>
      <c r="B654">
        <v>608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4">
        <f ca="1">RAND()</f>
        <v>0.15019270835720788</v>
      </c>
      <c r="E654">
        <f ca="1">RANK(dict_zul_Var_Meth[[#This Row],[ignored_rand]],dict_zul_Var_Meth[ignored_rand])</f>
        <v>651</v>
      </c>
    </row>
    <row r="655" spans="1:5" x14ac:dyDescent="0.45">
      <c r="A655">
        <f ca="1">VLOOKUP(dict_zul_Var_Meth[[#This Row],[ignored_rank]],help_zuord_Var_Meth[],2)</f>
        <v>174</v>
      </c>
      <c r="B655">
        <v>691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5">
        <f ca="1">RAND()</f>
        <v>0.15082055909297154</v>
      </c>
      <c r="E655">
        <f ca="1">RANK(dict_zul_Var_Meth[[#This Row],[ignored_rand]],dict_zul_Var_Meth[ignored_rand])</f>
        <v>650</v>
      </c>
    </row>
    <row r="656" spans="1:5" x14ac:dyDescent="0.45">
      <c r="A656">
        <f ca="1">VLOOKUP(dict_zul_Var_Meth[[#This Row],[ignored_rank]],help_zuord_Var_Meth[],2)</f>
        <v>175</v>
      </c>
      <c r="B656">
        <v>202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6">
        <f ca="1">RAND()</f>
        <v>0.14559103218379066</v>
      </c>
      <c r="E656">
        <f ca="1">RANK(dict_zul_Var_Meth[[#This Row],[ignored_rand]],dict_zul_Var_Meth[ignored_rand])</f>
        <v>656</v>
      </c>
    </row>
    <row r="657" spans="1:5" x14ac:dyDescent="0.45">
      <c r="A657">
        <f ca="1">VLOOKUP(dict_zul_Var_Meth[[#This Row],[ignored_rank]],help_zuord_Var_Meth[],2)</f>
        <v>175</v>
      </c>
      <c r="B657">
        <v>251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7">
        <f ca="1">RAND()</f>
        <v>0.14570886934763649</v>
      </c>
      <c r="E657">
        <f ca="1">RANK(dict_zul_Var_Meth[[#This Row],[ignored_rand]],dict_zul_Var_Meth[ignored_rand])</f>
        <v>655</v>
      </c>
    </row>
    <row r="658" spans="1:5" x14ac:dyDescent="0.45">
      <c r="A658">
        <f ca="1">VLOOKUP(dict_zul_Var_Meth[[#This Row],[ignored_rank]],help_zuord_Var_Meth[],2)</f>
        <v>175</v>
      </c>
      <c r="B658">
        <v>419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8">
        <f ca="1">RAND()</f>
        <v>0.14499605171813967</v>
      </c>
      <c r="E658">
        <f ca="1">RANK(dict_zul_Var_Meth[[#This Row],[ignored_rand]],dict_zul_Var_Meth[ignored_rand])</f>
        <v>657</v>
      </c>
    </row>
    <row r="659" spans="1:5" x14ac:dyDescent="0.45">
      <c r="A659" s="3">
        <f ca="1">VLOOKUP(dict_zul_Var_Meth[[#This Row],[ignored_rank]],help_zuord_Var_Meth[],2)</f>
        <v>176</v>
      </c>
      <c r="B659">
        <v>221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9">
        <f ca="1">RAND()</f>
        <v>0.14046616403874779</v>
      </c>
      <c r="E659" s="3">
        <f ca="1">RANK(dict_zul_Var_Meth[[#This Row],[ignored_rand]],dict_zul_Var_Meth[ignored_rand])</f>
        <v>659</v>
      </c>
    </row>
    <row r="660" spans="1:5" x14ac:dyDescent="0.45">
      <c r="A660">
        <f ca="1">VLOOKUP(dict_zul_Var_Meth[[#This Row],[ignored_rank]],help_zuord_Var_Meth[],2)</f>
        <v>176</v>
      </c>
      <c r="B660">
        <v>328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0">
        <f ca="1">RAND()</f>
        <v>0.14025775613828551</v>
      </c>
      <c r="E660">
        <f ca="1">RANK(dict_zul_Var_Meth[[#This Row],[ignored_rand]],dict_zul_Var_Meth[ignored_rand])</f>
        <v>660</v>
      </c>
    </row>
    <row r="661" spans="1:5" x14ac:dyDescent="0.45">
      <c r="A661" s="3">
        <f ca="1">VLOOKUP(dict_zul_Var_Meth[[#This Row],[ignored_rank]],help_zuord_Var_Meth[],2)</f>
        <v>176</v>
      </c>
      <c r="B661">
        <v>446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1">
        <f ca="1">RAND()</f>
        <v>0.13561119082346651</v>
      </c>
      <c r="E661" s="3">
        <f ca="1">RANK(dict_zul_Var_Meth[[#This Row],[ignored_rand]],dict_zul_Var_Meth[ignored_rand])</f>
        <v>661</v>
      </c>
    </row>
    <row r="662" spans="1:5" x14ac:dyDescent="0.45">
      <c r="A662">
        <f ca="1">VLOOKUP(dict_zul_Var_Meth[[#This Row],[ignored_rank]],help_zuord_Var_Meth[],2)</f>
        <v>176</v>
      </c>
      <c r="B662">
        <v>515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2">
        <f ca="1">RAND()</f>
        <v>0.14107325786373581</v>
      </c>
      <c r="E662">
        <f ca="1">RANK(dict_zul_Var_Meth[[#This Row],[ignored_rand]],dict_zul_Var_Meth[ignored_rand])</f>
        <v>658</v>
      </c>
    </row>
    <row r="663" spans="1:5" x14ac:dyDescent="0.45">
      <c r="A663">
        <f ca="1">VLOOKUP(dict_zul_Var_Meth[[#This Row],[ignored_rank]],help_zuord_Var_Meth[],2)</f>
        <v>177</v>
      </c>
      <c r="B663">
        <v>319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3">
        <f ca="1">RAND()</f>
        <v>0.12850945295148242</v>
      </c>
      <c r="E663">
        <f ca="1">RANK(dict_zul_Var_Meth[[#This Row],[ignored_rand]],dict_zul_Var_Meth[ignored_rand])</f>
        <v>662</v>
      </c>
    </row>
    <row r="664" spans="1:5" x14ac:dyDescent="0.45">
      <c r="A664">
        <f ca="1">VLOOKUP(dict_zul_Var_Meth[[#This Row],[ignored_rank]],help_zuord_Var_Meth[],2)</f>
        <v>177</v>
      </c>
      <c r="B664">
        <v>529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4">
        <f ca="1">RAND()</f>
        <v>0.12597610524521663</v>
      </c>
      <c r="E664">
        <f ca="1">RANK(dict_zul_Var_Meth[[#This Row],[ignored_rand]],dict_zul_Var_Meth[ignored_rand])</f>
        <v>664</v>
      </c>
    </row>
    <row r="665" spans="1:5" x14ac:dyDescent="0.45">
      <c r="A665">
        <f ca="1">VLOOKUP(dict_zul_Var_Meth[[#This Row],[ignored_rank]],help_zuord_Var_Meth[],2)</f>
        <v>177</v>
      </c>
      <c r="B665">
        <v>677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5">
        <f ca="1">RAND()</f>
        <v>0.12782141432643568</v>
      </c>
      <c r="E665">
        <f ca="1">RANK(dict_zul_Var_Meth[[#This Row],[ignored_rand]],dict_zul_Var_Meth[ignored_rand])</f>
        <v>663</v>
      </c>
    </row>
    <row r="666" spans="1:5" x14ac:dyDescent="0.45">
      <c r="A666">
        <f ca="1">VLOOKUP(dict_zul_Var_Meth[[#This Row],[ignored_rank]],help_zuord_Var_Meth[],2)</f>
        <v>178</v>
      </c>
      <c r="B666">
        <v>92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6">
        <f ca="1">RAND()</f>
        <v>0.12161232485705875</v>
      </c>
      <c r="E666">
        <f ca="1">RANK(dict_zul_Var_Meth[[#This Row],[ignored_rand]],dict_zul_Var_Meth[ignored_rand])</f>
        <v>670</v>
      </c>
    </row>
    <row r="667" spans="1:5" x14ac:dyDescent="0.45">
      <c r="A667">
        <f ca="1">VLOOKUP(dict_zul_Var_Meth[[#This Row],[ignored_rank]],help_zuord_Var_Meth[],2)</f>
        <v>178</v>
      </c>
      <c r="B667">
        <v>94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7">
        <f ca="1">RAND()</f>
        <v>0.12280934082154638</v>
      </c>
      <c r="E667">
        <f ca="1">RANK(dict_zul_Var_Meth[[#This Row],[ignored_rand]],dict_zul_Var_Meth[ignored_rand])</f>
        <v>667</v>
      </c>
    </row>
    <row r="668" spans="1:5" x14ac:dyDescent="0.45">
      <c r="A668">
        <f ca="1">VLOOKUP(dict_zul_Var_Meth[[#This Row],[ignored_rank]],help_zuord_Var_Meth[],2)</f>
        <v>178</v>
      </c>
      <c r="B668">
        <v>173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8">
        <f ca="1">RAND()</f>
        <v>0.12489389425678299</v>
      </c>
      <c r="E668">
        <f ca="1">RANK(dict_zul_Var_Meth[[#This Row],[ignored_rand]],dict_zul_Var_Meth[ignored_rand])</f>
        <v>665</v>
      </c>
    </row>
    <row r="669" spans="1:5" x14ac:dyDescent="0.45">
      <c r="A669">
        <f ca="1">VLOOKUP(dict_zul_Var_Meth[[#This Row],[ignored_rank]],help_zuord_Var_Meth[],2)</f>
        <v>178</v>
      </c>
      <c r="B669">
        <v>350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9">
        <f ca="1">RAND()</f>
        <v>0.12225933687390322</v>
      </c>
      <c r="E669">
        <f ca="1">RANK(dict_zul_Var_Meth[[#This Row],[ignored_rand]],dict_zul_Var_Meth[ignored_rand])</f>
        <v>668</v>
      </c>
    </row>
    <row r="670" spans="1:5" x14ac:dyDescent="0.45">
      <c r="A670" s="3">
        <f ca="1">VLOOKUP(dict_zul_Var_Meth[[#This Row],[ignored_rank]],help_zuord_Var_Meth[],2)</f>
        <v>178</v>
      </c>
      <c r="B670">
        <v>433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0">
        <f ca="1">RAND()</f>
        <v>0.1217027480680033</v>
      </c>
      <c r="E670" s="3">
        <f ca="1">RANK(dict_zul_Var_Meth[[#This Row],[ignored_rand]],dict_zul_Var_Meth[ignored_rand])</f>
        <v>669</v>
      </c>
    </row>
    <row r="671" spans="1:5" x14ac:dyDescent="0.45">
      <c r="A671">
        <f ca="1">VLOOKUP(dict_zul_Var_Meth[[#This Row],[ignored_rank]],help_zuord_Var_Meth[],2)</f>
        <v>178</v>
      </c>
      <c r="B671">
        <v>632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1">
        <f ca="1">RAND()</f>
        <v>0.12317877969846414</v>
      </c>
      <c r="E671">
        <f ca="1">RANK(dict_zul_Var_Meth[[#This Row],[ignored_rand]],dict_zul_Var_Meth[ignored_rand])</f>
        <v>666</v>
      </c>
    </row>
    <row r="672" spans="1:5" x14ac:dyDescent="0.45">
      <c r="A672">
        <f ca="1">VLOOKUP(dict_zul_Var_Meth[[#This Row],[ignored_rank]],help_zuord_Var_Meth[],2)</f>
        <v>179</v>
      </c>
      <c r="B672">
        <v>193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2">
        <f ca="1">RAND()</f>
        <v>0.1183241303915431</v>
      </c>
      <c r="E672">
        <f ca="1">RANK(dict_zul_Var_Meth[[#This Row],[ignored_rand]],dict_zul_Var_Meth[ignored_rand])</f>
        <v>672</v>
      </c>
    </row>
    <row r="673" spans="1:5" x14ac:dyDescent="0.45">
      <c r="A673" s="3">
        <f ca="1">VLOOKUP(dict_zul_Var_Meth[[#This Row],[ignored_rank]],help_zuord_Var_Meth[],2)</f>
        <v>179</v>
      </c>
      <c r="B673">
        <v>282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3">
        <f ca="1">RAND()</f>
        <v>0.12018812983408622</v>
      </c>
      <c r="E673" s="3">
        <f ca="1">RANK(dict_zul_Var_Meth[[#This Row],[ignored_rand]],dict_zul_Var_Meth[ignored_rand])</f>
        <v>671</v>
      </c>
    </row>
    <row r="674" spans="1:5" x14ac:dyDescent="0.45">
      <c r="A674">
        <f ca="1">VLOOKUP(dict_zul_Var_Meth[[#This Row],[ignored_rank]],help_zuord_Var_Meth[],2)</f>
        <v>180</v>
      </c>
      <c r="B674">
        <v>9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4">
        <f ca="1">RAND()</f>
        <v>0.11519080156743633</v>
      </c>
      <c r="E674">
        <f ca="1">RANK(dict_zul_Var_Meth[[#This Row],[ignored_rand]],dict_zul_Var_Meth[ignored_rand])</f>
        <v>675</v>
      </c>
    </row>
    <row r="675" spans="1:5" x14ac:dyDescent="0.45">
      <c r="A675">
        <f ca="1">VLOOKUP(dict_zul_Var_Meth[[#This Row],[ignored_rank]],help_zuord_Var_Meth[],2)</f>
        <v>180</v>
      </c>
      <c r="B675">
        <v>163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5">
        <f ca="1">RAND()</f>
        <v>0.11559300657827232</v>
      </c>
      <c r="E675">
        <f ca="1">RANK(dict_zul_Var_Meth[[#This Row],[ignored_rand]],dict_zul_Var_Meth[ignored_rand])</f>
        <v>674</v>
      </c>
    </row>
    <row r="676" spans="1:5" x14ac:dyDescent="0.45">
      <c r="A676">
        <f ca="1">VLOOKUP(dict_zul_Var_Meth[[#This Row],[ignored_rank]],help_zuord_Var_Meth[],2)</f>
        <v>180</v>
      </c>
      <c r="B676">
        <v>232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6">
        <f ca="1">RAND()</f>
        <v>0.11757251544247815</v>
      </c>
      <c r="E676">
        <f ca="1">RANK(dict_zul_Var_Meth[[#This Row],[ignored_rand]],dict_zul_Var_Meth[ignored_rand])</f>
        <v>673</v>
      </c>
    </row>
    <row r="677" spans="1:5" x14ac:dyDescent="0.45">
      <c r="A677">
        <f ca="1">VLOOKUP(dict_zul_Var_Meth[[#This Row],[ignored_rank]],help_zuord_Var_Meth[],2)</f>
        <v>180</v>
      </c>
      <c r="B677">
        <v>617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7">
        <f ca="1">RAND()</f>
        <v>0.1145627592380617</v>
      </c>
      <c r="E677">
        <f ca="1">RANK(dict_zul_Var_Meth[[#This Row],[ignored_rand]],dict_zul_Var_Meth[ignored_rand])</f>
        <v>676</v>
      </c>
    </row>
    <row r="678" spans="1:5" x14ac:dyDescent="0.45">
      <c r="A678">
        <f ca="1">VLOOKUP(dict_zul_Var_Meth[[#This Row],[ignored_rank]],help_zuord_Var_Meth[],2)</f>
        <v>181</v>
      </c>
      <c r="B678">
        <v>127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8">
        <f ca="1">RAND()</f>
        <v>0.11338811603441523</v>
      </c>
      <c r="E678">
        <f ca="1">RANK(dict_zul_Var_Meth[[#This Row],[ignored_rand]],dict_zul_Var_Meth[ignored_rand])</f>
        <v>677</v>
      </c>
    </row>
    <row r="679" spans="1:5" x14ac:dyDescent="0.45">
      <c r="A679">
        <f ca="1">VLOOKUP(dict_zul_Var_Meth[[#This Row],[ignored_rank]],help_zuord_Var_Meth[],2)</f>
        <v>181</v>
      </c>
      <c r="B679">
        <v>224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9">
        <f ca="1">RAND()</f>
        <v>0.11318016191659308</v>
      </c>
      <c r="E679">
        <f ca="1">RANK(dict_zul_Var_Meth[[#This Row],[ignored_rand]],dict_zul_Var_Meth[ignored_rand])</f>
        <v>678</v>
      </c>
    </row>
    <row r="680" spans="1:5" x14ac:dyDescent="0.45">
      <c r="A680">
        <f ca="1">VLOOKUP(dict_zul_Var_Meth[[#This Row],[ignored_rank]],help_zuord_Var_Meth[],2)</f>
        <v>181</v>
      </c>
      <c r="B680">
        <v>384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0">
        <f ca="1">RAND()</f>
        <v>0.11275713187430658</v>
      </c>
      <c r="E680">
        <f ca="1">RANK(dict_zul_Var_Meth[[#This Row],[ignored_rand]],dict_zul_Var_Meth[ignored_rand])</f>
        <v>680</v>
      </c>
    </row>
    <row r="681" spans="1:5" x14ac:dyDescent="0.45">
      <c r="A681">
        <f ca="1">VLOOKUP(dict_zul_Var_Meth[[#This Row],[ignored_rank]],help_zuord_Var_Meth[],2)</f>
        <v>181</v>
      </c>
      <c r="B681">
        <v>548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1">
        <f ca="1">RAND()</f>
        <v>0.11276898139925973</v>
      </c>
      <c r="E681">
        <f ca="1">RANK(dict_zul_Var_Meth[[#This Row],[ignored_rand]],dict_zul_Var_Meth[ignored_rand])</f>
        <v>679</v>
      </c>
    </row>
    <row r="682" spans="1:5" x14ac:dyDescent="0.45">
      <c r="A682">
        <f ca="1">VLOOKUP(dict_zul_Var_Meth[[#This Row],[ignored_rank]],help_zuord_Var_Meth[],2)</f>
        <v>182</v>
      </c>
      <c r="B682">
        <v>272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2">
        <f ca="1">RAND()</f>
        <v>0.11237192529043005</v>
      </c>
      <c r="E682">
        <f ca="1">RANK(dict_zul_Var_Meth[[#This Row],[ignored_rand]],dict_zul_Var_Meth[ignored_rand])</f>
        <v>681</v>
      </c>
    </row>
    <row r="683" spans="1:5" x14ac:dyDescent="0.45">
      <c r="A683">
        <f ca="1">VLOOKUP(dict_zul_Var_Meth[[#This Row],[ignored_rank]],help_zuord_Var_Meth[],2)</f>
        <v>182</v>
      </c>
      <c r="B683">
        <v>387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3">
        <f ca="1">RAND()</f>
        <v>0.11044843097001911</v>
      </c>
      <c r="E683">
        <f ca="1">RANK(dict_zul_Var_Meth[[#This Row],[ignored_rand]],dict_zul_Var_Meth[ignored_rand])</f>
        <v>682</v>
      </c>
    </row>
    <row r="684" spans="1:5" x14ac:dyDescent="0.45">
      <c r="A684">
        <f ca="1">VLOOKUP(dict_zul_Var_Meth[[#This Row],[ignored_rank]],help_zuord_Var_Meth[],2)</f>
        <v>182</v>
      </c>
      <c r="B684">
        <v>406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4">
        <f ca="1">RAND()</f>
        <v>0.11006566362988535</v>
      </c>
      <c r="E684">
        <f ca="1">RANK(dict_zul_Var_Meth[[#This Row],[ignored_rand]],dict_zul_Var_Meth[ignored_rand])</f>
        <v>683</v>
      </c>
    </row>
    <row r="685" spans="1:5" x14ac:dyDescent="0.45">
      <c r="A685">
        <f ca="1">VLOOKUP(dict_zul_Var_Meth[[#This Row],[ignored_rank]],help_zuord_Var_Meth[],2)</f>
        <v>182</v>
      </c>
      <c r="B685">
        <v>667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5">
        <f ca="1">RAND()</f>
        <v>0.10828868410072956</v>
      </c>
      <c r="E685">
        <f ca="1">RANK(dict_zul_Var_Meth[[#This Row],[ignored_rand]],dict_zul_Var_Meth[ignored_rand])</f>
        <v>684</v>
      </c>
    </row>
    <row r="686" spans="1:5" x14ac:dyDescent="0.45">
      <c r="A686">
        <f ca="1">VLOOKUP(dict_zul_Var_Meth[[#This Row],[ignored_rank]],help_zuord_Var_Meth[],2)</f>
        <v>183</v>
      </c>
      <c r="B686">
        <v>15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6">
        <f ca="1">RAND()</f>
        <v>0.10563914190969803</v>
      </c>
      <c r="E686">
        <f ca="1">RANK(dict_zul_Var_Meth[[#This Row],[ignored_rand]],dict_zul_Var_Meth[ignored_rand])</f>
        <v>686</v>
      </c>
    </row>
    <row r="687" spans="1:5" x14ac:dyDescent="0.45">
      <c r="A687">
        <f ca="1">VLOOKUP(dict_zul_Var_Meth[[#This Row],[ignored_rank]],help_zuord_Var_Meth[],2)</f>
        <v>183</v>
      </c>
      <c r="B687">
        <v>478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7">
        <f ca="1">RAND()</f>
        <v>0.10421788769889007</v>
      </c>
      <c r="E687">
        <f ca="1">RANK(dict_zul_Var_Meth[[#This Row],[ignored_rand]],dict_zul_Var_Meth[ignored_rand])</f>
        <v>687</v>
      </c>
    </row>
    <row r="688" spans="1:5" x14ac:dyDescent="0.45">
      <c r="A688" s="3">
        <f ca="1">VLOOKUP(dict_zul_Var_Meth[[#This Row],[ignored_rank]],help_zuord_Var_Meth[],2)</f>
        <v>183</v>
      </c>
      <c r="B688">
        <v>658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8">
        <f ca="1">RAND()</f>
        <v>0.10705606808347035</v>
      </c>
      <c r="E688" s="3">
        <f ca="1">RANK(dict_zul_Var_Meth[[#This Row],[ignored_rand]],dict_zul_Var_Meth[ignored_rand])</f>
        <v>685</v>
      </c>
    </row>
    <row r="689" spans="1:5" x14ac:dyDescent="0.45">
      <c r="A689">
        <f ca="1">VLOOKUP(dict_zul_Var_Meth[[#This Row],[ignored_rank]],help_zuord_Var_Meth[],2)</f>
        <v>183</v>
      </c>
      <c r="B689">
        <v>671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9">
        <f ca="1">RAND()</f>
        <v>0.10317330541465763</v>
      </c>
      <c r="E689">
        <f ca="1">RANK(dict_zul_Var_Meth[[#This Row],[ignored_rand]],dict_zul_Var_Meth[ignored_rand])</f>
        <v>688</v>
      </c>
    </row>
    <row r="690" spans="1:5" x14ac:dyDescent="0.45">
      <c r="A690">
        <f ca="1">VLOOKUP(dict_zul_Var_Meth[[#This Row],[ignored_rank]],help_zuord_Var_Meth[],2)</f>
        <v>184</v>
      </c>
      <c r="B690">
        <v>39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0">
        <f ca="1">RAND()</f>
        <v>0.10166552089588421</v>
      </c>
      <c r="E690">
        <f ca="1">RANK(dict_zul_Var_Meth[[#This Row],[ignored_rand]],dict_zul_Var_Meth[ignored_rand])</f>
        <v>690</v>
      </c>
    </row>
    <row r="691" spans="1:5" x14ac:dyDescent="0.45">
      <c r="A691">
        <f ca="1">VLOOKUP(dict_zul_Var_Meth[[#This Row],[ignored_rank]],help_zuord_Var_Meth[],2)</f>
        <v>184</v>
      </c>
      <c r="B691">
        <v>182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1">
        <f ca="1">RAND()</f>
        <v>0.10216394273521434</v>
      </c>
      <c r="E691">
        <f ca="1">RANK(dict_zul_Var_Meth[[#This Row],[ignored_rand]],dict_zul_Var_Meth[ignored_rand])</f>
        <v>689</v>
      </c>
    </row>
    <row r="692" spans="1:5" x14ac:dyDescent="0.45">
      <c r="A692">
        <f ca="1">VLOOKUP(dict_zul_Var_Meth[[#This Row],[ignored_rank]],help_zuord_Var_Meth[],2)</f>
        <v>184</v>
      </c>
      <c r="B692">
        <v>479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2">
        <f ca="1">RAND()</f>
        <v>0.10158337518313532</v>
      </c>
      <c r="E692">
        <f ca="1">RANK(dict_zul_Var_Meth[[#This Row],[ignored_rand]],dict_zul_Var_Meth[ignored_rand])</f>
        <v>691</v>
      </c>
    </row>
    <row r="693" spans="1:5" x14ac:dyDescent="0.45">
      <c r="A693">
        <f ca="1">VLOOKUP(dict_zul_Var_Meth[[#This Row],[ignored_rank]],help_zuord_Var_Meth[],2)</f>
        <v>185</v>
      </c>
      <c r="B693">
        <v>30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3">
        <f ca="1">RAND()</f>
        <v>0.10095759031190288</v>
      </c>
      <c r="E693">
        <f ca="1">RANK(dict_zul_Var_Meth[[#This Row],[ignored_rand]],dict_zul_Var_Meth[ignored_rand])</f>
        <v>692</v>
      </c>
    </row>
    <row r="694" spans="1:5" x14ac:dyDescent="0.45">
      <c r="A694">
        <f ca="1">VLOOKUP(dict_zul_Var_Meth[[#This Row],[ignored_rank]],help_zuord_Var_Meth[],2)</f>
        <v>185</v>
      </c>
      <c r="B694">
        <v>335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4">
        <f ca="1">RAND()</f>
        <v>9.7537975770522256E-2</v>
      </c>
      <c r="E694">
        <f ca="1">RANK(dict_zul_Var_Meth[[#This Row],[ignored_rand]],dict_zul_Var_Meth[ignored_rand])</f>
        <v>695</v>
      </c>
    </row>
    <row r="695" spans="1:5" x14ac:dyDescent="0.45">
      <c r="A695">
        <f ca="1">VLOOKUP(dict_zul_Var_Meth[[#This Row],[ignored_rank]],help_zuord_Var_Meth[],2)</f>
        <v>185</v>
      </c>
      <c r="B695">
        <v>612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5">
        <f ca="1">RAND()</f>
        <v>9.7559746475418985E-2</v>
      </c>
      <c r="E695">
        <f ca="1">RANK(dict_zul_Var_Meth[[#This Row],[ignored_rand]],dict_zul_Var_Meth[ignored_rand])</f>
        <v>694</v>
      </c>
    </row>
    <row r="696" spans="1:5" x14ac:dyDescent="0.45">
      <c r="A696">
        <f ca="1">VLOOKUP(dict_zul_Var_Meth[[#This Row],[ignored_rank]],help_zuord_Var_Meth[],2)</f>
        <v>185</v>
      </c>
      <c r="B696">
        <v>689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6">
        <f ca="1">RAND()</f>
        <v>0.10027433850154333</v>
      </c>
      <c r="E696">
        <f ca="1">RANK(dict_zul_Var_Meth[[#This Row],[ignored_rand]],dict_zul_Var_Meth[ignored_rand])</f>
        <v>693</v>
      </c>
    </row>
    <row r="697" spans="1:5" x14ac:dyDescent="0.45">
      <c r="A697">
        <f ca="1">VLOOKUP(dict_zul_Var_Meth[[#This Row],[ignored_rank]],help_zuord_Var_Meth[],2)</f>
        <v>186</v>
      </c>
      <c r="B697">
        <v>581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7">
        <f ca="1">RAND()</f>
        <v>9.1313350238441449E-2</v>
      </c>
      <c r="E697">
        <f ca="1">RANK(dict_zul_Var_Meth[[#This Row],[ignored_rand]],dict_zul_Var_Meth[ignored_rand])</f>
        <v>697</v>
      </c>
    </row>
    <row r="698" spans="1:5" x14ac:dyDescent="0.45">
      <c r="A698">
        <f ca="1">VLOOKUP(dict_zul_Var_Meth[[#This Row],[ignored_rank]],help_zuord_Var_Meth[],2)</f>
        <v>186</v>
      </c>
      <c r="B698">
        <v>614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8">
        <f ca="1">RAND()</f>
        <v>9.4981913783582894E-2</v>
      </c>
      <c r="E698">
        <f ca="1">RANK(dict_zul_Var_Meth[[#This Row],[ignored_rand]],dict_zul_Var_Meth[ignored_rand])</f>
        <v>696</v>
      </c>
    </row>
    <row r="699" spans="1:5" x14ac:dyDescent="0.45">
      <c r="A699">
        <f ca="1">VLOOKUP(dict_zul_Var_Meth[[#This Row],[ignored_rank]],help_zuord_Var_Meth[],2)</f>
        <v>186</v>
      </c>
      <c r="B699">
        <v>640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9">
        <f ca="1">RAND()</f>
        <v>9.0524583759368782E-2</v>
      </c>
      <c r="E699">
        <f ca="1">RANK(dict_zul_Var_Meth[[#This Row],[ignored_rand]],dict_zul_Var_Meth[ignored_rand])</f>
        <v>698</v>
      </c>
    </row>
    <row r="700" spans="1:5" x14ac:dyDescent="0.45">
      <c r="A700">
        <f ca="1">VLOOKUP(dict_zul_Var_Meth[[#This Row],[ignored_rank]],help_zuord_Var_Meth[],2)</f>
        <v>186</v>
      </c>
      <c r="B700">
        <v>650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0">
        <f ca="1">RAND()</f>
        <v>8.7042809482650974E-2</v>
      </c>
      <c r="E700">
        <f ca="1">RANK(dict_zul_Var_Meth[[#This Row],[ignored_rand]],dict_zul_Var_Meth[ignored_rand])</f>
        <v>699</v>
      </c>
    </row>
    <row r="701" spans="1:5" x14ac:dyDescent="0.45">
      <c r="A701">
        <f ca="1">VLOOKUP(dict_zul_Var_Meth[[#This Row],[ignored_rank]],help_zuord_Var_Meth[],2)</f>
        <v>187</v>
      </c>
      <c r="B701">
        <v>11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1">
        <f ca="1">RAND()</f>
        <v>8.5426360445154503E-2</v>
      </c>
      <c r="E701">
        <f ca="1">RANK(dict_zul_Var_Meth[[#This Row],[ignored_rand]],dict_zul_Var_Meth[ignored_rand])</f>
        <v>701</v>
      </c>
    </row>
    <row r="702" spans="1:5" x14ac:dyDescent="0.45">
      <c r="A702">
        <f ca="1">VLOOKUP(dict_zul_Var_Meth[[#This Row],[ignored_rank]],help_zuord_Var_Meth[],2)</f>
        <v>187</v>
      </c>
      <c r="B702">
        <v>55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2">
        <f ca="1">RAND()</f>
        <v>8.661495148397047E-2</v>
      </c>
      <c r="E702">
        <f ca="1">RANK(dict_zul_Var_Meth[[#This Row],[ignored_rand]],dict_zul_Var_Meth[ignored_rand])</f>
        <v>700</v>
      </c>
    </row>
    <row r="703" spans="1:5" x14ac:dyDescent="0.45">
      <c r="A703">
        <f ca="1">VLOOKUP(dict_zul_Var_Meth[[#This Row],[ignored_rank]],help_zuord_Var_Meth[],2)</f>
        <v>187</v>
      </c>
      <c r="B703">
        <v>104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3">
        <f ca="1">RAND()</f>
        <v>8.524693303582398E-2</v>
      </c>
      <c r="E703">
        <f ca="1">RANK(dict_zul_Var_Meth[[#This Row],[ignored_rand]],dict_zul_Var_Meth[ignored_rand])</f>
        <v>702</v>
      </c>
    </row>
    <row r="704" spans="1:5" x14ac:dyDescent="0.45">
      <c r="A704">
        <f ca="1">VLOOKUP(dict_zul_Var_Meth[[#This Row],[ignored_rank]],help_zuord_Var_Meth[],2)</f>
        <v>188</v>
      </c>
      <c r="B704">
        <v>199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4">
        <f ca="1">RAND()</f>
        <v>8.2750388313881595E-2</v>
      </c>
      <c r="E704">
        <f ca="1">RANK(dict_zul_Var_Meth[[#This Row],[ignored_rand]],dict_zul_Var_Meth[ignored_rand])</f>
        <v>704</v>
      </c>
    </row>
    <row r="705" spans="1:5" x14ac:dyDescent="0.45">
      <c r="A705">
        <f ca="1">VLOOKUP(dict_zul_Var_Meth[[#This Row],[ignored_rank]],help_zuord_Var_Meth[],2)</f>
        <v>188</v>
      </c>
      <c r="B705">
        <v>203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5">
        <f ca="1">RAND()</f>
        <v>7.976957032039278E-2</v>
      </c>
      <c r="E705">
        <f ca="1">RANK(dict_zul_Var_Meth[[#This Row],[ignored_rand]],dict_zul_Var_Meth[ignored_rand])</f>
        <v>706</v>
      </c>
    </row>
    <row r="706" spans="1:5" x14ac:dyDescent="0.45">
      <c r="A706">
        <f ca="1">VLOOKUP(dict_zul_Var_Meth[[#This Row],[ignored_rank]],help_zuord_Var_Meth[],2)</f>
        <v>188</v>
      </c>
      <c r="B706">
        <v>394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6">
        <f ca="1">RAND()</f>
        <v>8.4697672594451268E-2</v>
      </c>
      <c r="E706">
        <f ca="1">RANK(dict_zul_Var_Meth[[#This Row],[ignored_rand]],dict_zul_Var_Meth[ignored_rand])</f>
        <v>703</v>
      </c>
    </row>
    <row r="707" spans="1:5" x14ac:dyDescent="0.45">
      <c r="A707">
        <f ca="1">VLOOKUP(dict_zul_Var_Meth[[#This Row],[ignored_rank]],help_zuord_Var_Meth[],2)</f>
        <v>188</v>
      </c>
      <c r="B707">
        <v>591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7">
        <f ca="1">RAND()</f>
        <v>8.1455553864409835E-2</v>
      </c>
      <c r="E707">
        <f ca="1">RANK(dict_zul_Var_Meth[[#This Row],[ignored_rand]],dict_zul_Var_Meth[ignored_rand])</f>
        <v>705</v>
      </c>
    </row>
    <row r="708" spans="1:5" x14ac:dyDescent="0.45">
      <c r="A708">
        <f ca="1">VLOOKUP(dict_zul_Var_Meth[[#This Row],[ignored_rank]],help_zuord_Var_Meth[],2)</f>
        <v>189</v>
      </c>
      <c r="B708">
        <v>147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8">
        <f ca="1">RAND()</f>
        <v>7.5237647476342984E-2</v>
      </c>
      <c r="E708">
        <f ca="1">RANK(dict_zul_Var_Meth[[#This Row],[ignored_rand]],dict_zul_Var_Meth[ignored_rand])</f>
        <v>711</v>
      </c>
    </row>
    <row r="709" spans="1:5" x14ac:dyDescent="0.45">
      <c r="A709">
        <f ca="1">VLOOKUP(dict_zul_Var_Meth[[#This Row],[ignored_rank]],help_zuord_Var_Meth[],2)</f>
        <v>189</v>
      </c>
      <c r="B709">
        <v>150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9">
        <f ca="1">RAND()</f>
        <v>7.5480987025267732E-2</v>
      </c>
      <c r="E709">
        <f ca="1">RANK(dict_zul_Var_Meth[[#This Row],[ignored_rand]],dict_zul_Var_Meth[ignored_rand])</f>
        <v>710</v>
      </c>
    </row>
    <row r="710" spans="1:5" x14ac:dyDescent="0.45">
      <c r="A710">
        <f ca="1">VLOOKUP(dict_zul_Var_Meth[[#This Row],[ignored_rank]],help_zuord_Var_Meth[],2)</f>
        <v>189</v>
      </c>
      <c r="B710">
        <v>268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0">
        <f ca="1">RAND()</f>
        <v>7.6091407730494942E-2</v>
      </c>
      <c r="E710">
        <f ca="1">RANK(dict_zul_Var_Meth[[#This Row],[ignored_rand]],dict_zul_Var_Meth[ignored_rand])</f>
        <v>708</v>
      </c>
    </row>
    <row r="711" spans="1:5" x14ac:dyDescent="0.45">
      <c r="A711">
        <f ca="1">VLOOKUP(dict_zul_Var_Meth[[#This Row],[ignored_rank]],help_zuord_Var_Meth[],2)</f>
        <v>189</v>
      </c>
      <c r="B711">
        <v>431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1">
        <f ca="1">RAND()</f>
        <v>7.6924182975378508E-2</v>
      </c>
      <c r="E711">
        <f ca="1">RANK(dict_zul_Var_Meth[[#This Row],[ignored_rand]],dict_zul_Var_Meth[ignored_rand])</f>
        <v>707</v>
      </c>
    </row>
    <row r="712" spans="1:5" x14ac:dyDescent="0.45">
      <c r="A712">
        <f ca="1">VLOOKUP(dict_zul_Var_Meth[[#This Row],[ignored_rank]],help_zuord_Var_Meth[],2)</f>
        <v>189</v>
      </c>
      <c r="B712">
        <v>444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2">
        <f ca="1">RAND()</f>
        <v>7.6062592531181195E-2</v>
      </c>
      <c r="E712">
        <f ca="1">RANK(dict_zul_Var_Meth[[#This Row],[ignored_rand]],dict_zul_Var_Meth[ignored_rand])</f>
        <v>709</v>
      </c>
    </row>
    <row r="713" spans="1:5" x14ac:dyDescent="0.45">
      <c r="A713" s="3">
        <f ca="1">VLOOKUP(dict_zul_Var_Meth[[#This Row],[ignored_rank]],help_zuord_Var_Meth[],2)</f>
        <v>190</v>
      </c>
      <c r="B713">
        <v>41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3">
        <f ca="1">RAND()</f>
        <v>7.4043415478711738E-2</v>
      </c>
      <c r="E713" s="3">
        <f ca="1">RANK(dict_zul_Var_Meth[[#This Row],[ignored_rand]],dict_zul_Var_Meth[ignored_rand])</f>
        <v>714</v>
      </c>
    </row>
    <row r="714" spans="1:5" x14ac:dyDescent="0.45">
      <c r="A714">
        <f ca="1">VLOOKUP(dict_zul_Var_Meth[[#This Row],[ignored_rank]],help_zuord_Var_Meth[],2)</f>
        <v>190</v>
      </c>
      <c r="B714">
        <v>136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4">
        <f ca="1">RAND()</f>
        <v>7.5041308713162613E-2</v>
      </c>
      <c r="E714">
        <f ca="1">RANK(dict_zul_Var_Meth[[#This Row],[ignored_rand]],dict_zul_Var_Meth[ignored_rand])</f>
        <v>712</v>
      </c>
    </row>
    <row r="715" spans="1:5" x14ac:dyDescent="0.45">
      <c r="A715">
        <f ca="1">VLOOKUP(dict_zul_Var_Meth[[#This Row],[ignored_rank]],help_zuord_Var_Meth[],2)</f>
        <v>190</v>
      </c>
      <c r="B715">
        <v>303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5">
        <f ca="1">RAND()</f>
        <v>7.4400285780149011E-2</v>
      </c>
      <c r="E715">
        <f ca="1">RANK(dict_zul_Var_Meth[[#This Row],[ignored_rand]],dict_zul_Var_Meth[ignored_rand])</f>
        <v>713</v>
      </c>
    </row>
    <row r="716" spans="1:5" x14ac:dyDescent="0.45">
      <c r="A716">
        <f ca="1">VLOOKUP(dict_zul_Var_Meth[[#This Row],[ignored_rank]],help_zuord_Var_Meth[],2)</f>
        <v>190</v>
      </c>
      <c r="B716">
        <v>595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6">
        <f ca="1">RAND()</f>
        <v>7.4031810169528089E-2</v>
      </c>
      <c r="E716">
        <f ca="1">RANK(dict_zul_Var_Meth[[#This Row],[ignored_rand]],dict_zul_Var_Meth[ignored_rand])</f>
        <v>715</v>
      </c>
    </row>
    <row r="717" spans="1:5" x14ac:dyDescent="0.45">
      <c r="A717">
        <f ca="1">VLOOKUP(dict_zul_Var_Meth[[#This Row],[ignored_rank]],help_zuord_Var_Meth[],2)</f>
        <v>191</v>
      </c>
      <c r="B717">
        <v>201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7">
        <f ca="1">RAND()</f>
        <v>6.9708560460186919E-2</v>
      </c>
      <c r="E717">
        <f ca="1">RANK(dict_zul_Var_Meth[[#This Row],[ignored_rand]],dict_zul_Var_Meth[ignored_rand])</f>
        <v>717</v>
      </c>
    </row>
    <row r="718" spans="1:5" x14ac:dyDescent="0.45">
      <c r="A718">
        <f ca="1">VLOOKUP(dict_zul_Var_Meth[[#This Row],[ignored_rank]],help_zuord_Var_Meth[],2)</f>
        <v>191</v>
      </c>
      <c r="B718">
        <v>531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8">
        <f ca="1">RAND()</f>
        <v>7.1807244698932071E-2</v>
      </c>
      <c r="E718">
        <f ca="1">RANK(dict_zul_Var_Meth[[#This Row],[ignored_rand]],dict_zul_Var_Meth[ignored_rand])</f>
        <v>716</v>
      </c>
    </row>
    <row r="719" spans="1:5" x14ac:dyDescent="0.45">
      <c r="A719">
        <f ca="1">VLOOKUP(dict_zul_Var_Meth[[#This Row],[ignored_rank]],help_zuord_Var_Meth[],2)</f>
        <v>192</v>
      </c>
      <c r="B719">
        <v>81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9">
        <f ca="1">RAND()</f>
        <v>6.4741500959052067E-2</v>
      </c>
      <c r="E719">
        <f ca="1">RANK(dict_zul_Var_Meth[[#This Row],[ignored_rand]],dict_zul_Var_Meth[ignored_rand])</f>
        <v>720</v>
      </c>
    </row>
    <row r="720" spans="1:5" x14ac:dyDescent="0.45">
      <c r="A720">
        <f ca="1">VLOOKUP(dict_zul_Var_Meth[[#This Row],[ignored_rank]],help_zuord_Var_Meth[],2)</f>
        <v>192</v>
      </c>
      <c r="B720">
        <v>196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0">
        <f ca="1">RAND()</f>
        <v>6.5439427594916832E-2</v>
      </c>
      <c r="E720">
        <f ca="1">RANK(dict_zul_Var_Meth[[#This Row],[ignored_rand]],dict_zul_Var_Meth[ignored_rand])</f>
        <v>719</v>
      </c>
    </row>
    <row r="721" spans="1:5" x14ac:dyDescent="0.45">
      <c r="A721" s="3">
        <f ca="1">VLOOKUP(dict_zul_Var_Meth[[#This Row],[ignored_rank]],help_zuord_Var_Meth[],2)</f>
        <v>192</v>
      </c>
      <c r="B721">
        <v>369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1">
        <f ca="1">RAND()</f>
        <v>6.6694762985853084E-2</v>
      </c>
      <c r="E721" s="3">
        <f ca="1">RANK(dict_zul_Var_Meth[[#This Row],[ignored_rand]],dict_zul_Var_Meth[ignored_rand])</f>
        <v>718</v>
      </c>
    </row>
    <row r="722" spans="1:5" x14ac:dyDescent="0.45">
      <c r="A722">
        <f ca="1">VLOOKUP(dict_zul_Var_Meth[[#This Row],[ignored_rank]],help_zuord_Var_Meth[],2)</f>
        <v>193</v>
      </c>
      <c r="B722">
        <v>351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2">
        <f ca="1">RAND()</f>
        <v>6.3708620313648656E-2</v>
      </c>
      <c r="E722">
        <f ca="1">RANK(dict_zul_Var_Meth[[#This Row],[ignored_rand]],dict_zul_Var_Meth[ignored_rand])</f>
        <v>722</v>
      </c>
    </row>
    <row r="723" spans="1:5" x14ac:dyDescent="0.45">
      <c r="A723">
        <f ca="1">VLOOKUP(dict_zul_Var_Meth[[#This Row],[ignored_rank]],help_zuord_Var_Meth[],2)</f>
        <v>193</v>
      </c>
      <c r="B723">
        <v>390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3">
        <f ca="1">RAND()</f>
        <v>5.1425968847763626E-2</v>
      </c>
      <c r="E723">
        <f ca="1">RANK(dict_zul_Var_Meth[[#This Row],[ignored_rand]],dict_zul_Var_Meth[ignored_rand])</f>
        <v>725</v>
      </c>
    </row>
    <row r="724" spans="1:5" x14ac:dyDescent="0.45">
      <c r="A724">
        <f ca="1">VLOOKUP(dict_zul_Var_Meth[[#This Row],[ignored_rank]],help_zuord_Var_Meth[],2)</f>
        <v>193</v>
      </c>
      <c r="B724">
        <v>405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4">
        <f ca="1">RAND()</f>
        <v>6.4719643675574146E-2</v>
      </c>
      <c r="E724">
        <f ca="1">RANK(dict_zul_Var_Meth[[#This Row],[ignored_rand]],dict_zul_Var_Meth[ignored_rand])</f>
        <v>721</v>
      </c>
    </row>
    <row r="725" spans="1:5" x14ac:dyDescent="0.45">
      <c r="A725">
        <f ca="1">VLOOKUP(dict_zul_Var_Meth[[#This Row],[ignored_rank]],help_zuord_Var_Meth[],2)</f>
        <v>193</v>
      </c>
      <c r="B725">
        <v>618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5">
        <f ca="1">RAND()</f>
        <v>5.3714570365068992E-2</v>
      </c>
      <c r="E725">
        <f ca="1">RANK(dict_zul_Var_Meth[[#This Row],[ignored_rand]],dict_zul_Var_Meth[ignored_rand])</f>
        <v>724</v>
      </c>
    </row>
    <row r="726" spans="1:5" x14ac:dyDescent="0.45">
      <c r="A726">
        <f ca="1">VLOOKUP(dict_zul_Var_Meth[[#This Row],[ignored_rank]],help_zuord_Var_Meth[],2)</f>
        <v>193</v>
      </c>
      <c r="B726">
        <v>655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6">
        <f ca="1">RAND()</f>
        <v>5.7104963217787907E-2</v>
      </c>
      <c r="E726">
        <f ca="1">RANK(dict_zul_Var_Meth[[#This Row],[ignored_rand]],dict_zul_Var_Meth[ignored_rand])</f>
        <v>723</v>
      </c>
    </row>
    <row r="727" spans="1:5" x14ac:dyDescent="0.45">
      <c r="A727">
        <f ca="1">VLOOKUP(dict_zul_Var_Meth[[#This Row],[ignored_rank]],help_zuord_Var_Meth[],2)</f>
        <v>194</v>
      </c>
      <c r="B727">
        <v>32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7">
        <f ca="1">RAND()</f>
        <v>4.9534880651051938E-2</v>
      </c>
      <c r="E727">
        <f ca="1">RANK(dict_zul_Var_Meth[[#This Row],[ignored_rand]],dict_zul_Var_Meth[ignored_rand])</f>
        <v>727</v>
      </c>
    </row>
    <row r="728" spans="1:5" x14ac:dyDescent="0.45">
      <c r="A728">
        <f ca="1">VLOOKUP(dict_zul_Var_Meth[[#This Row],[ignored_rank]],help_zuord_Var_Meth[],2)</f>
        <v>194</v>
      </c>
      <c r="B728">
        <v>35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8">
        <f ca="1">RAND()</f>
        <v>5.1386669839833421E-2</v>
      </c>
      <c r="E728">
        <f ca="1">RANK(dict_zul_Var_Meth[[#This Row],[ignored_rand]],dict_zul_Var_Meth[ignored_rand])</f>
        <v>726</v>
      </c>
    </row>
    <row r="729" spans="1:5" x14ac:dyDescent="0.45">
      <c r="A729">
        <f ca="1">VLOOKUP(dict_zul_Var_Meth[[#This Row],[ignored_rank]],help_zuord_Var_Meth[],2)</f>
        <v>194</v>
      </c>
      <c r="B729">
        <v>402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9">
        <f ca="1">RAND()</f>
        <v>4.5009333734654433E-2</v>
      </c>
      <c r="E729">
        <f ca="1">RANK(dict_zul_Var_Meth[[#This Row],[ignored_rand]],dict_zul_Var_Meth[ignored_rand])</f>
        <v>728</v>
      </c>
    </row>
    <row r="730" spans="1:5" x14ac:dyDescent="0.45">
      <c r="A730">
        <f ca="1">VLOOKUP(dict_zul_Var_Meth[[#This Row],[ignored_rank]],help_zuord_Var_Meth[],2)</f>
        <v>194</v>
      </c>
      <c r="B730">
        <v>512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0">
        <f ca="1">RAND()</f>
        <v>4.406731931543395E-2</v>
      </c>
      <c r="E730">
        <f ca="1">RANK(dict_zul_Var_Meth[[#This Row],[ignored_rand]],dict_zul_Var_Meth[ignored_rand])</f>
        <v>729</v>
      </c>
    </row>
    <row r="731" spans="1:5" x14ac:dyDescent="0.45">
      <c r="A731">
        <f ca="1">VLOOKUP(dict_zul_Var_Meth[[#This Row],[ignored_rank]],help_zuord_Var_Meth[],2)</f>
        <v>195</v>
      </c>
      <c r="B731">
        <v>103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1">
        <f ca="1">RAND()</f>
        <v>3.6675555087746559E-2</v>
      </c>
      <c r="E731">
        <f ca="1">RANK(dict_zul_Var_Meth[[#This Row],[ignored_rand]],dict_zul_Var_Meth[ignored_rand])</f>
        <v>731</v>
      </c>
    </row>
    <row r="732" spans="1:5" x14ac:dyDescent="0.45">
      <c r="A732" s="3">
        <f ca="1">VLOOKUP(dict_zul_Var_Meth[[#This Row],[ignored_rank]],help_zuord_Var_Meth[],2)</f>
        <v>195</v>
      </c>
      <c r="B732">
        <v>162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2">
        <f ca="1">RAND()</f>
        <v>3.9302925461287108E-2</v>
      </c>
      <c r="E732" s="3">
        <f ca="1">RANK(dict_zul_Var_Meth[[#This Row],[ignored_rand]],dict_zul_Var_Meth[ignored_rand])</f>
        <v>730</v>
      </c>
    </row>
    <row r="733" spans="1:5" x14ac:dyDescent="0.45">
      <c r="A733">
        <f ca="1">VLOOKUP(dict_zul_Var_Meth[[#This Row],[ignored_rank]],help_zuord_Var_Meth[],2)</f>
        <v>195</v>
      </c>
      <c r="B733">
        <v>414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3">
        <f ca="1">RAND()</f>
        <v>3.6217812751521916E-2</v>
      </c>
      <c r="E733">
        <f ca="1">RANK(dict_zul_Var_Meth[[#This Row],[ignored_rand]],dict_zul_Var_Meth[ignored_rand])</f>
        <v>732</v>
      </c>
    </row>
    <row r="734" spans="1:5" x14ac:dyDescent="0.45">
      <c r="A734">
        <f ca="1">VLOOKUP(dict_zul_Var_Meth[[#This Row],[ignored_rank]],help_zuord_Var_Meth[],2)</f>
        <v>195</v>
      </c>
      <c r="B734">
        <v>576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4">
        <f ca="1">RAND()</f>
        <v>3.5934194771854888E-2</v>
      </c>
      <c r="E734">
        <f ca="1">RANK(dict_zul_Var_Meth[[#This Row],[ignored_rand]],dict_zul_Var_Meth[ignored_rand])</f>
        <v>733</v>
      </c>
    </row>
    <row r="735" spans="1:5" x14ac:dyDescent="0.45">
      <c r="A735">
        <f ca="1">VLOOKUP(dict_zul_Var_Meth[[#This Row],[ignored_rank]],help_zuord_Var_Meth[],2)</f>
        <v>196</v>
      </c>
      <c r="B735">
        <v>76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5">
        <f ca="1">RAND()</f>
        <v>3.2018356589236574E-2</v>
      </c>
      <c r="E735">
        <f ca="1">RANK(dict_zul_Var_Meth[[#This Row],[ignored_rand]],dict_zul_Var_Meth[ignored_rand])</f>
        <v>735</v>
      </c>
    </row>
    <row r="736" spans="1:5" x14ac:dyDescent="0.45">
      <c r="A736">
        <f ca="1">VLOOKUP(dict_zul_Var_Meth[[#This Row],[ignored_rank]],help_zuord_Var_Meth[],2)</f>
        <v>196</v>
      </c>
      <c r="B736">
        <v>126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6">
        <f ca="1">RAND()</f>
        <v>2.9157194768915873E-2</v>
      </c>
      <c r="E736">
        <f ca="1">RANK(dict_zul_Var_Meth[[#This Row],[ignored_rand]],dict_zul_Var_Meth[ignored_rand])</f>
        <v>736</v>
      </c>
    </row>
    <row r="737" spans="1:5" x14ac:dyDescent="0.45">
      <c r="A737">
        <f ca="1">VLOOKUP(dict_zul_Var_Meth[[#This Row],[ignored_rank]],help_zuord_Var_Meth[],2)</f>
        <v>196</v>
      </c>
      <c r="B737">
        <v>638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7">
        <f ca="1">RAND()</f>
        <v>3.2104653334026567E-2</v>
      </c>
      <c r="E737">
        <f ca="1">RANK(dict_zul_Var_Meth[[#This Row],[ignored_rand]],dict_zul_Var_Meth[ignored_rand])</f>
        <v>734</v>
      </c>
    </row>
    <row r="738" spans="1:5" x14ac:dyDescent="0.45">
      <c r="A738">
        <f ca="1">VLOOKUP(dict_zul_Var_Meth[[#This Row],[ignored_rank]],help_zuord_Var_Meth[],2)</f>
        <v>197</v>
      </c>
      <c r="B738">
        <v>54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8">
        <f ca="1">RAND()</f>
        <v>2.8535871754868714E-2</v>
      </c>
      <c r="E738">
        <f ca="1">RANK(dict_zul_Var_Meth[[#This Row],[ignored_rand]],dict_zul_Var_Meth[ignored_rand])</f>
        <v>737</v>
      </c>
    </row>
    <row r="739" spans="1:5" x14ac:dyDescent="0.45">
      <c r="A739">
        <f ca="1">VLOOKUP(dict_zul_Var_Meth[[#This Row],[ignored_rank]],help_zuord_Var_Meth[],2)</f>
        <v>197</v>
      </c>
      <c r="B739">
        <v>158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9">
        <f ca="1">RAND()</f>
        <v>2.7550707560889398E-2</v>
      </c>
      <c r="E739">
        <f ca="1">RANK(dict_zul_Var_Meth[[#This Row],[ignored_rand]],dict_zul_Var_Meth[ignored_rand])</f>
        <v>740</v>
      </c>
    </row>
    <row r="740" spans="1:5" x14ac:dyDescent="0.45">
      <c r="A740">
        <f ca="1">VLOOKUP(dict_zul_Var_Meth[[#This Row],[ignored_rank]],help_zuord_Var_Meth[],2)</f>
        <v>197</v>
      </c>
      <c r="B740">
        <v>441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0">
        <f ca="1">RAND()</f>
        <v>2.8489587769552016E-2</v>
      </c>
      <c r="E740">
        <f ca="1">RANK(dict_zul_Var_Meth[[#This Row],[ignored_rand]],dict_zul_Var_Meth[ignored_rand])</f>
        <v>738</v>
      </c>
    </row>
    <row r="741" spans="1:5" x14ac:dyDescent="0.45">
      <c r="A741" s="3">
        <f ca="1">VLOOKUP(dict_zul_Var_Meth[[#This Row],[ignored_rank]],help_zuord_Var_Meth[],2)</f>
        <v>197</v>
      </c>
      <c r="B741">
        <v>534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1">
        <f ca="1">RAND()</f>
        <v>2.8372523602563704E-2</v>
      </c>
      <c r="E741" s="3">
        <f ca="1">RANK(dict_zul_Var_Meth[[#This Row],[ignored_rand]],dict_zul_Var_Meth[ignored_rand])</f>
        <v>739</v>
      </c>
    </row>
    <row r="742" spans="1:5" x14ac:dyDescent="0.45">
      <c r="A742">
        <f ca="1">VLOOKUP(dict_zul_Var_Meth[[#This Row],[ignored_rank]],help_zuord_Var_Meth[],2)</f>
        <v>197</v>
      </c>
      <c r="B742">
        <v>659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2">
        <f ca="1">RAND()</f>
        <v>2.7498929465325617E-2</v>
      </c>
      <c r="E742">
        <f ca="1">RANK(dict_zul_Var_Meth[[#This Row],[ignored_rand]],dict_zul_Var_Meth[ignored_rand])</f>
        <v>741</v>
      </c>
    </row>
    <row r="743" spans="1:5" x14ac:dyDescent="0.45">
      <c r="A743">
        <f ca="1">VLOOKUP(dict_zul_Var_Meth[[#This Row],[ignored_rank]],help_zuord_Var_Meth[],2)</f>
        <v>198</v>
      </c>
      <c r="B743">
        <v>41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3">
        <f ca="1">RAND()</f>
        <v>2.6813170342330883E-2</v>
      </c>
      <c r="E743">
        <f ca="1">RANK(dict_zul_Var_Meth[[#This Row],[ignored_rand]],dict_zul_Var_Meth[ignored_rand])</f>
        <v>743</v>
      </c>
    </row>
    <row r="744" spans="1:5" x14ac:dyDescent="0.45">
      <c r="A744">
        <f ca="1">VLOOKUP(dict_zul_Var_Meth[[#This Row],[ignored_rank]],help_zuord_Var_Meth[],2)</f>
        <v>198</v>
      </c>
      <c r="B744">
        <v>540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4">
        <f ca="1">RAND()</f>
        <v>2.6837376867010487E-2</v>
      </c>
      <c r="E744">
        <f ca="1">RANK(dict_zul_Var_Meth[[#This Row],[ignored_rand]],dict_zul_Var_Meth[ignored_rand])</f>
        <v>742</v>
      </c>
    </row>
    <row r="745" spans="1:5" x14ac:dyDescent="0.45">
      <c r="A745">
        <f ca="1">VLOOKUP(dict_zul_Var_Meth[[#This Row],[ignored_rank]],help_zuord_Var_Meth[],2)</f>
        <v>199</v>
      </c>
      <c r="B745">
        <v>263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5">
        <f ca="1">RAND()</f>
        <v>1.6015997148162042E-2</v>
      </c>
      <c r="E745">
        <f ca="1">RANK(dict_zul_Var_Meth[[#This Row],[ignored_rand]],dict_zul_Var_Meth[ignored_rand])</f>
        <v>747</v>
      </c>
    </row>
    <row r="746" spans="1:5" x14ac:dyDescent="0.45">
      <c r="A746">
        <f ca="1">VLOOKUP(dict_zul_Var_Meth[[#This Row],[ignored_rank]],help_zuord_Var_Meth[],2)</f>
        <v>199</v>
      </c>
      <c r="B746">
        <v>352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6">
        <f ca="1">RAND()</f>
        <v>1.8609005453531946E-2</v>
      </c>
      <c r="E746">
        <f ca="1">RANK(dict_zul_Var_Meth[[#This Row],[ignored_rand]],dict_zul_Var_Meth[ignored_rand])</f>
        <v>744</v>
      </c>
    </row>
    <row r="747" spans="1:5" x14ac:dyDescent="0.45">
      <c r="A747">
        <f ca="1">VLOOKUP(dict_zul_Var_Meth[[#This Row],[ignored_rank]],help_zuord_Var_Meth[],2)</f>
        <v>199</v>
      </c>
      <c r="B747">
        <v>357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7">
        <f ca="1">RAND()</f>
        <v>1.694267208813538E-2</v>
      </c>
      <c r="E747">
        <f ca="1">RANK(dict_zul_Var_Meth[[#This Row],[ignored_rand]],dict_zul_Var_Meth[ignored_rand])</f>
        <v>745</v>
      </c>
    </row>
    <row r="748" spans="1:5" x14ac:dyDescent="0.45">
      <c r="A748" s="3">
        <f ca="1">VLOOKUP(dict_zul_Var_Meth[[#This Row],[ignored_rank]],help_zuord_Var_Meth[],2)</f>
        <v>199</v>
      </c>
      <c r="B748">
        <v>375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ca="1">RAND()</f>
        <v>1.6056677228407201E-2</v>
      </c>
      <c r="E748" s="3">
        <f ca="1">RANK(dict_zul_Var_Meth[[#This Row],[ignored_rand]],dict_zul_Var_Meth[ignored_rand])</f>
        <v>746</v>
      </c>
    </row>
    <row r="749" spans="1:5" x14ac:dyDescent="0.45">
      <c r="A749">
        <f ca="1">VLOOKUP(dict_zul_Var_Meth[[#This Row],[ignored_rank]],help_zuord_Var_Meth[],2)</f>
        <v>200</v>
      </c>
      <c r="B749">
        <v>12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ca="1">RAND()</f>
        <v>7.8221253378709665E-3</v>
      </c>
      <c r="E749">
        <f ca="1">RANK(dict_zul_Var_Meth[[#This Row],[ignored_rand]],dict_zul_Var_Meth[ignored_rand])</f>
        <v>753</v>
      </c>
    </row>
    <row r="750" spans="1:5" x14ac:dyDescent="0.45">
      <c r="A750">
        <f ca="1">VLOOKUP(dict_zul_Var_Meth[[#This Row],[ignored_rank]],help_zuord_Var_Meth[],2)</f>
        <v>200</v>
      </c>
      <c r="B750">
        <v>99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ca="1">RAND()</f>
        <v>2.7816193202917505E-3</v>
      </c>
      <c r="E750">
        <f ca="1">RANK(dict_zul_Var_Meth[[#This Row],[ignored_rand]],dict_zul_Var_Meth[ignored_rand])</f>
        <v>758</v>
      </c>
    </row>
    <row r="751" spans="1:5" x14ac:dyDescent="0.45">
      <c r="A751">
        <f ca="1">VLOOKUP(dict_zul_Var_Meth[[#This Row],[ignored_rank]],help_zuord_Var_Meth[],2)</f>
        <v>200</v>
      </c>
      <c r="B751">
        <v>120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ca="1">RAND()</f>
        <v>1.1797089320840448E-2</v>
      </c>
      <c r="E751">
        <f ca="1">RANK(dict_zul_Var_Meth[[#This Row],[ignored_rand]],dict_zul_Var_Meth[ignored_rand])</f>
        <v>750</v>
      </c>
    </row>
    <row r="752" spans="1:5" x14ac:dyDescent="0.45">
      <c r="A752">
        <f ca="1">VLOOKUP(dict_zul_Var_Meth[[#This Row],[ignored_rank]],help_zuord_Var_Meth[],2)</f>
        <v>200</v>
      </c>
      <c r="B752">
        <v>218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ca="1">RAND()</f>
        <v>4.69962665690693E-3</v>
      </c>
      <c r="E752">
        <f ca="1">RANK(dict_zul_Var_Meth[[#This Row],[ignored_rand]],dict_zul_Var_Meth[ignored_rand])</f>
        <v>757</v>
      </c>
    </row>
    <row r="753" spans="1:5" x14ac:dyDescent="0.45">
      <c r="A753" s="3">
        <f ca="1">VLOOKUP(dict_zul_Var_Meth[[#This Row],[ignored_rank]],help_zuord_Var_Meth[],2)</f>
        <v>200</v>
      </c>
      <c r="B753">
        <v>236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ca="1">RAND()</f>
        <v>4.9773922626393796E-3</v>
      </c>
      <c r="E753" s="3">
        <f ca="1">RANK(dict_zul_Var_Meth[[#This Row],[ignored_rand]],dict_zul_Var_Meth[ignored_rand])</f>
        <v>755</v>
      </c>
    </row>
    <row r="754" spans="1:5" x14ac:dyDescent="0.45">
      <c r="A754">
        <f ca="1">VLOOKUP(dict_zul_Var_Meth[[#This Row],[ignored_rank]],help_zuord_Var_Meth[],2)</f>
        <v>200</v>
      </c>
      <c r="B754">
        <v>318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ca="1">RAND()</f>
        <v>1.3713030512361835E-2</v>
      </c>
      <c r="E754">
        <f ca="1">RANK(dict_zul_Var_Meth[[#This Row],[ignored_rand]],dict_zul_Var_Meth[ignored_rand])</f>
        <v>749</v>
      </c>
    </row>
    <row r="755" spans="1:5" x14ac:dyDescent="0.45">
      <c r="A755">
        <f ca="1">VLOOKUP(dict_zul_Var_Meth[[#This Row],[ignored_rank]],help_zuord_Var_Meth[],2)</f>
        <v>200</v>
      </c>
      <c r="B755">
        <v>338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ca="1">RAND()</f>
        <v>7.8621110969090413E-3</v>
      </c>
      <c r="E755">
        <f ca="1">RANK(dict_zul_Var_Meth[[#This Row],[ignored_rand]],dict_zul_Var_Meth[ignored_rand])</f>
        <v>752</v>
      </c>
    </row>
    <row r="756" spans="1:5" x14ac:dyDescent="0.45">
      <c r="A756">
        <f ca="1">VLOOKUP(dict_zul_Var_Meth[[#This Row],[ignored_rank]],help_zuord_Var_Meth[],2)</f>
        <v>200</v>
      </c>
      <c r="B756">
        <v>395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ca="1">RAND()</f>
        <v>1.5972156948297345E-2</v>
      </c>
      <c r="E756">
        <f ca="1">RANK(dict_zul_Var_Meth[[#This Row],[ignored_rand]],dict_zul_Var_Meth[ignored_rand])</f>
        <v>748</v>
      </c>
    </row>
    <row r="757" spans="1:5" x14ac:dyDescent="0.45">
      <c r="A757">
        <f ca="1">VLOOKUP(dict_zul_Var_Meth[[#This Row],[ignored_rank]],help_zuord_Var_Meth[],2)</f>
        <v>200</v>
      </c>
      <c r="B757">
        <v>485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7">
        <f ca="1">RAND()</f>
        <v>2.5289831331600787E-3</v>
      </c>
      <c r="E757">
        <f ca="1">RANK(dict_zul_Var_Meth[[#This Row],[ignored_rand]],dict_zul_Var_Meth[ignored_rand])</f>
        <v>759</v>
      </c>
    </row>
    <row r="758" spans="1:5" x14ac:dyDescent="0.45">
      <c r="A758">
        <f ca="1">VLOOKUP(dict_zul_Var_Meth[[#This Row],[ignored_rank]],help_zuord_Var_Meth[],2)</f>
        <v>200</v>
      </c>
      <c r="B758">
        <v>510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ca="1">RAND()</f>
        <v>4.9012628551405868E-3</v>
      </c>
      <c r="E758">
        <f ca="1">RANK(dict_zul_Var_Meth[[#This Row],[ignored_rand]],dict_zul_Var_Meth[ignored_rand])</f>
        <v>756</v>
      </c>
    </row>
    <row r="759" spans="1:5" x14ac:dyDescent="0.45">
      <c r="A759">
        <f ca="1">VLOOKUP(dict_zul_Var_Meth[[#This Row],[ignored_rank]],help_zuord_Var_Meth[],2)</f>
        <v>200</v>
      </c>
      <c r="B759">
        <v>527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ca="1">RAND()</f>
        <v>8.1699663493799424E-3</v>
      </c>
      <c r="E759">
        <f ca="1">RANK(dict_zul_Var_Meth[[#This Row],[ignored_rand]],dict_zul_Var_Meth[ignored_rand])</f>
        <v>751</v>
      </c>
    </row>
    <row r="760" spans="1:5" x14ac:dyDescent="0.45">
      <c r="A760">
        <f ca="1">VLOOKUP(dict_zul_Var_Meth[[#This Row],[ignored_rank]],help_zuord_Var_Meth[],2)</f>
        <v>200</v>
      </c>
      <c r="B760">
        <v>651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ca="1">RAND()</f>
        <v>2.1312252090248673E-3</v>
      </c>
      <c r="E760">
        <f ca="1">RANK(dict_zul_Var_Meth[[#This Row],[ignored_rand]],dict_zul_Var_Meth[ignored_rand])</f>
        <v>760</v>
      </c>
    </row>
    <row r="761" spans="1:5" x14ac:dyDescent="0.45">
      <c r="A761">
        <f ca="1">VLOOKUP(dict_zul_Var_Meth[[#This Row],[ignored_rank]],help_zuord_Var_Meth[],2)</f>
        <v>200</v>
      </c>
      <c r="B761">
        <v>672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ca="1">RAND()</f>
        <v>6.739244367945818E-3</v>
      </c>
      <c r="E761">
        <f ca="1">RANK(dict_zul_Var_Meth[[#This Row],[ignored_rand]],dict_zul_Var_Meth[ignored_rand])</f>
        <v>754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C403"/>
  <sheetViews>
    <sheetView topLeftCell="A166" workbookViewId="0">
      <selection activeCell="A2" sqref="A2"/>
    </sheetView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E500"/>
  <sheetViews>
    <sheetView workbookViewId="0">
      <selection activeCell="C2" sqref="C2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348</v>
      </c>
    </row>
    <row r="2" spans="1:5" x14ac:dyDescent="0.45">
      <c r="A2">
        <f t="shared" ref="A2:A65" ca="1" si="0">RANDBETWEEN(0,700)</f>
        <v>495</v>
      </c>
      <c r="B2">
        <f t="shared" ref="B2:B65" ca="1" si="1">RANDBETWEEN(0,30)</f>
        <v>25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">
        <f t="shared" ref="D2:D65" ca="1" si="2">RANDBETWEEN(0,30)</f>
        <v>29</v>
      </c>
      <c r="E2" t="str">
        <f ca="1">IF(dict_zuord_Meth_Per[[#This Row],[kval_active]],dict_zuord_Meth_Per[[#This Row],[ID_Persons]],"")</f>
        <v/>
      </c>
    </row>
    <row r="3" spans="1:5" x14ac:dyDescent="0.45">
      <c r="A3">
        <f t="shared" ca="1" si="0"/>
        <v>541</v>
      </c>
      <c r="B3">
        <f t="shared" ca="1" si="1"/>
        <v>6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">
        <f t="shared" ca="1" si="2"/>
        <v>26</v>
      </c>
      <c r="E3" t="str">
        <f ca="1">IF(dict_zuord_Meth_Per[[#This Row],[kval_active]],dict_zuord_Meth_Per[[#This Row],[ID_Persons]],"")</f>
        <v/>
      </c>
    </row>
    <row r="4" spans="1:5" x14ac:dyDescent="0.45">
      <c r="A4">
        <f t="shared" ca="1" si="0"/>
        <v>640</v>
      </c>
      <c r="B4">
        <f t="shared" ca="1" si="1"/>
        <v>24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">
        <f t="shared" ca="1" si="2"/>
        <v>2</v>
      </c>
      <c r="E4" t="str">
        <f ca="1">IF(dict_zuord_Meth_Per[[#This Row],[kval_active]],dict_zuord_Meth_Per[[#This Row],[ID_Persons]],"")</f>
        <v/>
      </c>
    </row>
    <row r="5" spans="1:5" x14ac:dyDescent="0.45">
      <c r="A5">
        <f t="shared" ca="1" si="0"/>
        <v>497</v>
      </c>
      <c r="B5">
        <f t="shared" ca="1" si="1"/>
        <v>30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">
        <f t="shared" ca="1" si="2"/>
        <v>14</v>
      </c>
      <c r="E5" t="str">
        <f ca="1">IF(dict_zuord_Meth_Per[[#This Row],[kval_active]],dict_zuord_Meth_Per[[#This Row],[ID_Persons]],"")</f>
        <v/>
      </c>
    </row>
    <row r="6" spans="1:5" x14ac:dyDescent="0.45">
      <c r="A6">
        <f t="shared" ca="1" si="0"/>
        <v>652</v>
      </c>
      <c r="B6">
        <f t="shared" ca="1" si="1"/>
        <v>1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">
        <f t="shared" ca="1" si="2"/>
        <v>27</v>
      </c>
      <c r="E6" t="str">
        <f ca="1">IF(dict_zuord_Meth_Per[[#This Row],[kval_active]],dict_zuord_Meth_Per[[#This Row],[ID_Persons]],"")</f>
        <v/>
      </c>
    </row>
    <row r="7" spans="1:5" x14ac:dyDescent="0.45">
      <c r="A7">
        <f t="shared" ca="1" si="0"/>
        <v>83</v>
      </c>
      <c r="B7">
        <f t="shared" ca="1" si="1"/>
        <v>30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">
        <f t="shared" ca="1" si="2"/>
        <v>5</v>
      </c>
      <c r="E7" t="str">
        <f ca="1">IF(dict_zuord_Meth_Per[[#This Row],[kval_active]],dict_zuord_Meth_Per[[#This Row],[ID_Persons]],"")</f>
        <v/>
      </c>
    </row>
    <row r="8" spans="1:5" x14ac:dyDescent="0.45">
      <c r="A8">
        <f t="shared" ca="1" si="0"/>
        <v>645</v>
      </c>
      <c r="B8">
        <f t="shared" ca="1" si="1"/>
        <v>26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">
        <f t="shared" ca="1" si="2"/>
        <v>16</v>
      </c>
      <c r="E8" t="str">
        <f ca="1">IF(dict_zuord_Meth_Per[[#This Row],[kval_active]],dict_zuord_Meth_Per[[#This Row],[ID_Persons]],"")</f>
        <v/>
      </c>
    </row>
    <row r="9" spans="1:5" x14ac:dyDescent="0.45">
      <c r="A9">
        <f t="shared" ca="1" si="0"/>
        <v>521</v>
      </c>
      <c r="B9">
        <f t="shared" ca="1" si="1"/>
        <v>1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">
        <f t="shared" ca="1" si="2"/>
        <v>13</v>
      </c>
      <c r="E9" t="str">
        <f ca="1">IF(dict_zuord_Meth_Per[[#This Row],[kval_active]],dict_zuord_Meth_Per[[#This Row],[ID_Persons]],"")</f>
        <v/>
      </c>
    </row>
    <row r="10" spans="1:5" x14ac:dyDescent="0.45">
      <c r="A10">
        <f t="shared" ca="1" si="0"/>
        <v>237</v>
      </c>
      <c r="B10">
        <f t="shared" ca="1" si="1"/>
        <v>27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">
        <f t="shared" ca="1" si="2"/>
        <v>4</v>
      </c>
      <c r="E10" t="str">
        <f ca="1">IF(dict_zuord_Meth_Per[[#This Row],[kval_active]],dict_zuord_Meth_Per[[#This Row],[ID_Persons]],"")</f>
        <v/>
      </c>
    </row>
    <row r="11" spans="1:5" x14ac:dyDescent="0.45">
      <c r="A11">
        <f t="shared" ca="1" si="0"/>
        <v>59</v>
      </c>
      <c r="B11">
        <f t="shared" ca="1" si="1"/>
        <v>6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">
        <f t="shared" ca="1" si="2"/>
        <v>26</v>
      </c>
      <c r="E11" t="str">
        <f ca="1">IF(dict_zuord_Meth_Per[[#This Row],[kval_active]],dict_zuord_Meth_Per[[#This Row],[ID_Persons]],"")</f>
        <v/>
      </c>
    </row>
    <row r="12" spans="1:5" x14ac:dyDescent="0.45">
      <c r="A12">
        <f t="shared" ca="1" si="0"/>
        <v>493</v>
      </c>
      <c r="B12">
        <f t="shared" ca="1" si="1"/>
        <v>18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">
        <f t="shared" ca="1" si="2"/>
        <v>24</v>
      </c>
      <c r="E12" t="str">
        <f ca="1">IF(dict_zuord_Meth_Per[[#This Row],[kval_active]],dict_zuord_Meth_Per[[#This Row],[ID_Persons]],"")</f>
        <v/>
      </c>
    </row>
    <row r="13" spans="1:5" x14ac:dyDescent="0.45">
      <c r="A13">
        <f t="shared" ca="1" si="0"/>
        <v>129</v>
      </c>
      <c r="B13">
        <f t="shared" ca="1" si="1"/>
        <v>3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">
        <f t="shared" ca="1" si="2"/>
        <v>14</v>
      </c>
      <c r="E13" t="str">
        <f ca="1">IF(dict_zuord_Meth_Per[[#This Row],[kval_active]],dict_zuord_Meth_Per[[#This Row],[ID_Persons]],"")</f>
        <v/>
      </c>
    </row>
    <row r="14" spans="1:5" x14ac:dyDescent="0.45">
      <c r="A14">
        <f t="shared" ca="1" si="0"/>
        <v>383</v>
      </c>
      <c r="B14">
        <f t="shared" ca="1" si="1"/>
        <v>13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">
        <f t="shared" ca="1" si="2"/>
        <v>21</v>
      </c>
      <c r="E14" t="str">
        <f ca="1">IF(dict_zuord_Meth_Per[[#This Row],[kval_active]],dict_zuord_Meth_Per[[#This Row],[ID_Persons]],"")</f>
        <v/>
      </c>
    </row>
    <row r="15" spans="1:5" x14ac:dyDescent="0.45">
      <c r="A15">
        <f t="shared" ca="1" si="0"/>
        <v>585</v>
      </c>
      <c r="B15">
        <f t="shared" ca="1" si="1"/>
        <v>16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">
        <f t="shared" ca="1" si="2"/>
        <v>18</v>
      </c>
      <c r="E15">
        <f ca="1">IF(dict_zuord_Meth_Per[[#This Row],[kval_active]],dict_zuord_Meth_Per[[#This Row],[ID_Persons]],"")</f>
        <v>16</v>
      </c>
    </row>
    <row r="16" spans="1:5" x14ac:dyDescent="0.45">
      <c r="A16">
        <f t="shared" ca="1" si="0"/>
        <v>436</v>
      </c>
      <c r="B16">
        <f t="shared" ca="1" si="1"/>
        <v>30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">
        <f t="shared" ca="1" si="2"/>
        <v>18</v>
      </c>
      <c r="E16" t="str">
        <f ca="1">IF(dict_zuord_Meth_Per[[#This Row],[kval_active]],dict_zuord_Meth_Per[[#This Row],[ID_Persons]],"")</f>
        <v/>
      </c>
    </row>
    <row r="17" spans="1:5" x14ac:dyDescent="0.45">
      <c r="A17">
        <f t="shared" ca="1" si="0"/>
        <v>52</v>
      </c>
      <c r="B17">
        <f t="shared" ca="1" si="1"/>
        <v>22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">
        <f t="shared" ca="1" si="2"/>
        <v>13</v>
      </c>
      <c r="E17" t="str">
        <f ca="1">IF(dict_zuord_Meth_Per[[#This Row],[kval_active]],dict_zuord_Meth_Per[[#This Row],[ID_Persons]],"")</f>
        <v/>
      </c>
    </row>
    <row r="18" spans="1:5" x14ac:dyDescent="0.45">
      <c r="A18">
        <f t="shared" ca="1" si="0"/>
        <v>221</v>
      </c>
      <c r="B18">
        <f t="shared" ca="1" si="1"/>
        <v>1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">
        <f t="shared" ca="1" si="2"/>
        <v>27</v>
      </c>
      <c r="E18" t="str">
        <f ca="1">IF(dict_zuord_Meth_Per[[#This Row],[kval_active]],dict_zuord_Meth_Per[[#This Row],[ID_Persons]],"")</f>
        <v/>
      </c>
    </row>
    <row r="19" spans="1:5" x14ac:dyDescent="0.45">
      <c r="A19">
        <f t="shared" ca="1" si="0"/>
        <v>151</v>
      </c>
      <c r="B19">
        <f t="shared" ca="1" si="1"/>
        <v>5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">
        <f t="shared" ca="1" si="2"/>
        <v>13</v>
      </c>
      <c r="E19" t="str">
        <f ca="1">IF(dict_zuord_Meth_Per[[#This Row],[kval_active]],dict_zuord_Meth_Per[[#This Row],[ID_Persons]],"")</f>
        <v/>
      </c>
    </row>
    <row r="20" spans="1:5" x14ac:dyDescent="0.45">
      <c r="A20">
        <f t="shared" ca="1" si="0"/>
        <v>575</v>
      </c>
      <c r="B20">
        <f t="shared" ca="1" si="1"/>
        <v>2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">
        <f t="shared" ca="1" si="2"/>
        <v>25</v>
      </c>
      <c r="E20" t="str">
        <f ca="1">IF(dict_zuord_Meth_Per[[#This Row],[kval_active]],dict_zuord_Meth_Per[[#This Row],[ID_Persons]],"")</f>
        <v/>
      </c>
    </row>
    <row r="21" spans="1:5" x14ac:dyDescent="0.45">
      <c r="A21">
        <f t="shared" ca="1" si="0"/>
        <v>499</v>
      </c>
      <c r="B21">
        <f t="shared" ca="1" si="1"/>
        <v>3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">
        <f t="shared" ca="1" si="2"/>
        <v>4</v>
      </c>
      <c r="E21" t="str">
        <f ca="1">IF(dict_zuord_Meth_Per[[#This Row],[kval_active]],dict_zuord_Meth_Per[[#This Row],[ID_Persons]],"")</f>
        <v/>
      </c>
    </row>
    <row r="22" spans="1:5" x14ac:dyDescent="0.45">
      <c r="A22">
        <f t="shared" ca="1" si="0"/>
        <v>315</v>
      </c>
      <c r="B22">
        <f t="shared" ca="1" si="1"/>
        <v>25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">
        <f t="shared" ca="1" si="2"/>
        <v>27</v>
      </c>
      <c r="E22" t="str">
        <f ca="1">IF(dict_zuord_Meth_Per[[#This Row],[kval_active]],dict_zuord_Meth_Per[[#This Row],[ID_Persons]],"")</f>
        <v/>
      </c>
    </row>
    <row r="23" spans="1:5" x14ac:dyDescent="0.45">
      <c r="A23">
        <f t="shared" ca="1" si="0"/>
        <v>12</v>
      </c>
      <c r="B23">
        <f t="shared" ca="1" si="1"/>
        <v>4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">
        <f t="shared" ca="1" si="2"/>
        <v>2</v>
      </c>
      <c r="E23" t="str">
        <f ca="1">IF(dict_zuord_Meth_Per[[#This Row],[kval_active]],dict_zuord_Meth_Per[[#This Row],[ID_Persons]],"")</f>
        <v/>
      </c>
    </row>
    <row r="24" spans="1:5" x14ac:dyDescent="0.45">
      <c r="A24">
        <f t="shared" ca="1" si="0"/>
        <v>100</v>
      </c>
      <c r="B24">
        <f t="shared" ca="1" si="1"/>
        <v>13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">
        <f t="shared" ca="1" si="2"/>
        <v>6</v>
      </c>
      <c r="E24">
        <f ca="1">IF(dict_zuord_Meth_Per[[#This Row],[kval_active]],dict_zuord_Meth_Per[[#This Row],[ID_Persons]],"")</f>
        <v>13</v>
      </c>
    </row>
    <row r="25" spans="1:5" x14ac:dyDescent="0.45">
      <c r="A25">
        <f t="shared" ca="1" si="0"/>
        <v>306</v>
      </c>
      <c r="B25">
        <f t="shared" ca="1" si="1"/>
        <v>29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">
        <f t="shared" ca="1" si="2"/>
        <v>3</v>
      </c>
      <c r="E25" t="str">
        <f ca="1">IF(dict_zuord_Meth_Per[[#This Row],[kval_active]],dict_zuord_Meth_Per[[#This Row],[ID_Persons]],"")</f>
        <v/>
      </c>
    </row>
    <row r="26" spans="1:5" x14ac:dyDescent="0.45">
      <c r="A26">
        <f t="shared" ca="1" si="0"/>
        <v>520</v>
      </c>
      <c r="B26">
        <f t="shared" ca="1" si="1"/>
        <v>26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">
        <f t="shared" ca="1" si="2"/>
        <v>2</v>
      </c>
      <c r="E26" t="str">
        <f ca="1">IF(dict_zuord_Meth_Per[[#This Row],[kval_active]],dict_zuord_Meth_Per[[#This Row],[ID_Persons]],"")</f>
        <v/>
      </c>
    </row>
    <row r="27" spans="1:5" x14ac:dyDescent="0.45">
      <c r="A27">
        <f t="shared" ca="1" si="0"/>
        <v>374</v>
      </c>
      <c r="B27">
        <f t="shared" ca="1" si="1"/>
        <v>20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">
        <f t="shared" ca="1" si="2"/>
        <v>14</v>
      </c>
      <c r="E27" t="str">
        <f ca="1">IF(dict_zuord_Meth_Per[[#This Row],[kval_active]],dict_zuord_Meth_Per[[#This Row],[ID_Persons]],"")</f>
        <v/>
      </c>
    </row>
    <row r="28" spans="1:5" x14ac:dyDescent="0.45">
      <c r="A28">
        <f t="shared" ca="1" si="0"/>
        <v>649</v>
      </c>
      <c r="B28">
        <f t="shared" ca="1" si="1"/>
        <v>13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">
        <f t="shared" ca="1" si="2"/>
        <v>24</v>
      </c>
      <c r="E28" t="str">
        <f ca="1">IF(dict_zuord_Meth_Per[[#This Row],[kval_active]],dict_zuord_Meth_Per[[#This Row],[ID_Persons]],"")</f>
        <v/>
      </c>
    </row>
    <row r="29" spans="1:5" x14ac:dyDescent="0.45">
      <c r="A29">
        <f t="shared" ca="1" si="0"/>
        <v>416</v>
      </c>
      <c r="B29">
        <f t="shared" ca="1" si="1"/>
        <v>13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">
        <f t="shared" ca="1" si="2"/>
        <v>29</v>
      </c>
      <c r="E29" t="str">
        <f ca="1">IF(dict_zuord_Meth_Per[[#This Row],[kval_active]],dict_zuord_Meth_Per[[#This Row],[ID_Persons]],"")</f>
        <v/>
      </c>
    </row>
    <row r="30" spans="1:5" x14ac:dyDescent="0.45">
      <c r="A30">
        <f t="shared" ca="1" si="0"/>
        <v>100</v>
      </c>
      <c r="B30">
        <f t="shared" ca="1" si="1"/>
        <v>4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">
        <f t="shared" ca="1" si="2"/>
        <v>30</v>
      </c>
      <c r="E30">
        <f ca="1">IF(dict_zuord_Meth_Per[[#This Row],[kval_active]],dict_zuord_Meth_Per[[#This Row],[ID_Persons]],"")</f>
        <v>4</v>
      </c>
    </row>
    <row r="31" spans="1:5" x14ac:dyDescent="0.45">
      <c r="A31">
        <f t="shared" ca="1" si="0"/>
        <v>546</v>
      </c>
      <c r="B31">
        <f t="shared" ca="1" si="1"/>
        <v>1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">
        <f t="shared" ca="1" si="2"/>
        <v>22</v>
      </c>
      <c r="E31" t="str">
        <f ca="1">IF(dict_zuord_Meth_Per[[#This Row],[kval_active]],dict_zuord_Meth_Per[[#This Row],[ID_Persons]],"")</f>
        <v/>
      </c>
    </row>
    <row r="32" spans="1:5" x14ac:dyDescent="0.45">
      <c r="A32">
        <f t="shared" ca="1" si="0"/>
        <v>663</v>
      </c>
      <c r="B32">
        <f t="shared" ca="1" si="1"/>
        <v>22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">
        <f t="shared" ca="1" si="2"/>
        <v>7</v>
      </c>
      <c r="E32" t="str">
        <f ca="1">IF(dict_zuord_Meth_Per[[#This Row],[kval_active]],dict_zuord_Meth_Per[[#This Row],[ID_Persons]],"")</f>
        <v/>
      </c>
    </row>
    <row r="33" spans="1:5" x14ac:dyDescent="0.45">
      <c r="A33">
        <f t="shared" ca="1" si="0"/>
        <v>142</v>
      </c>
      <c r="B33">
        <f t="shared" ca="1" si="1"/>
        <v>21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">
        <f t="shared" ca="1" si="2"/>
        <v>29</v>
      </c>
      <c r="E33" t="str">
        <f ca="1">IF(dict_zuord_Meth_Per[[#This Row],[kval_active]],dict_zuord_Meth_Per[[#This Row],[ID_Persons]],"")</f>
        <v/>
      </c>
    </row>
    <row r="34" spans="1:5" x14ac:dyDescent="0.45">
      <c r="A34">
        <f t="shared" ca="1" si="0"/>
        <v>11</v>
      </c>
      <c r="B34">
        <f t="shared" ca="1" si="1"/>
        <v>12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">
        <f t="shared" ca="1" si="2"/>
        <v>18</v>
      </c>
      <c r="E34" t="str">
        <f ca="1">IF(dict_zuord_Meth_Per[[#This Row],[kval_active]],dict_zuord_Meth_Per[[#This Row],[ID_Persons]],"")</f>
        <v/>
      </c>
    </row>
    <row r="35" spans="1:5" x14ac:dyDescent="0.45">
      <c r="A35">
        <f t="shared" ca="1" si="0"/>
        <v>292</v>
      </c>
      <c r="B35">
        <f t="shared" ca="1" si="1"/>
        <v>17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">
        <f t="shared" ca="1" si="2"/>
        <v>22</v>
      </c>
      <c r="E35" t="str">
        <f ca="1">IF(dict_zuord_Meth_Per[[#This Row],[kval_active]],dict_zuord_Meth_Per[[#This Row],[ID_Persons]],"")</f>
        <v/>
      </c>
    </row>
    <row r="36" spans="1:5" x14ac:dyDescent="0.45">
      <c r="A36">
        <f t="shared" ca="1" si="0"/>
        <v>635</v>
      </c>
      <c r="B36">
        <f t="shared" ca="1" si="1"/>
        <v>25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">
        <f t="shared" ca="1" si="2"/>
        <v>18</v>
      </c>
      <c r="E36" t="str">
        <f ca="1">IF(dict_zuord_Meth_Per[[#This Row],[kval_active]],dict_zuord_Meth_Per[[#This Row],[ID_Persons]],"")</f>
        <v/>
      </c>
    </row>
    <row r="37" spans="1:5" x14ac:dyDescent="0.45">
      <c r="A37">
        <f t="shared" ca="1" si="0"/>
        <v>458</v>
      </c>
      <c r="B37">
        <f t="shared" ca="1" si="1"/>
        <v>18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">
        <f t="shared" ca="1" si="2"/>
        <v>20</v>
      </c>
      <c r="E37" t="str">
        <f ca="1">IF(dict_zuord_Meth_Per[[#This Row],[kval_active]],dict_zuord_Meth_Per[[#This Row],[ID_Persons]],"")</f>
        <v/>
      </c>
    </row>
    <row r="38" spans="1:5" x14ac:dyDescent="0.45">
      <c r="A38">
        <f t="shared" ca="1" si="0"/>
        <v>33</v>
      </c>
      <c r="B38">
        <f t="shared" ca="1" si="1"/>
        <v>22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">
        <f t="shared" ca="1" si="2"/>
        <v>7</v>
      </c>
      <c r="E38" t="str">
        <f ca="1">IF(dict_zuord_Meth_Per[[#This Row],[kval_active]],dict_zuord_Meth_Per[[#This Row],[ID_Persons]],"")</f>
        <v/>
      </c>
    </row>
    <row r="39" spans="1:5" x14ac:dyDescent="0.45">
      <c r="A39">
        <f t="shared" ca="1" si="0"/>
        <v>461</v>
      </c>
      <c r="B39">
        <f t="shared" ca="1" si="1"/>
        <v>10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">
        <f t="shared" ca="1" si="2"/>
        <v>26</v>
      </c>
      <c r="E39" t="str">
        <f ca="1">IF(dict_zuord_Meth_Per[[#This Row],[kval_active]],dict_zuord_Meth_Per[[#This Row],[ID_Persons]],"")</f>
        <v/>
      </c>
    </row>
    <row r="40" spans="1:5" x14ac:dyDescent="0.45">
      <c r="A40">
        <f t="shared" ca="1" si="0"/>
        <v>108</v>
      </c>
      <c r="B40">
        <f t="shared" ca="1" si="1"/>
        <v>1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">
        <f t="shared" ca="1" si="2"/>
        <v>10</v>
      </c>
      <c r="E40" t="str">
        <f ca="1">IF(dict_zuord_Meth_Per[[#This Row],[kval_active]],dict_zuord_Meth_Per[[#This Row],[ID_Persons]],"")</f>
        <v/>
      </c>
    </row>
    <row r="41" spans="1:5" x14ac:dyDescent="0.45">
      <c r="A41">
        <f t="shared" ca="1" si="0"/>
        <v>390</v>
      </c>
      <c r="B41">
        <f t="shared" ca="1" si="1"/>
        <v>4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">
        <f t="shared" ca="1" si="2"/>
        <v>11</v>
      </c>
      <c r="E41" t="str">
        <f ca="1">IF(dict_zuord_Meth_Per[[#This Row],[kval_active]],dict_zuord_Meth_Per[[#This Row],[ID_Persons]],"")</f>
        <v/>
      </c>
    </row>
    <row r="42" spans="1:5" x14ac:dyDescent="0.45">
      <c r="A42">
        <f t="shared" ca="1" si="0"/>
        <v>631</v>
      </c>
      <c r="B42">
        <f t="shared" ca="1" si="1"/>
        <v>28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">
        <f t="shared" ca="1" si="2"/>
        <v>4</v>
      </c>
      <c r="E42" t="str">
        <f ca="1">IF(dict_zuord_Meth_Per[[#This Row],[kval_active]],dict_zuord_Meth_Per[[#This Row],[ID_Persons]],"")</f>
        <v/>
      </c>
    </row>
    <row r="43" spans="1:5" x14ac:dyDescent="0.45">
      <c r="A43">
        <f t="shared" ca="1" si="0"/>
        <v>407</v>
      </c>
      <c r="B43">
        <f t="shared" ca="1" si="1"/>
        <v>21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">
        <f t="shared" ca="1" si="2"/>
        <v>24</v>
      </c>
      <c r="E43" t="str">
        <f ca="1">IF(dict_zuord_Meth_Per[[#This Row],[kval_active]],dict_zuord_Meth_Per[[#This Row],[ID_Persons]],"")</f>
        <v/>
      </c>
    </row>
    <row r="44" spans="1:5" x14ac:dyDescent="0.45">
      <c r="A44">
        <f t="shared" ca="1" si="0"/>
        <v>33</v>
      </c>
      <c r="B44">
        <f t="shared" ca="1" si="1"/>
        <v>22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">
        <f t="shared" ca="1" si="2"/>
        <v>3</v>
      </c>
      <c r="E44" t="str">
        <f ca="1">IF(dict_zuord_Meth_Per[[#This Row],[kval_active]],dict_zuord_Meth_Per[[#This Row],[ID_Persons]],"")</f>
        <v/>
      </c>
    </row>
    <row r="45" spans="1:5" x14ac:dyDescent="0.45">
      <c r="A45">
        <f t="shared" ca="1" si="0"/>
        <v>150</v>
      </c>
      <c r="B45">
        <f t="shared" ca="1" si="1"/>
        <v>24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">
        <f t="shared" ca="1" si="2"/>
        <v>18</v>
      </c>
      <c r="E45" t="str">
        <f ca="1">IF(dict_zuord_Meth_Per[[#This Row],[kval_active]],dict_zuord_Meth_Per[[#This Row],[ID_Persons]],"")</f>
        <v/>
      </c>
    </row>
    <row r="46" spans="1:5" x14ac:dyDescent="0.45">
      <c r="A46">
        <f t="shared" ca="1" si="0"/>
        <v>668</v>
      </c>
      <c r="B46">
        <f t="shared" ca="1" si="1"/>
        <v>18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">
        <f t="shared" ca="1" si="2"/>
        <v>17</v>
      </c>
      <c r="E46" t="str">
        <f ca="1">IF(dict_zuord_Meth_Per[[#This Row],[kval_active]],dict_zuord_Meth_Per[[#This Row],[ID_Persons]],"")</f>
        <v/>
      </c>
    </row>
    <row r="47" spans="1:5" x14ac:dyDescent="0.45">
      <c r="A47">
        <f t="shared" ca="1" si="0"/>
        <v>263</v>
      </c>
      <c r="B47">
        <f t="shared" ca="1" si="1"/>
        <v>3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">
        <f t="shared" ca="1" si="2"/>
        <v>21</v>
      </c>
      <c r="E47" t="str">
        <f ca="1">IF(dict_zuord_Meth_Per[[#This Row],[kval_active]],dict_zuord_Meth_Per[[#This Row],[ID_Persons]],"")</f>
        <v/>
      </c>
    </row>
    <row r="48" spans="1:5" x14ac:dyDescent="0.45">
      <c r="A48">
        <f t="shared" ca="1" si="0"/>
        <v>480</v>
      </c>
      <c r="B48">
        <f t="shared" ca="1" si="1"/>
        <v>27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">
        <f t="shared" ca="1" si="2"/>
        <v>20</v>
      </c>
      <c r="E48" t="str">
        <f ca="1">IF(dict_zuord_Meth_Per[[#This Row],[kval_active]],dict_zuord_Meth_Per[[#This Row],[ID_Persons]],"")</f>
        <v/>
      </c>
    </row>
    <row r="49" spans="1:5" x14ac:dyDescent="0.45">
      <c r="A49">
        <f t="shared" ca="1" si="0"/>
        <v>655</v>
      </c>
      <c r="B49">
        <f t="shared" ca="1" si="1"/>
        <v>6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">
        <f t="shared" ca="1" si="2"/>
        <v>8</v>
      </c>
      <c r="E49" t="str">
        <f ca="1">IF(dict_zuord_Meth_Per[[#This Row],[kval_active]],dict_zuord_Meth_Per[[#This Row],[ID_Persons]],"")</f>
        <v/>
      </c>
    </row>
    <row r="50" spans="1:5" x14ac:dyDescent="0.45">
      <c r="A50">
        <f t="shared" ca="1" si="0"/>
        <v>548</v>
      </c>
      <c r="B50">
        <f t="shared" ca="1" si="1"/>
        <v>13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">
        <f t="shared" ca="1" si="2"/>
        <v>18</v>
      </c>
      <c r="E50" t="str">
        <f ca="1">IF(dict_zuord_Meth_Per[[#This Row],[kval_active]],dict_zuord_Meth_Per[[#This Row],[ID_Persons]],"")</f>
        <v/>
      </c>
    </row>
    <row r="51" spans="1:5" x14ac:dyDescent="0.45">
      <c r="A51">
        <f t="shared" ca="1" si="0"/>
        <v>549</v>
      </c>
      <c r="B51">
        <f t="shared" ca="1" si="1"/>
        <v>28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1">
        <f t="shared" ca="1" si="2"/>
        <v>20</v>
      </c>
      <c r="E51" t="str">
        <f ca="1">IF(dict_zuord_Meth_Per[[#This Row],[kval_active]],dict_zuord_Meth_Per[[#This Row],[ID_Persons]],"")</f>
        <v/>
      </c>
    </row>
    <row r="52" spans="1:5" x14ac:dyDescent="0.45">
      <c r="A52">
        <f t="shared" ca="1" si="0"/>
        <v>573</v>
      </c>
      <c r="B52">
        <f t="shared" ca="1" si="1"/>
        <v>13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2">
        <f t="shared" ca="1" si="2"/>
        <v>26</v>
      </c>
      <c r="E52" t="str">
        <f ca="1">IF(dict_zuord_Meth_Per[[#This Row],[kval_active]],dict_zuord_Meth_Per[[#This Row],[ID_Persons]],"")</f>
        <v/>
      </c>
    </row>
    <row r="53" spans="1:5" x14ac:dyDescent="0.45">
      <c r="A53">
        <f t="shared" ca="1" si="0"/>
        <v>268</v>
      </c>
      <c r="B53">
        <f t="shared" ca="1" si="1"/>
        <v>7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3">
        <f t="shared" ca="1" si="2"/>
        <v>19</v>
      </c>
      <c r="E53" t="str">
        <f ca="1">IF(dict_zuord_Meth_Per[[#This Row],[kval_active]],dict_zuord_Meth_Per[[#This Row],[ID_Persons]],"")</f>
        <v/>
      </c>
    </row>
    <row r="54" spans="1:5" x14ac:dyDescent="0.45">
      <c r="A54">
        <f t="shared" ca="1" si="0"/>
        <v>184</v>
      </c>
      <c r="B54">
        <f t="shared" ca="1" si="1"/>
        <v>30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4">
        <f t="shared" ca="1" si="2"/>
        <v>12</v>
      </c>
      <c r="E54" t="str">
        <f ca="1">IF(dict_zuord_Meth_Per[[#This Row],[kval_active]],dict_zuord_Meth_Per[[#This Row],[ID_Persons]],"")</f>
        <v/>
      </c>
    </row>
    <row r="55" spans="1:5" x14ac:dyDescent="0.45">
      <c r="A55">
        <f t="shared" ca="1" si="0"/>
        <v>315</v>
      </c>
      <c r="B55">
        <f t="shared" ca="1" si="1"/>
        <v>26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5">
        <f t="shared" ca="1" si="2"/>
        <v>8</v>
      </c>
      <c r="E55" t="str">
        <f ca="1">IF(dict_zuord_Meth_Per[[#This Row],[kval_active]],dict_zuord_Meth_Per[[#This Row],[ID_Persons]],"")</f>
        <v/>
      </c>
    </row>
    <row r="56" spans="1:5" x14ac:dyDescent="0.45">
      <c r="A56">
        <f t="shared" ca="1" si="0"/>
        <v>376</v>
      </c>
      <c r="B56">
        <f t="shared" ca="1" si="1"/>
        <v>23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6">
        <f t="shared" ca="1" si="2"/>
        <v>24</v>
      </c>
      <c r="E56" t="str">
        <f ca="1">IF(dict_zuord_Meth_Per[[#This Row],[kval_active]],dict_zuord_Meth_Per[[#This Row],[ID_Persons]],"")</f>
        <v/>
      </c>
    </row>
    <row r="57" spans="1:5" x14ac:dyDescent="0.45">
      <c r="A57">
        <f t="shared" ca="1" si="0"/>
        <v>281</v>
      </c>
      <c r="B57">
        <f t="shared" ca="1" si="1"/>
        <v>10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7">
        <f t="shared" ca="1" si="2"/>
        <v>5</v>
      </c>
      <c r="E57" t="str">
        <f ca="1">IF(dict_zuord_Meth_Per[[#This Row],[kval_active]],dict_zuord_Meth_Per[[#This Row],[ID_Persons]],"")</f>
        <v/>
      </c>
    </row>
    <row r="58" spans="1:5" x14ac:dyDescent="0.45">
      <c r="A58">
        <f t="shared" ca="1" si="0"/>
        <v>213</v>
      </c>
      <c r="B58">
        <f t="shared" ca="1" si="1"/>
        <v>20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8">
        <f t="shared" ca="1" si="2"/>
        <v>16</v>
      </c>
      <c r="E58" t="str">
        <f ca="1">IF(dict_zuord_Meth_Per[[#This Row],[kval_active]],dict_zuord_Meth_Per[[#This Row],[ID_Persons]],"")</f>
        <v/>
      </c>
    </row>
    <row r="59" spans="1:5" x14ac:dyDescent="0.45">
      <c r="A59">
        <f t="shared" ca="1" si="0"/>
        <v>142</v>
      </c>
      <c r="B59">
        <f t="shared" ca="1" si="1"/>
        <v>1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9">
        <f t="shared" ca="1" si="2"/>
        <v>24</v>
      </c>
      <c r="E59" t="str">
        <f ca="1">IF(dict_zuord_Meth_Per[[#This Row],[kval_active]],dict_zuord_Meth_Per[[#This Row],[ID_Persons]],"")</f>
        <v/>
      </c>
    </row>
    <row r="60" spans="1:5" x14ac:dyDescent="0.45">
      <c r="A60">
        <f t="shared" ca="1" si="0"/>
        <v>519</v>
      </c>
      <c r="B60">
        <f t="shared" ca="1" si="1"/>
        <v>4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0">
        <f t="shared" ca="1" si="2"/>
        <v>2</v>
      </c>
      <c r="E60" t="str">
        <f ca="1">IF(dict_zuord_Meth_Per[[#This Row],[kval_active]],dict_zuord_Meth_Per[[#This Row],[ID_Persons]],"")</f>
        <v/>
      </c>
    </row>
    <row r="61" spans="1:5" x14ac:dyDescent="0.45">
      <c r="A61">
        <f t="shared" ca="1" si="0"/>
        <v>205</v>
      </c>
      <c r="B61">
        <f t="shared" ca="1" si="1"/>
        <v>30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1">
        <f t="shared" ca="1" si="2"/>
        <v>9</v>
      </c>
      <c r="E61">
        <f ca="1">IF(dict_zuord_Meth_Per[[#This Row],[kval_active]],dict_zuord_Meth_Per[[#This Row],[ID_Persons]],"")</f>
        <v>30</v>
      </c>
    </row>
    <row r="62" spans="1:5" x14ac:dyDescent="0.45">
      <c r="A62">
        <f t="shared" ca="1" si="0"/>
        <v>231</v>
      </c>
      <c r="B62">
        <f t="shared" ca="1" si="1"/>
        <v>21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2">
        <f t="shared" ca="1" si="2"/>
        <v>0</v>
      </c>
      <c r="E62" t="str">
        <f ca="1">IF(dict_zuord_Meth_Per[[#This Row],[kval_active]],dict_zuord_Meth_Per[[#This Row],[ID_Persons]],"")</f>
        <v/>
      </c>
    </row>
    <row r="63" spans="1:5" x14ac:dyDescent="0.45">
      <c r="A63">
        <f t="shared" ca="1" si="0"/>
        <v>558</v>
      </c>
      <c r="B63">
        <f t="shared" ca="1" si="1"/>
        <v>2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3">
        <f t="shared" ca="1" si="2"/>
        <v>28</v>
      </c>
      <c r="E63" t="str">
        <f ca="1">IF(dict_zuord_Meth_Per[[#This Row],[kval_active]],dict_zuord_Meth_Per[[#This Row],[ID_Persons]],"")</f>
        <v/>
      </c>
    </row>
    <row r="64" spans="1:5" x14ac:dyDescent="0.45">
      <c r="A64">
        <f t="shared" ca="1" si="0"/>
        <v>344</v>
      </c>
      <c r="B64">
        <f t="shared" ca="1" si="1"/>
        <v>16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4">
        <f t="shared" ca="1" si="2"/>
        <v>11</v>
      </c>
      <c r="E64" t="str">
        <f ca="1">IF(dict_zuord_Meth_Per[[#This Row],[kval_active]],dict_zuord_Meth_Per[[#This Row],[ID_Persons]],"")</f>
        <v/>
      </c>
    </row>
    <row r="65" spans="1:5" x14ac:dyDescent="0.45">
      <c r="A65">
        <f t="shared" ca="1" si="0"/>
        <v>10</v>
      </c>
      <c r="B65">
        <f t="shared" ca="1" si="1"/>
        <v>15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5">
        <f t="shared" ca="1" si="2"/>
        <v>18</v>
      </c>
      <c r="E65" t="str">
        <f ca="1">IF(dict_zuord_Meth_Per[[#This Row],[kval_active]],dict_zuord_Meth_Per[[#This Row],[ID_Persons]],"")</f>
        <v/>
      </c>
    </row>
    <row r="66" spans="1:5" x14ac:dyDescent="0.45">
      <c r="A66">
        <f t="shared" ref="A66:A129" ca="1" si="3">RANDBETWEEN(0,700)</f>
        <v>98</v>
      </c>
      <c r="B66">
        <f t="shared" ref="B66:B129" ca="1" si="4">RANDBETWEEN(0,30)</f>
        <v>13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6">
        <f t="shared" ref="D66:D129" ca="1" si="5">RANDBETWEEN(0,30)</f>
        <v>15</v>
      </c>
      <c r="E66" t="str">
        <f ca="1">IF(dict_zuord_Meth_Per[[#This Row],[kval_active]],dict_zuord_Meth_Per[[#This Row],[ID_Persons]],"")</f>
        <v/>
      </c>
    </row>
    <row r="67" spans="1:5" x14ac:dyDescent="0.45">
      <c r="A67">
        <f t="shared" ca="1" si="3"/>
        <v>177</v>
      </c>
      <c r="B67">
        <f t="shared" ca="1" si="4"/>
        <v>20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7">
        <f t="shared" ca="1" si="5"/>
        <v>17</v>
      </c>
      <c r="E67" t="str">
        <f ca="1">IF(dict_zuord_Meth_Per[[#This Row],[kval_active]],dict_zuord_Meth_Per[[#This Row],[ID_Persons]],"")</f>
        <v/>
      </c>
    </row>
    <row r="68" spans="1:5" x14ac:dyDescent="0.45">
      <c r="A68">
        <f t="shared" ca="1" si="3"/>
        <v>609</v>
      </c>
      <c r="B68">
        <f t="shared" ca="1" si="4"/>
        <v>29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8">
        <f t="shared" ca="1" si="5"/>
        <v>12</v>
      </c>
      <c r="E68" t="str">
        <f ca="1">IF(dict_zuord_Meth_Per[[#This Row],[kval_active]],dict_zuord_Meth_Per[[#This Row],[ID_Persons]],"")</f>
        <v/>
      </c>
    </row>
    <row r="69" spans="1:5" x14ac:dyDescent="0.45">
      <c r="A69">
        <f t="shared" ca="1" si="3"/>
        <v>421</v>
      </c>
      <c r="B69">
        <f t="shared" ca="1" si="4"/>
        <v>2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9">
        <f t="shared" ca="1" si="5"/>
        <v>8</v>
      </c>
      <c r="E69">
        <f ca="1">IF(dict_zuord_Meth_Per[[#This Row],[kval_active]],dict_zuord_Meth_Per[[#This Row],[ID_Persons]],"")</f>
        <v>2</v>
      </c>
    </row>
    <row r="70" spans="1:5" x14ac:dyDescent="0.45">
      <c r="A70">
        <f t="shared" ca="1" si="3"/>
        <v>501</v>
      </c>
      <c r="B70">
        <f t="shared" ca="1" si="4"/>
        <v>22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0">
        <f t="shared" ca="1" si="5"/>
        <v>24</v>
      </c>
      <c r="E70" t="str">
        <f ca="1">IF(dict_zuord_Meth_Per[[#This Row],[kval_active]],dict_zuord_Meth_Per[[#This Row],[ID_Persons]],"")</f>
        <v/>
      </c>
    </row>
    <row r="71" spans="1:5" x14ac:dyDescent="0.45">
      <c r="A71">
        <f t="shared" ca="1" si="3"/>
        <v>226</v>
      </c>
      <c r="B71">
        <f t="shared" ca="1" si="4"/>
        <v>26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1">
        <f t="shared" ca="1" si="5"/>
        <v>9</v>
      </c>
      <c r="E71" t="str">
        <f ca="1">IF(dict_zuord_Meth_Per[[#This Row],[kval_active]],dict_zuord_Meth_Per[[#This Row],[ID_Persons]],"")</f>
        <v/>
      </c>
    </row>
    <row r="72" spans="1:5" x14ac:dyDescent="0.45">
      <c r="A72">
        <f t="shared" ca="1" si="3"/>
        <v>630</v>
      </c>
      <c r="B72">
        <f t="shared" ca="1" si="4"/>
        <v>26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2">
        <f t="shared" ca="1" si="5"/>
        <v>16</v>
      </c>
      <c r="E72" t="str">
        <f ca="1">IF(dict_zuord_Meth_Per[[#This Row],[kval_active]],dict_zuord_Meth_Per[[#This Row],[ID_Persons]],"")</f>
        <v/>
      </c>
    </row>
    <row r="73" spans="1:5" x14ac:dyDescent="0.45">
      <c r="A73">
        <f t="shared" ca="1" si="3"/>
        <v>12</v>
      </c>
      <c r="B73">
        <f t="shared" ca="1" si="4"/>
        <v>15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3">
        <f t="shared" ca="1" si="5"/>
        <v>10</v>
      </c>
      <c r="E73" t="str">
        <f ca="1">IF(dict_zuord_Meth_Per[[#This Row],[kval_active]],dict_zuord_Meth_Per[[#This Row],[ID_Persons]],"")</f>
        <v/>
      </c>
    </row>
    <row r="74" spans="1:5" x14ac:dyDescent="0.45">
      <c r="A74">
        <f t="shared" ca="1" si="3"/>
        <v>432</v>
      </c>
      <c r="B74">
        <f t="shared" ca="1" si="4"/>
        <v>3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4">
        <f t="shared" ca="1" si="5"/>
        <v>20</v>
      </c>
      <c r="E74" t="str">
        <f ca="1">IF(dict_zuord_Meth_Per[[#This Row],[kval_active]],dict_zuord_Meth_Per[[#This Row],[ID_Persons]],"")</f>
        <v/>
      </c>
    </row>
    <row r="75" spans="1:5" x14ac:dyDescent="0.45">
      <c r="A75">
        <f t="shared" ca="1" si="3"/>
        <v>307</v>
      </c>
      <c r="B75">
        <f t="shared" ca="1" si="4"/>
        <v>22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5">
        <f t="shared" ca="1" si="5"/>
        <v>28</v>
      </c>
      <c r="E75" t="str">
        <f ca="1">IF(dict_zuord_Meth_Per[[#This Row],[kval_active]],dict_zuord_Meth_Per[[#This Row],[ID_Persons]],"")</f>
        <v/>
      </c>
    </row>
    <row r="76" spans="1:5" x14ac:dyDescent="0.45">
      <c r="A76">
        <f t="shared" ca="1" si="3"/>
        <v>673</v>
      </c>
      <c r="B76">
        <f t="shared" ca="1" si="4"/>
        <v>13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6">
        <f t="shared" ca="1" si="5"/>
        <v>20</v>
      </c>
      <c r="E76" t="str">
        <f ca="1">IF(dict_zuord_Meth_Per[[#This Row],[kval_active]],dict_zuord_Meth_Per[[#This Row],[ID_Persons]],"")</f>
        <v/>
      </c>
    </row>
    <row r="77" spans="1:5" x14ac:dyDescent="0.45">
      <c r="A77">
        <f t="shared" ca="1" si="3"/>
        <v>642</v>
      </c>
      <c r="B77">
        <f t="shared" ca="1" si="4"/>
        <v>5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7">
        <f t="shared" ca="1" si="5"/>
        <v>23</v>
      </c>
      <c r="E77" t="str">
        <f ca="1">IF(dict_zuord_Meth_Per[[#This Row],[kval_active]],dict_zuord_Meth_Per[[#This Row],[ID_Persons]],"")</f>
        <v/>
      </c>
    </row>
    <row r="78" spans="1:5" x14ac:dyDescent="0.45">
      <c r="A78">
        <f t="shared" ca="1" si="3"/>
        <v>157</v>
      </c>
      <c r="B78">
        <f t="shared" ca="1" si="4"/>
        <v>17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8">
        <f t="shared" ca="1" si="5"/>
        <v>25</v>
      </c>
      <c r="E78" t="str">
        <f ca="1">IF(dict_zuord_Meth_Per[[#This Row],[kval_active]],dict_zuord_Meth_Per[[#This Row],[ID_Persons]],"")</f>
        <v/>
      </c>
    </row>
    <row r="79" spans="1:5" x14ac:dyDescent="0.45">
      <c r="A79">
        <f t="shared" ca="1" si="3"/>
        <v>561</v>
      </c>
      <c r="B79">
        <f t="shared" ca="1" si="4"/>
        <v>4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9">
        <f t="shared" ca="1" si="5"/>
        <v>26</v>
      </c>
      <c r="E79" t="str">
        <f ca="1">IF(dict_zuord_Meth_Per[[#This Row],[kval_active]],dict_zuord_Meth_Per[[#This Row],[ID_Persons]],"")</f>
        <v/>
      </c>
    </row>
    <row r="80" spans="1:5" x14ac:dyDescent="0.45">
      <c r="A80">
        <f t="shared" ca="1" si="3"/>
        <v>270</v>
      </c>
      <c r="B80">
        <f t="shared" ca="1" si="4"/>
        <v>8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0">
        <f t="shared" ca="1" si="5"/>
        <v>30</v>
      </c>
      <c r="E80" t="str">
        <f ca="1">IF(dict_zuord_Meth_Per[[#This Row],[kval_active]],dict_zuord_Meth_Per[[#This Row],[ID_Persons]],"")</f>
        <v/>
      </c>
    </row>
    <row r="81" spans="1:5" x14ac:dyDescent="0.45">
      <c r="A81">
        <f t="shared" ca="1" si="3"/>
        <v>502</v>
      </c>
      <c r="B81">
        <f t="shared" ca="1" si="4"/>
        <v>27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1">
        <f t="shared" ca="1" si="5"/>
        <v>24</v>
      </c>
      <c r="E81" t="str">
        <f ca="1">IF(dict_zuord_Meth_Per[[#This Row],[kval_active]],dict_zuord_Meth_Per[[#This Row],[ID_Persons]],"")</f>
        <v/>
      </c>
    </row>
    <row r="82" spans="1:5" x14ac:dyDescent="0.45">
      <c r="A82">
        <f t="shared" ca="1" si="3"/>
        <v>126</v>
      </c>
      <c r="B82">
        <f t="shared" ca="1" si="4"/>
        <v>3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2">
        <f t="shared" ca="1" si="5"/>
        <v>24</v>
      </c>
      <c r="E82" t="str">
        <f ca="1">IF(dict_zuord_Meth_Per[[#This Row],[kval_active]],dict_zuord_Meth_Per[[#This Row],[ID_Persons]],"")</f>
        <v/>
      </c>
    </row>
    <row r="83" spans="1:5" x14ac:dyDescent="0.45">
      <c r="A83">
        <f t="shared" ca="1" si="3"/>
        <v>534</v>
      </c>
      <c r="B83">
        <f t="shared" ca="1" si="4"/>
        <v>1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3">
        <f t="shared" ca="1" si="5"/>
        <v>28</v>
      </c>
      <c r="E83" t="str">
        <f ca="1">IF(dict_zuord_Meth_Per[[#This Row],[kval_active]],dict_zuord_Meth_Per[[#This Row],[ID_Persons]],"")</f>
        <v/>
      </c>
    </row>
    <row r="84" spans="1:5" x14ac:dyDescent="0.45">
      <c r="A84">
        <f t="shared" ca="1" si="3"/>
        <v>444</v>
      </c>
      <c r="B84">
        <f t="shared" ca="1" si="4"/>
        <v>18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4">
        <f t="shared" ca="1" si="5"/>
        <v>18</v>
      </c>
      <c r="E84" t="str">
        <f ca="1">IF(dict_zuord_Meth_Per[[#This Row],[kval_active]],dict_zuord_Meth_Per[[#This Row],[ID_Persons]],"")</f>
        <v/>
      </c>
    </row>
    <row r="85" spans="1:5" x14ac:dyDescent="0.45">
      <c r="A85">
        <f t="shared" ca="1" si="3"/>
        <v>279</v>
      </c>
      <c r="B85">
        <f t="shared" ca="1" si="4"/>
        <v>5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5">
        <f t="shared" ca="1" si="5"/>
        <v>28</v>
      </c>
      <c r="E85" t="str">
        <f ca="1">IF(dict_zuord_Meth_Per[[#This Row],[kval_active]],dict_zuord_Meth_Per[[#This Row],[ID_Persons]],"")</f>
        <v/>
      </c>
    </row>
    <row r="86" spans="1:5" x14ac:dyDescent="0.45">
      <c r="A86">
        <f t="shared" ca="1" si="3"/>
        <v>474</v>
      </c>
      <c r="B86">
        <f t="shared" ca="1" si="4"/>
        <v>3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6">
        <f t="shared" ca="1" si="5"/>
        <v>30</v>
      </c>
      <c r="E86" t="str">
        <f ca="1">IF(dict_zuord_Meth_Per[[#This Row],[kval_active]],dict_zuord_Meth_Per[[#This Row],[ID_Persons]],"")</f>
        <v/>
      </c>
    </row>
    <row r="87" spans="1:5" x14ac:dyDescent="0.45">
      <c r="A87">
        <f t="shared" ca="1" si="3"/>
        <v>197</v>
      </c>
      <c r="B87">
        <f t="shared" ca="1" si="4"/>
        <v>3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7">
        <f t="shared" ca="1" si="5"/>
        <v>25</v>
      </c>
      <c r="E87" t="str">
        <f ca="1">IF(dict_zuord_Meth_Per[[#This Row],[kval_active]],dict_zuord_Meth_Per[[#This Row],[ID_Persons]],"")</f>
        <v/>
      </c>
    </row>
    <row r="88" spans="1:5" x14ac:dyDescent="0.45">
      <c r="A88">
        <f t="shared" ca="1" si="3"/>
        <v>560</v>
      </c>
      <c r="B88">
        <f t="shared" ca="1" si="4"/>
        <v>4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8">
        <f t="shared" ca="1" si="5"/>
        <v>23</v>
      </c>
      <c r="E88" t="str">
        <f ca="1">IF(dict_zuord_Meth_Per[[#This Row],[kval_active]],dict_zuord_Meth_Per[[#This Row],[ID_Persons]],"")</f>
        <v/>
      </c>
    </row>
    <row r="89" spans="1:5" x14ac:dyDescent="0.45">
      <c r="A89">
        <f t="shared" ca="1" si="3"/>
        <v>480</v>
      </c>
      <c r="B89">
        <f t="shared" ca="1" si="4"/>
        <v>3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9">
        <f t="shared" ca="1" si="5"/>
        <v>17</v>
      </c>
      <c r="E89" t="str">
        <f ca="1">IF(dict_zuord_Meth_Per[[#This Row],[kval_active]],dict_zuord_Meth_Per[[#This Row],[ID_Persons]],"")</f>
        <v/>
      </c>
    </row>
    <row r="90" spans="1:5" x14ac:dyDescent="0.45">
      <c r="A90">
        <f t="shared" ca="1" si="3"/>
        <v>409</v>
      </c>
      <c r="B90">
        <f t="shared" ca="1" si="4"/>
        <v>13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0">
        <f t="shared" ca="1" si="5"/>
        <v>15</v>
      </c>
      <c r="E90" t="str">
        <f ca="1">IF(dict_zuord_Meth_Per[[#This Row],[kval_active]],dict_zuord_Meth_Per[[#This Row],[ID_Persons]],"")</f>
        <v/>
      </c>
    </row>
    <row r="91" spans="1:5" x14ac:dyDescent="0.45">
      <c r="A91">
        <f t="shared" ca="1" si="3"/>
        <v>11</v>
      </c>
      <c r="B91">
        <f t="shared" ca="1" si="4"/>
        <v>12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1">
        <f t="shared" ca="1" si="5"/>
        <v>4</v>
      </c>
      <c r="E91" t="str">
        <f ca="1">IF(dict_zuord_Meth_Per[[#This Row],[kval_active]],dict_zuord_Meth_Per[[#This Row],[ID_Persons]],"")</f>
        <v/>
      </c>
    </row>
    <row r="92" spans="1:5" x14ac:dyDescent="0.45">
      <c r="A92">
        <f t="shared" ca="1" si="3"/>
        <v>460</v>
      </c>
      <c r="B92">
        <f t="shared" ca="1" si="4"/>
        <v>6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2">
        <f t="shared" ca="1" si="5"/>
        <v>3</v>
      </c>
      <c r="E92" t="str">
        <f ca="1">IF(dict_zuord_Meth_Per[[#This Row],[kval_active]],dict_zuord_Meth_Per[[#This Row],[ID_Persons]],"")</f>
        <v/>
      </c>
    </row>
    <row r="93" spans="1:5" x14ac:dyDescent="0.45">
      <c r="A93">
        <f t="shared" ca="1" si="3"/>
        <v>66</v>
      </c>
      <c r="B93">
        <f t="shared" ca="1" si="4"/>
        <v>13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3">
        <f t="shared" ca="1" si="5"/>
        <v>18</v>
      </c>
      <c r="E93" t="str">
        <f ca="1">IF(dict_zuord_Meth_Per[[#This Row],[kval_active]],dict_zuord_Meth_Per[[#This Row],[ID_Persons]],"")</f>
        <v/>
      </c>
    </row>
    <row r="94" spans="1:5" x14ac:dyDescent="0.45">
      <c r="A94">
        <f t="shared" ca="1" si="3"/>
        <v>626</v>
      </c>
      <c r="B94">
        <f t="shared" ca="1" si="4"/>
        <v>6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4">
        <f t="shared" ca="1" si="5"/>
        <v>25</v>
      </c>
      <c r="E94" t="str">
        <f ca="1">IF(dict_zuord_Meth_Per[[#This Row],[kval_active]],dict_zuord_Meth_Per[[#This Row],[ID_Persons]],"")</f>
        <v/>
      </c>
    </row>
    <row r="95" spans="1:5" x14ac:dyDescent="0.45">
      <c r="A95">
        <f t="shared" ca="1" si="3"/>
        <v>200</v>
      </c>
      <c r="B95">
        <f t="shared" ca="1" si="4"/>
        <v>19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5">
        <f t="shared" ca="1" si="5"/>
        <v>26</v>
      </c>
      <c r="E95" t="str">
        <f ca="1">IF(dict_zuord_Meth_Per[[#This Row],[kval_active]],dict_zuord_Meth_Per[[#This Row],[ID_Persons]],"")</f>
        <v/>
      </c>
    </row>
    <row r="96" spans="1:5" x14ac:dyDescent="0.45">
      <c r="A96">
        <f t="shared" ca="1" si="3"/>
        <v>468</v>
      </c>
      <c r="B96">
        <f t="shared" ca="1" si="4"/>
        <v>28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6">
        <f t="shared" ca="1" si="5"/>
        <v>25</v>
      </c>
      <c r="E96" t="str">
        <f ca="1">IF(dict_zuord_Meth_Per[[#This Row],[kval_active]],dict_zuord_Meth_Per[[#This Row],[ID_Persons]],"")</f>
        <v/>
      </c>
    </row>
    <row r="97" spans="1:5" x14ac:dyDescent="0.45">
      <c r="A97">
        <f t="shared" ca="1" si="3"/>
        <v>448</v>
      </c>
      <c r="B97">
        <f t="shared" ca="1" si="4"/>
        <v>0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7">
        <f t="shared" ca="1" si="5"/>
        <v>20</v>
      </c>
      <c r="E97" t="str">
        <f ca="1">IF(dict_zuord_Meth_Per[[#This Row],[kval_active]],dict_zuord_Meth_Per[[#This Row],[ID_Persons]],"")</f>
        <v/>
      </c>
    </row>
    <row r="98" spans="1:5" x14ac:dyDescent="0.45">
      <c r="A98">
        <f t="shared" ca="1" si="3"/>
        <v>348</v>
      </c>
      <c r="B98">
        <f t="shared" ca="1" si="4"/>
        <v>28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8">
        <f t="shared" ca="1" si="5"/>
        <v>20</v>
      </c>
      <c r="E98" t="str">
        <f ca="1">IF(dict_zuord_Meth_Per[[#This Row],[kval_active]],dict_zuord_Meth_Per[[#This Row],[ID_Persons]],"")</f>
        <v/>
      </c>
    </row>
    <row r="99" spans="1:5" x14ac:dyDescent="0.45">
      <c r="A99">
        <f t="shared" ca="1" si="3"/>
        <v>233</v>
      </c>
      <c r="B99">
        <f t="shared" ca="1" si="4"/>
        <v>11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9">
        <f t="shared" ca="1" si="5"/>
        <v>0</v>
      </c>
      <c r="E99" t="str">
        <f ca="1">IF(dict_zuord_Meth_Per[[#This Row],[kval_active]],dict_zuord_Meth_Per[[#This Row],[ID_Persons]],"")</f>
        <v/>
      </c>
    </row>
    <row r="100" spans="1:5" x14ac:dyDescent="0.45">
      <c r="A100">
        <f t="shared" ca="1" si="3"/>
        <v>605</v>
      </c>
      <c r="B100">
        <f t="shared" ca="1" si="4"/>
        <v>29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0">
        <f t="shared" ca="1" si="5"/>
        <v>27</v>
      </c>
      <c r="E100" t="str">
        <f ca="1">IF(dict_zuord_Meth_Per[[#This Row],[kval_active]],dict_zuord_Meth_Per[[#This Row],[ID_Persons]],"")</f>
        <v/>
      </c>
    </row>
    <row r="101" spans="1:5" x14ac:dyDescent="0.45">
      <c r="A101">
        <f t="shared" ca="1" si="3"/>
        <v>18</v>
      </c>
      <c r="B101">
        <f t="shared" ca="1" si="4"/>
        <v>1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1">
        <f t="shared" ca="1" si="5"/>
        <v>15</v>
      </c>
      <c r="E101" t="str">
        <f ca="1">IF(dict_zuord_Meth_Per[[#This Row],[kval_active]],dict_zuord_Meth_Per[[#This Row],[ID_Persons]],"")</f>
        <v/>
      </c>
    </row>
    <row r="102" spans="1:5" x14ac:dyDescent="0.45">
      <c r="A102">
        <f t="shared" ca="1" si="3"/>
        <v>243</v>
      </c>
      <c r="B102">
        <f t="shared" ca="1" si="4"/>
        <v>2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2">
        <f t="shared" ca="1" si="5"/>
        <v>22</v>
      </c>
      <c r="E102" t="str">
        <f ca="1">IF(dict_zuord_Meth_Per[[#This Row],[kval_active]],dict_zuord_Meth_Per[[#This Row],[ID_Persons]],"")</f>
        <v/>
      </c>
    </row>
    <row r="103" spans="1:5" x14ac:dyDescent="0.45">
      <c r="A103">
        <f t="shared" ca="1" si="3"/>
        <v>451</v>
      </c>
      <c r="B103">
        <f t="shared" ca="1" si="4"/>
        <v>14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3">
        <f t="shared" ca="1" si="5"/>
        <v>25</v>
      </c>
      <c r="E103" t="str">
        <f ca="1">IF(dict_zuord_Meth_Per[[#This Row],[kval_active]],dict_zuord_Meth_Per[[#This Row],[ID_Persons]],"")</f>
        <v/>
      </c>
    </row>
    <row r="104" spans="1:5" x14ac:dyDescent="0.45">
      <c r="A104">
        <f t="shared" ca="1" si="3"/>
        <v>495</v>
      </c>
      <c r="B104">
        <f t="shared" ca="1" si="4"/>
        <v>8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4">
        <f t="shared" ca="1" si="5"/>
        <v>23</v>
      </c>
      <c r="E104" t="str">
        <f ca="1">IF(dict_zuord_Meth_Per[[#This Row],[kval_active]],dict_zuord_Meth_Per[[#This Row],[ID_Persons]],"")</f>
        <v/>
      </c>
    </row>
    <row r="105" spans="1:5" x14ac:dyDescent="0.45">
      <c r="A105">
        <f t="shared" ca="1" si="3"/>
        <v>651</v>
      </c>
      <c r="B105">
        <f t="shared" ca="1" si="4"/>
        <v>30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5">
        <f t="shared" ca="1" si="5"/>
        <v>24</v>
      </c>
      <c r="E105" t="str">
        <f ca="1">IF(dict_zuord_Meth_Per[[#This Row],[kval_active]],dict_zuord_Meth_Per[[#This Row],[ID_Persons]],"")</f>
        <v/>
      </c>
    </row>
    <row r="106" spans="1:5" x14ac:dyDescent="0.45">
      <c r="A106">
        <f t="shared" ca="1" si="3"/>
        <v>613</v>
      </c>
      <c r="B106">
        <f t="shared" ca="1" si="4"/>
        <v>11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6">
        <f t="shared" ca="1" si="5"/>
        <v>23</v>
      </c>
      <c r="E106" t="str">
        <f ca="1">IF(dict_zuord_Meth_Per[[#This Row],[kval_active]],dict_zuord_Meth_Per[[#This Row],[ID_Persons]],"")</f>
        <v/>
      </c>
    </row>
    <row r="107" spans="1:5" x14ac:dyDescent="0.45">
      <c r="A107">
        <f t="shared" ca="1" si="3"/>
        <v>90</v>
      </c>
      <c r="B107">
        <f t="shared" ca="1" si="4"/>
        <v>16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7">
        <f t="shared" ca="1" si="5"/>
        <v>16</v>
      </c>
      <c r="E107" t="str">
        <f ca="1">IF(dict_zuord_Meth_Per[[#This Row],[kval_active]],dict_zuord_Meth_Per[[#This Row],[ID_Persons]],"")</f>
        <v/>
      </c>
    </row>
    <row r="108" spans="1:5" x14ac:dyDescent="0.45">
      <c r="A108">
        <f t="shared" ca="1" si="3"/>
        <v>46</v>
      </c>
      <c r="B108">
        <f t="shared" ca="1" si="4"/>
        <v>27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8">
        <f t="shared" ca="1" si="5"/>
        <v>3</v>
      </c>
      <c r="E108" t="str">
        <f ca="1">IF(dict_zuord_Meth_Per[[#This Row],[kval_active]],dict_zuord_Meth_Per[[#This Row],[ID_Persons]],"")</f>
        <v/>
      </c>
    </row>
    <row r="109" spans="1:5" x14ac:dyDescent="0.45">
      <c r="A109">
        <f t="shared" ca="1" si="3"/>
        <v>169</v>
      </c>
      <c r="B109">
        <f t="shared" ca="1" si="4"/>
        <v>4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9">
        <f t="shared" ca="1" si="5"/>
        <v>20</v>
      </c>
      <c r="E109" t="str">
        <f ca="1">IF(dict_zuord_Meth_Per[[#This Row],[kval_active]],dict_zuord_Meth_Per[[#This Row],[ID_Persons]],"")</f>
        <v/>
      </c>
    </row>
    <row r="110" spans="1:5" x14ac:dyDescent="0.45">
      <c r="A110">
        <f t="shared" ca="1" si="3"/>
        <v>399</v>
      </c>
      <c r="B110">
        <f t="shared" ca="1" si="4"/>
        <v>21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0">
        <f t="shared" ca="1" si="5"/>
        <v>22</v>
      </c>
      <c r="E110" t="str">
        <f ca="1">IF(dict_zuord_Meth_Per[[#This Row],[kval_active]],dict_zuord_Meth_Per[[#This Row],[ID_Persons]],"")</f>
        <v/>
      </c>
    </row>
    <row r="111" spans="1:5" x14ac:dyDescent="0.45">
      <c r="A111">
        <f t="shared" ca="1" si="3"/>
        <v>154</v>
      </c>
      <c r="B111">
        <f t="shared" ca="1" si="4"/>
        <v>1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1">
        <f t="shared" ca="1" si="5"/>
        <v>2</v>
      </c>
      <c r="E111" t="str">
        <f ca="1">IF(dict_zuord_Meth_Per[[#This Row],[kval_active]],dict_zuord_Meth_Per[[#This Row],[ID_Persons]],"")</f>
        <v/>
      </c>
    </row>
    <row r="112" spans="1:5" x14ac:dyDescent="0.45">
      <c r="A112">
        <f t="shared" ca="1" si="3"/>
        <v>140</v>
      </c>
      <c r="B112">
        <f t="shared" ca="1" si="4"/>
        <v>27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2">
        <f t="shared" ca="1" si="5"/>
        <v>27</v>
      </c>
      <c r="E112" t="str">
        <f ca="1">IF(dict_zuord_Meth_Per[[#This Row],[kval_active]],dict_zuord_Meth_Per[[#This Row],[ID_Persons]],"")</f>
        <v/>
      </c>
    </row>
    <row r="113" spans="1:5" x14ac:dyDescent="0.45">
      <c r="A113">
        <f t="shared" ca="1" si="3"/>
        <v>588</v>
      </c>
      <c r="B113">
        <f t="shared" ca="1" si="4"/>
        <v>0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3">
        <f t="shared" ca="1" si="5"/>
        <v>17</v>
      </c>
      <c r="E113" t="str">
        <f ca="1">IF(dict_zuord_Meth_Per[[#This Row],[kval_active]],dict_zuord_Meth_Per[[#This Row],[ID_Persons]],"")</f>
        <v/>
      </c>
    </row>
    <row r="114" spans="1:5" x14ac:dyDescent="0.45">
      <c r="A114">
        <f t="shared" ca="1" si="3"/>
        <v>238</v>
      </c>
      <c r="B114">
        <f t="shared" ca="1" si="4"/>
        <v>11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4">
        <f t="shared" ca="1" si="5"/>
        <v>0</v>
      </c>
      <c r="E114" t="str">
        <f ca="1">IF(dict_zuord_Meth_Per[[#This Row],[kval_active]],dict_zuord_Meth_Per[[#This Row],[ID_Persons]],"")</f>
        <v/>
      </c>
    </row>
    <row r="115" spans="1:5" x14ac:dyDescent="0.45">
      <c r="A115">
        <f t="shared" ca="1" si="3"/>
        <v>206</v>
      </c>
      <c r="B115">
        <f t="shared" ca="1" si="4"/>
        <v>16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5">
        <f t="shared" ca="1" si="5"/>
        <v>0</v>
      </c>
      <c r="E115" t="str">
        <f ca="1">IF(dict_zuord_Meth_Per[[#This Row],[kval_active]],dict_zuord_Meth_Per[[#This Row],[ID_Persons]],"")</f>
        <v/>
      </c>
    </row>
    <row r="116" spans="1:5" x14ac:dyDescent="0.45">
      <c r="A116">
        <f t="shared" ca="1" si="3"/>
        <v>139</v>
      </c>
      <c r="B116">
        <f t="shared" ca="1" si="4"/>
        <v>14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6">
        <f t="shared" ca="1" si="5"/>
        <v>25</v>
      </c>
      <c r="E116" t="str">
        <f ca="1">IF(dict_zuord_Meth_Per[[#This Row],[kval_active]],dict_zuord_Meth_Per[[#This Row],[ID_Persons]],"")</f>
        <v/>
      </c>
    </row>
    <row r="117" spans="1:5" x14ac:dyDescent="0.45">
      <c r="A117">
        <f t="shared" ca="1" si="3"/>
        <v>299</v>
      </c>
      <c r="B117">
        <f t="shared" ca="1" si="4"/>
        <v>8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7">
        <f t="shared" ca="1" si="5"/>
        <v>10</v>
      </c>
      <c r="E117" t="str">
        <f ca="1">IF(dict_zuord_Meth_Per[[#This Row],[kval_active]],dict_zuord_Meth_Per[[#This Row],[ID_Persons]],"")</f>
        <v/>
      </c>
    </row>
    <row r="118" spans="1:5" x14ac:dyDescent="0.45">
      <c r="A118">
        <f t="shared" ca="1" si="3"/>
        <v>302</v>
      </c>
      <c r="B118">
        <f t="shared" ca="1" si="4"/>
        <v>2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8">
        <f t="shared" ca="1" si="5"/>
        <v>14</v>
      </c>
      <c r="E118" t="str">
        <f ca="1">IF(dict_zuord_Meth_Per[[#This Row],[kval_active]],dict_zuord_Meth_Per[[#This Row],[ID_Persons]],"")</f>
        <v/>
      </c>
    </row>
    <row r="119" spans="1:5" x14ac:dyDescent="0.45">
      <c r="A119">
        <f t="shared" ca="1" si="3"/>
        <v>324</v>
      </c>
      <c r="B119">
        <f t="shared" ca="1" si="4"/>
        <v>10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9">
        <f t="shared" ca="1" si="5"/>
        <v>4</v>
      </c>
      <c r="E119" t="str">
        <f ca="1">IF(dict_zuord_Meth_Per[[#This Row],[kval_active]],dict_zuord_Meth_Per[[#This Row],[ID_Persons]],"")</f>
        <v/>
      </c>
    </row>
    <row r="120" spans="1:5" x14ac:dyDescent="0.45">
      <c r="A120">
        <f t="shared" ca="1" si="3"/>
        <v>184</v>
      </c>
      <c r="B120">
        <f t="shared" ca="1" si="4"/>
        <v>24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0">
        <f t="shared" ca="1" si="5"/>
        <v>26</v>
      </c>
      <c r="E120" t="str">
        <f ca="1">IF(dict_zuord_Meth_Per[[#This Row],[kval_active]],dict_zuord_Meth_Per[[#This Row],[ID_Persons]],"")</f>
        <v/>
      </c>
    </row>
    <row r="121" spans="1:5" x14ac:dyDescent="0.45">
      <c r="A121">
        <f t="shared" ca="1" si="3"/>
        <v>173</v>
      </c>
      <c r="B121">
        <f t="shared" ca="1" si="4"/>
        <v>1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1">
        <f t="shared" ca="1" si="5"/>
        <v>9</v>
      </c>
      <c r="E121" t="str">
        <f ca="1">IF(dict_zuord_Meth_Per[[#This Row],[kval_active]],dict_zuord_Meth_Per[[#This Row],[ID_Persons]],"")</f>
        <v/>
      </c>
    </row>
    <row r="122" spans="1:5" x14ac:dyDescent="0.45">
      <c r="A122">
        <f t="shared" ca="1" si="3"/>
        <v>233</v>
      </c>
      <c r="B122">
        <f t="shared" ca="1" si="4"/>
        <v>3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2">
        <f t="shared" ca="1" si="5"/>
        <v>5</v>
      </c>
      <c r="E122" t="str">
        <f ca="1">IF(dict_zuord_Meth_Per[[#This Row],[kval_active]],dict_zuord_Meth_Per[[#This Row],[ID_Persons]],"")</f>
        <v/>
      </c>
    </row>
    <row r="123" spans="1:5" x14ac:dyDescent="0.45">
      <c r="A123">
        <f t="shared" ca="1" si="3"/>
        <v>203</v>
      </c>
      <c r="B123">
        <f t="shared" ca="1" si="4"/>
        <v>22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3">
        <f t="shared" ca="1" si="5"/>
        <v>30</v>
      </c>
      <c r="E123" t="str">
        <f ca="1">IF(dict_zuord_Meth_Per[[#This Row],[kval_active]],dict_zuord_Meth_Per[[#This Row],[ID_Persons]],"")</f>
        <v/>
      </c>
    </row>
    <row r="124" spans="1:5" x14ac:dyDescent="0.45">
      <c r="A124">
        <f t="shared" ca="1" si="3"/>
        <v>97</v>
      </c>
      <c r="B124">
        <f t="shared" ca="1" si="4"/>
        <v>27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4">
        <f t="shared" ca="1" si="5"/>
        <v>9</v>
      </c>
      <c r="E124" t="str">
        <f ca="1">IF(dict_zuord_Meth_Per[[#This Row],[kval_active]],dict_zuord_Meth_Per[[#This Row],[ID_Persons]],"")</f>
        <v/>
      </c>
    </row>
    <row r="125" spans="1:5" x14ac:dyDescent="0.45">
      <c r="A125">
        <f t="shared" ca="1" si="3"/>
        <v>172</v>
      </c>
      <c r="B125">
        <f t="shared" ca="1" si="4"/>
        <v>7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5">
        <f t="shared" ca="1" si="5"/>
        <v>25</v>
      </c>
      <c r="E125" t="str">
        <f ca="1">IF(dict_zuord_Meth_Per[[#This Row],[kval_active]],dict_zuord_Meth_Per[[#This Row],[ID_Persons]],"")</f>
        <v/>
      </c>
    </row>
    <row r="126" spans="1:5" x14ac:dyDescent="0.45">
      <c r="A126">
        <f t="shared" ca="1" si="3"/>
        <v>634</v>
      </c>
      <c r="B126">
        <f t="shared" ca="1" si="4"/>
        <v>22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6">
        <f t="shared" ca="1" si="5"/>
        <v>28</v>
      </c>
      <c r="E126" t="str">
        <f ca="1">IF(dict_zuord_Meth_Per[[#This Row],[kval_active]],dict_zuord_Meth_Per[[#This Row],[ID_Persons]],"")</f>
        <v/>
      </c>
    </row>
    <row r="127" spans="1:5" x14ac:dyDescent="0.45">
      <c r="A127">
        <f t="shared" ca="1" si="3"/>
        <v>577</v>
      </c>
      <c r="B127">
        <f t="shared" ca="1" si="4"/>
        <v>3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7">
        <f t="shared" ca="1" si="5"/>
        <v>3</v>
      </c>
      <c r="E127" t="str">
        <f ca="1">IF(dict_zuord_Meth_Per[[#This Row],[kval_active]],dict_zuord_Meth_Per[[#This Row],[ID_Persons]],"")</f>
        <v/>
      </c>
    </row>
    <row r="128" spans="1:5" x14ac:dyDescent="0.45">
      <c r="A128">
        <f t="shared" ca="1" si="3"/>
        <v>204</v>
      </c>
      <c r="B128">
        <f t="shared" ca="1" si="4"/>
        <v>10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8">
        <f t="shared" ca="1" si="5"/>
        <v>29</v>
      </c>
      <c r="E128" t="str">
        <f ca="1">IF(dict_zuord_Meth_Per[[#This Row],[kval_active]],dict_zuord_Meth_Per[[#This Row],[ID_Persons]],"")</f>
        <v/>
      </c>
    </row>
    <row r="129" spans="1:5" x14ac:dyDescent="0.45">
      <c r="A129">
        <f t="shared" ca="1" si="3"/>
        <v>472</v>
      </c>
      <c r="B129">
        <f t="shared" ca="1" si="4"/>
        <v>8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9">
        <f t="shared" ca="1" si="5"/>
        <v>27</v>
      </c>
      <c r="E129" t="str">
        <f ca="1">IF(dict_zuord_Meth_Per[[#This Row],[kval_active]],dict_zuord_Meth_Per[[#This Row],[ID_Persons]],"")</f>
        <v/>
      </c>
    </row>
    <row r="130" spans="1:5" x14ac:dyDescent="0.45">
      <c r="A130">
        <f t="shared" ref="A130:A193" ca="1" si="6">RANDBETWEEN(0,700)</f>
        <v>596</v>
      </c>
      <c r="B130">
        <f t="shared" ref="B130:B193" ca="1" si="7">RANDBETWEEN(0,30)</f>
        <v>12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0">
        <f t="shared" ref="D130:D193" ca="1" si="8">RANDBETWEEN(0,30)</f>
        <v>2</v>
      </c>
      <c r="E130" t="str">
        <f ca="1">IF(dict_zuord_Meth_Per[[#This Row],[kval_active]],dict_zuord_Meth_Per[[#This Row],[ID_Persons]],"")</f>
        <v/>
      </c>
    </row>
    <row r="131" spans="1:5" x14ac:dyDescent="0.45">
      <c r="A131">
        <f t="shared" ca="1" si="6"/>
        <v>280</v>
      </c>
      <c r="B131">
        <f t="shared" ca="1" si="7"/>
        <v>26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1">
        <f t="shared" ca="1" si="8"/>
        <v>29</v>
      </c>
      <c r="E131" t="str">
        <f ca="1">IF(dict_zuord_Meth_Per[[#This Row],[kval_active]],dict_zuord_Meth_Per[[#This Row],[ID_Persons]],"")</f>
        <v/>
      </c>
    </row>
    <row r="132" spans="1:5" x14ac:dyDescent="0.45">
      <c r="A132">
        <f t="shared" ca="1" si="6"/>
        <v>655</v>
      </c>
      <c r="B132">
        <f t="shared" ca="1" si="7"/>
        <v>6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2">
        <f t="shared" ca="1" si="8"/>
        <v>18</v>
      </c>
      <c r="E132" t="str">
        <f ca="1">IF(dict_zuord_Meth_Per[[#This Row],[kval_active]],dict_zuord_Meth_Per[[#This Row],[ID_Persons]],"")</f>
        <v/>
      </c>
    </row>
    <row r="133" spans="1:5" x14ac:dyDescent="0.45">
      <c r="A133">
        <f t="shared" ca="1" si="6"/>
        <v>672</v>
      </c>
      <c r="B133">
        <f t="shared" ca="1" si="7"/>
        <v>28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3">
        <f t="shared" ca="1" si="8"/>
        <v>3</v>
      </c>
      <c r="E133" t="str">
        <f ca="1">IF(dict_zuord_Meth_Per[[#This Row],[kval_active]],dict_zuord_Meth_Per[[#This Row],[ID_Persons]],"")</f>
        <v/>
      </c>
    </row>
    <row r="134" spans="1:5" x14ac:dyDescent="0.45">
      <c r="A134">
        <f t="shared" ca="1" si="6"/>
        <v>52</v>
      </c>
      <c r="B134">
        <f t="shared" ca="1" si="7"/>
        <v>20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4">
        <f t="shared" ca="1" si="8"/>
        <v>20</v>
      </c>
      <c r="E134" t="str">
        <f ca="1">IF(dict_zuord_Meth_Per[[#This Row],[kval_active]],dict_zuord_Meth_Per[[#This Row],[ID_Persons]],"")</f>
        <v/>
      </c>
    </row>
    <row r="135" spans="1:5" x14ac:dyDescent="0.45">
      <c r="A135">
        <f t="shared" ca="1" si="6"/>
        <v>332</v>
      </c>
      <c r="B135">
        <f t="shared" ca="1" si="7"/>
        <v>1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5">
        <f t="shared" ca="1" si="8"/>
        <v>10</v>
      </c>
      <c r="E135" t="str">
        <f ca="1">IF(dict_zuord_Meth_Per[[#This Row],[kval_active]],dict_zuord_Meth_Per[[#This Row],[ID_Persons]],"")</f>
        <v/>
      </c>
    </row>
    <row r="136" spans="1:5" x14ac:dyDescent="0.45">
      <c r="A136">
        <f t="shared" ca="1" si="6"/>
        <v>340</v>
      </c>
      <c r="B136">
        <f t="shared" ca="1" si="7"/>
        <v>24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6">
        <f t="shared" ca="1" si="8"/>
        <v>12</v>
      </c>
      <c r="E136" t="str">
        <f ca="1">IF(dict_zuord_Meth_Per[[#This Row],[kval_active]],dict_zuord_Meth_Per[[#This Row],[ID_Persons]],"")</f>
        <v/>
      </c>
    </row>
    <row r="137" spans="1:5" x14ac:dyDescent="0.45">
      <c r="A137">
        <f t="shared" ca="1" si="6"/>
        <v>84</v>
      </c>
      <c r="B137">
        <f t="shared" ca="1" si="7"/>
        <v>0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7">
        <f t="shared" ca="1" si="8"/>
        <v>8</v>
      </c>
      <c r="E137" t="str">
        <f ca="1">IF(dict_zuord_Meth_Per[[#This Row],[kval_active]],dict_zuord_Meth_Per[[#This Row],[ID_Persons]],"")</f>
        <v/>
      </c>
    </row>
    <row r="138" spans="1:5" x14ac:dyDescent="0.45">
      <c r="A138">
        <f t="shared" ca="1" si="6"/>
        <v>244</v>
      </c>
      <c r="B138">
        <f t="shared" ca="1" si="7"/>
        <v>23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8">
        <f t="shared" ca="1" si="8"/>
        <v>8</v>
      </c>
      <c r="E138" t="str">
        <f ca="1">IF(dict_zuord_Meth_Per[[#This Row],[kval_active]],dict_zuord_Meth_Per[[#This Row],[ID_Persons]],"")</f>
        <v/>
      </c>
    </row>
    <row r="139" spans="1:5" x14ac:dyDescent="0.45">
      <c r="A139">
        <f t="shared" ca="1" si="6"/>
        <v>613</v>
      </c>
      <c r="B139">
        <f t="shared" ca="1" si="7"/>
        <v>7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9">
        <f t="shared" ca="1" si="8"/>
        <v>16</v>
      </c>
      <c r="E139" t="str">
        <f ca="1">IF(dict_zuord_Meth_Per[[#This Row],[kval_active]],dict_zuord_Meth_Per[[#This Row],[ID_Persons]],"")</f>
        <v/>
      </c>
    </row>
    <row r="140" spans="1:5" x14ac:dyDescent="0.45">
      <c r="A140">
        <f t="shared" ca="1" si="6"/>
        <v>141</v>
      </c>
      <c r="B140">
        <f t="shared" ca="1" si="7"/>
        <v>13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0">
        <f t="shared" ca="1" si="8"/>
        <v>19</v>
      </c>
      <c r="E140" t="str">
        <f ca="1">IF(dict_zuord_Meth_Per[[#This Row],[kval_active]],dict_zuord_Meth_Per[[#This Row],[ID_Persons]],"")</f>
        <v/>
      </c>
    </row>
    <row r="141" spans="1:5" x14ac:dyDescent="0.45">
      <c r="A141">
        <f t="shared" ca="1" si="6"/>
        <v>153</v>
      </c>
      <c r="B141">
        <f t="shared" ca="1" si="7"/>
        <v>24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1">
        <f t="shared" ca="1" si="8"/>
        <v>28</v>
      </c>
      <c r="E141" t="str">
        <f ca="1">IF(dict_zuord_Meth_Per[[#This Row],[kval_active]],dict_zuord_Meth_Per[[#This Row],[ID_Persons]],"")</f>
        <v/>
      </c>
    </row>
    <row r="142" spans="1:5" x14ac:dyDescent="0.45">
      <c r="A142">
        <f t="shared" ca="1" si="6"/>
        <v>583</v>
      </c>
      <c r="B142">
        <f t="shared" ca="1" si="7"/>
        <v>16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2">
        <f t="shared" ca="1" si="8"/>
        <v>28</v>
      </c>
      <c r="E142" t="str">
        <f ca="1">IF(dict_zuord_Meth_Per[[#This Row],[kval_active]],dict_zuord_Meth_Per[[#This Row],[ID_Persons]],"")</f>
        <v/>
      </c>
    </row>
    <row r="143" spans="1:5" x14ac:dyDescent="0.45">
      <c r="A143">
        <f t="shared" ca="1" si="6"/>
        <v>626</v>
      </c>
      <c r="B143">
        <f t="shared" ca="1" si="7"/>
        <v>10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3">
        <f t="shared" ca="1" si="8"/>
        <v>16</v>
      </c>
      <c r="E143" t="str">
        <f ca="1">IF(dict_zuord_Meth_Per[[#This Row],[kval_active]],dict_zuord_Meth_Per[[#This Row],[ID_Persons]],"")</f>
        <v/>
      </c>
    </row>
    <row r="144" spans="1:5" x14ac:dyDescent="0.45">
      <c r="A144">
        <f t="shared" ca="1" si="6"/>
        <v>158</v>
      </c>
      <c r="B144">
        <f t="shared" ca="1" si="7"/>
        <v>29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4">
        <f t="shared" ca="1" si="8"/>
        <v>27</v>
      </c>
      <c r="E144" t="str">
        <f ca="1">IF(dict_zuord_Meth_Per[[#This Row],[kval_active]],dict_zuord_Meth_Per[[#This Row],[ID_Persons]],"")</f>
        <v/>
      </c>
    </row>
    <row r="145" spans="1:5" x14ac:dyDescent="0.45">
      <c r="A145">
        <f t="shared" ca="1" si="6"/>
        <v>304</v>
      </c>
      <c r="B145">
        <f t="shared" ca="1" si="7"/>
        <v>2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5">
        <f t="shared" ca="1" si="8"/>
        <v>8</v>
      </c>
      <c r="E145" t="str">
        <f ca="1">IF(dict_zuord_Meth_Per[[#This Row],[kval_active]],dict_zuord_Meth_Per[[#This Row],[ID_Persons]],"")</f>
        <v/>
      </c>
    </row>
    <row r="146" spans="1:5" x14ac:dyDescent="0.45">
      <c r="A146">
        <f t="shared" ca="1" si="6"/>
        <v>291</v>
      </c>
      <c r="B146">
        <f t="shared" ca="1" si="7"/>
        <v>14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6">
        <f t="shared" ca="1" si="8"/>
        <v>25</v>
      </c>
      <c r="E146" t="str">
        <f ca="1">IF(dict_zuord_Meth_Per[[#This Row],[kval_active]],dict_zuord_Meth_Per[[#This Row],[ID_Persons]],"")</f>
        <v/>
      </c>
    </row>
    <row r="147" spans="1:5" x14ac:dyDescent="0.45">
      <c r="A147">
        <f t="shared" ca="1" si="6"/>
        <v>449</v>
      </c>
      <c r="B147">
        <f t="shared" ca="1" si="7"/>
        <v>4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7">
        <f t="shared" ca="1" si="8"/>
        <v>8</v>
      </c>
      <c r="E147" t="str">
        <f ca="1">IF(dict_zuord_Meth_Per[[#This Row],[kval_active]],dict_zuord_Meth_Per[[#This Row],[ID_Persons]],"")</f>
        <v/>
      </c>
    </row>
    <row r="148" spans="1:5" x14ac:dyDescent="0.45">
      <c r="A148">
        <f t="shared" ca="1" si="6"/>
        <v>341</v>
      </c>
      <c r="B148">
        <f t="shared" ca="1" si="7"/>
        <v>13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8">
        <f t="shared" ca="1" si="8"/>
        <v>3</v>
      </c>
      <c r="E148" t="str">
        <f ca="1">IF(dict_zuord_Meth_Per[[#This Row],[kval_active]],dict_zuord_Meth_Per[[#This Row],[ID_Persons]],"")</f>
        <v/>
      </c>
    </row>
    <row r="149" spans="1:5" x14ac:dyDescent="0.45">
      <c r="A149">
        <f t="shared" ca="1" si="6"/>
        <v>352</v>
      </c>
      <c r="B149">
        <f t="shared" ca="1" si="7"/>
        <v>1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9">
        <f t="shared" ca="1" si="8"/>
        <v>17</v>
      </c>
      <c r="E149" t="str">
        <f ca="1">IF(dict_zuord_Meth_Per[[#This Row],[kval_active]],dict_zuord_Meth_Per[[#This Row],[ID_Persons]],"")</f>
        <v/>
      </c>
    </row>
    <row r="150" spans="1:5" x14ac:dyDescent="0.45">
      <c r="A150">
        <f t="shared" ca="1" si="6"/>
        <v>218</v>
      </c>
      <c r="B150">
        <f t="shared" ca="1" si="7"/>
        <v>17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0">
        <f t="shared" ca="1" si="8"/>
        <v>30</v>
      </c>
      <c r="E150" t="str">
        <f ca="1">IF(dict_zuord_Meth_Per[[#This Row],[kval_active]],dict_zuord_Meth_Per[[#This Row],[ID_Persons]],"")</f>
        <v/>
      </c>
    </row>
    <row r="151" spans="1:5" x14ac:dyDescent="0.45">
      <c r="A151">
        <f t="shared" ca="1" si="6"/>
        <v>459</v>
      </c>
      <c r="B151">
        <f t="shared" ca="1" si="7"/>
        <v>19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1">
        <f t="shared" ca="1" si="8"/>
        <v>24</v>
      </c>
      <c r="E151" t="str">
        <f ca="1">IF(dict_zuord_Meth_Per[[#This Row],[kval_active]],dict_zuord_Meth_Per[[#This Row],[ID_Persons]],"")</f>
        <v/>
      </c>
    </row>
    <row r="152" spans="1:5" x14ac:dyDescent="0.45">
      <c r="A152">
        <f t="shared" ca="1" si="6"/>
        <v>678</v>
      </c>
      <c r="B152">
        <f t="shared" ca="1" si="7"/>
        <v>29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2">
        <f t="shared" ca="1" si="8"/>
        <v>5</v>
      </c>
      <c r="E152" t="str">
        <f ca="1">IF(dict_zuord_Meth_Per[[#This Row],[kval_active]],dict_zuord_Meth_Per[[#This Row],[ID_Persons]],"")</f>
        <v/>
      </c>
    </row>
    <row r="153" spans="1:5" x14ac:dyDescent="0.45">
      <c r="A153">
        <f t="shared" ca="1" si="6"/>
        <v>317</v>
      </c>
      <c r="B153">
        <f t="shared" ca="1" si="7"/>
        <v>28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3">
        <f t="shared" ca="1" si="8"/>
        <v>9</v>
      </c>
      <c r="E153" t="str">
        <f ca="1">IF(dict_zuord_Meth_Per[[#This Row],[kval_active]],dict_zuord_Meth_Per[[#This Row],[ID_Persons]],"")</f>
        <v/>
      </c>
    </row>
    <row r="154" spans="1:5" x14ac:dyDescent="0.45">
      <c r="A154">
        <f t="shared" ca="1" si="6"/>
        <v>333</v>
      </c>
      <c r="B154">
        <f t="shared" ca="1" si="7"/>
        <v>19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4">
        <f t="shared" ca="1" si="8"/>
        <v>22</v>
      </c>
      <c r="E154" t="str">
        <f ca="1">IF(dict_zuord_Meth_Per[[#This Row],[kval_active]],dict_zuord_Meth_Per[[#This Row],[ID_Persons]],"")</f>
        <v/>
      </c>
    </row>
    <row r="155" spans="1:5" x14ac:dyDescent="0.45">
      <c r="A155">
        <f t="shared" ca="1" si="6"/>
        <v>280</v>
      </c>
      <c r="B155">
        <f t="shared" ca="1" si="7"/>
        <v>13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5">
        <f t="shared" ca="1" si="8"/>
        <v>18</v>
      </c>
      <c r="E155" t="str">
        <f ca="1">IF(dict_zuord_Meth_Per[[#This Row],[kval_active]],dict_zuord_Meth_Per[[#This Row],[ID_Persons]],"")</f>
        <v/>
      </c>
    </row>
    <row r="156" spans="1:5" x14ac:dyDescent="0.45">
      <c r="A156">
        <f t="shared" ca="1" si="6"/>
        <v>167</v>
      </c>
      <c r="B156">
        <f t="shared" ca="1" si="7"/>
        <v>27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6">
        <f t="shared" ca="1" si="8"/>
        <v>21</v>
      </c>
      <c r="E156" t="str">
        <f ca="1">IF(dict_zuord_Meth_Per[[#This Row],[kval_active]],dict_zuord_Meth_Per[[#This Row],[ID_Persons]],"")</f>
        <v/>
      </c>
    </row>
    <row r="157" spans="1:5" x14ac:dyDescent="0.45">
      <c r="A157">
        <f t="shared" ca="1" si="6"/>
        <v>647</v>
      </c>
      <c r="B157">
        <f t="shared" ca="1" si="7"/>
        <v>18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7">
        <f t="shared" ca="1" si="8"/>
        <v>4</v>
      </c>
      <c r="E157" t="str">
        <f ca="1">IF(dict_zuord_Meth_Per[[#This Row],[kval_active]],dict_zuord_Meth_Per[[#This Row],[ID_Persons]],"")</f>
        <v/>
      </c>
    </row>
    <row r="158" spans="1:5" x14ac:dyDescent="0.45">
      <c r="A158">
        <f t="shared" ca="1" si="6"/>
        <v>189</v>
      </c>
      <c r="B158">
        <f t="shared" ca="1" si="7"/>
        <v>16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8">
        <f t="shared" ca="1" si="8"/>
        <v>0</v>
      </c>
      <c r="E158" t="str">
        <f ca="1">IF(dict_zuord_Meth_Per[[#This Row],[kval_active]],dict_zuord_Meth_Per[[#This Row],[ID_Persons]],"")</f>
        <v/>
      </c>
    </row>
    <row r="159" spans="1:5" x14ac:dyDescent="0.45">
      <c r="A159">
        <f t="shared" ca="1" si="6"/>
        <v>142</v>
      </c>
      <c r="B159">
        <f t="shared" ca="1" si="7"/>
        <v>4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9">
        <f t="shared" ca="1" si="8"/>
        <v>0</v>
      </c>
      <c r="E159" t="str">
        <f ca="1">IF(dict_zuord_Meth_Per[[#This Row],[kval_active]],dict_zuord_Meth_Per[[#This Row],[ID_Persons]],"")</f>
        <v/>
      </c>
    </row>
    <row r="160" spans="1:5" x14ac:dyDescent="0.45">
      <c r="A160">
        <f t="shared" ca="1" si="6"/>
        <v>205</v>
      </c>
      <c r="B160">
        <f t="shared" ca="1" si="7"/>
        <v>29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0">
        <f t="shared" ca="1" si="8"/>
        <v>5</v>
      </c>
      <c r="E160">
        <f ca="1">IF(dict_zuord_Meth_Per[[#This Row],[kval_active]],dict_zuord_Meth_Per[[#This Row],[ID_Persons]],"")</f>
        <v>29</v>
      </c>
    </row>
    <row r="161" spans="1:5" x14ac:dyDescent="0.45">
      <c r="A161">
        <f t="shared" ca="1" si="6"/>
        <v>263</v>
      </c>
      <c r="B161">
        <f t="shared" ca="1" si="7"/>
        <v>2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1">
        <f t="shared" ca="1" si="8"/>
        <v>15</v>
      </c>
      <c r="E161" t="str">
        <f ca="1">IF(dict_zuord_Meth_Per[[#This Row],[kval_active]],dict_zuord_Meth_Per[[#This Row],[ID_Persons]],"")</f>
        <v/>
      </c>
    </row>
    <row r="162" spans="1:5" x14ac:dyDescent="0.45">
      <c r="A162">
        <f t="shared" ca="1" si="6"/>
        <v>652</v>
      </c>
      <c r="B162">
        <f t="shared" ca="1" si="7"/>
        <v>20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2">
        <f t="shared" ca="1" si="8"/>
        <v>24</v>
      </c>
      <c r="E162" t="str">
        <f ca="1">IF(dict_zuord_Meth_Per[[#This Row],[kval_active]],dict_zuord_Meth_Per[[#This Row],[ID_Persons]],"")</f>
        <v/>
      </c>
    </row>
    <row r="163" spans="1:5" x14ac:dyDescent="0.45">
      <c r="A163">
        <f t="shared" ca="1" si="6"/>
        <v>38</v>
      </c>
      <c r="B163">
        <f t="shared" ca="1" si="7"/>
        <v>7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3">
        <f t="shared" ca="1" si="8"/>
        <v>24</v>
      </c>
      <c r="E163" t="str">
        <f ca="1">IF(dict_zuord_Meth_Per[[#This Row],[kval_active]],dict_zuord_Meth_Per[[#This Row],[ID_Persons]],"")</f>
        <v/>
      </c>
    </row>
    <row r="164" spans="1:5" x14ac:dyDescent="0.45">
      <c r="A164">
        <f t="shared" ca="1" si="6"/>
        <v>489</v>
      </c>
      <c r="B164">
        <f t="shared" ca="1" si="7"/>
        <v>4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4">
        <f t="shared" ca="1" si="8"/>
        <v>21</v>
      </c>
      <c r="E164" t="str">
        <f ca="1">IF(dict_zuord_Meth_Per[[#This Row],[kval_active]],dict_zuord_Meth_Per[[#This Row],[ID_Persons]],"")</f>
        <v/>
      </c>
    </row>
    <row r="165" spans="1:5" x14ac:dyDescent="0.45">
      <c r="A165">
        <f t="shared" ca="1" si="6"/>
        <v>685</v>
      </c>
      <c r="B165">
        <f t="shared" ca="1" si="7"/>
        <v>0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5">
        <f t="shared" ca="1" si="8"/>
        <v>0</v>
      </c>
      <c r="E165" t="str">
        <f ca="1">IF(dict_zuord_Meth_Per[[#This Row],[kval_active]],dict_zuord_Meth_Per[[#This Row],[ID_Persons]],"")</f>
        <v/>
      </c>
    </row>
    <row r="166" spans="1:5" x14ac:dyDescent="0.45">
      <c r="A166">
        <f t="shared" ca="1" si="6"/>
        <v>368</v>
      </c>
      <c r="B166">
        <f t="shared" ca="1" si="7"/>
        <v>19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6">
        <f t="shared" ca="1" si="8"/>
        <v>28</v>
      </c>
      <c r="E166" t="str">
        <f ca="1">IF(dict_zuord_Meth_Per[[#This Row],[kval_active]],dict_zuord_Meth_Per[[#This Row],[ID_Persons]],"")</f>
        <v/>
      </c>
    </row>
    <row r="167" spans="1:5" x14ac:dyDescent="0.45">
      <c r="A167">
        <f t="shared" ca="1" si="6"/>
        <v>135</v>
      </c>
      <c r="B167">
        <f t="shared" ca="1" si="7"/>
        <v>14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7">
        <f t="shared" ca="1" si="8"/>
        <v>18</v>
      </c>
      <c r="E167" t="str">
        <f ca="1">IF(dict_zuord_Meth_Per[[#This Row],[kval_active]],dict_zuord_Meth_Per[[#This Row],[ID_Persons]],"")</f>
        <v/>
      </c>
    </row>
    <row r="168" spans="1:5" x14ac:dyDescent="0.45">
      <c r="A168">
        <f t="shared" ca="1" si="6"/>
        <v>535</v>
      </c>
      <c r="B168">
        <f t="shared" ca="1" si="7"/>
        <v>10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8">
        <f t="shared" ca="1" si="8"/>
        <v>16</v>
      </c>
      <c r="E168" t="str">
        <f ca="1">IF(dict_zuord_Meth_Per[[#This Row],[kval_active]],dict_zuord_Meth_Per[[#This Row],[ID_Persons]],"")</f>
        <v/>
      </c>
    </row>
    <row r="169" spans="1:5" x14ac:dyDescent="0.45">
      <c r="A169">
        <f t="shared" ca="1" si="6"/>
        <v>611</v>
      </c>
      <c r="B169">
        <f t="shared" ca="1" si="7"/>
        <v>22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9">
        <f t="shared" ca="1" si="8"/>
        <v>30</v>
      </c>
      <c r="E169" t="str">
        <f ca="1">IF(dict_zuord_Meth_Per[[#This Row],[kval_active]],dict_zuord_Meth_Per[[#This Row],[ID_Persons]],"")</f>
        <v/>
      </c>
    </row>
    <row r="170" spans="1:5" x14ac:dyDescent="0.45">
      <c r="A170">
        <f t="shared" ca="1" si="6"/>
        <v>269</v>
      </c>
      <c r="B170">
        <f t="shared" ca="1" si="7"/>
        <v>28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0">
        <f t="shared" ca="1" si="8"/>
        <v>10</v>
      </c>
      <c r="E170" t="str">
        <f ca="1">IF(dict_zuord_Meth_Per[[#This Row],[kval_active]],dict_zuord_Meth_Per[[#This Row],[ID_Persons]],"")</f>
        <v/>
      </c>
    </row>
    <row r="171" spans="1:5" x14ac:dyDescent="0.45">
      <c r="A171">
        <f t="shared" ca="1" si="6"/>
        <v>531</v>
      </c>
      <c r="B171">
        <f t="shared" ca="1" si="7"/>
        <v>9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1">
        <f t="shared" ca="1" si="8"/>
        <v>30</v>
      </c>
      <c r="E171" t="str">
        <f ca="1">IF(dict_zuord_Meth_Per[[#This Row],[kval_active]],dict_zuord_Meth_Per[[#This Row],[ID_Persons]],"")</f>
        <v/>
      </c>
    </row>
    <row r="172" spans="1:5" x14ac:dyDescent="0.45">
      <c r="A172">
        <f t="shared" ca="1" si="6"/>
        <v>79</v>
      </c>
      <c r="B172">
        <f t="shared" ca="1" si="7"/>
        <v>5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2">
        <f t="shared" ca="1" si="8"/>
        <v>16</v>
      </c>
      <c r="E172" t="str">
        <f ca="1">IF(dict_zuord_Meth_Per[[#This Row],[kval_active]],dict_zuord_Meth_Per[[#This Row],[ID_Persons]],"")</f>
        <v/>
      </c>
    </row>
    <row r="173" spans="1:5" x14ac:dyDescent="0.45">
      <c r="A173">
        <f t="shared" ca="1" si="6"/>
        <v>395</v>
      </c>
      <c r="B173">
        <f t="shared" ca="1" si="7"/>
        <v>20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3">
        <f t="shared" ca="1" si="8"/>
        <v>20</v>
      </c>
      <c r="E173" t="str">
        <f ca="1">IF(dict_zuord_Meth_Per[[#This Row],[kval_active]],dict_zuord_Meth_Per[[#This Row],[ID_Persons]],"")</f>
        <v/>
      </c>
    </row>
    <row r="174" spans="1:5" x14ac:dyDescent="0.45">
      <c r="A174">
        <f t="shared" ca="1" si="6"/>
        <v>235</v>
      </c>
      <c r="B174">
        <f t="shared" ca="1" si="7"/>
        <v>6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4">
        <f t="shared" ca="1" si="8"/>
        <v>0</v>
      </c>
      <c r="E174" t="str">
        <f ca="1">IF(dict_zuord_Meth_Per[[#This Row],[kval_active]],dict_zuord_Meth_Per[[#This Row],[ID_Persons]],"")</f>
        <v/>
      </c>
    </row>
    <row r="175" spans="1:5" x14ac:dyDescent="0.45">
      <c r="A175">
        <f t="shared" ca="1" si="6"/>
        <v>376</v>
      </c>
      <c r="B175">
        <f t="shared" ca="1" si="7"/>
        <v>16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5">
        <f t="shared" ca="1" si="8"/>
        <v>24</v>
      </c>
      <c r="E175" t="str">
        <f ca="1">IF(dict_zuord_Meth_Per[[#This Row],[kval_active]],dict_zuord_Meth_Per[[#This Row],[ID_Persons]],"")</f>
        <v/>
      </c>
    </row>
    <row r="176" spans="1:5" x14ac:dyDescent="0.45">
      <c r="A176">
        <f t="shared" ca="1" si="6"/>
        <v>123</v>
      </c>
      <c r="B176">
        <f t="shared" ca="1" si="7"/>
        <v>18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6">
        <f t="shared" ca="1" si="8"/>
        <v>1</v>
      </c>
      <c r="E176" t="str">
        <f ca="1">IF(dict_zuord_Meth_Per[[#This Row],[kval_active]],dict_zuord_Meth_Per[[#This Row],[ID_Persons]],"")</f>
        <v/>
      </c>
    </row>
    <row r="177" spans="1:5" x14ac:dyDescent="0.45">
      <c r="A177">
        <f t="shared" ca="1" si="6"/>
        <v>516</v>
      </c>
      <c r="B177">
        <f t="shared" ca="1" si="7"/>
        <v>9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7">
        <f t="shared" ca="1" si="8"/>
        <v>23</v>
      </c>
      <c r="E177" t="str">
        <f ca="1">IF(dict_zuord_Meth_Per[[#This Row],[kval_active]],dict_zuord_Meth_Per[[#This Row],[ID_Persons]],"")</f>
        <v/>
      </c>
    </row>
    <row r="178" spans="1:5" x14ac:dyDescent="0.45">
      <c r="A178">
        <f t="shared" ca="1" si="6"/>
        <v>696</v>
      </c>
      <c r="B178">
        <f t="shared" ca="1" si="7"/>
        <v>8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8">
        <f t="shared" ca="1" si="8"/>
        <v>17</v>
      </c>
      <c r="E178" t="str">
        <f ca="1">IF(dict_zuord_Meth_Per[[#This Row],[kval_active]],dict_zuord_Meth_Per[[#This Row],[ID_Persons]],"")</f>
        <v/>
      </c>
    </row>
    <row r="179" spans="1:5" x14ac:dyDescent="0.45">
      <c r="A179">
        <f t="shared" ca="1" si="6"/>
        <v>587</v>
      </c>
      <c r="B179">
        <f t="shared" ca="1" si="7"/>
        <v>1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9">
        <f t="shared" ca="1" si="8"/>
        <v>15</v>
      </c>
      <c r="E179" t="str">
        <f ca="1">IF(dict_zuord_Meth_Per[[#This Row],[kval_active]],dict_zuord_Meth_Per[[#This Row],[ID_Persons]],"")</f>
        <v/>
      </c>
    </row>
    <row r="180" spans="1:5" x14ac:dyDescent="0.45">
      <c r="A180">
        <f t="shared" ca="1" si="6"/>
        <v>49</v>
      </c>
      <c r="B180">
        <f t="shared" ca="1" si="7"/>
        <v>23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0">
        <f t="shared" ca="1" si="8"/>
        <v>0</v>
      </c>
      <c r="E180" t="str">
        <f ca="1">IF(dict_zuord_Meth_Per[[#This Row],[kval_active]],dict_zuord_Meth_Per[[#This Row],[ID_Persons]],"")</f>
        <v/>
      </c>
    </row>
    <row r="181" spans="1:5" x14ac:dyDescent="0.45">
      <c r="A181">
        <f t="shared" ca="1" si="6"/>
        <v>275</v>
      </c>
      <c r="B181">
        <f t="shared" ca="1" si="7"/>
        <v>30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1">
        <f t="shared" ca="1" si="8"/>
        <v>30</v>
      </c>
      <c r="E181">
        <f ca="1">IF(dict_zuord_Meth_Per[[#This Row],[kval_active]],dict_zuord_Meth_Per[[#This Row],[ID_Persons]],"")</f>
        <v>30</v>
      </c>
    </row>
    <row r="182" spans="1:5" x14ac:dyDescent="0.45">
      <c r="A182">
        <f t="shared" ca="1" si="6"/>
        <v>113</v>
      </c>
      <c r="B182">
        <f t="shared" ca="1" si="7"/>
        <v>1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2">
        <f t="shared" ca="1" si="8"/>
        <v>30</v>
      </c>
      <c r="E182" t="str">
        <f ca="1">IF(dict_zuord_Meth_Per[[#This Row],[kval_active]],dict_zuord_Meth_Per[[#This Row],[ID_Persons]],"")</f>
        <v/>
      </c>
    </row>
    <row r="183" spans="1:5" x14ac:dyDescent="0.45">
      <c r="A183">
        <f t="shared" ca="1" si="6"/>
        <v>508</v>
      </c>
      <c r="B183">
        <f t="shared" ca="1" si="7"/>
        <v>3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3">
        <f t="shared" ca="1" si="8"/>
        <v>18</v>
      </c>
      <c r="E183" t="str">
        <f ca="1">IF(dict_zuord_Meth_Per[[#This Row],[kval_active]],dict_zuord_Meth_Per[[#This Row],[ID_Persons]],"")</f>
        <v/>
      </c>
    </row>
    <row r="184" spans="1:5" x14ac:dyDescent="0.45">
      <c r="A184">
        <f t="shared" ca="1" si="6"/>
        <v>225</v>
      </c>
      <c r="B184">
        <f t="shared" ca="1" si="7"/>
        <v>18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4">
        <f t="shared" ca="1" si="8"/>
        <v>23</v>
      </c>
      <c r="E184" t="str">
        <f ca="1">IF(dict_zuord_Meth_Per[[#This Row],[kval_active]],dict_zuord_Meth_Per[[#This Row],[ID_Persons]],"")</f>
        <v/>
      </c>
    </row>
    <row r="185" spans="1:5" x14ac:dyDescent="0.45">
      <c r="A185">
        <f t="shared" ca="1" si="6"/>
        <v>610</v>
      </c>
      <c r="B185">
        <f t="shared" ca="1" si="7"/>
        <v>23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5">
        <f t="shared" ca="1" si="8"/>
        <v>23</v>
      </c>
      <c r="E185" t="str">
        <f ca="1">IF(dict_zuord_Meth_Per[[#This Row],[kval_active]],dict_zuord_Meth_Per[[#This Row],[ID_Persons]],"")</f>
        <v/>
      </c>
    </row>
    <row r="186" spans="1:5" x14ac:dyDescent="0.45">
      <c r="A186">
        <f t="shared" ca="1" si="6"/>
        <v>54</v>
      </c>
      <c r="B186">
        <f t="shared" ca="1" si="7"/>
        <v>13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6">
        <f t="shared" ca="1" si="8"/>
        <v>14</v>
      </c>
      <c r="E186" t="str">
        <f ca="1">IF(dict_zuord_Meth_Per[[#This Row],[kval_active]],dict_zuord_Meth_Per[[#This Row],[ID_Persons]],"")</f>
        <v/>
      </c>
    </row>
    <row r="187" spans="1:5" x14ac:dyDescent="0.45">
      <c r="A187">
        <f t="shared" ca="1" si="6"/>
        <v>87</v>
      </c>
      <c r="B187">
        <f t="shared" ca="1" si="7"/>
        <v>2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7">
        <f t="shared" ca="1" si="8"/>
        <v>10</v>
      </c>
      <c r="E187" t="str">
        <f ca="1">IF(dict_zuord_Meth_Per[[#This Row],[kval_active]],dict_zuord_Meth_Per[[#This Row],[ID_Persons]],"")</f>
        <v/>
      </c>
    </row>
    <row r="188" spans="1:5" x14ac:dyDescent="0.45">
      <c r="A188">
        <f t="shared" ca="1" si="6"/>
        <v>474</v>
      </c>
      <c r="B188">
        <f t="shared" ca="1" si="7"/>
        <v>3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8">
        <f t="shared" ca="1" si="8"/>
        <v>23</v>
      </c>
      <c r="E188" t="str">
        <f ca="1">IF(dict_zuord_Meth_Per[[#This Row],[kval_active]],dict_zuord_Meth_Per[[#This Row],[ID_Persons]],"")</f>
        <v/>
      </c>
    </row>
    <row r="189" spans="1:5" x14ac:dyDescent="0.45">
      <c r="A189">
        <f t="shared" ca="1" si="6"/>
        <v>638</v>
      </c>
      <c r="B189">
        <f t="shared" ca="1" si="7"/>
        <v>20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9">
        <f t="shared" ca="1" si="8"/>
        <v>2</v>
      </c>
      <c r="E189" t="str">
        <f ca="1">IF(dict_zuord_Meth_Per[[#This Row],[kval_active]],dict_zuord_Meth_Per[[#This Row],[ID_Persons]],"")</f>
        <v/>
      </c>
    </row>
    <row r="190" spans="1:5" x14ac:dyDescent="0.45">
      <c r="A190">
        <f t="shared" ca="1" si="6"/>
        <v>591</v>
      </c>
      <c r="B190">
        <f t="shared" ca="1" si="7"/>
        <v>16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0">
        <f t="shared" ca="1" si="8"/>
        <v>20</v>
      </c>
      <c r="E190" t="str">
        <f ca="1">IF(dict_zuord_Meth_Per[[#This Row],[kval_active]],dict_zuord_Meth_Per[[#This Row],[ID_Persons]],"")</f>
        <v/>
      </c>
    </row>
    <row r="191" spans="1:5" x14ac:dyDescent="0.45">
      <c r="A191">
        <f t="shared" ca="1" si="6"/>
        <v>633</v>
      </c>
      <c r="B191">
        <f t="shared" ca="1" si="7"/>
        <v>4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1">
        <f t="shared" ca="1" si="8"/>
        <v>19</v>
      </c>
      <c r="E191" t="str">
        <f ca="1">IF(dict_zuord_Meth_Per[[#This Row],[kval_active]],dict_zuord_Meth_Per[[#This Row],[ID_Persons]],"")</f>
        <v/>
      </c>
    </row>
    <row r="192" spans="1:5" x14ac:dyDescent="0.45">
      <c r="A192">
        <f t="shared" ca="1" si="6"/>
        <v>331</v>
      </c>
      <c r="B192">
        <f t="shared" ca="1" si="7"/>
        <v>20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2">
        <f t="shared" ca="1" si="8"/>
        <v>9</v>
      </c>
      <c r="E192" t="str">
        <f ca="1">IF(dict_zuord_Meth_Per[[#This Row],[kval_active]],dict_zuord_Meth_Per[[#This Row],[ID_Persons]],"")</f>
        <v/>
      </c>
    </row>
    <row r="193" spans="1:5" x14ac:dyDescent="0.45">
      <c r="A193">
        <f t="shared" ca="1" si="6"/>
        <v>688</v>
      </c>
      <c r="B193">
        <f t="shared" ca="1" si="7"/>
        <v>3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3">
        <f t="shared" ca="1" si="8"/>
        <v>27</v>
      </c>
      <c r="E193" t="str">
        <f ca="1">IF(dict_zuord_Meth_Per[[#This Row],[kval_active]],dict_zuord_Meth_Per[[#This Row],[ID_Persons]],"")</f>
        <v/>
      </c>
    </row>
    <row r="194" spans="1:5" x14ac:dyDescent="0.45">
      <c r="A194">
        <f t="shared" ref="A194:A257" ca="1" si="9">RANDBETWEEN(0,700)</f>
        <v>202</v>
      </c>
      <c r="B194">
        <f t="shared" ref="B194:B257" ca="1" si="10">RANDBETWEEN(0,30)</f>
        <v>29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4">
        <f t="shared" ref="D194:D257" ca="1" si="11">RANDBETWEEN(0,30)</f>
        <v>0</v>
      </c>
      <c r="E194" t="str">
        <f ca="1">IF(dict_zuord_Meth_Per[[#This Row],[kval_active]],dict_zuord_Meth_Per[[#This Row],[ID_Persons]],"")</f>
        <v/>
      </c>
    </row>
    <row r="195" spans="1:5" x14ac:dyDescent="0.45">
      <c r="A195">
        <f t="shared" ca="1" si="9"/>
        <v>455</v>
      </c>
      <c r="B195">
        <f t="shared" ca="1" si="10"/>
        <v>3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5">
        <f t="shared" ca="1" si="11"/>
        <v>22</v>
      </c>
      <c r="E195" t="str">
        <f ca="1">IF(dict_zuord_Meth_Per[[#This Row],[kval_active]],dict_zuord_Meth_Per[[#This Row],[ID_Persons]],"")</f>
        <v/>
      </c>
    </row>
    <row r="196" spans="1:5" x14ac:dyDescent="0.45">
      <c r="A196">
        <f t="shared" ca="1" si="9"/>
        <v>496</v>
      </c>
      <c r="B196">
        <f t="shared" ca="1" si="10"/>
        <v>28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6">
        <f t="shared" ca="1" si="11"/>
        <v>14</v>
      </c>
      <c r="E196" t="str">
        <f ca="1">IF(dict_zuord_Meth_Per[[#This Row],[kval_active]],dict_zuord_Meth_Per[[#This Row],[ID_Persons]],"")</f>
        <v/>
      </c>
    </row>
    <row r="197" spans="1:5" x14ac:dyDescent="0.45">
      <c r="A197">
        <f t="shared" ca="1" si="9"/>
        <v>129</v>
      </c>
      <c r="B197">
        <f t="shared" ca="1" si="10"/>
        <v>1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7">
        <f t="shared" ca="1" si="11"/>
        <v>9</v>
      </c>
      <c r="E197" t="str">
        <f ca="1">IF(dict_zuord_Meth_Per[[#This Row],[kval_active]],dict_zuord_Meth_Per[[#This Row],[ID_Persons]],"")</f>
        <v/>
      </c>
    </row>
    <row r="198" spans="1:5" x14ac:dyDescent="0.45">
      <c r="A198">
        <f t="shared" ca="1" si="9"/>
        <v>95</v>
      </c>
      <c r="B198">
        <f t="shared" ca="1" si="10"/>
        <v>5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8">
        <f t="shared" ca="1" si="11"/>
        <v>12</v>
      </c>
      <c r="E198" t="str">
        <f ca="1">IF(dict_zuord_Meth_Per[[#This Row],[kval_active]],dict_zuord_Meth_Per[[#This Row],[ID_Persons]],"")</f>
        <v/>
      </c>
    </row>
    <row r="199" spans="1:5" x14ac:dyDescent="0.45">
      <c r="A199">
        <f t="shared" ca="1" si="9"/>
        <v>408</v>
      </c>
      <c r="B199">
        <f t="shared" ca="1" si="10"/>
        <v>20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9">
        <f t="shared" ca="1" si="11"/>
        <v>14</v>
      </c>
      <c r="E199" t="str">
        <f ca="1">IF(dict_zuord_Meth_Per[[#This Row],[kval_active]],dict_zuord_Meth_Per[[#This Row],[ID_Persons]],"")</f>
        <v/>
      </c>
    </row>
    <row r="200" spans="1:5" x14ac:dyDescent="0.45">
      <c r="A200">
        <f t="shared" ca="1" si="9"/>
        <v>440</v>
      </c>
      <c r="B200">
        <f t="shared" ca="1" si="10"/>
        <v>2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0">
        <f t="shared" ca="1" si="11"/>
        <v>17</v>
      </c>
      <c r="E200" t="str">
        <f ca="1">IF(dict_zuord_Meth_Per[[#This Row],[kval_active]],dict_zuord_Meth_Per[[#This Row],[ID_Persons]],"")</f>
        <v/>
      </c>
    </row>
    <row r="201" spans="1:5" x14ac:dyDescent="0.45">
      <c r="A201">
        <f t="shared" ca="1" si="9"/>
        <v>308</v>
      </c>
      <c r="B201">
        <f t="shared" ca="1" si="10"/>
        <v>6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1">
        <f t="shared" ca="1" si="11"/>
        <v>5</v>
      </c>
      <c r="E201" t="str">
        <f ca="1">IF(dict_zuord_Meth_Per[[#This Row],[kval_active]],dict_zuord_Meth_Per[[#This Row],[ID_Persons]],"")</f>
        <v/>
      </c>
    </row>
    <row r="202" spans="1:5" x14ac:dyDescent="0.45">
      <c r="A202">
        <f t="shared" ca="1" si="9"/>
        <v>522</v>
      </c>
      <c r="B202">
        <f t="shared" ca="1" si="10"/>
        <v>15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2">
        <f t="shared" ca="1" si="11"/>
        <v>12</v>
      </c>
      <c r="E202" t="str">
        <f ca="1">IF(dict_zuord_Meth_Per[[#This Row],[kval_active]],dict_zuord_Meth_Per[[#This Row],[ID_Persons]],"")</f>
        <v/>
      </c>
    </row>
    <row r="203" spans="1:5" x14ac:dyDescent="0.45">
      <c r="A203">
        <f t="shared" ca="1" si="9"/>
        <v>347</v>
      </c>
      <c r="B203">
        <f t="shared" ca="1" si="10"/>
        <v>25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3">
        <f t="shared" ca="1" si="11"/>
        <v>3</v>
      </c>
      <c r="E203" t="str">
        <f ca="1">IF(dict_zuord_Meth_Per[[#This Row],[kval_active]],dict_zuord_Meth_Per[[#This Row],[ID_Persons]],"")</f>
        <v/>
      </c>
    </row>
    <row r="204" spans="1:5" x14ac:dyDescent="0.45">
      <c r="A204">
        <f t="shared" ca="1" si="9"/>
        <v>26</v>
      </c>
      <c r="B204">
        <f t="shared" ca="1" si="10"/>
        <v>28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4">
        <f t="shared" ca="1" si="11"/>
        <v>4</v>
      </c>
      <c r="E204" t="str">
        <f ca="1">IF(dict_zuord_Meth_Per[[#This Row],[kval_active]],dict_zuord_Meth_Per[[#This Row],[ID_Persons]],"")</f>
        <v/>
      </c>
    </row>
    <row r="205" spans="1:5" x14ac:dyDescent="0.45">
      <c r="A205">
        <f t="shared" ca="1" si="9"/>
        <v>318</v>
      </c>
      <c r="B205">
        <f t="shared" ca="1" si="10"/>
        <v>17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5">
        <f t="shared" ca="1" si="11"/>
        <v>29</v>
      </c>
      <c r="E205" t="str">
        <f ca="1">IF(dict_zuord_Meth_Per[[#This Row],[kval_active]],dict_zuord_Meth_Per[[#This Row],[ID_Persons]],"")</f>
        <v/>
      </c>
    </row>
    <row r="206" spans="1:5" x14ac:dyDescent="0.45">
      <c r="A206">
        <f t="shared" ca="1" si="9"/>
        <v>403</v>
      </c>
      <c r="B206">
        <f t="shared" ca="1" si="10"/>
        <v>7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6">
        <f t="shared" ca="1" si="11"/>
        <v>11</v>
      </c>
      <c r="E206">
        <f ca="1">IF(dict_zuord_Meth_Per[[#This Row],[kval_active]],dict_zuord_Meth_Per[[#This Row],[ID_Persons]],"")</f>
        <v>7</v>
      </c>
    </row>
    <row r="207" spans="1:5" x14ac:dyDescent="0.45">
      <c r="A207">
        <f t="shared" ca="1" si="9"/>
        <v>447</v>
      </c>
      <c r="B207">
        <f t="shared" ca="1" si="10"/>
        <v>17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7">
        <f t="shared" ca="1" si="11"/>
        <v>20</v>
      </c>
      <c r="E207" t="str">
        <f ca="1">IF(dict_zuord_Meth_Per[[#This Row],[kval_active]],dict_zuord_Meth_Per[[#This Row],[ID_Persons]],"")</f>
        <v/>
      </c>
    </row>
    <row r="208" spans="1:5" x14ac:dyDescent="0.45">
      <c r="A208">
        <f t="shared" ca="1" si="9"/>
        <v>328</v>
      </c>
      <c r="B208">
        <f t="shared" ca="1" si="10"/>
        <v>30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8">
        <f t="shared" ca="1" si="11"/>
        <v>23</v>
      </c>
      <c r="E208" t="str">
        <f ca="1">IF(dict_zuord_Meth_Per[[#This Row],[kval_active]],dict_zuord_Meth_Per[[#This Row],[ID_Persons]],"")</f>
        <v/>
      </c>
    </row>
    <row r="209" spans="1:5" x14ac:dyDescent="0.45">
      <c r="A209">
        <f t="shared" ca="1" si="9"/>
        <v>383</v>
      </c>
      <c r="B209">
        <f t="shared" ca="1" si="10"/>
        <v>28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9">
        <f t="shared" ca="1" si="11"/>
        <v>7</v>
      </c>
      <c r="E209" t="str">
        <f ca="1">IF(dict_zuord_Meth_Per[[#This Row],[kval_active]],dict_zuord_Meth_Per[[#This Row],[ID_Persons]],"")</f>
        <v/>
      </c>
    </row>
    <row r="210" spans="1:5" x14ac:dyDescent="0.45">
      <c r="A210">
        <f t="shared" ca="1" si="9"/>
        <v>15</v>
      </c>
      <c r="B210">
        <f t="shared" ca="1" si="10"/>
        <v>16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0">
        <f t="shared" ca="1" si="11"/>
        <v>8</v>
      </c>
      <c r="E210" t="str">
        <f ca="1">IF(dict_zuord_Meth_Per[[#This Row],[kval_active]],dict_zuord_Meth_Per[[#This Row],[ID_Persons]],"")</f>
        <v/>
      </c>
    </row>
    <row r="211" spans="1:5" x14ac:dyDescent="0.45">
      <c r="A211">
        <f t="shared" ca="1" si="9"/>
        <v>216</v>
      </c>
      <c r="B211">
        <f t="shared" ca="1" si="10"/>
        <v>0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1">
        <f t="shared" ca="1" si="11"/>
        <v>11</v>
      </c>
      <c r="E211" t="str">
        <f ca="1">IF(dict_zuord_Meth_Per[[#This Row],[kval_active]],dict_zuord_Meth_Per[[#This Row],[ID_Persons]],"")</f>
        <v/>
      </c>
    </row>
    <row r="212" spans="1:5" x14ac:dyDescent="0.45">
      <c r="A212">
        <f t="shared" ca="1" si="9"/>
        <v>498</v>
      </c>
      <c r="B212">
        <f t="shared" ca="1" si="10"/>
        <v>7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2">
        <f t="shared" ca="1" si="11"/>
        <v>27</v>
      </c>
      <c r="E212" t="str">
        <f ca="1">IF(dict_zuord_Meth_Per[[#This Row],[kval_active]],dict_zuord_Meth_Per[[#This Row],[ID_Persons]],"")</f>
        <v/>
      </c>
    </row>
    <row r="213" spans="1:5" x14ac:dyDescent="0.45">
      <c r="A213">
        <f t="shared" ca="1" si="9"/>
        <v>595</v>
      </c>
      <c r="B213">
        <f t="shared" ca="1" si="10"/>
        <v>27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3">
        <f t="shared" ca="1" si="11"/>
        <v>0</v>
      </c>
      <c r="E213" t="str">
        <f ca="1">IF(dict_zuord_Meth_Per[[#This Row],[kval_active]],dict_zuord_Meth_Per[[#This Row],[ID_Persons]],"")</f>
        <v/>
      </c>
    </row>
    <row r="214" spans="1:5" x14ac:dyDescent="0.45">
      <c r="A214">
        <f t="shared" ca="1" si="9"/>
        <v>102</v>
      </c>
      <c r="B214">
        <f t="shared" ca="1" si="10"/>
        <v>4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4">
        <f t="shared" ca="1" si="11"/>
        <v>24</v>
      </c>
      <c r="E214" t="str">
        <f ca="1">IF(dict_zuord_Meth_Per[[#This Row],[kval_active]],dict_zuord_Meth_Per[[#This Row],[ID_Persons]],"")</f>
        <v/>
      </c>
    </row>
    <row r="215" spans="1:5" x14ac:dyDescent="0.45">
      <c r="A215">
        <f t="shared" ca="1" si="9"/>
        <v>36</v>
      </c>
      <c r="B215">
        <f t="shared" ca="1" si="10"/>
        <v>27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5">
        <f t="shared" ca="1" si="11"/>
        <v>17</v>
      </c>
      <c r="E215" t="str">
        <f ca="1">IF(dict_zuord_Meth_Per[[#This Row],[kval_active]],dict_zuord_Meth_Per[[#This Row],[ID_Persons]],"")</f>
        <v/>
      </c>
    </row>
    <row r="216" spans="1:5" x14ac:dyDescent="0.45">
      <c r="A216">
        <f t="shared" ca="1" si="9"/>
        <v>622</v>
      </c>
      <c r="B216">
        <f t="shared" ca="1" si="10"/>
        <v>24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6">
        <f t="shared" ca="1" si="11"/>
        <v>19</v>
      </c>
      <c r="E216" t="str">
        <f ca="1">IF(dict_zuord_Meth_Per[[#This Row],[kval_active]],dict_zuord_Meth_Per[[#This Row],[ID_Persons]],"")</f>
        <v/>
      </c>
    </row>
    <row r="217" spans="1:5" x14ac:dyDescent="0.45">
      <c r="A217">
        <f t="shared" ca="1" si="9"/>
        <v>584</v>
      </c>
      <c r="B217">
        <f t="shared" ca="1" si="10"/>
        <v>18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7">
        <f t="shared" ca="1" si="11"/>
        <v>16</v>
      </c>
      <c r="E217" t="str">
        <f ca="1">IF(dict_zuord_Meth_Per[[#This Row],[kval_active]],dict_zuord_Meth_Per[[#This Row],[ID_Persons]],"")</f>
        <v/>
      </c>
    </row>
    <row r="218" spans="1:5" x14ac:dyDescent="0.45">
      <c r="A218">
        <f t="shared" ca="1" si="9"/>
        <v>606</v>
      </c>
      <c r="B218">
        <f t="shared" ca="1" si="10"/>
        <v>12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8">
        <f t="shared" ca="1" si="11"/>
        <v>23</v>
      </c>
      <c r="E218" t="str">
        <f ca="1">IF(dict_zuord_Meth_Per[[#This Row],[kval_active]],dict_zuord_Meth_Per[[#This Row],[ID_Persons]],"")</f>
        <v/>
      </c>
    </row>
    <row r="219" spans="1:5" x14ac:dyDescent="0.45">
      <c r="A219">
        <f t="shared" ca="1" si="9"/>
        <v>277</v>
      </c>
      <c r="B219">
        <f t="shared" ca="1" si="10"/>
        <v>26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9">
        <f t="shared" ca="1" si="11"/>
        <v>19</v>
      </c>
      <c r="E219" t="str">
        <f ca="1">IF(dict_zuord_Meth_Per[[#This Row],[kval_active]],dict_zuord_Meth_Per[[#This Row],[ID_Persons]],"")</f>
        <v/>
      </c>
    </row>
    <row r="220" spans="1:5" x14ac:dyDescent="0.45">
      <c r="A220">
        <f t="shared" ca="1" si="9"/>
        <v>361</v>
      </c>
      <c r="B220">
        <f t="shared" ca="1" si="10"/>
        <v>13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0">
        <f t="shared" ca="1" si="11"/>
        <v>30</v>
      </c>
      <c r="E220" t="str">
        <f ca="1">IF(dict_zuord_Meth_Per[[#This Row],[kval_active]],dict_zuord_Meth_Per[[#This Row],[ID_Persons]],"")</f>
        <v/>
      </c>
    </row>
    <row r="221" spans="1:5" x14ac:dyDescent="0.45">
      <c r="A221">
        <f t="shared" ca="1" si="9"/>
        <v>465</v>
      </c>
      <c r="B221">
        <f t="shared" ca="1" si="10"/>
        <v>22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1">
        <f t="shared" ca="1" si="11"/>
        <v>21</v>
      </c>
      <c r="E221" t="str">
        <f ca="1">IF(dict_zuord_Meth_Per[[#This Row],[kval_active]],dict_zuord_Meth_Per[[#This Row],[ID_Persons]],"")</f>
        <v/>
      </c>
    </row>
    <row r="222" spans="1:5" x14ac:dyDescent="0.45">
      <c r="A222">
        <f t="shared" ca="1" si="9"/>
        <v>435</v>
      </c>
      <c r="B222">
        <f t="shared" ca="1" si="10"/>
        <v>21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2">
        <f t="shared" ca="1" si="11"/>
        <v>17</v>
      </c>
      <c r="E222" t="str">
        <f ca="1">IF(dict_zuord_Meth_Per[[#This Row],[kval_active]],dict_zuord_Meth_Per[[#This Row],[ID_Persons]],"")</f>
        <v/>
      </c>
    </row>
    <row r="223" spans="1:5" x14ac:dyDescent="0.45">
      <c r="A223">
        <f t="shared" ca="1" si="9"/>
        <v>570</v>
      </c>
      <c r="B223">
        <f t="shared" ca="1" si="10"/>
        <v>23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3">
        <f t="shared" ca="1" si="11"/>
        <v>6</v>
      </c>
      <c r="E223" t="str">
        <f ca="1">IF(dict_zuord_Meth_Per[[#This Row],[kval_active]],dict_zuord_Meth_Per[[#This Row],[ID_Persons]],"")</f>
        <v/>
      </c>
    </row>
    <row r="224" spans="1:5" x14ac:dyDescent="0.45">
      <c r="A224">
        <f t="shared" ca="1" si="9"/>
        <v>277</v>
      </c>
      <c r="B224">
        <f t="shared" ca="1" si="10"/>
        <v>27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4">
        <f t="shared" ca="1" si="11"/>
        <v>26</v>
      </c>
      <c r="E224" t="str">
        <f ca="1">IF(dict_zuord_Meth_Per[[#This Row],[kval_active]],dict_zuord_Meth_Per[[#This Row],[ID_Persons]],"")</f>
        <v/>
      </c>
    </row>
    <row r="225" spans="1:5" x14ac:dyDescent="0.45">
      <c r="A225">
        <f t="shared" ca="1" si="9"/>
        <v>340</v>
      </c>
      <c r="B225">
        <f t="shared" ca="1" si="10"/>
        <v>15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5">
        <f t="shared" ca="1" si="11"/>
        <v>8</v>
      </c>
      <c r="E225" t="str">
        <f ca="1">IF(dict_zuord_Meth_Per[[#This Row],[kval_active]],dict_zuord_Meth_Per[[#This Row],[ID_Persons]],"")</f>
        <v/>
      </c>
    </row>
    <row r="226" spans="1:5" x14ac:dyDescent="0.45">
      <c r="A226">
        <f t="shared" ca="1" si="9"/>
        <v>64</v>
      </c>
      <c r="B226">
        <f t="shared" ca="1" si="10"/>
        <v>26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6">
        <f t="shared" ca="1" si="11"/>
        <v>4</v>
      </c>
      <c r="E226" t="str">
        <f ca="1">IF(dict_zuord_Meth_Per[[#This Row],[kval_active]],dict_zuord_Meth_Per[[#This Row],[ID_Persons]],"")</f>
        <v/>
      </c>
    </row>
    <row r="227" spans="1:5" x14ac:dyDescent="0.45">
      <c r="A227">
        <f t="shared" ca="1" si="9"/>
        <v>46</v>
      </c>
      <c r="B227">
        <f t="shared" ca="1" si="10"/>
        <v>22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7">
        <f t="shared" ca="1" si="11"/>
        <v>26</v>
      </c>
      <c r="E227" t="str">
        <f ca="1">IF(dict_zuord_Meth_Per[[#This Row],[kval_active]],dict_zuord_Meth_Per[[#This Row],[ID_Persons]],"")</f>
        <v/>
      </c>
    </row>
    <row r="228" spans="1:5" x14ac:dyDescent="0.45">
      <c r="A228">
        <f t="shared" ca="1" si="9"/>
        <v>142</v>
      </c>
      <c r="B228">
        <f t="shared" ca="1" si="10"/>
        <v>27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8">
        <f t="shared" ca="1" si="11"/>
        <v>16</v>
      </c>
      <c r="E228" t="str">
        <f ca="1">IF(dict_zuord_Meth_Per[[#This Row],[kval_active]],dict_zuord_Meth_Per[[#This Row],[ID_Persons]],"")</f>
        <v/>
      </c>
    </row>
    <row r="229" spans="1:5" x14ac:dyDescent="0.45">
      <c r="A229">
        <f t="shared" ca="1" si="9"/>
        <v>24</v>
      </c>
      <c r="B229">
        <f t="shared" ca="1" si="10"/>
        <v>27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9">
        <f t="shared" ca="1" si="11"/>
        <v>6</v>
      </c>
      <c r="E229">
        <f ca="1">IF(dict_zuord_Meth_Per[[#This Row],[kval_active]],dict_zuord_Meth_Per[[#This Row],[ID_Persons]],"")</f>
        <v>27</v>
      </c>
    </row>
    <row r="230" spans="1:5" x14ac:dyDescent="0.45">
      <c r="A230">
        <f t="shared" ca="1" si="9"/>
        <v>35</v>
      </c>
      <c r="B230">
        <f t="shared" ca="1" si="10"/>
        <v>4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0">
        <f t="shared" ca="1" si="11"/>
        <v>25</v>
      </c>
      <c r="E230" t="str">
        <f ca="1">IF(dict_zuord_Meth_Per[[#This Row],[kval_active]],dict_zuord_Meth_Per[[#This Row],[ID_Persons]],"")</f>
        <v/>
      </c>
    </row>
    <row r="231" spans="1:5" x14ac:dyDescent="0.45">
      <c r="A231">
        <f t="shared" ca="1" si="9"/>
        <v>100</v>
      </c>
      <c r="B231">
        <f t="shared" ca="1" si="10"/>
        <v>16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1">
        <f t="shared" ca="1" si="11"/>
        <v>9</v>
      </c>
      <c r="E231">
        <f ca="1">IF(dict_zuord_Meth_Per[[#This Row],[kval_active]],dict_zuord_Meth_Per[[#This Row],[ID_Persons]],"")</f>
        <v>16</v>
      </c>
    </row>
    <row r="232" spans="1:5" x14ac:dyDescent="0.45">
      <c r="A232">
        <f t="shared" ca="1" si="9"/>
        <v>253</v>
      </c>
      <c r="B232">
        <f t="shared" ca="1" si="10"/>
        <v>4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2">
        <f t="shared" ca="1" si="11"/>
        <v>10</v>
      </c>
      <c r="E232" t="str">
        <f ca="1">IF(dict_zuord_Meth_Per[[#This Row],[kval_active]],dict_zuord_Meth_Per[[#This Row],[ID_Persons]],"")</f>
        <v/>
      </c>
    </row>
    <row r="233" spans="1:5" x14ac:dyDescent="0.45">
      <c r="A233">
        <f t="shared" ca="1" si="9"/>
        <v>211</v>
      </c>
      <c r="B233">
        <f t="shared" ca="1" si="10"/>
        <v>22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3">
        <f t="shared" ca="1" si="11"/>
        <v>22</v>
      </c>
      <c r="E233" t="str">
        <f ca="1">IF(dict_zuord_Meth_Per[[#This Row],[kval_active]],dict_zuord_Meth_Per[[#This Row],[ID_Persons]],"")</f>
        <v/>
      </c>
    </row>
    <row r="234" spans="1:5" x14ac:dyDescent="0.45">
      <c r="A234">
        <f t="shared" ca="1" si="9"/>
        <v>330</v>
      </c>
      <c r="B234">
        <f t="shared" ca="1" si="10"/>
        <v>4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4">
        <f t="shared" ca="1" si="11"/>
        <v>11</v>
      </c>
      <c r="E234" t="str">
        <f ca="1">IF(dict_zuord_Meth_Per[[#This Row],[kval_active]],dict_zuord_Meth_Per[[#This Row],[ID_Persons]],"")</f>
        <v/>
      </c>
    </row>
    <row r="235" spans="1:5" x14ac:dyDescent="0.45">
      <c r="A235">
        <f t="shared" ca="1" si="9"/>
        <v>143</v>
      </c>
      <c r="B235">
        <f t="shared" ca="1" si="10"/>
        <v>29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5">
        <f t="shared" ca="1" si="11"/>
        <v>22</v>
      </c>
      <c r="E235" t="str">
        <f ca="1">IF(dict_zuord_Meth_Per[[#This Row],[kval_active]],dict_zuord_Meth_Per[[#This Row],[ID_Persons]],"")</f>
        <v/>
      </c>
    </row>
    <row r="236" spans="1:5" x14ac:dyDescent="0.45">
      <c r="A236">
        <f t="shared" ca="1" si="9"/>
        <v>655</v>
      </c>
      <c r="B236">
        <f t="shared" ca="1" si="10"/>
        <v>26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6">
        <f t="shared" ca="1" si="11"/>
        <v>18</v>
      </c>
      <c r="E236" t="str">
        <f ca="1">IF(dict_zuord_Meth_Per[[#This Row],[kval_active]],dict_zuord_Meth_Per[[#This Row],[ID_Persons]],"")</f>
        <v/>
      </c>
    </row>
    <row r="237" spans="1:5" x14ac:dyDescent="0.45">
      <c r="A237">
        <f t="shared" ca="1" si="9"/>
        <v>89</v>
      </c>
      <c r="B237">
        <f t="shared" ca="1" si="10"/>
        <v>10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7">
        <f t="shared" ca="1" si="11"/>
        <v>1</v>
      </c>
      <c r="E237" t="str">
        <f ca="1">IF(dict_zuord_Meth_Per[[#This Row],[kval_active]],dict_zuord_Meth_Per[[#This Row],[ID_Persons]],"")</f>
        <v/>
      </c>
    </row>
    <row r="238" spans="1:5" x14ac:dyDescent="0.45">
      <c r="A238">
        <f t="shared" ca="1" si="9"/>
        <v>501</v>
      </c>
      <c r="B238">
        <f t="shared" ca="1" si="10"/>
        <v>8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8">
        <f t="shared" ca="1" si="11"/>
        <v>26</v>
      </c>
      <c r="E238" t="str">
        <f ca="1">IF(dict_zuord_Meth_Per[[#This Row],[kval_active]],dict_zuord_Meth_Per[[#This Row],[ID_Persons]],"")</f>
        <v/>
      </c>
    </row>
    <row r="239" spans="1:5" x14ac:dyDescent="0.45">
      <c r="A239">
        <f t="shared" ca="1" si="9"/>
        <v>530</v>
      </c>
      <c r="B239">
        <f t="shared" ca="1" si="10"/>
        <v>28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9">
        <f t="shared" ca="1" si="11"/>
        <v>10</v>
      </c>
      <c r="E239" t="str">
        <f ca="1">IF(dict_zuord_Meth_Per[[#This Row],[kval_active]],dict_zuord_Meth_Per[[#This Row],[ID_Persons]],"")</f>
        <v/>
      </c>
    </row>
    <row r="240" spans="1:5" x14ac:dyDescent="0.45">
      <c r="A240">
        <f t="shared" ca="1" si="9"/>
        <v>167</v>
      </c>
      <c r="B240">
        <f t="shared" ca="1" si="10"/>
        <v>1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0">
        <f t="shared" ca="1" si="11"/>
        <v>3</v>
      </c>
      <c r="E240" t="str">
        <f ca="1">IF(dict_zuord_Meth_Per[[#This Row],[kval_active]],dict_zuord_Meth_Per[[#This Row],[ID_Persons]],"")</f>
        <v/>
      </c>
    </row>
    <row r="241" spans="1:5" x14ac:dyDescent="0.45">
      <c r="A241">
        <f t="shared" ca="1" si="9"/>
        <v>160</v>
      </c>
      <c r="B241">
        <f t="shared" ca="1" si="10"/>
        <v>10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1">
        <f t="shared" ca="1" si="11"/>
        <v>13</v>
      </c>
      <c r="E241" t="str">
        <f ca="1">IF(dict_zuord_Meth_Per[[#This Row],[kval_active]],dict_zuord_Meth_Per[[#This Row],[ID_Persons]],"")</f>
        <v/>
      </c>
    </row>
    <row r="242" spans="1:5" x14ac:dyDescent="0.45">
      <c r="A242">
        <f t="shared" ca="1" si="9"/>
        <v>646</v>
      </c>
      <c r="B242">
        <f t="shared" ca="1" si="10"/>
        <v>8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2">
        <f t="shared" ca="1" si="11"/>
        <v>4</v>
      </c>
      <c r="E242" t="str">
        <f ca="1">IF(dict_zuord_Meth_Per[[#This Row],[kval_active]],dict_zuord_Meth_Per[[#This Row],[ID_Persons]],"")</f>
        <v/>
      </c>
    </row>
    <row r="243" spans="1:5" x14ac:dyDescent="0.45">
      <c r="A243">
        <f t="shared" ca="1" si="9"/>
        <v>88</v>
      </c>
      <c r="B243">
        <f t="shared" ca="1" si="10"/>
        <v>6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3">
        <f t="shared" ca="1" si="11"/>
        <v>30</v>
      </c>
      <c r="E243" t="str">
        <f ca="1">IF(dict_zuord_Meth_Per[[#This Row],[kval_active]],dict_zuord_Meth_Per[[#This Row],[ID_Persons]],"")</f>
        <v/>
      </c>
    </row>
    <row r="244" spans="1:5" x14ac:dyDescent="0.45">
      <c r="A244">
        <f t="shared" ca="1" si="9"/>
        <v>95</v>
      </c>
      <c r="B244">
        <f t="shared" ca="1" si="10"/>
        <v>1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4">
        <f t="shared" ca="1" si="11"/>
        <v>22</v>
      </c>
      <c r="E244" t="str">
        <f ca="1">IF(dict_zuord_Meth_Per[[#This Row],[kval_active]],dict_zuord_Meth_Per[[#This Row],[ID_Persons]],"")</f>
        <v/>
      </c>
    </row>
    <row r="245" spans="1:5" x14ac:dyDescent="0.45">
      <c r="A245">
        <f t="shared" ca="1" si="9"/>
        <v>419</v>
      </c>
      <c r="B245">
        <f t="shared" ca="1" si="10"/>
        <v>30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5">
        <f t="shared" ca="1" si="11"/>
        <v>16</v>
      </c>
      <c r="E245" t="str">
        <f ca="1">IF(dict_zuord_Meth_Per[[#This Row],[kval_active]],dict_zuord_Meth_Per[[#This Row],[ID_Persons]],"")</f>
        <v/>
      </c>
    </row>
    <row r="246" spans="1:5" x14ac:dyDescent="0.45">
      <c r="A246">
        <f t="shared" ca="1" si="9"/>
        <v>334</v>
      </c>
      <c r="B246">
        <f t="shared" ca="1" si="10"/>
        <v>4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6">
        <f t="shared" ca="1" si="11"/>
        <v>13</v>
      </c>
      <c r="E246" t="str">
        <f ca="1">IF(dict_zuord_Meth_Per[[#This Row],[kval_active]],dict_zuord_Meth_Per[[#This Row],[ID_Persons]],"")</f>
        <v/>
      </c>
    </row>
    <row r="247" spans="1:5" x14ac:dyDescent="0.45">
      <c r="A247">
        <f t="shared" ca="1" si="9"/>
        <v>667</v>
      </c>
      <c r="B247">
        <f t="shared" ca="1" si="10"/>
        <v>22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7">
        <f t="shared" ca="1" si="11"/>
        <v>3</v>
      </c>
      <c r="E247" t="str">
        <f ca="1">IF(dict_zuord_Meth_Per[[#This Row],[kval_active]],dict_zuord_Meth_Per[[#This Row],[ID_Persons]],"")</f>
        <v/>
      </c>
    </row>
    <row r="248" spans="1:5" x14ac:dyDescent="0.45">
      <c r="A248">
        <f t="shared" ca="1" si="9"/>
        <v>26</v>
      </c>
      <c r="B248">
        <f t="shared" ca="1" si="10"/>
        <v>8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8">
        <f t="shared" ca="1" si="11"/>
        <v>11</v>
      </c>
      <c r="E248" t="str">
        <f ca="1">IF(dict_zuord_Meth_Per[[#This Row],[kval_active]],dict_zuord_Meth_Per[[#This Row],[ID_Persons]],"")</f>
        <v/>
      </c>
    </row>
    <row r="249" spans="1:5" x14ac:dyDescent="0.45">
      <c r="A249">
        <f t="shared" ca="1" si="9"/>
        <v>672</v>
      </c>
      <c r="B249">
        <f t="shared" ca="1" si="10"/>
        <v>29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9">
        <f t="shared" ca="1" si="11"/>
        <v>30</v>
      </c>
      <c r="E249" t="str">
        <f ca="1">IF(dict_zuord_Meth_Per[[#This Row],[kval_active]],dict_zuord_Meth_Per[[#This Row],[ID_Persons]],"")</f>
        <v/>
      </c>
    </row>
    <row r="250" spans="1:5" x14ac:dyDescent="0.45">
      <c r="A250">
        <f t="shared" ca="1" si="9"/>
        <v>308</v>
      </c>
      <c r="B250">
        <f t="shared" ca="1" si="10"/>
        <v>3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0">
        <f t="shared" ca="1" si="11"/>
        <v>14</v>
      </c>
      <c r="E250" t="str">
        <f ca="1">IF(dict_zuord_Meth_Per[[#This Row],[kval_active]],dict_zuord_Meth_Per[[#This Row],[ID_Persons]],"")</f>
        <v/>
      </c>
    </row>
    <row r="251" spans="1:5" x14ac:dyDescent="0.45">
      <c r="A251">
        <f t="shared" ca="1" si="9"/>
        <v>17</v>
      </c>
      <c r="B251">
        <f t="shared" ca="1" si="10"/>
        <v>25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1">
        <f t="shared" ca="1" si="11"/>
        <v>3</v>
      </c>
      <c r="E251" t="str">
        <f ca="1">IF(dict_zuord_Meth_Per[[#This Row],[kval_active]],dict_zuord_Meth_Per[[#This Row],[ID_Persons]],"")</f>
        <v/>
      </c>
    </row>
    <row r="252" spans="1:5" x14ac:dyDescent="0.45">
      <c r="A252">
        <f t="shared" ca="1" si="9"/>
        <v>238</v>
      </c>
      <c r="B252">
        <f t="shared" ca="1" si="10"/>
        <v>22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2">
        <f t="shared" ca="1" si="11"/>
        <v>6</v>
      </c>
      <c r="E252" t="str">
        <f ca="1">IF(dict_zuord_Meth_Per[[#This Row],[kval_active]],dict_zuord_Meth_Per[[#This Row],[ID_Persons]],"")</f>
        <v/>
      </c>
    </row>
    <row r="253" spans="1:5" x14ac:dyDescent="0.45">
      <c r="A253">
        <f t="shared" ca="1" si="9"/>
        <v>103</v>
      </c>
      <c r="B253">
        <f t="shared" ca="1" si="10"/>
        <v>4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3">
        <f t="shared" ca="1" si="11"/>
        <v>4</v>
      </c>
      <c r="E253" t="str">
        <f ca="1">IF(dict_zuord_Meth_Per[[#This Row],[kval_active]],dict_zuord_Meth_Per[[#This Row],[ID_Persons]],"")</f>
        <v/>
      </c>
    </row>
    <row r="254" spans="1:5" x14ac:dyDescent="0.45">
      <c r="A254">
        <f t="shared" ca="1" si="9"/>
        <v>171</v>
      </c>
      <c r="B254">
        <f t="shared" ca="1" si="10"/>
        <v>26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4">
        <f t="shared" ca="1" si="11"/>
        <v>11</v>
      </c>
      <c r="E254" t="str">
        <f ca="1">IF(dict_zuord_Meth_Per[[#This Row],[kval_active]],dict_zuord_Meth_Per[[#This Row],[ID_Persons]],"")</f>
        <v/>
      </c>
    </row>
    <row r="255" spans="1:5" x14ac:dyDescent="0.45">
      <c r="A255">
        <f t="shared" ca="1" si="9"/>
        <v>334</v>
      </c>
      <c r="B255">
        <f t="shared" ca="1" si="10"/>
        <v>21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5">
        <f t="shared" ca="1" si="11"/>
        <v>22</v>
      </c>
      <c r="E255" t="str">
        <f ca="1">IF(dict_zuord_Meth_Per[[#This Row],[kval_active]],dict_zuord_Meth_Per[[#This Row],[ID_Persons]],"")</f>
        <v/>
      </c>
    </row>
    <row r="256" spans="1:5" x14ac:dyDescent="0.45">
      <c r="A256">
        <f t="shared" ca="1" si="9"/>
        <v>682</v>
      </c>
      <c r="B256">
        <f t="shared" ca="1" si="10"/>
        <v>10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6">
        <f t="shared" ca="1" si="11"/>
        <v>29</v>
      </c>
      <c r="E256" t="str">
        <f ca="1">IF(dict_zuord_Meth_Per[[#This Row],[kval_active]],dict_zuord_Meth_Per[[#This Row],[ID_Persons]],"")</f>
        <v/>
      </c>
    </row>
    <row r="257" spans="1:5" x14ac:dyDescent="0.45">
      <c r="A257">
        <f t="shared" ca="1" si="9"/>
        <v>584</v>
      </c>
      <c r="B257">
        <f t="shared" ca="1" si="10"/>
        <v>9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7">
        <f t="shared" ca="1" si="11"/>
        <v>11</v>
      </c>
      <c r="E257" t="str">
        <f ca="1">IF(dict_zuord_Meth_Per[[#This Row],[kval_active]],dict_zuord_Meth_Per[[#This Row],[ID_Persons]],"")</f>
        <v/>
      </c>
    </row>
    <row r="258" spans="1:5" x14ac:dyDescent="0.45">
      <c r="A258">
        <f t="shared" ref="A258:A321" ca="1" si="12">RANDBETWEEN(0,700)</f>
        <v>615</v>
      </c>
      <c r="B258">
        <f t="shared" ref="B258:B321" ca="1" si="13">RANDBETWEEN(0,30)</f>
        <v>21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8">
        <f t="shared" ref="D258:D321" ca="1" si="14">RANDBETWEEN(0,30)</f>
        <v>7</v>
      </c>
      <c r="E258" t="str">
        <f ca="1">IF(dict_zuord_Meth_Per[[#This Row],[kval_active]],dict_zuord_Meth_Per[[#This Row],[ID_Persons]],"")</f>
        <v/>
      </c>
    </row>
    <row r="259" spans="1:5" x14ac:dyDescent="0.45">
      <c r="A259">
        <f t="shared" ca="1" si="12"/>
        <v>199</v>
      </c>
      <c r="B259">
        <f t="shared" ca="1" si="13"/>
        <v>23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9">
        <f t="shared" ca="1" si="14"/>
        <v>0</v>
      </c>
      <c r="E259" t="str">
        <f ca="1">IF(dict_zuord_Meth_Per[[#This Row],[kval_active]],dict_zuord_Meth_Per[[#This Row],[ID_Persons]],"")</f>
        <v/>
      </c>
    </row>
    <row r="260" spans="1:5" x14ac:dyDescent="0.45">
      <c r="A260">
        <f t="shared" ca="1" si="12"/>
        <v>602</v>
      </c>
      <c r="B260">
        <f t="shared" ca="1" si="13"/>
        <v>7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0">
        <f t="shared" ca="1" si="14"/>
        <v>9</v>
      </c>
      <c r="E260" t="str">
        <f ca="1">IF(dict_zuord_Meth_Per[[#This Row],[kval_active]],dict_zuord_Meth_Per[[#This Row],[ID_Persons]],"")</f>
        <v/>
      </c>
    </row>
    <row r="261" spans="1:5" x14ac:dyDescent="0.45">
      <c r="A261">
        <f t="shared" ca="1" si="12"/>
        <v>249</v>
      </c>
      <c r="B261">
        <f t="shared" ca="1" si="13"/>
        <v>4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1">
        <f t="shared" ca="1" si="14"/>
        <v>13</v>
      </c>
      <c r="E261" t="str">
        <f ca="1">IF(dict_zuord_Meth_Per[[#This Row],[kval_active]],dict_zuord_Meth_Per[[#This Row],[ID_Persons]],"")</f>
        <v/>
      </c>
    </row>
    <row r="262" spans="1:5" x14ac:dyDescent="0.45">
      <c r="A262">
        <f t="shared" ca="1" si="12"/>
        <v>211</v>
      </c>
      <c r="B262">
        <f t="shared" ca="1" si="13"/>
        <v>0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2">
        <f t="shared" ca="1" si="14"/>
        <v>2</v>
      </c>
      <c r="E262" t="str">
        <f ca="1">IF(dict_zuord_Meth_Per[[#This Row],[kval_active]],dict_zuord_Meth_Per[[#This Row],[ID_Persons]],"")</f>
        <v/>
      </c>
    </row>
    <row r="263" spans="1:5" x14ac:dyDescent="0.45">
      <c r="A263">
        <f t="shared" ca="1" si="12"/>
        <v>19</v>
      </c>
      <c r="B263">
        <f t="shared" ca="1" si="13"/>
        <v>8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3">
        <f t="shared" ca="1" si="14"/>
        <v>11</v>
      </c>
      <c r="E263" t="str">
        <f ca="1">IF(dict_zuord_Meth_Per[[#This Row],[kval_active]],dict_zuord_Meth_Per[[#This Row],[ID_Persons]],"")</f>
        <v/>
      </c>
    </row>
    <row r="264" spans="1:5" x14ac:dyDescent="0.45">
      <c r="A264">
        <f t="shared" ca="1" si="12"/>
        <v>621</v>
      </c>
      <c r="B264">
        <f t="shared" ca="1" si="13"/>
        <v>22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4">
        <f t="shared" ca="1" si="14"/>
        <v>6</v>
      </c>
      <c r="E264" t="str">
        <f ca="1">IF(dict_zuord_Meth_Per[[#This Row],[kval_active]],dict_zuord_Meth_Per[[#This Row],[ID_Persons]],"")</f>
        <v/>
      </c>
    </row>
    <row r="265" spans="1:5" x14ac:dyDescent="0.45">
      <c r="A265">
        <f t="shared" ca="1" si="12"/>
        <v>0</v>
      </c>
      <c r="B265">
        <f t="shared" ca="1" si="13"/>
        <v>2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5">
        <f t="shared" ca="1" si="14"/>
        <v>18</v>
      </c>
      <c r="E265" t="str">
        <f ca="1">IF(dict_zuord_Meth_Per[[#This Row],[kval_active]],dict_zuord_Meth_Per[[#This Row],[ID_Persons]],"")</f>
        <v/>
      </c>
    </row>
    <row r="266" spans="1:5" x14ac:dyDescent="0.45">
      <c r="A266">
        <f t="shared" ca="1" si="12"/>
        <v>115</v>
      </c>
      <c r="B266">
        <f t="shared" ca="1" si="13"/>
        <v>9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6">
        <f t="shared" ca="1" si="14"/>
        <v>26</v>
      </c>
      <c r="E266" t="str">
        <f ca="1">IF(dict_zuord_Meth_Per[[#This Row],[kval_active]],dict_zuord_Meth_Per[[#This Row],[ID_Persons]],"")</f>
        <v/>
      </c>
    </row>
    <row r="267" spans="1:5" x14ac:dyDescent="0.45">
      <c r="A267">
        <f t="shared" ca="1" si="12"/>
        <v>233</v>
      </c>
      <c r="B267">
        <f t="shared" ca="1" si="13"/>
        <v>14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7">
        <f t="shared" ca="1" si="14"/>
        <v>22</v>
      </c>
      <c r="E267" t="str">
        <f ca="1">IF(dict_zuord_Meth_Per[[#This Row],[kval_active]],dict_zuord_Meth_Per[[#This Row],[ID_Persons]],"")</f>
        <v/>
      </c>
    </row>
    <row r="268" spans="1:5" x14ac:dyDescent="0.45">
      <c r="A268">
        <f t="shared" ca="1" si="12"/>
        <v>63</v>
      </c>
      <c r="B268">
        <f t="shared" ca="1" si="13"/>
        <v>20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8">
        <f t="shared" ca="1" si="14"/>
        <v>8</v>
      </c>
      <c r="E268" t="str">
        <f ca="1">IF(dict_zuord_Meth_Per[[#This Row],[kval_active]],dict_zuord_Meth_Per[[#This Row],[ID_Persons]],"")</f>
        <v/>
      </c>
    </row>
    <row r="269" spans="1:5" x14ac:dyDescent="0.45">
      <c r="A269">
        <f t="shared" ca="1" si="12"/>
        <v>263</v>
      </c>
      <c r="B269">
        <f t="shared" ca="1" si="13"/>
        <v>30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9">
        <f t="shared" ca="1" si="14"/>
        <v>8</v>
      </c>
      <c r="E269" t="str">
        <f ca="1">IF(dict_zuord_Meth_Per[[#This Row],[kval_active]],dict_zuord_Meth_Per[[#This Row],[ID_Persons]],"")</f>
        <v/>
      </c>
    </row>
    <row r="270" spans="1:5" x14ac:dyDescent="0.45">
      <c r="A270">
        <f t="shared" ca="1" si="12"/>
        <v>468</v>
      </c>
      <c r="B270">
        <f t="shared" ca="1" si="13"/>
        <v>20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0">
        <f t="shared" ca="1" si="14"/>
        <v>11</v>
      </c>
      <c r="E270" t="str">
        <f ca="1">IF(dict_zuord_Meth_Per[[#This Row],[kval_active]],dict_zuord_Meth_Per[[#This Row],[ID_Persons]],"")</f>
        <v/>
      </c>
    </row>
    <row r="271" spans="1:5" x14ac:dyDescent="0.45">
      <c r="A271">
        <f t="shared" ca="1" si="12"/>
        <v>538</v>
      </c>
      <c r="B271">
        <f t="shared" ca="1" si="13"/>
        <v>7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1">
        <f t="shared" ca="1" si="14"/>
        <v>20</v>
      </c>
      <c r="E271" t="str">
        <f ca="1">IF(dict_zuord_Meth_Per[[#This Row],[kval_active]],dict_zuord_Meth_Per[[#This Row],[ID_Persons]],"")</f>
        <v/>
      </c>
    </row>
    <row r="272" spans="1:5" x14ac:dyDescent="0.45">
      <c r="A272">
        <f t="shared" ca="1" si="12"/>
        <v>676</v>
      </c>
      <c r="B272">
        <f t="shared" ca="1" si="13"/>
        <v>2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2">
        <f t="shared" ca="1" si="14"/>
        <v>9</v>
      </c>
      <c r="E272" t="str">
        <f ca="1">IF(dict_zuord_Meth_Per[[#This Row],[kval_active]],dict_zuord_Meth_Per[[#This Row],[ID_Persons]],"")</f>
        <v/>
      </c>
    </row>
    <row r="273" spans="1:5" x14ac:dyDescent="0.45">
      <c r="A273">
        <f t="shared" ca="1" si="12"/>
        <v>677</v>
      </c>
      <c r="B273">
        <f t="shared" ca="1" si="13"/>
        <v>3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3">
        <f t="shared" ca="1" si="14"/>
        <v>13</v>
      </c>
      <c r="E273" t="str">
        <f ca="1">IF(dict_zuord_Meth_Per[[#This Row],[kval_active]],dict_zuord_Meth_Per[[#This Row],[ID_Persons]],"")</f>
        <v/>
      </c>
    </row>
    <row r="274" spans="1:5" x14ac:dyDescent="0.45">
      <c r="A274">
        <f t="shared" ca="1" si="12"/>
        <v>341</v>
      </c>
      <c r="B274">
        <f t="shared" ca="1" si="13"/>
        <v>5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4">
        <f t="shared" ca="1" si="14"/>
        <v>5</v>
      </c>
      <c r="E274" t="str">
        <f ca="1">IF(dict_zuord_Meth_Per[[#This Row],[kval_active]],dict_zuord_Meth_Per[[#This Row],[ID_Persons]],"")</f>
        <v/>
      </c>
    </row>
    <row r="275" spans="1:5" x14ac:dyDescent="0.45">
      <c r="A275">
        <f t="shared" ca="1" si="12"/>
        <v>546</v>
      </c>
      <c r="B275">
        <f t="shared" ca="1" si="13"/>
        <v>18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5">
        <f t="shared" ca="1" si="14"/>
        <v>8</v>
      </c>
      <c r="E275" t="str">
        <f ca="1">IF(dict_zuord_Meth_Per[[#This Row],[kval_active]],dict_zuord_Meth_Per[[#This Row],[ID_Persons]],"")</f>
        <v/>
      </c>
    </row>
    <row r="276" spans="1:5" x14ac:dyDescent="0.45">
      <c r="A276">
        <f t="shared" ca="1" si="12"/>
        <v>427</v>
      </c>
      <c r="B276">
        <f t="shared" ca="1" si="13"/>
        <v>1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6">
        <f t="shared" ca="1" si="14"/>
        <v>1</v>
      </c>
      <c r="E276" t="str">
        <f ca="1">IF(dict_zuord_Meth_Per[[#This Row],[kval_active]],dict_zuord_Meth_Per[[#This Row],[ID_Persons]],"")</f>
        <v/>
      </c>
    </row>
    <row r="277" spans="1:5" x14ac:dyDescent="0.45">
      <c r="A277">
        <f t="shared" ca="1" si="12"/>
        <v>378</v>
      </c>
      <c r="B277">
        <f t="shared" ca="1" si="13"/>
        <v>8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7">
        <f t="shared" ca="1" si="14"/>
        <v>0</v>
      </c>
      <c r="E277">
        <f ca="1">IF(dict_zuord_Meth_Per[[#This Row],[kval_active]],dict_zuord_Meth_Per[[#This Row],[ID_Persons]],"")</f>
        <v>8</v>
      </c>
    </row>
    <row r="278" spans="1:5" x14ac:dyDescent="0.45">
      <c r="A278">
        <f t="shared" ca="1" si="12"/>
        <v>28</v>
      </c>
      <c r="B278">
        <f t="shared" ca="1" si="13"/>
        <v>21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8">
        <f t="shared" ca="1" si="14"/>
        <v>26</v>
      </c>
      <c r="E278" t="str">
        <f ca="1">IF(dict_zuord_Meth_Per[[#This Row],[kval_active]],dict_zuord_Meth_Per[[#This Row],[ID_Persons]],"")</f>
        <v/>
      </c>
    </row>
    <row r="279" spans="1:5" x14ac:dyDescent="0.45">
      <c r="A279">
        <f t="shared" ca="1" si="12"/>
        <v>308</v>
      </c>
      <c r="B279">
        <f t="shared" ca="1" si="13"/>
        <v>14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9">
        <f t="shared" ca="1" si="14"/>
        <v>29</v>
      </c>
      <c r="E279" t="str">
        <f ca="1">IF(dict_zuord_Meth_Per[[#This Row],[kval_active]],dict_zuord_Meth_Per[[#This Row],[ID_Persons]],"")</f>
        <v/>
      </c>
    </row>
    <row r="280" spans="1:5" x14ac:dyDescent="0.45">
      <c r="A280">
        <f t="shared" ca="1" si="12"/>
        <v>674</v>
      </c>
      <c r="B280">
        <f t="shared" ca="1" si="13"/>
        <v>17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0">
        <f t="shared" ca="1" si="14"/>
        <v>8</v>
      </c>
      <c r="E280">
        <f ca="1">IF(dict_zuord_Meth_Per[[#This Row],[kval_active]],dict_zuord_Meth_Per[[#This Row],[ID_Persons]],"")</f>
        <v>17</v>
      </c>
    </row>
    <row r="281" spans="1:5" x14ac:dyDescent="0.45">
      <c r="A281">
        <f t="shared" ca="1" si="12"/>
        <v>160</v>
      </c>
      <c r="B281">
        <f t="shared" ca="1" si="13"/>
        <v>28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1">
        <f t="shared" ca="1" si="14"/>
        <v>3</v>
      </c>
      <c r="E281" t="str">
        <f ca="1">IF(dict_zuord_Meth_Per[[#This Row],[kval_active]],dict_zuord_Meth_Per[[#This Row],[ID_Persons]],"")</f>
        <v/>
      </c>
    </row>
    <row r="282" spans="1:5" x14ac:dyDescent="0.45">
      <c r="A282">
        <f t="shared" ca="1" si="12"/>
        <v>10</v>
      </c>
      <c r="B282">
        <f t="shared" ca="1" si="13"/>
        <v>10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2">
        <f t="shared" ca="1" si="14"/>
        <v>13</v>
      </c>
      <c r="E282" t="str">
        <f ca="1">IF(dict_zuord_Meth_Per[[#This Row],[kval_active]],dict_zuord_Meth_Per[[#This Row],[ID_Persons]],"")</f>
        <v/>
      </c>
    </row>
    <row r="283" spans="1:5" x14ac:dyDescent="0.45">
      <c r="A283">
        <f t="shared" ca="1" si="12"/>
        <v>408</v>
      </c>
      <c r="B283">
        <f t="shared" ca="1" si="13"/>
        <v>19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3">
        <f t="shared" ca="1" si="14"/>
        <v>22</v>
      </c>
      <c r="E283" t="str">
        <f ca="1">IF(dict_zuord_Meth_Per[[#This Row],[kval_active]],dict_zuord_Meth_Per[[#This Row],[ID_Persons]],"")</f>
        <v/>
      </c>
    </row>
    <row r="284" spans="1:5" x14ac:dyDescent="0.45">
      <c r="A284">
        <f t="shared" ca="1" si="12"/>
        <v>158</v>
      </c>
      <c r="B284">
        <f t="shared" ca="1" si="13"/>
        <v>22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4">
        <f t="shared" ca="1" si="14"/>
        <v>7</v>
      </c>
      <c r="E284" t="str">
        <f ca="1">IF(dict_zuord_Meth_Per[[#This Row],[kval_active]],dict_zuord_Meth_Per[[#This Row],[ID_Persons]],"")</f>
        <v/>
      </c>
    </row>
    <row r="285" spans="1:5" x14ac:dyDescent="0.45">
      <c r="A285">
        <f t="shared" ca="1" si="12"/>
        <v>111</v>
      </c>
      <c r="B285">
        <f t="shared" ca="1" si="13"/>
        <v>7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5">
        <f t="shared" ca="1" si="14"/>
        <v>11</v>
      </c>
      <c r="E285" t="str">
        <f ca="1">IF(dict_zuord_Meth_Per[[#This Row],[kval_active]],dict_zuord_Meth_Per[[#This Row],[ID_Persons]],"")</f>
        <v/>
      </c>
    </row>
    <row r="286" spans="1:5" x14ac:dyDescent="0.45">
      <c r="A286">
        <f t="shared" ca="1" si="12"/>
        <v>287</v>
      </c>
      <c r="B286">
        <f t="shared" ca="1" si="13"/>
        <v>9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6">
        <f t="shared" ca="1" si="14"/>
        <v>29</v>
      </c>
      <c r="E286" t="str">
        <f ca="1">IF(dict_zuord_Meth_Per[[#This Row],[kval_active]],dict_zuord_Meth_Per[[#This Row],[ID_Persons]],"")</f>
        <v/>
      </c>
    </row>
    <row r="287" spans="1:5" x14ac:dyDescent="0.45">
      <c r="A287">
        <f t="shared" ca="1" si="12"/>
        <v>263</v>
      </c>
      <c r="B287">
        <f t="shared" ca="1" si="13"/>
        <v>4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7">
        <f t="shared" ca="1" si="14"/>
        <v>29</v>
      </c>
      <c r="E287" t="str">
        <f ca="1">IF(dict_zuord_Meth_Per[[#This Row],[kval_active]],dict_zuord_Meth_Per[[#This Row],[ID_Persons]],"")</f>
        <v/>
      </c>
    </row>
    <row r="288" spans="1:5" x14ac:dyDescent="0.45">
      <c r="A288">
        <f t="shared" ca="1" si="12"/>
        <v>273</v>
      </c>
      <c r="B288">
        <f t="shared" ca="1" si="13"/>
        <v>29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8">
        <f t="shared" ca="1" si="14"/>
        <v>3</v>
      </c>
      <c r="E288" t="str">
        <f ca="1">IF(dict_zuord_Meth_Per[[#This Row],[kval_active]],dict_zuord_Meth_Per[[#This Row],[ID_Persons]],"")</f>
        <v/>
      </c>
    </row>
    <row r="289" spans="1:5" x14ac:dyDescent="0.45">
      <c r="A289">
        <f t="shared" ca="1" si="12"/>
        <v>412</v>
      </c>
      <c r="B289">
        <f t="shared" ca="1" si="13"/>
        <v>17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9">
        <f t="shared" ca="1" si="14"/>
        <v>8</v>
      </c>
      <c r="E289" t="str">
        <f ca="1">IF(dict_zuord_Meth_Per[[#This Row],[kval_active]],dict_zuord_Meth_Per[[#This Row],[ID_Persons]],"")</f>
        <v/>
      </c>
    </row>
    <row r="290" spans="1:5" x14ac:dyDescent="0.45">
      <c r="A290">
        <f t="shared" ca="1" si="12"/>
        <v>245</v>
      </c>
      <c r="B290">
        <f t="shared" ca="1" si="13"/>
        <v>5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0">
        <f t="shared" ca="1" si="14"/>
        <v>9</v>
      </c>
      <c r="E290" t="str">
        <f ca="1">IF(dict_zuord_Meth_Per[[#This Row],[kval_active]],dict_zuord_Meth_Per[[#This Row],[ID_Persons]],"")</f>
        <v/>
      </c>
    </row>
    <row r="291" spans="1:5" x14ac:dyDescent="0.45">
      <c r="A291">
        <f t="shared" ca="1" si="12"/>
        <v>628</v>
      </c>
      <c r="B291">
        <f t="shared" ca="1" si="13"/>
        <v>21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1">
        <f t="shared" ca="1" si="14"/>
        <v>24</v>
      </c>
      <c r="E291" t="str">
        <f ca="1">IF(dict_zuord_Meth_Per[[#This Row],[kval_active]],dict_zuord_Meth_Per[[#This Row],[ID_Persons]],"")</f>
        <v/>
      </c>
    </row>
    <row r="292" spans="1:5" x14ac:dyDescent="0.45">
      <c r="A292">
        <f t="shared" ca="1" si="12"/>
        <v>150</v>
      </c>
      <c r="B292">
        <f t="shared" ca="1" si="13"/>
        <v>15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2">
        <f t="shared" ca="1" si="14"/>
        <v>28</v>
      </c>
      <c r="E292" t="str">
        <f ca="1">IF(dict_zuord_Meth_Per[[#This Row],[kval_active]],dict_zuord_Meth_Per[[#This Row],[ID_Persons]],"")</f>
        <v/>
      </c>
    </row>
    <row r="293" spans="1:5" x14ac:dyDescent="0.45">
      <c r="A293">
        <f t="shared" ca="1" si="12"/>
        <v>658</v>
      </c>
      <c r="B293">
        <f t="shared" ca="1" si="13"/>
        <v>29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3">
        <f t="shared" ca="1" si="14"/>
        <v>12</v>
      </c>
      <c r="E293" t="str">
        <f ca="1">IF(dict_zuord_Meth_Per[[#This Row],[kval_active]],dict_zuord_Meth_Per[[#This Row],[ID_Persons]],"")</f>
        <v/>
      </c>
    </row>
    <row r="294" spans="1:5" x14ac:dyDescent="0.45">
      <c r="A294">
        <f t="shared" ca="1" si="12"/>
        <v>232</v>
      </c>
      <c r="B294">
        <f t="shared" ca="1" si="13"/>
        <v>22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4">
        <f t="shared" ca="1" si="14"/>
        <v>28</v>
      </c>
      <c r="E294" t="str">
        <f ca="1">IF(dict_zuord_Meth_Per[[#This Row],[kval_active]],dict_zuord_Meth_Per[[#This Row],[ID_Persons]],"")</f>
        <v/>
      </c>
    </row>
    <row r="295" spans="1:5" x14ac:dyDescent="0.45">
      <c r="A295">
        <f t="shared" ca="1" si="12"/>
        <v>496</v>
      </c>
      <c r="B295">
        <f t="shared" ca="1" si="13"/>
        <v>23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5">
        <f t="shared" ca="1" si="14"/>
        <v>14</v>
      </c>
      <c r="E295" t="str">
        <f ca="1">IF(dict_zuord_Meth_Per[[#This Row],[kval_active]],dict_zuord_Meth_Per[[#This Row],[ID_Persons]],"")</f>
        <v/>
      </c>
    </row>
    <row r="296" spans="1:5" x14ac:dyDescent="0.45">
      <c r="A296">
        <f t="shared" ca="1" si="12"/>
        <v>639</v>
      </c>
      <c r="B296">
        <f t="shared" ca="1" si="13"/>
        <v>2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6">
        <f t="shared" ca="1" si="14"/>
        <v>2</v>
      </c>
      <c r="E296" t="str">
        <f ca="1">IF(dict_zuord_Meth_Per[[#This Row],[kval_active]],dict_zuord_Meth_Per[[#This Row],[ID_Persons]],"")</f>
        <v/>
      </c>
    </row>
    <row r="297" spans="1:5" x14ac:dyDescent="0.45">
      <c r="A297">
        <f t="shared" ca="1" si="12"/>
        <v>490</v>
      </c>
      <c r="B297">
        <f t="shared" ca="1" si="13"/>
        <v>3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7">
        <f t="shared" ca="1" si="14"/>
        <v>4</v>
      </c>
      <c r="E297" t="str">
        <f ca="1">IF(dict_zuord_Meth_Per[[#This Row],[kval_active]],dict_zuord_Meth_Per[[#This Row],[ID_Persons]],"")</f>
        <v/>
      </c>
    </row>
    <row r="298" spans="1:5" x14ac:dyDescent="0.45">
      <c r="A298">
        <f t="shared" ca="1" si="12"/>
        <v>453</v>
      </c>
      <c r="B298">
        <f t="shared" ca="1" si="13"/>
        <v>4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8">
        <f t="shared" ca="1" si="14"/>
        <v>9</v>
      </c>
      <c r="E298" t="str">
        <f ca="1">IF(dict_zuord_Meth_Per[[#This Row],[kval_active]],dict_zuord_Meth_Per[[#This Row],[ID_Persons]],"")</f>
        <v/>
      </c>
    </row>
    <row r="299" spans="1:5" x14ac:dyDescent="0.45">
      <c r="A299">
        <f t="shared" ca="1" si="12"/>
        <v>614</v>
      </c>
      <c r="B299">
        <f t="shared" ca="1" si="13"/>
        <v>12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9">
        <f t="shared" ca="1" si="14"/>
        <v>3</v>
      </c>
      <c r="E299" t="str">
        <f ca="1">IF(dict_zuord_Meth_Per[[#This Row],[kval_active]],dict_zuord_Meth_Per[[#This Row],[ID_Persons]],"")</f>
        <v/>
      </c>
    </row>
    <row r="300" spans="1:5" x14ac:dyDescent="0.45">
      <c r="A300">
        <f t="shared" ca="1" si="12"/>
        <v>290</v>
      </c>
      <c r="B300">
        <f t="shared" ca="1" si="13"/>
        <v>8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0">
        <f t="shared" ca="1" si="14"/>
        <v>18</v>
      </c>
      <c r="E300" t="str">
        <f ca="1">IF(dict_zuord_Meth_Per[[#This Row],[kval_active]],dict_zuord_Meth_Per[[#This Row],[ID_Persons]],"")</f>
        <v/>
      </c>
    </row>
    <row r="301" spans="1:5" x14ac:dyDescent="0.45">
      <c r="A301">
        <f t="shared" ca="1" si="12"/>
        <v>492</v>
      </c>
      <c r="B301">
        <f t="shared" ca="1" si="13"/>
        <v>1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1">
        <f t="shared" ca="1" si="14"/>
        <v>24</v>
      </c>
      <c r="E301" t="str">
        <f ca="1">IF(dict_zuord_Meth_Per[[#This Row],[kval_active]],dict_zuord_Meth_Per[[#This Row],[ID_Persons]],"")</f>
        <v/>
      </c>
    </row>
    <row r="302" spans="1:5" x14ac:dyDescent="0.45">
      <c r="A302">
        <f t="shared" ca="1" si="12"/>
        <v>645</v>
      </c>
      <c r="B302">
        <f t="shared" ca="1" si="13"/>
        <v>22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2">
        <f t="shared" ca="1" si="14"/>
        <v>10</v>
      </c>
      <c r="E302" t="str">
        <f ca="1">IF(dict_zuord_Meth_Per[[#This Row],[kval_active]],dict_zuord_Meth_Per[[#This Row],[ID_Persons]],"")</f>
        <v/>
      </c>
    </row>
    <row r="303" spans="1:5" x14ac:dyDescent="0.45">
      <c r="A303">
        <f t="shared" ca="1" si="12"/>
        <v>113</v>
      </c>
      <c r="B303">
        <f t="shared" ca="1" si="13"/>
        <v>3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3">
        <f t="shared" ca="1" si="14"/>
        <v>19</v>
      </c>
      <c r="E303" t="str">
        <f ca="1">IF(dict_zuord_Meth_Per[[#This Row],[kval_active]],dict_zuord_Meth_Per[[#This Row],[ID_Persons]],"")</f>
        <v/>
      </c>
    </row>
    <row r="304" spans="1:5" x14ac:dyDescent="0.45">
      <c r="A304">
        <f t="shared" ca="1" si="12"/>
        <v>671</v>
      </c>
      <c r="B304">
        <f t="shared" ca="1" si="13"/>
        <v>16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4">
        <f t="shared" ca="1" si="14"/>
        <v>11</v>
      </c>
      <c r="E304" t="str">
        <f ca="1">IF(dict_zuord_Meth_Per[[#This Row],[kval_active]],dict_zuord_Meth_Per[[#This Row],[ID_Persons]],"")</f>
        <v/>
      </c>
    </row>
    <row r="305" spans="1:5" x14ac:dyDescent="0.45">
      <c r="A305">
        <f t="shared" ca="1" si="12"/>
        <v>45</v>
      </c>
      <c r="B305">
        <f t="shared" ca="1" si="13"/>
        <v>1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5">
        <f t="shared" ca="1" si="14"/>
        <v>8</v>
      </c>
      <c r="E305" t="str">
        <f ca="1">IF(dict_zuord_Meth_Per[[#This Row],[kval_active]],dict_zuord_Meth_Per[[#This Row],[ID_Persons]],"")</f>
        <v/>
      </c>
    </row>
    <row r="306" spans="1:5" x14ac:dyDescent="0.45">
      <c r="A306">
        <f t="shared" ca="1" si="12"/>
        <v>398</v>
      </c>
      <c r="B306">
        <f t="shared" ca="1" si="13"/>
        <v>3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6">
        <f t="shared" ca="1" si="14"/>
        <v>30</v>
      </c>
      <c r="E306" t="str">
        <f ca="1">IF(dict_zuord_Meth_Per[[#This Row],[kval_active]],dict_zuord_Meth_Per[[#This Row],[ID_Persons]],"")</f>
        <v/>
      </c>
    </row>
    <row r="307" spans="1:5" x14ac:dyDescent="0.45">
      <c r="A307">
        <f t="shared" ca="1" si="12"/>
        <v>78</v>
      </c>
      <c r="B307">
        <f t="shared" ca="1" si="13"/>
        <v>17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7">
        <f t="shared" ca="1" si="14"/>
        <v>19</v>
      </c>
      <c r="E307" t="str">
        <f ca="1">IF(dict_zuord_Meth_Per[[#This Row],[kval_active]],dict_zuord_Meth_Per[[#This Row],[ID_Persons]],"")</f>
        <v/>
      </c>
    </row>
    <row r="308" spans="1:5" x14ac:dyDescent="0.45">
      <c r="A308">
        <f t="shared" ca="1" si="12"/>
        <v>21</v>
      </c>
      <c r="B308">
        <f t="shared" ca="1" si="13"/>
        <v>22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8">
        <f t="shared" ca="1" si="14"/>
        <v>10</v>
      </c>
      <c r="E308" t="str">
        <f ca="1">IF(dict_zuord_Meth_Per[[#This Row],[kval_active]],dict_zuord_Meth_Per[[#This Row],[ID_Persons]],"")</f>
        <v/>
      </c>
    </row>
    <row r="309" spans="1:5" x14ac:dyDescent="0.45">
      <c r="A309">
        <f t="shared" ca="1" si="12"/>
        <v>602</v>
      </c>
      <c r="B309">
        <f t="shared" ca="1" si="13"/>
        <v>26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9">
        <f t="shared" ca="1" si="14"/>
        <v>0</v>
      </c>
      <c r="E309" t="str">
        <f ca="1">IF(dict_zuord_Meth_Per[[#This Row],[kval_active]],dict_zuord_Meth_Per[[#This Row],[ID_Persons]],"")</f>
        <v/>
      </c>
    </row>
    <row r="310" spans="1:5" x14ac:dyDescent="0.45">
      <c r="A310">
        <f t="shared" ca="1" si="12"/>
        <v>607</v>
      </c>
      <c r="B310">
        <f t="shared" ca="1" si="13"/>
        <v>20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0">
        <f t="shared" ca="1" si="14"/>
        <v>13</v>
      </c>
      <c r="E310" t="str">
        <f ca="1">IF(dict_zuord_Meth_Per[[#This Row],[kval_active]],dict_zuord_Meth_Per[[#This Row],[ID_Persons]],"")</f>
        <v/>
      </c>
    </row>
    <row r="311" spans="1:5" x14ac:dyDescent="0.45">
      <c r="A311">
        <f t="shared" ca="1" si="12"/>
        <v>364</v>
      </c>
      <c r="B311">
        <f t="shared" ca="1" si="13"/>
        <v>0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1">
        <f t="shared" ca="1" si="14"/>
        <v>23</v>
      </c>
      <c r="E311">
        <f ca="1">IF(dict_zuord_Meth_Per[[#This Row],[kval_active]],dict_zuord_Meth_Per[[#This Row],[ID_Persons]],"")</f>
        <v>0</v>
      </c>
    </row>
    <row r="312" spans="1:5" x14ac:dyDescent="0.45">
      <c r="A312">
        <f t="shared" ca="1" si="12"/>
        <v>462</v>
      </c>
      <c r="B312">
        <f t="shared" ca="1" si="13"/>
        <v>23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2">
        <f t="shared" ca="1" si="14"/>
        <v>13</v>
      </c>
      <c r="E312" t="str">
        <f ca="1">IF(dict_zuord_Meth_Per[[#This Row],[kval_active]],dict_zuord_Meth_Per[[#This Row],[ID_Persons]],"")</f>
        <v/>
      </c>
    </row>
    <row r="313" spans="1:5" x14ac:dyDescent="0.45">
      <c r="A313">
        <f t="shared" ca="1" si="12"/>
        <v>470</v>
      </c>
      <c r="B313">
        <f t="shared" ca="1" si="13"/>
        <v>23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3">
        <f t="shared" ca="1" si="14"/>
        <v>0</v>
      </c>
      <c r="E313" t="str">
        <f ca="1">IF(dict_zuord_Meth_Per[[#This Row],[kval_active]],dict_zuord_Meth_Per[[#This Row],[ID_Persons]],"")</f>
        <v/>
      </c>
    </row>
    <row r="314" spans="1:5" x14ac:dyDescent="0.45">
      <c r="A314">
        <f t="shared" ca="1" si="12"/>
        <v>631</v>
      </c>
      <c r="B314">
        <f t="shared" ca="1" si="13"/>
        <v>27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4">
        <f t="shared" ca="1" si="14"/>
        <v>23</v>
      </c>
      <c r="E314" t="str">
        <f ca="1">IF(dict_zuord_Meth_Per[[#This Row],[kval_active]],dict_zuord_Meth_Per[[#This Row],[ID_Persons]],"")</f>
        <v/>
      </c>
    </row>
    <row r="315" spans="1:5" x14ac:dyDescent="0.45">
      <c r="A315">
        <f t="shared" ca="1" si="12"/>
        <v>645</v>
      </c>
      <c r="B315">
        <f t="shared" ca="1" si="13"/>
        <v>18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5">
        <f t="shared" ca="1" si="14"/>
        <v>23</v>
      </c>
      <c r="E315" t="str">
        <f ca="1">IF(dict_zuord_Meth_Per[[#This Row],[kval_active]],dict_zuord_Meth_Per[[#This Row],[ID_Persons]],"")</f>
        <v/>
      </c>
    </row>
    <row r="316" spans="1:5" x14ac:dyDescent="0.45">
      <c r="A316">
        <f t="shared" ca="1" si="12"/>
        <v>37</v>
      </c>
      <c r="B316">
        <f t="shared" ca="1" si="13"/>
        <v>8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6">
        <f t="shared" ca="1" si="14"/>
        <v>3</v>
      </c>
      <c r="E316" t="str">
        <f ca="1">IF(dict_zuord_Meth_Per[[#This Row],[kval_active]],dict_zuord_Meth_Per[[#This Row],[ID_Persons]],"")</f>
        <v/>
      </c>
    </row>
    <row r="317" spans="1:5" x14ac:dyDescent="0.45">
      <c r="A317">
        <f t="shared" ca="1" si="12"/>
        <v>595</v>
      </c>
      <c r="B317">
        <f t="shared" ca="1" si="13"/>
        <v>4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7">
        <f t="shared" ca="1" si="14"/>
        <v>27</v>
      </c>
      <c r="E317" t="str">
        <f ca="1">IF(dict_zuord_Meth_Per[[#This Row],[kval_active]],dict_zuord_Meth_Per[[#This Row],[ID_Persons]],"")</f>
        <v/>
      </c>
    </row>
    <row r="318" spans="1:5" x14ac:dyDescent="0.45">
      <c r="A318">
        <f t="shared" ca="1" si="12"/>
        <v>448</v>
      </c>
      <c r="B318">
        <f t="shared" ca="1" si="13"/>
        <v>1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8">
        <f t="shared" ca="1" si="14"/>
        <v>6</v>
      </c>
      <c r="E318" t="str">
        <f ca="1">IF(dict_zuord_Meth_Per[[#This Row],[kval_active]],dict_zuord_Meth_Per[[#This Row],[ID_Persons]],"")</f>
        <v/>
      </c>
    </row>
    <row r="319" spans="1:5" x14ac:dyDescent="0.45">
      <c r="A319">
        <f t="shared" ca="1" si="12"/>
        <v>484</v>
      </c>
      <c r="B319">
        <f t="shared" ca="1" si="13"/>
        <v>5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9">
        <f t="shared" ca="1" si="14"/>
        <v>4</v>
      </c>
      <c r="E319" t="str">
        <f ca="1">IF(dict_zuord_Meth_Per[[#This Row],[kval_active]],dict_zuord_Meth_Per[[#This Row],[ID_Persons]],"")</f>
        <v/>
      </c>
    </row>
    <row r="320" spans="1:5" x14ac:dyDescent="0.45">
      <c r="A320">
        <f t="shared" ca="1" si="12"/>
        <v>468</v>
      </c>
      <c r="B320">
        <f t="shared" ca="1" si="13"/>
        <v>29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0">
        <f t="shared" ca="1" si="14"/>
        <v>20</v>
      </c>
      <c r="E320" t="str">
        <f ca="1">IF(dict_zuord_Meth_Per[[#This Row],[kval_active]],dict_zuord_Meth_Per[[#This Row],[ID_Persons]],"")</f>
        <v/>
      </c>
    </row>
    <row r="321" spans="1:5" x14ac:dyDescent="0.45">
      <c r="A321">
        <f t="shared" ca="1" si="12"/>
        <v>211</v>
      </c>
      <c r="B321">
        <f t="shared" ca="1" si="13"/>
        <v>28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1">
        <f t="shared" ca="1" si="14"/>
        <v>12</v>
      </c>
      <c r="E321" t="str">
        <f ca="1">IF(dict_zuord_Meth_Per[[#This Row],[kval_active]],dict_zuord_Meth_Per[[#This Row],[ID_Persons]],"")</f>
        <v/>
      </c>
    </row>
    <row r="322" spans="1:5" x14ac:dyDescent="0.45">
      <c r="A322">
        <f t="shared" ref="A322:A385" ca="1" si="15">RANDBETWEEN(0,700)</f>
        <v>211</v>
      </c>
      <c r="B322">
        <f t="shared" ref="B322:B385" ca="1" si="16">RANDBETWEEN(0,30)</f>
        <v>20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2">
        <f t="shared" ref="D322:D385" ca="1" si="17">RANDBETWEEN(0,30)</f>
        <v>9</v>
      </c>
      <c r="E322" t="str">
        <f ca="1">IF(dict_zuord_Meth_Per[[#This Row],[kval_active]],dict_zuord_Meth_Per[[#This Row],[ID_Persons]],"")</f>
        <v/>
      </c>
    </row>
    <row r="323" spans="1:5" x14ac:dyDescent="0.45">
      <c r="A323">
        <f t="shared" ca="1" si="15"/>
        <v>171</v>
      </c>
      <c r="B323">
        <f t="shared" ca="1" si="16"/>
        <v>5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3">
        <f t="shared" ca="1" si="17"/>
        <v>5</v>
      </c>
      <c r="E323" t="str">
        <f ca="1">IF(dict_zuord_Meth_Per[[#This Row],[kval_active]],dict_zuord_Meth_Per[[#This Row],[ID_Persons]],"")</f>
        <v/>
      </c>
    </row>
    <row r="324" spans="1:5" x14ac:dyDescent="0.45">
      <c r="A324">
        <f t="shared" ca="1" si="15"/>
        <v>341</v>
      </c>
      <c r="B324">
        <f t="shared" ca="1" si="16"/>
        <v>18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4">
        <f t="shared" ca="1" si="17"/>
        <v>8</v>
      </c>
      <c r="E324" t="str">
        <f ca="1">IF(dict_zuord_Meth_Per[[#This Row],[kval_active]],dict_zuord_Meth_Per[[#This Row],[ID_Persons]],"")</f>
        <v/>
      </c>
    </row>
    <row r="325" spans="1:5" x14ac:dyDescent="0.45">
      <c r="A325">
        <f t="shared" ca="1" si="15"/>
        <v>351</v>
      </c>
      <c r="B325">
        <f t="shared" ca="1" si="16"/>
        <v>1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5">
        <f t="shared" ca="1" si="17"/>
        <v>24</v>
      </c>
      <c r="E325" t="str">
        <f ca="1">IF(dict_zuord_Meth_Per[[#This Row],[kval_active]],dict_zuord_Meth_Per[[#This Row],[ID_Persons]],"")</f>
        <v/>
      </c>
    </row>
    <row r="326" spans="1:5" x14ac:dyDescent="0.45">
      <c r="A326">
        <f t="shared" ca="1" si="15"/>
        <v>79</v>
      </c>
      <c r="B326">
        <f t="shared" ca="1" si="16"/>
        <v>1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6">
        <f t="shared" ca="1" si="17"/>
        <v>13</v>
      </c>
      <c r="E326" t="str">
        <f ca="1">IF(dict_zuord_Meth_Per[[#This Row],[kval_active]],dict_zuord_Meth_Per[[#This Row],[ID_Persons]],"")</f>
        <v/>
      </c>
    </row>
    <row r="327" spans="1:5" x14ac:dyDescent="0.45">
      <c r="A327">
        <f t="shared" ca="1" si="15"/>
        <v>402</v>
      </c>
      <c r="B327">
        <f t="shared" ca="1" si="16"/>
        <v>21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7">
        <f t="shared" ca="1" si="17"/>
        <v>23</v>
      </c>
      <c r="E327" t="str">
        <f ca="1">IF(dict_zuord_Meth_Per[[#This Row],[kval_active]],dict_zuord_Meth_Per[[#This Row],[ID_Persons]],"")</f>
        <v/>
      </c>
    </row>
    <row r="328" spans="1:5" x14ac:dyDescent="0.45">
      <c r="A328">
        <f t="shared" ca="1" si="15"/>
        <v>678</v>
      </c>
      <c r="B328">
        <f t="shared" ca="1" si="16"/>
        <v>19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8">
        <f t="shared" ca="1" si="17"/>
        <v>18</v>
      </c>
      <c r="E328" t="str">
        <f ca="1">IF(dict_zuord_Meth_Per[[#This Row],[kval_active]],dict_zuord_Meth_Per[[#This Row],[ID_Persons]],"")</f>
        <v/>
      </c>
    </row>
    <row r="329" spans="1:5" x14ac:dyDescent="0.45">
      <c r="A329">
        <f t="shared" ca="1" si="15"/>
        <v>465</v>
      </c>
      <c r="B329">
        <f t="shared" ca="1" si="16"/>
        <v>3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9">
        <f t="shared" ca="1" si="17"/>
        <v>12</v>
      </c>
      <c r="E329" t="str">
        <f ca="1">IF(dict_zuord_Meth_Per[[#This Row],[kval_active]],dict_zuord_Meth_Per[[#This Row],[ID_Persons]],"")</f>
        <v/>
      </c>
    </row>
    <row r="330" spans="1:5" x14ac:dyDescent="0.45">
      <c r="A330">
        <f t="shared" ca="1" si="15"/>
        <v>506</v>
      </c>
      <c r="B330">
        <f t="shared" ca="1" si="16"/>
        <v>12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0">
        <f t="shared" ca="1" si="17"/>
        <v>24</v>
      </c>
      <c r="E330" t="str">
        <f ca="1">IF(dict_zuord_Meth_Per[[#This Row],[kval_active]],dict_zuord_Meth_Per[[#This Row],[ID_Persons]],"")</f>
        <v/>
      </c>
    </row>
    <row r="331" spans="1:5" x14ac:dyDescent="0.45">
      <c r="A331">
        <f t="shared" ca="1" si="15"/>
        <v>515</v>
      </c>
      <c r="B331">
        <f t="shared" ca="1" si="16"/>
        <v>18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1">
        <f t="shared" ca="1" si="17"/>
        <v>3</v>
      </c>
      <c r="E331" t="str">
        <f ca="1">IF(dict_zuord_Meth_Per[[#This Row],[kval_active]],dict_zuord_Meth_Per[[#This Row],[ID_Persons]],"")</f>
        <v/>
      </c>
    </row>
    <row r="332" spans="1:5" x14ac:dyDescent="0.45">
      <c r="A332">
        <f t="shared" ca="1" si="15"/>
        <v>578</v>
      </c>
      <c r="B332">
        <f t="shared" ca="1" si="16"/>
        <v>3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2">
        <f t="shared" ca="1" si="17"/>
        <v>20</v>
      </c>
      <c r="E332">
        <f ca="1">IF(dict_zuord_Meth_Per[[#This Row],[kval_active]],dict_zuord_Meth_Per[[#This Row],[ID_Persons]],"")</f>
        <v>3</v>
      </c>
    </row>
    <row r="333" spans="1:5" x14ac:dyDescent="0.45">
      <c r="A333">
        <f t="shared" ca="1" si="15"/>
        <v>198</v>
      </c>
      <c r="B333">
        <f t="shared" ca="1" si="16"/>
        <v>13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3">
        <f t="shared" ca="1" si="17"/>
        <v>27</v>
      </c>
      <c r="E333" t="str">
        <f ca="1">IF(dict_zuord_Meth_Per[[#This Row],[kval_active]],dict_zuord_Meth_Per[[#This Row],[ID_Persons]],"")</f>
        <v/>
      </c>
    </row>
    <row r="334" spans="1:5" x14ac:dyDescent="0.45">
      <c r="A334">
        <f t="shared" ca="1" si="15"/>
        <v>529</v>
      </c>
      <c r="B334">
        <f t="shared" ca="1" si="16"/>
        <v>15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4">
        <f t="shared" ca="1" si="17"/>
        <v>26</v>
      </c>
      <c r="E334" t="str">
        <f ca="1">IF(dict_zuord_Meth_Per[[#This Row],[kval_active]],dict_zuord_Meth_Per[[#This Row],[ID_Persons]],"")</f>
        <v/>
      </c>
    </row>
    <row r="335" spans="1:5" x14ac:dyDescent="0.45">
      <c r="A335">
        <f t="shared" ca="1" si="15"/>
        <v>119</v>
      </c>
      <c r="B335">
        <f t="shared" ca="1" si="16"/>
        <v>21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5">
        <f t="shared" ca="1" si="17"/>
        <v>14</v>
      </c>
      <c r="E335" t="str">
        <f ca="1">IF(dict_zuord_Meth_Per[[#This Row],[kval_active]],dict_zuord_Meth_Per[[#This Row],[ID_Persons]],"")</f>
        <v/>
      </c>
    </row>
    <row r="336" spans="1:5" x14ac:dyDescent="0.45">
      <c r="A336">
        <f t="shared" ca="1" si="15"/>
        <v>86</v>
      </c>
      <c r="B336">
        <f t="shared" ca="1" si="16"/>
        <v>4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6">
        <f t="shared" ca="1" si="17"/>
        <v>4</v>
      </c>
      <c r="E336" t="str">
        <f ca="1">IF(dict_zuord_Meth_Per[[#This Row],[kval_active]],dict_zuord_Meth_Per[[#This Row],[ID_Persons]],"")</f>
        <v/>
      </c>
    </row>
    <row r="337" spans="1:5" x14ac:dyDescent="0.45">
      <c r="A337">
        <f t="shared" ca="1" si="15"/>
        <v>616</v>
      </c>
      <c r="B337">
        <f t="shared" ca="1" si="16"/>
        <v>18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7">
        <f t="shared" ca="1" si="17"/>
        <v>6</v>
      </c>
      <c r="E337" t="str">
        <f ca="1">IF(dict_zuord_Meth_Per[[#This Row],[kval_active]],dict_zuord_Meth_Per[[#This Row],[ID_Persons]],"")</f>
        <v/>
      </c>
    </row>
    <row r="338" spans="1:5" x14ac:dyDescent="0.45">
      <c r="A338">
        <f t="shared" ca="1" si="15"/>
        <v>431</v>
      </c>
      <c r="B338">
        <f t="shared" ca="1" si="16"/>
        <v>30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8">
        <f t="shared" ca="1" si="17"/>
        <v>10</v>
      </c>
      <c r="E338" t="str">
        <f ca="1">IF(dict_zuord_Meth_Per[[#This Row],[kval_active]],dict_zuord_Meth_Per[[#This Row],[ID_Persons]],"")</f>
        <v/>
      </c>
    </row>
    <row r="339" spans="1:5" x14ac:dyDescent="0.45">
      <c r="A339">
        <f t="shared" ca="1" si="15"/>
        <v>280</v>
      </c>
      <c r="B339">
        <f t="shared" ca="1" si="16"/>
        <v>5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9">
        <f t="shared" ca="1" si="17"/>
        <v>11</v>
      </c>
      <c r="E339" t="str">
        <f ca="1">IF(dict_zuord_Meth_Per[[#This Row],[kval_active]],dict_zuord_Meth_Per[[#This Row],[ID_Persons]],"")</f>
        <v/>
      </c>
    </row>
    <row r="340" spans="1:5" x14ac:dyDescent="0.45">
      <c r="A340">
        <f t="shared" ca="1" si="15"/>
        <v>489</v>
      </c>
      <c r="B340">
        <f t="shared" ca="1" si="16"/>
        <v>2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0">
        <f t="shared" ca="1" si="17"/>
        <v>13</v>
      </c>
      <c r="E340" t="str">
        <f ca="1">IF(dict_zuord_Meth_Per[[#This Row],[kval_active]],dict_zuord_Meth_Per[[#This Row],[ID_Persons]],"")</f>
        <v/>
      </c>
    </row>
    <row r="341" spans="1:5" x14ac:dyDescent="0.45">
      <c r="A341">
        <f t="shared" ca="1" si="15"/>
        <v>585</v>
      </c>
      <c r="B341">
        <f t="shared" ca="1" si="16"/>
        <v>0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1">
        <f t="shared" ca="1" si="17"/>
        <v>3</v>
      </c>
      <c r="E341">
        <f ca="1">IF(dict_zuord_Meth_Per[[#This Row],[kval_active]],dict_zuord_Meth_Per[[#This Row],[ID_Persons]],"")</f>
        <v>0</v>
      </c>
    </row>
    <row r="342" spans="1:5" x14ac:dyDescent="0.45">
      <c r="A342">
        <f t="shared" ca="1" si="15"/>
        <v>323</v>
      </c>
      <c r="B342">
        <f t="shared" ca="1" si="16"/>
        <v>1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2">
        <f t="shared" ca="1" si="17"/>
        <v>16</v>
      </c>
      <c r="E342" t="str">
        <f ca="1">IF(dict_zuord_Meth_Per[[#This Row],[kval_active]],dict_zuord_Meth_Per[[#This Row],[ID_Persons]],"")</f>
        <v/>
      </c>
    </row>
    <row r="343" spans="1:5" x14ac:dyDescent="0.45">
      <c r="A343">
        <f t="shared" ca="1" si="15"/>
        <v>308</v>
      </c>
      <c r="B343">
        <f t="shared" ca="1" si="16"/>
        <v>6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3">
        <f t="shared" ca="1" si="17"/>
        <v>25</v>
      </c>
      <c r="E343" t="str">
        <f ca="1">IF(dict_zuord_Meth_Per[[#This Row],[kval_active]],dict_zuord_Meth_Per[[#This Row],[ID_Persons]],"")</f>
        <v/>
      </c>
    </row>
    <row r="344" spans="1:5" x14ac:dyDescent="0.45">
      <c r="A344">
        <f t="shared" ca="1" si="15"/>
        <v>283</v>
      </c>
      <c r="B344">
        <f t="shared" ca="1" si="16"/>
        <v>7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4">
        <f t="shared" ca="1" si="17"/>
        <v>29</v>
      </c>
      <c r="E344" t="str">
        <f ca="1">IF(dict_zuord_Meth_Per[[#This Row],[kval_active]],dict_zuord_Meth_Per[[#This Row],[ID_Persons]],"")</f>
        <v/>
      </c>
    </row>
    <row r="345" spans="1:5" x14ac:dyDescent="0.45">
      <c r="A345">
        <f t="shared" ca="1" si="15"/>
        <v>595</v>
      </c>
      <c r="B345">
        <f t="shared" ca="1" si="16"/>
        <v>3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5">
        <f t="shared" ca="1" si="17"/>
        <v>0</v>
      </c>
      <c r="E345" t="str">
        <f ca="1">IF(dict_zuord_Meth_Per[[#This Row],[kval_active]],dict_zuord_Meth_Per[[#This Row],[ID_Persons]],"")</f>
        <v/>
      </c>
    </row>
    <row r="346" spans="1:5" x14ac:dyDescent="0.45">
      <c r="A346">
        <f t="shared" ca="1" si="15"/>
        <v>315</v>
      </c>
      <c r="B346">
        <f t="shared" ca="1" si="16"/>
        <v>29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6">
        <f t="shared" ca="1" si="17"/>
        <v>20</v>
      </c>
      <c r="E346" t="str">
        <f ca="1">IF(dict_zuord_Meth_Per[[#This Row],[kval_active]],dict_zuord_Meth_Per[[#This Row],[ID_Persons]],"")</f>
        <v/>
      </c>
    </row>
    <row r="347" spans="1:5" x14ac:dyDescent="0.45">
      <c r="A347">
        <f t="shared" ca="1" si="15"/>
        <v>351</v>
      </c>
      <c r="B347">
        <f t="shared" ca="1" si="16"/>
        <v>3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7">
        <f t="shared" ca="1" si="17"/>
        <v>14</v>
      </c>
      <c r="E347" t="str">
        <f ca="1">IF(dict_zuord_Meth_Per[[#This Row],[kval_active]],dict_zuord_Meth_Per[[#This Row],[ID_Persons]],"")</f>
        <v/>
      </c>
    </row>
    <row r="348" spans="1:5" x14ac:dyDescent="0.45">
      <c r="A348">
        <f t="shared" ca="1" si="15"/>
        <v>123</v>
      </c>
      <c r="B348">
        <f t="shared" ca="1" si="16"/>
        <v>17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8">
        <f t="shared" ca="1" si="17"/>
        <v>8</v>
      </c>
      <c r="E348" t="str">
        <f ca="1">IF(dict_zuord_Meth_Per[[#This Row],[kval_active]],dict_zuord_Meth_Per[[#This Row],[ID_Persons]],"")</f>
        <v/>
      </c>
    </row>
    <row r="349" spans="1:5" x14ac:dyDescent="0.45">
      <c r="A349">
        <f t="shared" ca="1" si="15"/>
        <v>295</v>
      </c>
      <c r="B349">
        <f t="shared" ca="1" si="16"/>
        <v>29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9">
        <f t="shared" ca="1" si="17"/>
        <v>9</v>
      </c>
      <c r="E349" t="str">
        <f ca="1">IF(dict_zuord_Meth_Per[[#This Row],[kval_active]],dict_zuord_Meth_Per[[#This Row],[ID_Persons]],"")</f>
        <v/>
      </c>
    </row>
    <row r="350" spans="1:5" x14ac:dyDescent="0.45">
      <c r="A350">
        <f t="shared" ca="1" si="15"/>
        <v>412</v>
      </c>
      <c r="B350">
        <f t="shared" ca="1" si="16"/>
        <v>19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0">
        <f t="shared" ca="1" si="17"/>
        <v>6</v>
      </c>
      <c r="E350" t="str">
        <f ca="1">IF(dict_zuord_Meth_Per[[#This Row],[kval_active]],dict_zuord_Meth_Per[[#This Row],[ID_Persons]],"")</f>
        <v/>
      </c>
    </row>
    <row r="351" spans="1:5" x14ac:dyDescent="0.45">
      <c r="A351">
        <f t="shared" ca="1" si="15"/>
        <v>346</v>
      </c>
      <c r="B351">
        <f t="shared" ca="1" si="16"/>
        <v>6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1">
        <f t="shared" ca="1" si="17"/>
        <v>17</v>
      </c>
      <c r="E351" t="str">
        <f ca="1">IF(dict_zuord_Meth_Per[[#This Row],[kval_active]],dict_zuord_Meth_Per[[#This Row],[ID_Persons]],"")</f>
        <v/>
      </c>
    </row>
    <row r="352" spans="1:5" x14ac:dyDescent="0.45">
      <c r="A352">
        <f t="shared" ca="1" si="15"/>
        <v>372</v>
      </c>
      <c r="B352">
        <f t="shared" ca="1" si="16"/>
        <v>14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2">
        <f t="shared" ca="1" si="17"/>
        <v>10</v>
      </c>
      <c r="E352" t="str">
        <f ca="1">IF(dict_zuord_Meth_Per[[#This Row],[kval_active]],dict_zuord_Meth_Per[[#This Row],[ID_Persons]],"")</f>
        <v/>
      </c>
    </row>
    <row r="353" spans="1:5" x14ac:dyDescent="0.45">
      <c r="A353">
        <f t="shared" ca="1" si="15"/>
        <v>467</v>
      </c>
      <c r="B353">
        <f t="shared" ca="1" si="16"/>
        <v>13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3">
        <f t="shared" ca="1" si="17"/>
        <v>12</v>
      </c>
      <c r="E353" t="str">
        <f ca="1">IF(dict_zuord_Meth_Per[[#This Row],[kval_active]],dict_zuord_Meth_Per[[#This Row],[ID_Persons]],"")</f>
        <v/>
      </c>
    </row>
    <row r="354" spans="1:5" x14ac:dyDescent="0.45">
      <c r="A354">
        <f t="shared" ca="1" si="15"/>
        <v>364</v>
      </c>
      <c r="B354">
        <f t="shared" ca="1" si="16"/>
        <v>29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4">
        <f t="shared" ca="1" si="17"/>
        <v>10</v>
      </c>
      <c r="E354">
        <f ca="1">IF(dict_zuord_Meth_Per[[#This Row],[kval_active]],dict_zuord_Meth_Per[[#This Row],[ID_Persons]],"")</f>
        <v>29</v>
      </c>
    </row>
    <row r="355" spans="1:5" x14ac:dyDescent="0.45">
      <c r="A355">
        <f t="shared" ca="1" si="15"/>
        <v>231</v>
      </c>
      <c r="B355">
        <f t="shared" ca="1" si="16"/>
        <v>20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5">
        <f t="shared" ca="1" si="17"/>
        <v>16</v>
      </c>
      <c r="E355" t="str">
        <f ca="1">IF(dict_zuord_Meth_Per[[#This Row],[kval_active]],dict_zuord_Meth_Per[[#This Row],[ID_Persons]],"")</f>
        <v/>
      </c>
    </row>
    <row r="356" spans="1:5" x14ac:dyDescent="0.45">
      <c r="A356">
        <f t="shared" ca="1" si="15"/>
        <v>520</v>
      </c>
      <c r="B356">
        <f t="shared" ca="1" si="16"/>
        <v>24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6">
        <f t="shared" ca="1" si="17"/>
        <v>10</v>
      </c>
      <c r="E356" t="str">
        <f ca="1">IF(dict_zuord_Meth_Per[[#This Row],[kval_active]],dict_zuord_Meth_Per[[#This Row],[ID_Persons]],"")</f>
        <v/>
      </c>
    </row>
    <row r="357" spans="1:5" x14ac:dyDescent="0.45">
      <c r="A357">
        <f t="shared" ca="1" si="15"/>
        <v>248</v>
      </c>
      <c r="B357">
        <f t="shared" ca="1" si="16"/>
        <v>26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7">
        <f t="shared" ca="1" si="17"/>
        <v>7</v>
      </c>
      <c r="E357">
        <f ca="1">IF(dict_zuord_Meth_Per[[#This Row],[kval_active]],dict_zuord_Meth_Per[[#This Row],[ID_Persons]],"")</f>
        <v>26</v>
      </c>
    </row>
    <row r="358" spans="1:5" x14ac:dyDescent="0.45">
      <c r="A358">
        <f t="shared" ca="1" si="15"/>
        <v>143</v>
      </c>
      <c r="B358">
        <f t="shared" ca="1" si="16"/>
        <v>4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8">
        <f t="shared" ca="1" si="17"/>
        <v>5</v>
      </c>
      <c r="E358" t="str">
        <f ca="1">IF(dict_zuord_Meth_Per[[#This Row],[kval_active]],dict_zuord_Meth_Per[[#This Row],[ID_Persons]],"")</f>
        <v/>
      </c>
    </row>
    <row r="359" spans="1:5" x14ac:dyDescent="0.45">
      <c r="A359">
        <f t="shared" ca="1" si="15"/>
        <v>596</v>
      </c>
      <c r="B359">
        <f t="shared" ca="1" si="16"/>
        <v>7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9">
        <f t="shared" ca="1" si="17"/>
        <v>23</v>
      </c>
      <c r="E359" t="str">
        <f ca="1">IF(dict_zuord_Meth_Per[[#This Row],[kval_active]],dict_zuord_Meth_Per[[#This Row],[ID_Persons]],"")</f>
        <v/>
      </c>
    </row>
    <row r="360" spans="1:5" x14ac:dyDescent="0.45">
      <c r="A360">
        <f t="shared" ca="1" si="15"/>
        <v>564</v>
      </c>
      <c r="B360">
        <f t="shared" ca="1" si="16"/>
        <v>28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0">
        <f t="shared" ca="1" si="17"/>
        <v>12</v>
      </c>
      <c r="E360" t="str">
        <f ca="1">IF(dict_zuord_Meth_Per[[#This Row],[kval_active]],dict_zuord_Meth_Per[[#This Row],[ID_Persons]],"")</f>
        <v/>
      </c>
    </row>
    <row r="361" spans="1:5" x14ac:dyDescent="0.45">
      <c r="A361">
        <f t="shared" ca="1" si="15"/>
        <v>650</v>
      </c>
      <c r="B361">
        <f t="shared" ca="1" si="16"/>
        <v>10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1">
        <f t="shared" ca="1" si="17"/>
        <v>14</v>
      </c>
      <c r="E361" t="str">
        <f ca="1">IF(dict_zuord_Meth_Per[[#This Row],[kval_active]],dict_zuord_Meth_Per[[#This Row],[ID_Persons]],"")</f>
        <v/>
      </c>
    </row>
    <row r="362" spans="1:5" x14ac:dyDescent="0.45">
      <c r="A362">
        <f t="shared" ca="1" si="15"/>
        <v>224</v>
      </c>
      <c r="B362">
        <f t="shared" ca="1" si="16"/>
        <v>8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2">
        <f t="shared" ca="1" si="17"/>
        <v>23</v>
      </c>
      <c r="E362" t="str">
        <f ca="1">IF(dict_zuord_Meth_Per[[#This Row],[kval_active]],dict_zuord_Meth_Per[[#This Row],[ID_Persons]],"")</f>
        <v/>
      </c>
    </row>
    <row r="363" spans="1:5" x14ac:dyDescent="0.45">
      <c r="A363">
        <f t="shared" ca="1" si="15"/>
        <v>195</v>
      </c>
      <c r="B363">
        <f t="shared" ca="1" si="16"/>
        <v>8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3">
        <f t="shared" ca="1" si="17"/>
        <v>16</v>
      </c>
      <c r="E363" t="str">
        <f ca="1">IF(dict_zuord_Meth_Per[[#This Row],[kval_active]],dict_zuord_Meth_Per[[#This Row],[ID_Persons]],"")</f>
        <v/>
      </c>
    </row>
    <row r="364" spans="1:5" x14ac:dyDescent="0.45">
      <c r="A364">
        <f t="shared" ca="1" si="15"/>
        <v>25</v>
      </c>
      <c r="B364">
        <f t="shared" ca="1" si="16"/>
        <v>22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4">
        <f t="shared" ca="1" si="17"/>
        <v>14</v>
      </c>
      <c r="E364" t="str">
        <f ca="1">IF(dict_zuord_Meth_Per[[#This Row],[kval_active]],dict_zuord_Meth_Per[[#This Row],[ID_Persons]],"")</f>
        <v/>
      </c>
    </row>
    <row r="365" spans="1:5" x14ac:dyDescent="0.45">
      <c r="A365">
        <f t="shared" ca="1" si="15"/>
        <v>601</v>
      </c>
      <c r="B365">
        <f t="shared" ca="1" si="16"/>
        <v>12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5">
        <f t="shared" ca="1" si="17"/>
        <v>15</v>
      </c>
      <c r="E365" t="str">
        <f ca="1">IF(dict_zuord_Meth_Per[[#This Row],[kval_active]],dict_zuord_Meth_Per[[#This Row],[ID_Persons]],"")</f>
        <v/>
      </c>
    </row>
    <row r="366" spans="1:5" x14ac:dyDescent="0.45">
      <c r="A366">
        <f t="shared" ca="1" si="15"/>
        <v>343</v>
      </c>
      <c r="B366">
        <f t="shared" ca="1" si="16"/>
        <v>1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6">
        <f t="shared" ca="1" si="17"/>
        <v>3</v>
      </c>
      <c r="E366" t="str">
        <f ca="1">IF(dict_zuord_Meth_Per[[#This Row],[kval_active]],dict_zuord_Meth_Per[[#This Row],[ID_Persons]],"")</f>
        <v/>
      </c>
    </row>
    <row r="367" spans="1:5" x14ac:dyDescent="0.45">
      <c r="A367">
        <f t="shared" ca="1" si="15"/>
        <v>372</v>
      </c>
      <c r="B367">
        <f t="shared" ca="1" si="16"/>
        <v>23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7">
        <f t="shared" ca="1" si="17"/>
        <v>0</v>
      </c>
      <c r="E367" t="str">
        <f ca="1">IF(dict_zuord_Meth_Per[[#This Row],[kval_active]],dict_zuord_Meth_Per[[#This Row],[ID_Persons]],"")</f>
        <v/>
      </c>
    </row>
    <row r="368" spans="1:5" x14ac:dyDescent="0.45">
      <c r="A368">
        <f t="shared" ca="1" si="15"/>
        <v>439</v>
      </c>
      <c r="B368">
        <f t="shared" ca="1" si="16"/>
        <v>26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8">
        <f t="shared" ca="1" si="17"/>
        <v>28</v>
      </c>
      <c r="E368" t="str">
        <f ca="1">IF(dict_zuord_Meth_Per[[#This Row],[kval_active]],dict_zuord_Meth_Per[[#This Row],[ID_Persons]],"")</f>
        <v/>
      </c>
    </row>
    <row r="369" spans="1:5" x14ac:dyDescent="0.45">
      <c r="A369">
        <f t="shared" ca="1" si="15"/>
        <v>488</v>
      </c>
      <c r="B369">
        <f t="shared" ca="1" si="16"/>
        <v>19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9">
        <f t="shared" ca="1" si="17"/>
        <v>6</v>
      </c>
      <c r="E369" t="str">
        <f ca="1">IF(dict_zuord_Meth_Per[[#This Row],[kval_active]],dict_zuord_Meth_Per[[#This Row],[ID_Persons]],"")</f>
        <v/>
      </c>
    </row>
    <row r="370" spans="1:5" x14ac:dyDescent="0.45">
      <c r="A370">
        <f t="shared" ca="1" si="15"/>
        <v>496</v>
      </c>
      <c r="B370">
        <f t="shared" ca="1" si="16"/>
        <v>16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0">
        <f t="shared" ca="1" si="17"/>
        <v>2</v>
      </c>
      <c r="E370" t="str">
        <f ca="1">IF(dict_zuord_Meth_Per[[#This Row],[kval_active]],dict_zuord_Meth_Per[[#This Row],[ID_Persons]],"")</f>
        <v/>
      </c>
    </row>
    <row r="371" spans="1:5" x14ac:dyDescent="0.45">
      <c r="A371">
        <f t="shared" ca="1" si="15"/>
        <v>574</v>
      </c>
      <c r="B371">
        <f t="shared" ca="1" si="16"/>
        <v>17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1">
        <f t="shared" ca="1" si="17"/>
        <v>13</v>
      </c>
      <c r="E371" t="str">
        <f ca="1">IF(dict_zuord_Meth_Per[[#This Row],[kval_active]],dict_zuord_Meth_Per[[#This Row],[ID_Persons]],"")</f>
        <v/>
      </c>
    </row>
    <row r="372" spans="1:5" x14ac:dyDescent="0.45">
      <c r="A372">
        <f t="shared" ca="1" si="15"/>
        <v>615</v>
      </c>
      <c r="B372">
        <f t="shared" ca="1" si="16"/>
        <v>23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2">
        <f t="shared" ca="1" si="17"/>
        <v>6</v>
      </c>
      <c r="E372" t="str">
        <f ca="1">IF(dict_zuord_Meth_Per[[#This Row],[kval_active]],dict_zuord_Meth_Per[[#This Row],[ID_Persons]],"")</f>
        <v/>
      </c>
    </row>
    <row r="373" spans="1:5" x14ac:dyDescent="0.45">
      <c r="A373">
        <f t="shared" ca="1" si="15"/>
        <v>454</v>
      </c>
      <c r="B373">
        <f t="shared" ca="1" si="16"/>
        <v>21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3">
        <f t="shared" ca="1" si="17"/>
        <v>18</v>
      </c>
      <c r="E373" t="str">
        <f ca="1">IF(dict_zuord_Meth_Per[[#This Row],[kval_active]],dict_zuord_Meth_Per[[#This Row],[ID_Persons]],"")</f>
        <v/>
      </c>
    </row>
    <row r="374" spans="1:5" x14ac:dyDescent="0.45">
      <c r="A374">
        <f t="shared" ca="1" si="15"/>
        <v>632</v>
      </c>
      <c r="B374">
        <f t="shared" ca="1" si="16"/>
        <v>15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4">
        <f t="shared" ca="1" si="17"/>
        <v>2</v>
      </c>
      <c r="E374" t="str">
        <f ca="1">IF(dict_zuord_Meth_Per[[#This Row],[kval_active]],dict_zuord_Meth_Per[[#This Row],[ID_Persons]],"")</f>
        <v/>
      </c>
    </row>
    <row r="375" spans="1:5" x14ac:dyDescent="0.45">
      <c r="A375">
        <f t="shared" ca="1" si="15"/>
        <v>577</v>
      </c>
      <c r="B375">
        <f t="shared" ca="1" si="16"/>
        <v>15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5">
        <f t="shared" ca="1" si="17"/>
        <v>30</v>
      </c>
      <c r="E375" t="str">
        <f ca="1">IF(dict_zuord_Meth_Per[[#This Row],[kval_active]],dict_zuord_Meth_Per[[#This Row],[ID_Persons]],"")</f>
        <v/>
      </c>
    </row>
    <row r="376" spans="1:5" x14ac:dyDescent="0.45">
      <c r="A376">
        <f t="shared" ca="1" si="15"/>
        <v>154</v>
      </c>
      <c r="B376">
        <f t="shared" ca="1" si="16"/>
        <v>21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6">
        <f t="shared" ca="1" si="17"/>
        <v>23</v>
      </c>
      <c r="E376" t="str">
        <f ca="1">IF(dict_zuord_Meth_Per[[#This Row],[kval_active]],dict_zuord_Meth_Per[[#This Row],[ID_Persons]],"")</f>
        <v/>
      </c>
    </row>
    <row r="377" spans="1:5" x14ac:dyDescent="0.45">
      <c r="A377">
        <f t="shared" ca="1" si="15"/>
        <v>595</v>
      </c>
      <c r="B377">
        <f t="shared" ca="1" si="16"/>
        <v>1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7">
        <f t="shared" ca="1" si="17"/>
        <v>25</v>
      </c>
      <c r="E377" t="str">
        <f ca="1">IF(dict_zuord_Meth_Per[[#This Row],[kval_active]],dict_zuord_Meth_Per[[#This Row],[ID_Persons]],"")</f>
        <v/>
      </c>
    </row>
    <row r="378" spans="1:5" x14ac:dyDescent="0.45">
      <c r="A378">
        <f t="shared" ca="1" si="15"/>
        <v>626</v>
      </c>
      <c r="B378">
        <f t="shared" ca="1" si="16"/>
        <v>5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8">
        <f t="shared" ca="1" si="17"/>
        <v>5</v>
      </c>
      <c r="E378" t="str">
        <f ca="1">IF(dict_zuord_Meth_Per[[#This Row],[kval_active]],dict_zuord_Meth_Per[[#This Row],[ID_Persons]],"")</f>
        <v/>
      </c>
    </row>
    <row r="379" spans="1:5" x14ac:dyDescent="0.45">
      <c r="A379">
        <f t="shared" ca="1" si="15"/>
        <v>405</v>
      </c>
      <c r="B379">
        <f t="shared" ca="1" si="16"/>
        <v>7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9">
        <f t="shared" ca="1" si="17"/>
        <v>1</v>
      </c>
      <c r="E379" t="str">
        <f ca="1">IF(dict_zuord_Meth_Per[[#This Row],[kval_active]],dict_zuord_Meth_Per[[#This Row],[ID_Persons]],"")</f>
        <v/>
      </c>
    </row>
    <row r="380" spans="1:5" x14ac:dyDescent="0.45">
      <c r="A380">
        <f t="shared" ca="1" si="15"/>
        <v>371</v>
      </c>
      <c r="B380">
        <f t="shared" ca="1" si="16"/>
        <v>0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0">
        <f t="shared" ca="1" si="17"/>
        <v>7</v>
      </c>
      <c r="E380">
        <f ca="1">IF(dict_zuord_Meth_Per[[#This Row],[kval_active]],dict_zuord_Meth_Per[[#This Row],[ID_Persons]],"")</f>
        <v>0</v>
      </c>
    </row>
    <row r="381" spans="1:5" x14ac:dyDescent="0.45">
      <c r="A381">
        <f t="shared" ca="1" si="15"/>
        <v>696</v>
      </c>
      <c r="B381">
        <f t="shared" ca="1" si="16"/>
        <v>17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1">
        <f t="shared" ca="1" si="17"/>
        <v>20</v>
      </c>
      <c r="E381" t="str">
        <f ca="1">IF(dict_zuord_Meth_Per[[#This Row],[kval_active]],dict_zuord_Meth_Per[[#This Row],[ID_Persons]],"")</f>
        <v/>
      </c>
    </row>
    <row r="382" spans="1:5" x14ac:dyDescent="0.45">
      <c r="A382">
        <f t="shared" ca="1" si="15"/>
        <v>478</v>
      </c>
      <c r="B382">
        <f t="shared" ca="1" si="16"/>
        <v>11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2">
        <f t="shared" ca="1" si="17"/>
        <v>26</v>
      </c>
      <c r="E382" t="str">
        <f ca="1">IF(dict_zuord_Meth_Per[[#This Row],[kval_active]],dict_zuord_Meth_Per[[#This Row],[ID_Persons]],"")</f>
        <v/>
      </c>
    </row>
    <row r="383" spans="1:5" x14ac:dyDescent="0.45">
      <c r="A383">
        <f t="shared" ca="1" si="15"/>
        <v>178</v>
      </c>
      <c r="B383">
        <f t="shared" ca="1" si="16"/>
        <v>26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3">
        <f t="shared" ca="1" si="17"/>
        <v>26</v>
      </c>
      <c r="E383" t="str">
        <f ca="1">IF(dict_zuord_Meth_Per[[#This Row],[kval_active]],dict_zuord_Meth_Per[[#This Row],[ID_Persons]],"")</f>
        <v/>
      </c>
    </row>
    <row r="384" spans="1:5" x14ac:dyDescent="0.45">
      <c r="A384">
        <f t="shared" ca="1" si="15"/>
        <v>628</v>
      </c>
      <c r="B384">
        <f t="shared" ca="1" si="16"/>
        <v>11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4">
        <f t="shared" ca="1" si="17"/>
        <v>3</v>
      </c>
      <c r="E384" t="str">
        <f ca="1">IF(dict_zuord_Meth_Per[[#This Row],[kval_active]],dict_zuord_Meth_Per[[#This Row],[ID_Persons]],"")</f>
        <v/>
      </c>
    </row>
    <row r="385" spans="1:5" x14ac:dyDescent="0.45">
      <c r="A385">
        <f t="shared" ca="1" si="15"/>
        <v>96</v>
      </c>
      <c r="B385">
        <f t="shared" ca="1" si="16"/>
        <v>9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5">
        <f t="shared" ca="1" si="17"/>
        <v>8</v>
      </c>
      <c r="E385" t="str">
        <f ca="1">IF(dict_zuord_Meth_Per[[#This Row],[kval_active]],dict_zuord_Meth_Per[[#This Row],[ID_Persons]],"")</f>
        <v/>
      </c>
    </row>
    <row r="386" spans="1:5" x14ac:dyDescent="0.45">
      <c r="A386">
        <f t="shared" ref="A386:A449" ca="1" si="18">RANDBETWEEN(0,700)</f>
        <v>331</v>
      </c>
      <c r="B386">
        <f t="shared" ref="B386:B449" ca="1" si="19">RANDBETWEEN(0,30)</f>
        <v>4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6">
        <f t="shared" ref="D386:D449" ca="1" si="20">RANDBETWEEN(0,30)</f>
        <v>21</v>
      </c>
      <c r="E386" t="str">
        <f ca="1">IF(dict_zuord_Meth_Per[[#This Row],[kval_active]],dict_zuord_Meth_Per[[#This Row],[ID_Persons]],"")</f>
        <v/>
      </c>
    </row>
    <row r="387" spans="1:5" x14ac:dyDescent="0.45">
      <c r="A387">
        <f t="shared" ca="1" si="18"/>
        <v>614</v>
      </c>
      <c r="B387">
        <f t="shared" ca="1" si="19"/>
        <v>19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7">
        <f t="shared" ca="1" si="20"/>
        <v>13</v>
      </c>
      <c r="E387" t="str">
        <f ca="1">IF(dict_zuord_Meth_Per[[#This Row],[kval_active]],dict_zuord_Meth_Per[[#This Row],[ID_Persons]],"")</f>
        <v/>
      </c>
    </row>
    <row r="388" spans="1:5" x14ac:dyDescent="0.45">
      <c r="A388">
        <f t="shared" ca="1" si="18"/>
        <v>438</v>
      </c>
      <c r="B388">
        <f t="shared" ca="1" si="19"/>
        <v>19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8">
        <f t="shared" ca="1" si="20"/>
        <v>29</v>
      </c>
      <c r="E388" t="str">
        <f ca="1">IF(dict_zuord_Meth_Per[[#This Row],[kval_active]],dict_zuord_Meth_Per[[#This Row],[ID_Persons]],"")</f>
        <v/>
      </c>
    </row>
    <row r="389" spans="1:5" x14ac:dyDescent="0.45">
      <c r="A389">
        <f t="shared" ca="1" si="18"/>
        <v>325</v>
      </c>
      <c r="B389">
        <f t="shared" ca="1" si="19"/>
        <v>15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9">
        <f t="shared" ca="1" si="20"/>
        <v>18</v>
      </c>
      <c r="E389" t="str">
        <f ca="1">IF(dict_zuord_Meth_Per[[#This Row],[kval_active]],dict_zuord_Meth_Per[[#This Row],[ID_Persons]],"")</f>
        <v/>
      </c>
    </row>
    <row r="390" spans="1:5" x14ac:dyDescent="0.45">
      <c r="A390">
        <f t="shared" ca="1" si="18"/>
        <v>315</v>
      </c>
      <c r="B390">
        <f t="shared" ca="1" si="19"/>
        <v>2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0">
        <f t="shared" ca="1" si="20"/>
        <v>28</v>
      </c>
      <c r="E390" t="str">
        <f ca="1">IF(dict_zuord_Meth_Per[[#This Row],[kval_active]],dict_zuord_Meth_Per[[#This Row],[ID_Persons]],"")</f>
        <v/>
      </c>
    </row>
    <row r="391" spans="1:5" x14ac:dyDescent="0.45">
      <c r="A391">
        <f t="shared" ca="1" si="18"/>
        <v>594</v>
      </c>
      <c r="B391">
        <f t="shared" ca="1" si="19"/>
        <v>11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1">
        <f t="shared" ca="1" si="20"/>
        <v>26</v>
      </c>
      <c r="E391" t="str">
        <f ca="1">IF(dict_zuord_Meth_Per[[#This Row],[kval_active]],dict_zuord_Meth_Per[[#This Row],[ID_Persons]],"")</f>
        <v/>
      </c>
    </row>
    <row r="392" spans="1:5" x14ac:dyDescent="0.45">
      <c r="A392">
        <f t="shared" ca="1" si="18"/>
        <v>166</v>
      </c>
      <c r="B392">
        <f t="shared" ca="1" si="19"/>
        <v>17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2">
        <f t="shared" ca="1" si="20"/>
        <v>28</v>
      </c>
      <c r="E392" t="str">
        <f ca="1">IF(dict_zuord_Meth_Per[[#This Row],[kval_active]],dict_zuord_Meth_Per[[#This Row],[ID_Persons]],"")</f>
        <v/>
      </c>
    </row>
    <row r="393" spans="1:5" x14ac:dyDescent="0.45">
      <c r="A393">
        <f t="shared" ca="1" si="18"/>
        <v>284</v>
      </c>
      <c r="B393">
        <f t="shared" ca="1" si="19"/>
        <v>21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3">
        <f t="shared" ca="1" si="20"/>
        <v>11</v>
      </c>
      <c r="E393">
        <f ca="1">IF(dict_zuord_Meth_Per[[#This Row],[kval_active]],dict_zuord_Meth_Per[[#This Row],[ID_Persons]],"")</f>
        <v>21</v>
      </c>
    </row>
    <row r="394" spans="1:5" x14ac:dyDescent="0.45">
      <c r="A394">
        <f t="shared" ca="1" si="18"/>
        <v>639</v>
      </c>
      <c r="B394">
        <f t="shared" ca="1" si="19"/>
        <v>1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4">
        <f t="shared" ca="1" si="20"/>
        <v>9</v>
      </c>
      <c r="E394" t="str">
        <f ca="1">IF(dict_zuord_Meth_Per[[#This Row],[kval_active]],dict_zuord_Meth_Per[[#This Row],[ID_Persons]],"")</f>
        <v/>
      </c>
    </row>
    <row r="395" spans="1:5" x14ac:dyDescent="0.45">
      <c r="A395">
        <f t="shared" ca="1" si="18"/>
        <v>214</v>
      </c>
      <c r="B395">
        <f t="shared" ca="1" si="19"/>
        <v>7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5">
        <f t="shared" ca="1" si="20"/>
        <v>6</v>
      </c>
      <c r="E395" t="str">
        <f ca="1">IF(dict_zuord_Meth_Per[[#This Row],[kval_active]],dict_zuord_Meth_Per[[#This Row],[ID_Persons]],"")</f>
        <v/>
      </c>
    </row>
    <row r="396" spans="1:5" x14ac:dyDescent="0.45">
      <c r="A396">
        <f t="shared" ca="1" si="18"/>
        <v>65</v>
      </c>
      <c r="B396">
        <f t="shared" ca="1" si="19"/>
        <v>4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6">
        <f t="shared" ca="1" si="20"/>
        <v>24</v>
      </c>
      <c r="E396" t="str">
        <f ca="1">IF(dict_zuord_Meth_Per[[#This Row],[kval_active]],dict_zuord_Meth_Per[[#This Row],[ID_Persons]],"")</f>
        <v/>
      </c>
    </row>
    <row r="397" spans="1:5" x14ac:dyDescent="0.45">
      <c r="A397">
        <f t="shared" ca="1" si="18"/>
        <v>279</v>
      </c>
      <c r="B397">
        <f t="shared" ca="1" si="19"/>
        <v>1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7">
        <f t="shared" ca="1" si="20"/>
        <v>8</v>
      </c>
      <c r="E397" t="str">
        <f ca="1">IF(dict_zuord_Meth_Per[[#This Row],[kval_active]],dict_zuord_Meth_Per[[#This Row],[ID_Persons]],"")</f>
        <v/>
      </c>
    </row>
    <row r="398" spans="1:5" x14ac:dyDescent="0.45">
      <c r="A398">
        <f t="shared" ca="1" si="18"/>
        <v>104</v>
      </c>
      <c r="B398">
        <f t="shared" ca="1" si="19"/>
        <v>23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8">
        <f t="shared" ca="1" si="20"/>
        <v>14</v>
      </c>
      <c r="E398" t="str">
        <f ca="1">IF(dict_zuord_Meth_Per[[#This Row],[kval_active]],dict_zuord_Meth_Per[[#This Row],[ID_Persons]],"")</f>
        <v/>
      </c>
    </row>
    <row r="399" spans="1:5" x14ac:dyDescent="0.45">
      <c r="A399">
        <f t="shared" ca="1" si="18"/>
        <v>566</v>
      </c>
      <c r="B399">
        <f t="shared" ca="1" si="19"/>
        <v>30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9">
        <f t="shared" ca="1" si="20"/>
        <v>20</v>
      </c>
      <c r="E399" t="str">
        <f ca="1">IF(dict_zuord_Meth_Per[[#This Row],[kval_active]],dict_zuord_Meth_Per[[#This Row],[ID_Persons]],"")</f>
        <v/>
      </c>
    </row>
    <row r="400" spans="1:5" x14ac:dyDescent="0.45">
      <c r="A400">
        <f t="shared" ca="1" si="18"/>
        <v>241</v>
      </c>
      <c r="B400">
        <f t="shared" ca="1" si="19"/>
        <v>13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0">
        <f t="shared" ca="1" si="20"/>
        <v>6</v>
      </c>
      <c r="E400" t="str">
        <f ca="1">IF(dict_zuord_Meth_Per[[#This Row],[kval_active]],dict_zuord_Meth_Per[[#This Row],[ID_Persons]],"")</f>
        <v/>
      </c>
    </row>
    <row r="401" spans="1:5" x14ac:dyDescent="0.45">
      <c r="A401">
        <f t="shared" ca="1" si="18"/>
        <v>207</v>
      </c>
      <c r="B401">
        <f t="shared" ca="1" si="19"/>
        <v>22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1">
        <f t="shared" ca="1" si="20"/>
        <v>23</v>
      </c>
      <c r="E401" t="str">
        <f ca="1">IF(dict_zuord_Meth_Per[[#This Row],[kval_active]],dict_zuord_Meth_Per[[#This Row],[ID_Persons]],"")</f>
        <v/>
      </c>
    </row>
    <row r="402" spans="1:5" x14ac:dyDescent="0.45">
      <c r="A402">
        <f t="shared" ca="1" si="18"/>
        <v>327</v>
      </c>
      <c r="B402">
        <f t="shared" ca="1" si="19"/>
        <v>12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2">
        <f t="shared" ca="1" si="20"/>
        <v>21</v>
      </c>
      <c r="E402" t="str">
        <f ca="1">IF(dict_zuord_Meth_Per[[#This Row],[kval_active]],dict_zuord_Meth_Per[[#This Row],[ID_Persons]],"")</f>
        <v/>
      </c>
    </row>
    <row r="403" spans="1:5" x14ac:dyDescent="0.45">
      <c r="A403">
        <f t="shared" ca="1" si="18"/>
        <v>368</v>
      </c>
      <c r="B403">
        <f t="shared" ca="1" si="19"/>
        <v>22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3">
        <f t="shared" ca="1" si="20"/>
        <v>13</v>
      </c>
      <c r="E403" t="str">
        <f ca="1">IF(dict_zuord_Meth_Per[[#This Row],[kval_active]],dict_zuord_Meth_Per[[#This Row],[ID_Persons]],"")</f>
        <v/>
      </c>
    </row>
    <row r="404" spans="1:5" x14ac:dyDescent="0.45">
      <c r="A404">
        <f t="shared" ca="1" si="18"/>
        <v>378</v>
      </c>
      <c r="B404">
        <f t="shared" ca="1" si="19"/>
        <v>21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4">
        <f t="shared" ca="1" si="20"/>
        <v>30</v>
      </c>
      <c r="E404">
        <f ca="1">IF(dict_zuord_Meth_Per[[#This Row],[kval_active]],dict_zuord_Meth_Per[[#This Row],[ID_Persons]],"")</f>
        <v>21</v>
      </c>
    </row>
    <row r="405" spans="1:5" x14ac:dyDescent="0.45">
      <c r="A405">
        <f t="shared" ca="1" si="18"/>
        <v>401</v>
      </c>
      <c r="B405">
        <f t="shared" ca="1" si="19"/>
        <v>4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5">
        <f t="shared" ca="1" si="20"/>
        <v>16</v>
      </c>
      <c r="E405" t="str">
        <f ca="1">IF(dict_zuord_Meth_Per[[#This Row],[kval_active]],dict_zuord_Meth_Per[[#This Row],[ID_Persons]],"")</f>
        <v/>
      </c>
    </row>
    <row r="406" spans="1:5" x14ac:dyDescent="0.45">
      <c r="A406">
        <f t="shared" ca="1" si="18"/>
        <v>542</v>
      </c>
      <c r="B406">
        <f t="shared" ca="1" si="19"/>
        <v>30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6">
        <f t="shared" ca="1" si="20"/>
        <v>19</v>
      </c>
      <c r="E406" t="str">
        <f ca="1">IF(dict_zuord_Meth_Per[[#This Row],[kval_active]],dict_zuord_Meth_Per[[#This Row],[ID_Persons]],"")</f>
        <v/>
      </c>
    </row>
    <row r="407" spans="1:5" x14ac:dyDescent="0.45">
      <c r="A407">
        <f t="shared" ca="1" si="18"/>
        <v>502</v>
      </c>
      <c r="B407">
        <f t="shared" ca="1" si="19"/>
        <v>24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7">
        <f t="shared" ca="1" si="20"/>
        <v>14</v>
      </c>
      <c r="E407" t="str">
        <f ca="1">IF(dict_zuord_Meth_Per[[#This Row],[kval_active]],dict_zuord_Meth_Per[[#This Row],[ID_Persons]],"")</f>
        <v/>
      </c>
    </row>
    <row r="408" spans="1:5" x14ac:dyDescent="0.45">
      <c r="A408">
        <f t="shared" ca="1" si="18"/>
        <v>240</v>
      </c>
      <c r="B408">
        <f t="shared" ca="1" si="19"/>
        <v>22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8">
        <f t="shared" ca="1" si="20"/>
        <v>24</v>
      </c>
      <c r="E408" t="str">
        <f ca="1">IF(dict_zuord_Meth_Per[[#This Row],[kval_active]],dict_zuord_Meth_Per[[#This Row],[ID_Persons]],"")</f>
        <v/>
      </c>
    </row>
    <row r="409" spans="1:5" x14ac:dyDescent="0.45">
      <c r="A409">
        <f t="shared" ca="1" si="18"/>
        <v>0</v>
      </c>
      <c r="B409">
        <f t="shared" ca="1" si="19"/>
        <v>2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9">
        <f t="shared" ca="1" si="20"/>
        <v>9</v>
      </c>
      <c r="E409" t="str">
        <f ca="1">IF(dict_zuord_Meth_Per[[#This Row],[kval_active]],dict_zuord_Meth_Per[[#This Row],[ID_Persons]],"")</f>
        <v/>
      </c>
    </row>
    <row r="410" spans="1:5" x14ac:dyDescent="0.45">
      <c r="A410">
        <f t="shared" ca="1" si="18"/>
        <v>370</v>
      </c>
      <c r="B410">
        <f t="shared" ca="1" si="19"/>
        <v>14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0">
        <f t="shared" ca="1" si="20"/>
        <v>25</v>
      </c>
      <c r="E410" t="str">
        <f ca="1">IF(dict_zuord_Meth_Per[[#This Row],[kval_active]],dict_zuord_Meth_Per[[#This Row],[ID_Persons]],"")</f>
        <v/>
      </c>
    </row>
    <row r="411" spans="1:5" x14ac:dyDescent="0.45">
      <c r="A411">
        <f t="shared" ca="1" si="18"/>
        <v>667</v>
      </c>
      <c r="B411">
        <f t="shared" ca="1" si="19"/>
        <v>30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1">
        <f t="shared" ca="1" si="20"/>
        <v>17</v>
      </c>
      <c r="E411" t="str">
        <f ca="1">IF(dict_zuord_Meth_Per[[#This Row],[kval_active]],dict_zuord_Meth_Per[[#This Row],[ID_Persons]],"")</f>
        <v/>
      </c>
    </row>
    <row r="412" spans="1:5" x14ac:dyDescent="0.45">
      <c r="A412">
        <f t="shared" ca="1" si="18"/>
        <v>399</v>
      </c>
      <c r="B412">
        <f t="shared" ca="1" si="19"/>
        <v>7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2">
        <f t="shared" ca="1" si="20"/>
        <v>1</v>
      </c>
      <c r="E412" t="str">
        <f ca="1">IF(dict_zuord_Meth_Per[[#This Row],[kval_active]],dict_zuord_Meth_Per[[#This Row],[ID_Persons]],"")</f>
        <v/>
      </c>
    </row>
    <row r="413" spans="1:5" x14ac:dyDescent="0.45">
      <c r="A413">
        <f t="shared" ca="1" si="18"/>
        <v>181</v>
      </c>
      <c r="B413">
        <f t="shared" ca="1" si="19"/>
        <v>0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3">
        <f t="shared" ca="1" si="20"/>
        <v>16</v>
      </c>
      <c r="E413" t="str">
        <f ca="1">IF(dict_zuord_Meth_Per[[#This Row],[kval_active]],dict_zuord_Meth_Per[[#This Row],[ID_Persons]],"")</f>
        <v/>
      </c>
    </row>
    <row r="414" spans="1:5" x14ac:dyDescent="0.45">
      <c r="A414">
        <f t="shared" ca="1" si="18"/>
        <v>399</v>
      </c>
      <c r="B414">
        <f t="shared" ca="1" si="19"/>
        <v>3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4">
        <f t="shared" ca="1" si="20"/>
        <v>0</v>
      </c>
      <c r="E414" t="str">
        <f ca="1">IF(dict_zuord_Meth_Per[[#This Row],[kval_active]],dict_zuord_Meth_Per[[#This Row],[ID_Persons]],"")</f>
        <v/>
      </c>
    </row>
    <row r="415" spans="1:5" x14ac:dyDescent="0.45">
      <c r="A415">
        <f t="shared" ca="1" si="18"/>
        <v>42</v>
      </c>
      <c r="B415">
        <f t="shared" ca="1" si="19"/>
        <v>13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5">
        <f t="shared" ca="1" si="20"/>
        <v>3</v>
      </c>
      <c r="E415" t="str">
        <f ca="1">IF(dict_zuord_Meth_Per[[#This Row],[kval_active]],dict_zuord_Meth_Per[[#This Row],[ID_Persons]],"")</f>
        <v/>
      </c>
    </row>
    <row r="416" spans="1:5" x14ac:dyDescent="0.45">
      <c r="A416">
        <f t="shared" ca="1" si="18"/>
        <v>221</v>
      </c>
      <c r="B416">
        <f t="shared" ca="1" si="19"/>
        <v>11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6">
        <f t="shared" ca="1" si="20"/>
        <v>4</v>
      </c>
      <c r="E416" t="str">
        <f ca="1">IF(dict_zuord_Meth_Per[[#This Row],[kval_active]],dict_zuord_Meth_Per[[#This Row],[ID_Persons]],"")</f>
        <v/>
      </c>
    </row>
    <row r="417" spans="1:5" x14ac:dyDescent="0.45">
      <c r="A417">
        <f t="shared" ca="1" si="18"/>
        <v>299</v>
      </c>
      <c r="B417">
        <f t="shared" ca="1" si="19"/>
        <v>10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7">
        <f t="shared" ca="1" si="20"/>
        <v>6</v>
      </c>
      <c r="E417" t="str">
        <f ca="1">IF(dict_zuord_Meth_Per[[#This Row],[kval_active]],dict_zuord_Meth_Per[[#This Row],[ID_Persons]],"")</f>
        <v/>
      </c>
    </row>
    <row r="418" spans="1:5" x14ac:dyDescent="0.45">
      <c r="A418">
        <f t="shared" ca="1" si="18"/>
        <v>689</v>
      </c>
      <c r="B418">
        <f t="shared" ca="1" si="19"/>
        <v>12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8">
        <f t="shared" ca="1" si="20"/>
        <v>25</v>
      </c>
      <c r="E418" t="str">
        <f ca="1">IF(dict_zuord_Meth_Per[[#This Row],[kval_active]],dict_zuord_Meth_Per[[#This Row],[ID_Persons]],"")</f>
        <v/>
      </c>
    </row>
    <row r="419" spans="1:5" x14ac:dyDescent="0.45">
      <c r="A419">
        <f t="shared" ca="1" si="18"/>
        <v>43</v>
      </c>
      <c r="B419">
        <f t="shared" ca="1" si="19"/>
        <v>5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9">
        <f t="shared" ca="1" si="20"/>
        <v>24</v>
      </c>
      <c r="E419" t="str">
        <f ca="1">IF(dict_zuord_Meth_Per[[#This Row],[kval_active]],dict_zuord_Meth_Per[[#This Row],[ID_Persons]],"")</f>
        <v/>
      </c>
    </row>
    <row r="420" spans="1:5" x14ac:dyDescent="0.45">
      <c r="A420">
        <f t="shared" ca="1" si="18"/>
        <v>574</v>
      </c>
      <c r="B420">
        <f t="shared" ca="1" si="19"/>
        <v>30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0">
        <f t="shared" ca="1" si="20"/>
        <v>22</v>
      </c>
      <c r="E420" t="str">
        <f ca="1">IF(dict_zuord_Meth_Per[[#This Row],[kval_active]],dict_zuord_Meth_Per[[#This Row],[ID_Persons]],"")</f>
        <v/>
      </c>
    </row>
    <row r="421" spans="1:5" x14ac:dyDescent="0.45">
      <c r="A421">
        <f t="shared" ca="1" si="18"/>
        <v>596</v>
      </c>
      <c r="B421">
        <f t="shared" ca="1" si="19"/>
        <v>30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1">
        <f t="shared" ca="1" si="20"/>
        <v>23</v>
      </c>
      <c r="E421" t="str">
        <f ca="1">IF(dict_zuord_Meth_Per[[#This Row],[kval_active]],dict_zuord_Meth_Per[[#This Row],[ID_Persons]],"")</f>
        <v/>
      </c>
    </row>
    <row r="422" spans="1:5" x14ac:dyDescent="0.45">
      <c r="A422">
        <f t="shared" ca="1" si="18"/>
        <v>598</v>
      </c>
      <c r="B422">
        <f t="shared" ca="1" si="19"/>
        <v>0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2">
        <f t="shared" ca="1" si="20"/>
        <v>22</v>
      </c>
      <c r="E422" t="str">
        <f ca="1">IF(dict_zuord_Meth_Per[[#This Row],[kval_active]],dict_zuord_Meth_Per[[#This Row],[ID_Persons]],"")</f>
        <v/>
      </c>
    </row>
    <row r="423" spans="1:5" x14ac:dyDescent="0.45">
      <c r="A423">
        <f t="shared" ca="1" si="18"/>
        <v>642</v>
      </c>
      <c r="B423">
        <f t="shared" ca="1" si="19"/>
        <v>2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3">
        <f t="shared" ca="1" si="20"/>
        <v>22</v>
      </c>
      <c r="E423" t="str">
        <f ca="1">IF(dict_zuord_Meth_Per[[#This Row],[kval_active]],dict_zuord_Meth_Per[[#This Row],[ID_Persons]],"")</f>
        <v/>
      </c>
    </row>
    <row r="424" spans="1:5" x14ac:dyDescent="0.45">
      <c r="A424">
        <f t="shared" ca="1" si="18"/>
        <v>550</v>
      </c>
      <c r="B424">
        <f t="shared" ca="1" si="19"/>
        <v>29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4">
        <f t="shared" ca="1" si="20"/>
        <v>10</v>
      </c>
      <c r="E424" t="str">
        <f ca="1">IF(dict_zuord_Meth_Per[[#This Row],[kval_active]],dict_zuord_Meth_Per[[#This Row],[ID_Persons]],"")</f>
        <v/>
      </c>
    </row>
    <row r="425" spans="1:5" x14ac:dyDescent="0.45">
      <c r="A425">
        <f t="shared" ca="1" si="18"/>
        <v>583</v>
      </c>
      <c r="B425">
        <f t="shared" ca="1" si="19"/>
        <v>0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5">
        <f t="shared" ca="1" si="20"/>
        <v>29</v>
      </c>
      <c r="E425" t="str">
        <f ca="1">IF(dict_zuord_Meth_Per[[#This Row],[kval_active]],dict_zuord_Meth_Per[[#This Row],[ID_Persons]],"")</f>
        <v/>
      </c>
    </row>
    <row r="426" spans="1:5" x14ac:dyDescent="0.45">
      <c r="A426">
        <f t="shared" ca="1" si="18"/>
        <v>226</v>
      </c>
      <c r="B426">
        <f t="shared" ca="1" si="19"/>
        <v>24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6">
        <f t="shared" ca="1" si="20"/>
        <v>7</v>
      </c>
      <c r="E426" t="str">
        <f ca="1">IF(dict_zuord_Meth_Per[[#This Row],[kval_active]],dict_zuord_Meth_Per[[#This Row],[ID_Persons]],"")</f>
        <v/>
      </c>
    </row>
    <row r="427" spans="1:5" x14ac:dyDescent="0.45">
      <c r="A427">
        <f t="shared" ca="1" si="18"/>
        <v>478</v>
      </c>
      <c r="B427">
        <f t="shared" ca="1" si="19"/>
        <v>5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7">
        <f t="shared" ca="1" si="20"/>
        <v>2</v>
      </c>
      <c r="E427" t="str">
        <f ca="1">IF(dict_zuord_Meth_Per[[#This Row],[kval_active]],dict_zuord_Meth_Per[[#This Row],[ID_Persons]],"")</f>
        <v/>
      </c>
    </row>
    <row r="428" spans="1:5" x14ac:dyDescent="0.45">
      <c r="A428">
        <f t="shared" ca="1" si="18"/>
        <v>43</v>
      </c>
      <c r="B428">
        <f t="shared" ca="1" si="19"/>
        <v>14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8">
        <f t="shared" ca="1" si="20"/>
        <v>20</v>
      </c>
      <c r="E428" t="str">
        <f ca="1">IF(dict_zuord_Meth_Per[[#This Row],[kval_active]],dict_zuord_Meth_Per[[#This Row],[ID_Persons]],"")</f>
        <v/>
      </c>
    </row>
    <row r="429" spans="1:5" x14ac:dyDescent="0.45">
      <c r="A429">
        <f t="shared" ca="1" si="18"/>
        <v>299</v>
      </c>
      <c r="B429">
        <f t="shared" ca="1" si="19"/>
        <v>16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9">
        <f t="shared" ca="1" si="20"/>
        <v>10</v>
      </c>
      <c r="E429" t="str">
        <f ca="1">IF(dict_zuord_Meth_Per[[#This Row],[kval_active]],dict_zuord_Meth_Per[[#This Row],[ID_Persons]],"")</f>
        <v/>
      </c>
    </row>
    <row r="430" spans="1:5" x14ac:dyDescent="0.45">
      <c r="A430">
        <f t="shared" ca="1" si="18"/>
        <v>423</v>
      </c>
      <c r="B430">
        <f t="shared" ca="1" si="19"/>
        <v>7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0">
        <f t="shared" ca="1" si="20"/>
        <v>23</v>
      </c>
      <c r="E430" t="str">
        <f ca="1">IF(dict_zuord_Meth_Per[[#This Row],[kval_active]],dict_zuord_Meth_Per[[#This Row],[ID_Persons]],"")</f>
        <v/>
      </c>
    </row>
    <row r="431" spans="1:5" x14ac:dyDescent="0.45">
      <c r="A431">
        <f t="shared" ca="1" si="18"/>
        <v>207</v>
      </c>
      <c r="B431">
        <f t="shared" ca="1" si="19"/>
        <v>9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1">
        <f t="shared" ca="1" si="20"/>
        <v>16</v>
      </c>
      <c r="E431" t="str">
        <f ca="1">IF(dict_zuord_Meth_Per[[#This Row],[kval_active]],dict_zuord_Meth_Per[[#This Row],[ID_Persons]],"")</f>
        <v/>
      </c>
    </row>
    <row r="432" spans="1:5" x14ac:dyDescent="0.45">
      <c r="A432">
        <f t="shared" ca="1" si="18"/>
        <v>513</v>
      </c>
      <c r="B432">
        <f t="shared" ca="1" si="19"/>
        <v>21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2">
        <f t="shared" ca="1" si="20"/>
        <v>30</v>
      </c>
      <c r="E432" t="str">
        <f ca="1">IF(dict_zuord_Meth_Per[[#This Row],[kval_active]],dict_zuord_Meth_Per[[#This Row],[ID_Persons]],"")</f>
        <v/>
      </c>
    </row>
    <row r="433" spans="1:5" x14ac:dyDescent="0.45">
      <c r="A433">
        <f t="shared" ca="1" si="18"/>
        <v>140</v>
      </c>
      <c r="B433">
        <f t="shared" ca="1" si="19"/>
        <v>23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3">
        <f t="shared" ca="1" si="20"/>
        <v>2</v>
      </c>
      <c r="E433" t="str">
        <f ca="1">IF(dict_zuord_Meth_Per[[#This Row],[kval_active]],dict_zuord_Meth_Per[[#This Row],[ID_Persons]],"")</f>
        <v/>
      </c>
    </row>
    <row r="434" spans="1:5" x14ac:dyDescent="0.45">
      <c r="A434">
        <f t="shared" ca="1" si="18"/>
        <v>405</v>
      </c>
      <c r="B434">
        <f t="shared" ca="1" si="19"/>
        <v>16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4">
        <f t="shared" ca="1" si="20"/>
        <v>18</v>
      </c>
      <c r="E434" t="str">
        <f ca="1">IF(dict_zuord_Meth_Per[[#This Row],[kval_active]],dict_zuord_Meth_Per[[#This Row],[ID_Persons]],"")</f>
        <v/>
      </c>
    </row>
    <row r="435" spans="1:5" x14ac:dyDescent="0.45">
      <c r="A435">
        <f t="shared" ca="1" si="18"/>
        <v>634</v>
      </c>
      <c r="B435">
        <f t="shared" ca="1" si="19"/>
        <v>28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5">
        <f t="shared" ca="1" si="20"/>
        <v>11</v>
      </c>
      <c r="E435" t="str">
        <f ca="1">IF(dict_zuord_Meth_Per[[#This Row],[kval_active]],dict_zuord_Meth_Per[[#This Row],[ID_Persons]],"")</f>
        <v/>
      </c>
    </row>
    <row r="436" spans="1:5" x14ac:dyDescent="0.45">
      <c r="A436">
        <f t="shared" ca="1" si="18"/>
        <v>597</v>
      </c>
      <c r="B436">
        <f t="shared" ca="1" si="19"/>
        <v>24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6">
        <f t="shared" ca="1" si="20"/>
        <v>21</v>
      </c>
      <c r="E436" t="str">
        <f ca="1">IF(dict_zuord_Meth_Per[[#This Row],[kval_active]],dict_zuord_Meth_Per[[#This Row],[ID_Persons]],"")</f>
        <v/>
      </c>
    </row>
    <row r="437" spans="1:5" x14ac:dyDescent="0.45">
      <c r="A437">
        <f t="shared" ca="1" si="18"/>
        <v>458</v>
      </c>
      <c r="B437">
        <f t="shared" ca="1" si="19"/>
        <v>12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7">
        <f t="shared" ca="1" si="20"/>
        <v>19</v>
      </c>
      <c r="E437" t="str">
        <f ca="1">IF(dict_zuord_Meth_Per[[#This Row],[kval_active]],dict_zuord_Meth_Per[[#This Row],[ID_Persons]],"")</f>
        <v/>
      </c>
    </row>
    <row r="438" spans="1:5" x14ac:dyDescent="0.45">
      <c r="A438">
        <f t="shared" ca="1" si="18"/>
        <v>424</v>
      </c>
      <c r="B438">
        <f t="shared" ca="1" si="19"/>
        <v>27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8">
        <f t="shared" ca="1" si="20"/>
        <v>6</v>
      </c>
      <c r="E438" t="str">
        <f ca="1">IF(dict_zuord_Meth_Per[[#This Row],[kval_active]],dict_zuord_Meth_Per[[#This Row],[ID_Persons]],"")</f>
        <v/>
      </c>
    </row>
    <row r="439" spans="1:5" x14ac:dyDescent="0.45">
      <c r="A439">
        <f t="shared" ca="1" si="18"/>
        <v>53</v>
      </c>
      <c r="B439">
        <f t="shared" ca="1" si="19"/>
        <v>30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9">
        <f t="shared" ca="1" si="20"/>
        <v>2</v>
      </c>
      <c r="E439" t="str">
        <f ca="1">IF(dict_zuord_Meth_Per[[#This Row],[kval_active]],dict_zuord_Meth_Per[[#This Row],[ID_Persons]],"")</f>
        <v/>
      </c>
    </row>
    <row r="440" spans="1:5" x14ac:dyDescent="0.45">
      <c r="A440">
        <f t="shared" ca="1" si="18"/>
        <v>82</v>
      </c>
      <c r="B440">
        <f t="shared" ca="1" si="19"/>
        <v>12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0">
        <f t="shared" ca="1" si="20"/>
        <v>22</v>
      </c>
      <c r="E440" t="str">
        <f ca="1">IF(dict_zuord_Meth_Per[[#This Row],[kval_active]],dict_zuord_Meth_Per[[#This Row],[ID_Persons]],"")</f>
        <v/>
      </c>
    </row>
    <row r="441" spans="1:5" x14ac:dyDescent="0.45">
      <c r="A441">
        <f t="shared" ca="1" si="18"/>
        <v>369</v>
      </c>
      <c r="B441">
        <f t="shared" ca="1" si="19"/>
        <v>9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1">
        <f t="shared" ca="1" si="20"/>
        <v>17</v>
      </c>
      <c r="E441" t="str">
        <f ca="1">IF(dict_zuord_Meth_Per[[#This Row],[kval_active]],dict_zuord_Meth_Per[[#This Row],[ID_Persons]],"")</f>
        <v/>
      </c>
    </row>
    <row r="442" spans="1:5" x14ac:dyDescent="0.45">
      <c r="A442">
        <f t="shared" ca="1" si="18"/>
        <v>166</v>
      </c>
      <c r="B442">
        <f t="shared" ca="1" si="19"/>
        <v>0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2">
        <f t="shared" ca="1" si="20"/>
        <v>0</v>
      </c>
      <c r="E442" t="str">
        <f ca="1">IF(dict_zuord_Meth_Per[[#This Row],[kval_active]],dict_zuord_Meth_Per[[#This Row],[ID_Persons]],"")</f>
        <v/>
      </c>
    </row>
    <row r="443" spans="1:5" x14ac:dyDescent="0.45">
      <c r="A443">
        <f t="shared" ca="1" si="18"/>
        <v>164</v>
      </c>
      <c r="B443">
        <f t="shared" ca="1" si="19"/>
        <v>9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3">
        <f t="shared" ca="1" si="20"/>
        <v>28</v>
      </c>
      <c r="E443" t="str">
        <f ca="1">IF(dict_zuord_Meth_Per[[#This Row],[kval_active]],dict_zuord_Meth_Per[[#This Row],[ID_Persons]],"")</f>
        <v/>
      </c>
    </row>
    <row r="444" spans="1:5" x14ac:dyDescent="0.45">
      <c r="A444">
        <f t="shared" ca="1" si="18"/>
        <v>121</v>
      </c>
      <c r="B444">
        <f t="shared" ca="1" si="19"/>
        <v>1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4">
        <f t="shared" ca="1" si="20"/>
        <v>27</v>
      </c>
      <c r="E444" t="str">
        <f ca="1">IF(dict_zuord_Meth_Per[[#This Row],[kval_active]],dict_zuord_Meth_Per[[#This Row],[ID_Persons]],"")</f>
        <v/>
      </c>
    </row>
    <row r="445" spans="1:5" x14ac:dyDescent="0.45">
      <c r="A445">
        <f t="shared" ca="1" si="18"/>
        <v>317</v>
      </c>
      <c r="B445">
        <f t="shared" ca="1" si="19"/>
        <v>13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5">
        <f t="shared" ca="1" si="20"/>
        <v>10</v>
      </c>
      <c r="E445" t="str">
        <f ca="1">IF(dict_zuord_Meth_Per[[#This Row],[kval_active]],dict_zuord_Meth_Per[[#This Row],[ID_Persons]],"")</f>
        <v/>
      </c>
    </row>
    <row r="446" spans="1:5" x14ac:dyDescent="0.45">
      <c r="A446">
        <f t="shared" ca="1" si="18"/>
        <v>22</v>
      </c>
      <c r="B446">
        <f t="shared" ca="1" si="19"/>
        <v>29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6">
        <f t="shared" ca="1" si="20"/>
        <v>8</v>
      </c>
      <c r="E446">
        <f ca="1">IF(dict_zuord_Meth_Per[[#This Row],[kval_active]],dict_zuord_Meth_Per[[#This Row],[ID_Persons]],"")</f>
        <v>29</v>
      </c>
    </row>
    <row r="447" spans="1:5" x14ac:dyDescent="0.45">
      <c r="A447">
        <f t="shared" ca="1" si="18"/>
        <v>34</v>
      </c>
      <c r="B447">
        <f t="shared" ca="1" si="19"/>
        <v>25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7">
        <f t="shared" ca="1" si="20"/>
        <v>15</v>
      </c>
      <c r="E447" t="str">
        <f ca="1">IF(dict_zuord_Meth_Per[[#This Row],[kval_active]],dict_zuord_Meth_Per[[#This Row],[ID_Persons]],"")</f>
        <v/>
      </c>
    </row>
    <row r="448" spans="1:5" x14ac:dyDescent="0.45">
      <c r="A448">
        <f t="shared" ca="1" si="18"/>
        <v>228</v>
      </c>
      <c r="B448">
        <f t="shared" ca="1" si="19"/>
        <v>11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8">
        <f t="shared" ca="1" si="20"/>
        <v>2</v>
      </c>
      <c r="E448" t="str">
        <f ca="1">IF(dict_zuord_Meth_Per[[#This Row],[kval_active]],dict_zuord_Meth_Per[[#This Row],[ID_Persons]],"")</f>
        <v/>
      </c>
    </row>
    <row r="449" spans="1:5" x14ac:dyDescent="0.45">
      <c r="A449">
        <f t="shared" ca="1" si="18"/>
        <v>309</v>
      </c>
      <c r="B449">
        <f t="shared" ca="1" si="19"/>
        <v>3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9">
        <f t="shared" ca="1" si="20"/>
        <v>23</v>
      </c>
      <c r="E449" t="str">
        <f ca="1">IF(dict_zuord_Meth_Per[[#This Row],[kval_active]],dict_zuord_Meth_Per[[#This Row],[ID_Persons]],"")</f>
        <v/>
      </c>
    </row>
    <row r="450" spans="1:5" x14ac:dyDescent="0.45">
      <c r="A450">
        <f t="shared" ref="A450:A500" ca="1" si="21">RANDBETWEEN(0,700)</f>
        <v>417</v>
      </c>
      <c r="B450">
        <f t="shared" ref="B450:B500" ca="1" si="22">RANDBETWEEN(0,30)</f>
        <v>18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0">
        <f t="shared" ref="D450:D500" ca="1" si="23">RANDBETWEEN(0,30)</f>
        <v>26</v>
      </c>
      <c r="E450" t="str">
        <f ca="1">IF(dict_zuord_Meth_Per[[#This Row],[kval_active]],dict_zuord_Meth_Per[[#This Row],[ID_Persons]],"")</f>
        <v/>
      </c>
    </row>
    <row r="451" spans="1:5" x14ac:dyDescent="0.45">
      <c r="A451">
        <f t="shared" ca="1" si="21"/>
        <v>315</v>
      </c>
      <c r="B451">
        <f t="shared" ca="1" si="22"/>
        <v>12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1">
        <f t="shared" ca="1" si="23"/>
        <v>0</v>
      </c>
      <c r="E451" t="str">
        <f ca="1">IF(dict_zuord_Meth_Per[[#This Row],[kval_active]],dict_zuord_Meth_Per[[#This Row],[ID_Persons]],"")</f>
        <v/>
      </c>
    </row>
    <row r="452" spans="1:5" x14ac:dyDescent="0.45">
      <c r="A452">
        <f t="shared" ca="1" si="21"/>
        <v>642</v>
      </c>
      <c r="B452">
        <f t="shared" ca="1" si="22"/>
        <v>5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2">
        <f t="shared" ca="1" si="23"/>
        <v>13</v>
      </c>
      <c r="E452" t="str">
        <f ca="1">IF(dict_zuord_Meth_Per[[#This Row],[kval_active]],dict_zuord_Meth_Per[[#This Row],[ID_Persons]],"")</f>
        <v/>
      </c>
    </row>
    <row r="453" spans="1:5" x14ac:dyDescent="0.45">
      <c r="A453">
        <f t="shared" ca="1" si="21"/>
        <v>530</v>
      </c>
      <c r="B453">
        <f t="shared" ca="1" si="22"/>
        <v>8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3">
        <f t="shared" ca="1" si="23"/>
        <v>13</v>
      </c>
      <c r="E453" t="str">
        <f ca="1">IF(dict_zuord_Meth_Per[[#This Row],[kval_active]],dict_zuord_Meth_Per[[#This Row],[ID_Persons]],"")</f>
        <v/>
      </c>
    </row>
    <row r="454" spans="1:5" x14ac:dyDescent="0.45">
      <c r="A454">
        <f t="shared" ca="1" si="21"/>
        <v>382</v>
      </c>
      <c r="B454">
        <f t="shared" ca="1" si="22"/>
        <v>11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4">
        <f t="shared" ca="1" si="23"/>
        <v>28</v>
      </c>
      <c r="E454" t="str">
        <f ca="1">IF(dict_zuord_Meth_Per[[#This Row],[kval_active]],dict_zuord_Meth_Per[[#This Row],[ID_Persons]],"")</f>
        <v/>
      </c>
    </row>
    <row r="455" spans="1:5" x14ac:dyDescent="0.45">
      <c r="A455">
        <f t="shared" ca="1" si="21"/>
        <v>32</v>
      </c>
      <c r="B455">
        <f t="shared" ca="1" si="22"/>
        <v>17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5">
        <f t="shared" ca="1" si="23"/>
        <v>23</v>
      </c>
      <c r="E455" t="str">
        <f ca="1">IF(dict_zuord_Meth_Per[[#This Row],[kval_active]],dict_zuord_Meth_Per[[#This Row],[ID_Persons]],"")</f>
        <v/>
      </c>
    </row>
    <row r="456" spans="1:5" x14ac:dyDescent="0.45">
      <c r="A456">
        <f t="shared" ca="1" si="21"/>
        <v>672</v>
      </c>
      <c r="B456">
        <f t="shared" ca="1" si="22"/>
        <v>3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6">
        <f t="shared" ca="1" si="23"/>
        <v>12</v>
      </c>
      <c r="E456" t="str">
        <f ca="1">IF(dict_zuord_Meth_Per[[#This Row],[kval_active]],dict_zuord_Meth_Per[[#This Row],[ID_Persons]],"")</f>
        <v/>
      </c>
    </row>
    <row r="457" spans="1:5" x14ac:dyDescent="0.45">
      <c r="A457">
        <f t="shared" ca="1" si="21"/>
        <v>381</v>
      </c>
      <c r="B457">
        <f t="shared" ca="1" si="22"/>
        <v>29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7">
        <f t="shared" ca="1" si="23"/>
        <v>14</v>
      </c>
      <c r="E457" t="str">
        <f ca="1">IF(dict_zuord_Meth_Per[[#This Row],[kval_active]],dict_zuord_Meth_Per[[#This Row],[ID_Persons]],"")</f>
        <v/>
      </c>
    </row>
    <row r="458" spans="1:5" x14ac:dyDescent="0.45">
      <c r="A458">
        <f t="shared" ca="1" si="21"/>
        <v>464</v>
      </c>
      <c r="B458">
        <f t="shared" ca="1" si="22"/>
        <v>19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8">
        <f t="shared" ca="1" si="23"/>
        <v>11</v>
      </c>
      <c r="E458" t="str">
        <f ca="1">IF(dict_zuord_Meth_Per[[#This Row],[kval_active]],dict_zuord_Meth_Per[[#This Row],[ID_Persons]],"")</f>
        <v/>
      </c>
    </row>
    <row r="459" spans="1:5" x14ac:dyDescent="0.45">
      <c r="A459">
        <f t="shared" ca="1" si="21"/>
        <v>316</v>
      </c>
      <c r="B459">
        <f t="shared" ca="1" si="22"/>
        <v>6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9">
        <f t="shared" ca="1" si="23"/>
        <v>25</v>
      </c>
      <c r="E459" t="str">
        <f ca="1">IF(dict_zuord_Meth_Per[[#This Row],[kval_active]],dict_zuord_Meth_Per[[#This Row],[ID_Persons]],"")</f>
        <v/>
      </c>
    </row>
    <row r="460" spans="1:5" x14ac:dyDescent="0.45">
      <c r="A460">
        <f t="shared" ca="1" si="21"/>
        <v>568</v>
      </c>
      <c r="B460">
        <f t="shared" ca="1" si="22"/>
        <v>16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0">
        <f t="shared" ca="1" si="23"/>
        <v>16</v>
      </c>
      <c r="E460" t="str">
        <f ca="1">IF(dict_zuord_Meth_Per[[#This Row],[kval_active]],dict_zuord_Meth_Per[[#This Row],[ID_Persons]],"")</f>
        <v/>
      </c>
    </row>
    <row r="461" spans="1:5" x14ac:dyDescent="0.45">
      <c r="A461">
        <f t="shared" ca="1" si="21"/>
        <v>62</v>
      </c>
      <c r="B461">
        <f t="shared" ca="1" si="22"/>
        <v>29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1">
        <f t="shared" ca="1" si="23"/>
        <v>30</v>
      </c>
      <c r="E461" t="str">
        <f ca="1">IF(dict_zuord_Meth_Per[[#This Row],[kval_active]],dict_zuord_Meth_Per[[#This Row],[ID_Persons]],"")</f>
        <v/>
      </c>
    </row>
    <row r="462" spans="1:5" x14ac:dyDescent="0.45">
      <c r="A462">
        <f t="shared" ca="1" si="21"/>
        <v>132</v>
      </c>
      <c r="B462">
        <f t="shared" ca="1" si="22"/>
        <v>3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2">
        <f t="shared" ca="1" si="23"/>
        <v>1</v>
      </c>
      <c r="E462" t="str">
        <f ca="1">IF(dict_zuord_Meth_Per[[#This Row],[kval_active]],dict_zuord_Meth_Per[[#This Row],[ID_Persons]],"")</f>
        <v/>
      </c>
    </row>
    <row r="463" spans="1:5" x14ac:dyDescent="0.45">
      <c r="A463">
        <f t="shared" ca="1" si="21"/>
        <v>410</v>
      </c>
      <c r="B463">
        <f t="shared" ca="1" si="22"/>
        <v>17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3">
        <f t="shared" ca="1" si="23"/>
        <v>10</v>
      </c>
      <c r="E463" t="str">
        <f ca="1">IF(dict_zuord_Meth_Per[[#This Row],[kval_active]],dict_zuord_Meth_Per[[#This Row],[ID_Persons]],"")</f>
        <v/>
      </c>
    </row>
    <row r="464" spans="1:5" x14ac:dyDescent="0.45">
      <c r="A464">
        <f t="shared" ca="1" si="21"/>
        <v>141</v>
      </c>
      <c r="B464">
        <f t="shared" ca="1" si="22"/>
        <v>6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4">
        <f t="shared" ca="1" si="23"/>
        <v>20</v>
      </c>
      <c r="E464" t="str">
        <f ca="1">IF(dict_zuord_Meth_Per[[#This Row],[kval_active]],dict_zuord_Meth_Per[[#This Row],[ID_Persons]],"")</f>
        <v/>
      </c>
    </row>
    <row r="465" spans="1:5" x14ac:dyDescent="0.45">
      <c r="A465">
        <f t="shared" ca="1" si="21"/>
        <v>132</v>
      </c>
      <c r="B465">
        <f t="shared" ca="1" si="22"/>
        <v>11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5">
        <f t="shared" ca="1" si="23"/>
        <v>20</v>
      </c>
      <c r="E465" t="str">
        <f ca="1">IF(dict_zuord_Meth_Per[[#This Row],[kval_active]],dict_zuord_Meth_Per[[#This Row],[ID_Persons]],"")</f>
        <v/>
      </c>
    </row>
    <row r="466" spans="1:5" x14ac:dyDescent="0.45">
      <c r="A466">
        <f t="shared" ca="1" si="21"/>
        <v>468</v>
      </c>
      <c r="B466">
        <f t="shared" ca="1" si="22"/>
        <v>5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6">
        <f t="shared" ca="1" si="23"/>
        <v>25</v>
      </c>
      <c r="E466" t="str">
        <f ca="1">IF(dict_zuord_Meth_Per[[#This Row],[kval_active]],dict_zuord_Meth_Per[[#This Row],[ID_Persons]],"")</f>
        <v/>
      </c>
    </row>
    <row r="467" spans="1:5" x14ac:dyDescent="0.45">
      <c r="A467">
        <f t="shared" ca="1" si="21"/>
        <v>137</v>
      </c>
      <c r="B467">
        <f t="shared" ca="1" si="22"/>
        <v>9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7">
        <f t="shared" ca="1" si="23"/>
        <v>6</v>
      </c>
      <c r="E467" t="str">
        <f ca="1">IF(dict_zuord_Meth_Per[[#This Row],[kval_active]],dict_zuord_Meth_Per[[#This Row],[ID_Persons]],"")</f>
        <v/>
      </c>
    </row>
    <row r="468" spans="1:5" x14ac:dyDescent="0.45">
      <c r="A468">
        <f t="shared" ca="1" si="21"/>
        <v>301</v>
      </c>
      <c r="B468">
        <f t="shared" ca="1" si="22"/>
        <v>7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8">
        <f t="shared" ca="1" si="23"/>
        <v>30</v>
      </c>
      <c r="E468" t="str">
        <f ca="1">IF(dict_zuord_Meth_Per[[#This Row],[kval_active]],dict_zuord_Meth_Per[[#This Row],[ID_Persons]],"")</f>
        <v/>
      </c>
    </row>
    <row r="469" spans="1:5" x14ac:dyDescent="0.45">
      <c r="A469">
        <f t="shared" ca="1" si="21"/>
        <v>95</v>
      </c>
      <c r="B469">
        <f t="shared" ca="1" si="22"/>
        <v>17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9">
        <f t="shared" ca="1" si="23"/>
        <v>24</v>
      </c>
      <c r="E469" t="str">
        <f ca="1">IF(dict_zuord_Meth_Per[[#This Row],[kval_active]],dict_zuord_Meth_Per[[#This Row],[ID_Persons]],"")</f>
        <v/>
      </c>
    </row>
    <row r="470" spans="1:5" x14ac:dyDescent="0.45">
      <c r="A470">
        <f t="shared" ca="1" si="21"/>
        <v>418</v>
      </c>
      <c r="B470">
        <f t="shared" ca="1" si="22"/>
        <v>9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0">
        <f t="shared" ca="1" si="23"/>
        <v>12</v>
      </c>
      <c r="E470" t="str">
        <f ca="1">IF(dict_zuord_Meth_Per[[#This Row],[kval_active]],dict_zuord_Meth_Per[[#This Row],[ID_Persons]],"")</f>
        <v/>
      </c>
    </row>
    <row r="471" spans="1:5" x14ac:dyDescent="0.45">
      <c r="A471">
        <f t="shared" ca="1" si="21"/>
        <v>624</v>
      </c>
      <c r="B471">
        <f t="shared" ca="1" si="22"/>
        <v>17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1">
        <f t="shared" ca="1" si="23"/>
        <v>26</v>
      </c>
      <c r="E471" t="str">
        <f ca="1">IF(dict_zuord_Meth_Per[[#This Row],[kval_active]],dict_zuord_Meth_Per[[#This Row],[ID_Persons]],"")</f>
        <v/>
      </c>
    </row>
    <row r="472" spans="1:5" x14ac:dyDescent="0.45">
      <c r="A472">
        <f t="shared" ca="1" si="21"/>
        <v>233</v>
      </c>
      <c r="B472">
        <f t="shared" ca="1" si="22"/>
        <v>23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2">
        <f t="shared" ca="1" si="23"/>
        <v>15</v>
      </c>
      <c r="E472" t="str">
        <f ca="1">IF(dict_zuord_Meth_Per[[#This Row],[kval_active]],dict_zuord_Meth_Per[[#This Row],[ID_Persons]],"")</f>
        <v/>
      </c>
    </row>
    <row r="473" spans="1:5" x14ac:dyDescent="0.45">
      <c r="A473">
        <f t="shared" ca="1" si="21"/>
        <v>259</v>
      </c>
      <c r="B473">
        <f t="shared" ca="1" si="22"/>
        <v>10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3">
        <f t="shared" ca="1" si="23"/>
        <v>2</v>
      </c>
      <c r="E473" t="str">
        <f ca="1">IF(dict_zuord_Meth_Per[[#This Row],[kval_active]],dict_zuord_Meth_Per[[#This Row],[ID_Persons]],"")</f>
        <v/>
      </c>
    </row>
    <row r="474" spans="1:5" x14ac:dyDescent="0.45">
      <c r="A474">
        <f t="shared" ca="1" si="21"/>
        <v>309</v>
      </c>
      <c r="B474">
        <f t="shared" ca="1" si="22"/>
        <v>3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4">
        <f t="shared" ca="1" si="23"/>
        <v>19</v>
      </c>
      <c r="E474" t="str">
        <f ca="1">IF(dict_zuord_Meth_Per[[#This Row],[kval_active]],dict_zuord_Meth_Per[[#This Row],[ID_Persons]],"")</f>
        <v/>
      </c>
    </row>
    <row r="475" spans="1:5" x14ac:dyDescent="0.45">
      <c r="A475">
        <f t="shared" ca="1" si="21"/>
        <v>375</v>
      </c>
      <c r="B475">
        <f t="shared" ca="1" si="22"/>
        <v>14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5">
        <f t="shared" ca="1" si="23"/>
        <v>23</v>
      </c>
      <c r="E475" t="str">
        <f ca="1">IF(dict_zuord_Meth_Per[[#This Row],[kval_active]],dict_zuord_Meth_Per[[#This Row],[ID_Persons]],"")</f>
        <v/>
      </c>
    </row>
    <row r="476" spans="1:5" x14ac:dyDescent="0.45">
      <c r="A476">
        <f t="shared" ca="1" si="21"/>
        <v>78</v>
      </c>
      <c r="B476">
        <f t="shared" ca="1" si="22"/>
        <v>15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6">
        <f t="shared" ca="1" si="23"/>
        <v>10</v>
      </c>
      <c r="E476" t="str">
        <f ca="1">IF(dict_zuord_Meth_Per[[#This Row],[kval_active]],dict_zuord_Meth_Per[[#This Row],[ID_Persons]],"")</f>
        <v/>
      </c>
    </row>
    <row r="477" spans="1:5" x14ac:dyDescent="0.45">
      <c r="A477">
        <f t="shared" ca="1" si="21"/>
        <v>313</v>
      </c>
      <c r="B477">
        <f t="shared" ca="1" si="22"/>
        <v>26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7">
        <f t="shared" ca="1" si="23"/>
        <v>4</v>
      </c>
      <c r="E477" t="str">
        <f ca="1">IF(dict_zuord_Meth_Per[[#This Row],[kval_active]],dict_zuord_Meth_Per[[#This Row],[ID_Persons]],"")</f>
        <v/>
      </c>
    </row>
    <row r="478" spans="1:5" x14ac:dyDescent="0.45">
      <c r="A478">
        <f t="shared" ca="1" si="21"/>
        <v>211</v>
      </c>
      <c r="B478">
        <f t="shared" ca="1" si="22"/>
        <v>14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8">
        <f t="shared" ca="1" si="23"/>
        <v>13</v>
      </c>
      <c r="E478" t="str">
        <f ca="1">IF(dict_zuord_Meth_Per[[#This Row],[kval_active]],dict_zuord_Meth_Per[[#This Row],[ID_Persons]],"")</f>
        <v/>
      </c>
    </row>
    <row r="479" spans="1:5" x14ac:dyDescent="0.45">
      <c r="A479">
        <f t="shared" ca="1" si="21"/>
        <v>666</v>
      </c>
      <c r="B479">
        <f t="shared" ca="1" si="22"/>
        <v>16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9">
        <f t="shared" ca="1" si="23"/>
        <v>8</v>
      </c>
      <c r="E479" t="str">
        <f ca="1">IF(dict_zuord_Meth_Per[[#This Row],[kval_active]],dict_zuord_Meth_Per[[#This Row],[ID_Persons]],"")</f>
        <v/>
      </c>
    </row>
    <row r="480" spans="1:5" x14ac:dyDescent="0.45">
      <c r="A480">
        <f t="shared" ca="1" si="21"/>
        <v>17</v>
      </c>
      <c r="B480">
        <f t="shared" ca="1" si="22"/>
        <v>27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0">
        <f t="shared" ca="1" si="23"/>
        <v>8</v>
      </c>
      <c r="E480" t="str">
        <f ca="1">IF(dict_zuord_Meth_Per[[#This Row],[kval_active]],dict_zuord_Meth_Per[[#This Row],[ID_Persons]],"")</f>
        <v/>
      </c>
    </row>
    <row r="481" spans="1:5" x14ac:dyDescent="0.45">
      <c r="A481">
        <f t="shared" ca="1" si="21"/>
        <v>282</v>
      </c>
      <c r="B481">
        <f t="shared" ca="1" si="22"/>
        <v>4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1">
        <f t="shared" ca="1" si="23"/>
        <v>14</v>
      </c>
      <c r="E481" t="str">
        <f ca="1">IF(dict_zuord_Meth_Per[[#This Row],[kval_active]],dict_zuord_Meth_Per[[#This Row],[ID_Persons]],"")</f>
        <v/>
      </c>
    </row>
    <row r="482" spans="1:5" x14ac:dyDescent="0.45">
      <c r="A482">
        <f t="shared" ca="1" si="21"/>
        <v>77</v>
      </c>
      <c r="B482">
        <f t="shared" ca="1" si="22"/>
        <v>18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2">
        <f t="shared" ca="1" si="23"/>
        <v>13</v>
      </c>
      <c r="E482" t="str">
        <f ca="1">IF(dict_zuord_Meth_Per[[#This Row],[kval_active]],dict_zuord_Meth_Per[[#This Row],[ID_Persons]],"")</f>
        <v/>
      </c>
    </row>
    <row r="483" spans="1:5" x14ac:dyDescent="0.45">
      <c r="A483">
        <f t="shared" ca="1" si="21"/>
        <v>14</v>
      </c>
      <c r="B483">
        <f t="shared" ca="1" si="22"/>
        <v>4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3">
        <f t="shared" ca="1" si="23"/>
        <v>15</v>
      </c>
      <c r="E483" t="str">
        <f ca="1">IF(dict_zuord_Meth_Per[[#This Row],[kval_active]],dict_zuord_Meth_Per[[#This Row],[ID_Persons]],"")</f>
        <v/>
      </c>
    </row>
    <row r="484" spans="1:5" x14ac:dyDescent="0.45">
      <c r="A484">
        <f t="shared" ca="1" si="21"/>
        <v>335</v>
      </c>
      <c r="B484">
        <f t="shared" ca="1" si="22"/>
        <v>21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4">
        <f t="shared" ca="1" si="23"/>
        <v>1</v>
      </c>
      <c r="E484" t="str">
        <f ca="1">IF(dict_zuord_Meth_Per[[#This Row],[kval_active]],dict_zuord_Meth_Per[[#This Row],[ID_Persons]],"")</f>
        <v/>
      </c>
    </row>
    <row r="485" spans="1:5" x14ac:dyDescent="0.45">
      <c r="A485">
        <f t="shared" ca="1" si="21"/>
        <v>382</v>
      </c>
      <c r="B485">
        <f t="shared" ca="1" si="22"/>
        <v>27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5">
        <f t="shared" ca="1" si="23"/>
        <v>9</v>
      </c>
      <c r="E485" t="str">
        <f ca="1">IF(dict_zuord_Meth_Per[[#This Row],[kval_active]],dict_zuord_Meth_Per[[#This Row],[ID_Persons]],"")</f>
        <v/>
      </c>
    </row>
    <row r="486" spans="1:5" x14ac:dyDescent="0.45">
      <c r="A486">
        <f t="shared" ca="1" si="21"/>
        <v>600</v>
      </c>
      <c r="B486">
        <f t="shared" ca="1" si="22"/>
        <v>28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6">
        <f t="shared" ca="1" si="23"/>
        <v>25</v>
      </c>
      <c r="E486" t="str">
        <f ca="1">IF(dict_zuord_Meth_Per[[#This Row],[kval_active]],dict_zuord_Meth_Per[[#This Row],[ID_Persons]],"")</f>
        <v/>
      </c>
    </row>
    <row r="487" spans="1:5" x14ac:dyDescent="0.45">
      <c r="A487">
        <f t="shared" ca="1" si="21"/>
        <v>9</v>
      </c>
      <c r="B487">
        <f t="shared" ca="1" si="22"/>
        <v>3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7">
        <f t="shared" ca="1" si="23"/>
        <v>2</v>
      </c>
      <c r="E487" t="str">
        <f ca="1">IF(dict_zuord_Meth_Per[[#This Row],[kval_active]],dict_zuord_Meth_Per[[#This Row],[ID_Persons]],"")</f>
        <v/>
      </c>
    </row>
    <row r="488" spans="1:5" x14ac:dyDescent="0.45">
      <c r="A488">
        <f t="shared" ca="1" si="21"/>
        <v>89</v>
      </c>
      <c r="B488">
        <f t="shared" ca="1" si="22"/>
        <v>16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8">
        <f t="shared" ca="1" si="23"/>
        <v>6</v>
      </c>
      <c r="E488" t="str">
        <f ca="1">IF(dict_zuord_Meth_Per[[#This Row],[kval_active]],dict_zuord_Meth_Per[[#This Row],[ID_Persons]],"")</f>
        <v/>
      </c>
    </row>
    <row r="489" spans="1:5" x14ac:dyDescent="0.45">
      <c r="A489">
        <f t="shared" ca="1" si="21"/>
        <v>230</v>
      </c>
      <c r="B489">
        <f t="shared" ca="1" si="22"/>
        <v>23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9">
        <f t="shared" ca="1" si="23"/>
        <v>25</v>
      </c>
      <c r="E489" t="str">
        <f ca="1">IF(dict_zuord_Meth_Per[[#This Row],[kval_active]],dict_zuord_Meth_Per[[#This Row],[ID_Persons]],"")</f>
        <v/>
      </c>
    </row>
    <row r="490" spans="1:5" x14ac:dyDescent="0.45">
      <c r="A490">
        <f t="shared" ca="1" si="21"/>
        <v>456</v>
      </c>
      <c r="B490">
        <f t="shared" ca="1" si="22"/>
        <v>10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0">
        <f t="shared" ca="1" si="23"/>
        <v>1</v>
      </c>
      <c r="E490" t="str">
        <f ca="1">IF(dict_zuord_Meth_Per[[#This Row],[kval_active]],dict_zuord_Meth_Per[[#This Row],[ID_Persons]],"")</f>
        <v/>
      </c>
    </row>
    <row r="491" spans="1:5" x14ac:dyDescent="0.45">
      <c r="A491">
        <f t="shared" ca="1" si="21"/>
        <v>26</v>
      </c>
      <c r="B491">
        <f t="shared" ca="1" si="22"/>
        <v>14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1">
        <f t="shared" ca="1" si="23"/>
        <v>2</v>
      </c>
      <c r="E491" t="str">
        <f ca="1">IF(dict_zuord_Meth_Per[[#This Row],[kval_active]],dict_zuord_Meth_Per[[#This Row],[ID_Persons]],"")</f>
        <v/>
      </c>
    </row>
    <row r="492" spans="1:5" x14ac:dyDescent="0.45">
      <c r="A492">
        <f t="shared" ca="1" si="21"/>
        <v>634</v>
      </c>
      <c r="B492">
        <f t="shared" ca="1" si="22"/>
        <v>10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2">
        <f t="shared" ca="1" si="23"/>
        <v>19</v>
      </c>
      <c r="E492" t="str">
        <f ca="1">IF(dict_zuord_Meth_Per[[#This Row],[kval_active]],dict_zuord_Meth_Per[[#This Row],[ID_Persons]],"")</f>
        <v/>
      </c>
    </row>
    <row r="493" spans="1:5" x14ac:dyDescent="0.45">
      <c r="A493">
        <f t="shared" ca="1" si="21"/>
        <v>248</v>
      </c>
      <c r="B493">
        <f t="shared" ca="1" si="22"/>
        <v>25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3">
        <f t="shared" ca="1" si="23"/>
        <v>25</v>
      </c>
      <c r="E493">
        <f ca="1">IF(dict_zuord_Meth_Per[[#This Row],[kval_active]],dict_zuord_Meth_Per[[#This Row],[ID_Persons]],"")</f>
        <v>25</v>
      </c>
    </row>
    <row r="494" spans="1:5" x14ac:dyDescent="0.45">
      <c r="A494">
        <f t="shared" ca="1" si="21"/>
        <v>475</v>
      </c>
      <c r="B494">
        <f t="shared" ca="1" si="22"/>
        <v>30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4">
        <f t="shared" ca="1" si="23"/>
        <v>1</v>
      </c>
      <c r="E494" t="str">
        <f ca="1">IF(dict_zuord_Meth_Per[[#This Row],[kval_active]],dict_zuord_Meth_Per[[#This Row],[ID_Persons]],"")</f>
        <v/>
      </c>
    </row>
    <row r="495" spans="1:5" x14ac:dyDescent="0.45">
      <c r="A495">
        <f t="shared" ca="1" si="21"/>
        <v>344</v>
      </c>
      <c r="B495">
        <f t="shared" ca="1" si="22"/>
        <v>16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5">
        <f t="shared" ca="1" si="23"/>
        <v>19</v>
      </c>
      <c r="E495" t="str">
        <f ca="1">IF(dict_zuord_Meth_Per[[#This Row],[kval_active]],dict_zuord_Meth_Per[[#This Row],[ID_Persons]],"")</f>
        <v/>
      </c>
    </row>
    <row r="496" spans="1:5" x14ac:dyDescent="0.45">
      <c r="A496">
        <f t="shared" ca="1" si="21"/>
        <v>444</v>
      </c>
      <c r="B496">
        <f t="shared" ca="1" si="22"/>
        <v>12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6">
        <f t="shared" ca="1" si="23"/>
        <v>27</v>
      </c>
      <c r="E496" t="str">
        <f ca="1">IF(dict_zuord_Meth_Per[[#This Row],[kval_active]],dict_zuord_Meth_Per[[#This Row],[ID_Persons]],"")</f>
        <v/>
      </c>
    </row>
    <row r="497" spans="1:5" x14ac:dyDescent="0.45">
      <c r="A497">
        <f t="shared" ca="1" si="21"/>
        <v>669</v>
      </c>
      <c r="B497">
        <f t="shared" ca="1" si="22"/>
        <v>18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7">
        <f t="shared" ca="1" si="23"/>
        <v>8</v>
      </c>
      <c r="E497" t="str">
        <f ca="1">IF(dict_zuord_Meth_Per[[#This Row],[kval_active]],dict_zuord_Meth_Per[[#This Row],[ID_Persons]],"")</f>
        <v/>
      </c>
    </row>
    <row r="498" spans="1:5" x14ac:dyDescent="0.45">
      <c r="A498">
        <f t="shared" ca="1" si="21"/>
        <v>236</v>
      </c>
      <c r="B498">
        <f t="shared" ca="1" si="22"/>
        <v>19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8">
        <f t="shared" ca="1" si="23"/>
        <v>20</v>
      </c>
      <c r="E498" t="str">
        <f ca="1">IF(dict_zuord_Meth_Per[[#This Row],[kval_active]],dict_zuord_Meth_Per[[#This Row],[ID_Persons]],"")</f>
        <v/>
      </c>
    </row>
    <row r="499" spans="1:5" x14ac:dyDescent="0.45">
      <c r="A499">
        <f t="shared" ca="1" si="21"/>
        <v>585</v>
      </c>
      <c r="B499">
        <f t="shared" ca="1" si="22"/>
        <v>6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9">
        <f t="shared" ca="1" si="23"/>
        <v>3</v>
      </c>
      <c r="E499">
        <f ca="1">IF(dict_zuord_Meth_Per[[#This Row],[kval_active]],dict_zuord_Meth_Per[[#This Row],[ID_Persons]],"")</f>
        <v>6</v>
      </c>
    </row>
    <row r="500" spans="1:5" x14ac:dyDescent="0.45">
      <c r="A500">
        <f t="shared" ca="1" si="21"/>
        <v>531</v>
      </c>
      <c r="B500">
        <f t="shared" ca="1" si="22"/>
        <v>11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0">
        <f t="shared" ca="1" si="23"/>
        <v>6</v>
      </c>
      <c r="E500" t="str">
        <f ca="1">IF(dict_zuord_Meth_Per[[#This Row],[kval_active]],dict_zuord_Meth_Per[[#This Row],[ID_Persons]],"")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D761"/>
  <sheetViews>
    <sheetView topLeftCell="A747" workbookViewId="0">
      <selection activeCell="A3" sqref="A3:D761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348</v>
      </c>
    </row>
    <row r="2" spans="1:4" x14ac:dyDescent="0.45">
      <c r="A2">
        <f ca="1">dict_zul_Var_Meth[ID_Methods]</f>
        <v>509</v>
      </c>
      <c r="B2">
        <f ca="1">dict_zul_Var_Meth[ID_Variables]</f>
        <v>0</v>
      </c>
      <c r="C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">
        <f ca="1">IF(dict_zuord_Meth_Pos[[#This Row],[kval_active]],dict_zuord_Meth_Pos[[#This Row],[ID_Positions]],"")</f>
        <v>0</v>
      </c>
    </row>
    <row r="3" spans="1:4" x14ac:dyDescent="0.45">
      <c r="A3">
        <f ca="1">dict_zul_Var_Meth[ID_Methods]</f>
        <v>554</v>
      </c>
      <c r="B3">
        <f ca="1">dict_zul_Var_Meth[ID_Variables]</f>
        <v>0</v>
      </c>
      <c r="C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">
        <f ca="1">IF(dict_zuord_Meth_Pos[[#This Row],[kval_active]],dict_zuord_Meth_Pos[[#This Row],[ID_Positions]],"")</f>
        <v>0</v>
      </c>
    </row>
    <row r="4" spans="1:4" x14ac:dyDescent="0.45">
      <c r="A4">
        <f ca="1">dict_zul_Var_Meth[ID_Methods]</f>
        <v>569</v>
      </c>
      <c r="B4">
        <f ca="1">dict_zul_Var_Meth[ID_Variables]</f>
        <v>0</v>
      </c>
      <c r="C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">
        <f ca="1">IF(dict_zuord_Meth_Pos[[#This Row],[kval_active]],dict_zuord_Meth_Pos[[#This Row],[ID_Positions]],"")</f>
        <v>0</v>
      </c>
    </row>
    <row r="5" spans="1:4" x14ac:dyDescent="0.45">
      <c r="A5">
        <f ca="1">dict_zul_Var_Meth[ID_Methods]</f>
        <v>248</v>
      </c>
      <c r="B5">
        <f ca="1">dict_zul_Var_Meth[ID_Variables]</f>
        <v>1</v>
      </c>
      <c r="C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">
        <f ca="1">IF(dict_zuord_Meth_Pos[[#This Row],[kval_active]],dict_zuord_Meth_Pos[[#This Row],[ID_Positions]],"")</f>
        <v>1</v>
      </c>
    </row>
    <row r="6" spans="1:4" x14ac:dyDescent="0.45">
      <c r="A6">
        <f ca="1">dict_zul_Var_Meth[ID_Methods]</f>
        <v>365</v>
      </c>
      <c r="B6">
        <f ca="1">dict_zul_Var_Meth[ID_Variables]</f>
        <v>1</v>
      </c>
      <c r="C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">
        <f ca="1">IF(dict_zuord_Meth_Pos[[#This Row],[kval_active]],dict_zuord_Meth_Pos[[#This Row],[ID_Positions]],"")</f>
        <v>1</v>
      </c>
    </row>
    <row r="7" spans="1:4" x14ac:dyDescent="0.45">
      <c r="A7">
        <f ca="1">dict_zul_Var_Meth[ID_Methods]</f>
        <v>421</v>
      </c>
      <c r="B7">
        <f ca="1">dict_zul_Var_Meth[ID_Variables]</f>
        <v>1</v>
      </c>
      <c r="C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">
        <f ca="1">IF(dict_zuord_Meth_Pos[[#This Row],[kval_active]],dict_zuord_Meth_Pos[[#This Row],[ID_Positions]],"")</f>
        <v>1</v>
      </c>
    </row>
    <row r="8" spans="1:4" x14ac:dyDescent="0.45">
      <c r="A8">
        <f ca="1">dict_zul_Var_Meth[ID_Methods]</f>
        <v>39</v>
      </c>
      <c r="B8">
        <f ca="1">dict_zul_Var_Meth[ID_Variables]</f>
        <v>2</v>
      </c>
      <c r="C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">
        <f ca="1">IF(dict_zuord_Meth_Pos[[#This Row],[kval_active]],dict_zuord_Meth_Pos[[#This Row],[ID_Positions]],"")</f>
        <v>2</v>
      </c>
    </row>
    <row r="9" spans="1:4" x14ac:dyDescent="0.45">
      <c r="A9">
        <f ca="1">dict_zul_Var_Meth[ID_Methods]</f>
        <v>100</v>
      </c>
      <c r="B9">
        <f ca="1">dict_zul_Var_Meth[ID_Variables]</f>
        <v>2</v>
      </c>
      <c r="C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">
        <f ca="1">IF(dict_zuord_Meth_Pos[[#This Row],[kval_active]],dict_zuord_Meth_Pos[[#This Row],[ID_Positions]],"")</f>
        <v>2</v>
      </c>
    </row>
    <row r="10" spans="1:4" x14ac:dyDescent="0.45">
      <c r="A10">
        <f ca="1">dict_zul_Var_Meth[ID_Methods]</f>
        <v>275</v>
      </c>
      <c r="B10">
        <f ca="1">dict_zul_Var_Meth[ID_Variables]</f>
        <v>2</v>
      </c>
      <c r="C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">
        <f ca="1">IF(dict_zuord_Meth_Pos[[#This Row],[kval_active]],dict_zuord_Meth_Pos[[#This Row],[ID_Positions]],"")</f>
        <v>2</v>
      </c>
    </row>
    <row r="11" spans="1:4" x14ac:dyDescent="0.45">
      <c r="A11">
        <f ca="1">dict_zul_Var_Meth[ID_Methods]</f>
        <v>289</v>
      </c>
      <c r="B11">
        <f ca="1">dict_zul_Var_Meth[ID_Variables]</f>
        <v>2</v>
      </c>
      <c r="C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">
        <f ca="1">IF(dict_zuord_Meth_Pos[[#This Row],[kval_active]],dict_zuord_Meth_Pos[[#This Row],[ID_Positions]],"")</f>
        <v>2</v>
      </c>
    </row>
    <row r="12" spans="1:4" x14ac:dyDescent="0.45">
      <c r="A12">
        <f ca="1">dict_zul_Var_Meth[ID_Methods]</f>
        <v>466</v>
      </c>
      <c r="B12">
        <f ca="1">dict_zul_Var_Meth[ID_Variables]</f>
        <v>2</v>
      </c>
      <c r="C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">
        <f ca="1">IF(dict_zuord_Meth_Pos[[#This Row],[kval_active]],dict_zuord_Meth_Pos[[#This Row],[ID_Positions]],"")</f>
        <v>2</v>
      </c>
    </row>
    <row r="13" spans="1:4" x14ac:dyDescent="0.45">
      <c r="A13">
        <f ca="1">dict_zul_Var_Meth[ID_Methods]</f>
        <v>403</v>
      </c>
      <c r="B13">
        <f ca="1">dict_zul_Var_Meth[ID_Variables]</f>
        <v>3</v>
      </c>
      <c r="C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">
        <f ca="1">IF(dict_zuord_Meth_Pos[[#This Row],[kval_active]],dict_zuord_Meth_Pos[[#This Row],[ID_Positions]],"")</f>
        <v>3</v>
      </c>
    </row>
    <row r="14" spans="1:4" x14ac:dyDescent="0.45">
      <c r="A14">
        <f ca="1">dict_zul_Var_Meth[ID_Methods]</f>
        <v>683</v>
      </c>
      <c r="B14">
        <f ca="1">dict_zul_Var_Meth[ID_Variables]</f>
        <v>3</v>
      </c>
      <c r="C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">
        <f ca="1">IF(dict_zuord_Meth_Pos[[#This Row],[kval_active]],dict_zuord_Meth_Pos[[#This Row],[ID_Positions]],"")</f>
        <v>3</v>
      </c>
    </row>
    <row r="15" spans="1:4" x14ac:dyDescent="0.45">
      <c r="A15">
        <f ca="1">dict_zul_Var_Meth[ID_Methods]</f>
        <v>24</v>
      </c>
      <c r="B15">
        <f ca="1">dict_zul_Var_Meth[ID_Variables]</f>
        <v>4</v>
      </c>
      <c r="C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">
        <f ca="1">IF(dict_zuord_Meth_Pos[[#This Row],[kval_active]],dict_zuord_Meth_Pos[[#This Row],[ID_Positions]],"")</f>
        <v>4</v>
      </c>
    </row>
    <row r="16" spans="1:4" x14ac:dyDescent="0.45">
      <c r="A16">
        <f ca="1">dict_zul_Var_Meth[ID_Methods]</f>
        <v>51</v>
      </c>
      <c r="B16">
        <f ca="1">dict_zul_Var_Meth[ID_Variables]</f>
        <v>4</v>
      </c>
      <c r="C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">
        <f ca="1">IF(dict_zuord_Meth_Pos[[#This Row],[kval_active]],dict_zuord_Meth_Pos[[#This Row],[ID_Positions]],"")</f>
        <v>4</v>
      </c>
    </row>
    <row r="17" spans="1:4" x14ac:dyDescent="0.45">
      <c r="A17">
        <f ca="1">dict_zul_Var_Meth[ID_Methods]</f>
        <v>400</v>
      </c>
      <c r="B17">
        <f ca="1">dict_zul_Var_Meth[ID_Variables]</f>
        <v>4</v>
      </c>
      <c r="C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">
        <f ca="1">IF(dict_zuord_Meth_Pos[[#This Row],[kval_active]],dict_zuord_Meth_Pos[[#This Row],[ID_Positions]],"")</f>
        <v>4</v>
      </c>
    </row>
    <row r="18" spans="1:4" x14ac:dyDescent="0.45">
      <c r="A18">
        <f ca="1">dict_zul_Var_Meth[ID_Methods]</f>
        <v>593</v>
      </c>
      <c r="B18">
        <f ca="1">dict_zul_Var_Meth[ID_Variables]</f>
        <v>4</v>
      </c>
      <c r="C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">
        <f ca="1">IF(dict_zuord_Meth_Pos[[#This Row],[kval_active]],dict_zuord_Meth_Pos[[#This Row],[ID_Positions]],"")</f>
        <v>4</v>
      </c>
    </row>
    <row r="19" spans="1:4" x14ac:dyDescent="0.45">
      <c r="A19">
        <f ca="1">dict_zul_Var_Meth[ID_Methods]</f>
        <v>674</v>
      </c>
      <c r="B19">
        <f ca="1">dict_zul_Var_Meth[ID_Variables]</f>
        <v>4</v>
      </c>
      <c r="C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">
        <f ca="1">IF(dict_zuord_Meth_Pos[[#This Row],[kval_active]],dict_zuord_Meth_Pos[[#This Row],[ID_Positions]],"")</f>
        <v>4</v>
      </c>
    </row>
    <row r="20" spans="1:4" x14ac:dyDescent="0.45">
      <c r="A20">
        <f ca="1">dict_zul_Var_Meth[ID_Methods]</f>
        <v>223</v>
      </c>
      <c r="B20">
        <f ca="1">dict_zul_Var_Meth[ID_Variables]</f>
        <v>5</v>
      </c>
      <c r="C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">
        <f ca="1">IF(dict_zuord_Meth_Pos[[#This Row],[kval_active]],dict_zuord_Meth_Pos[[#This Row],[ID_Positions]],"")</f>
        <v>5</v>
      </c>
    </row>
    <row r="21" spans="1:4" x14ac:dyDescent="0.45">
      <c r="A21">
        <f ca="1">dict_zul_Var_Meth[ID_Methods]</f>
        <v>364</v>
      </c>
      <c r="B21">
        <f ca="1">dict_zul_Var_Meth[ID_Variables]</f>
        <v>5</v>
      </c>
      <c r="C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">
        <f ca="1">IF(dict_zuord_Meth_Pos[[#This Row],[kval_active]],dict_zuord_Meth_Pos[[#This Row],[ID_Positions]],"")</f>
        <v>5</v>
      </c>
    </row>
    <row r="22" spans="1:4" x14ac:dyDescent="0.45">
      <c r="A22">
        <f ca="1">dict_zul_Var_Meth[ID_Methods]</f>
        <v>578</v>
      </c>
      <c r="B22">
        <f ca="1">dict_zul_Var_Meth[ID_Variables]</f>
        <v>5</v>
      </c>
      <c r="C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">
        <f ca="1">IF(dict_zuord_Meth_Pos[[#This Row],[kval_active]],dict_zuord_Meth_Pos[[#This Row],[ID_Positions]],"")</f>
        <v>5</v>
      </c>
    </row>
    <row r="23" spans="1:4" x14ac:dyDescent="0.45">
      <c r="A23">
        <f ca="1">dict_zul_Var_Meth[ID_Methods]</f>
        <v>693</v>
      </c>
      <c r="B23">
        <f ca="1">dict_zul_Var_Meth[ID_Variables]</f>
        <v>5</v>
      </c>
      <c r="C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">
        <f ca="1">IF(dict_zuord_Meth_Pos[[#This Row],[kval_active]],dict_zuord_Meth_Pos[[#This Row],[ID_Positions]],"")</f>
        <v>5</v>
      </c>
    </row>
    <row r="24" spans="1:4" x14ac:dyDescent="0.45">
      <c r="A24">
        <f ca="1">dict_zul_Var_Meth[ID_Methods]</f>
        <v>165</v>
      </c>
      <c r="B24">
        <f ca="1">dict_zul_Var_Meth[ID_Variables]</f>
        <v>6</v>
      </c>
      <c r="C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">
        <f ca="1">IF(dict_zuord_Meth_Pos[[#This Row],[kval_active]],dict_zuord_Meth_Pos[[#This Row],[ID_Positions]],"")</f>
        <v>6</v>
      </c>
    </row>
    <row r="25" spans="1:4" x14ac:dyDescent="0.45">
      <c r="A25">
        <f ca="1">dict_zul_Var_Meth[ID_Methods]</f>
        <v>284</v>
      </c>
      <c r="B25">
        <f ca="1">dict_zul_Var_Meth[ID_Variables]</f>
        <v>6</v>
      </c>
      <c r="C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">
        <f ca="1">IF(dict_zuord_Meth_Pos[[#This Row],[kval_active]],dict_zuord_Meth_Pos[[#This Row],[ID_Positions]],"")</f>
        <v>6</v>
      </c>
    </row>
    <row r="26" spans="1:4" x14ac:dyDescent="0.45">
      <c r="A26">
        <f ca="1">dict_zul_Var_Meth[ID_Methods]</f>
        <v>378</v>
      </c>
      <c r="B26">
        <f ca="1">dict_zul_Var_Meth[ID_Variables]</f>
        <v>6</v>
      </c>
      <c r="C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">
        <f ca="1">IF(dict_zuord_Meth_Pos[[#This Row],[kval_active]],dict_zuord_Meth_Pos[[#This Row],[ID_Positions]],"")</f>
        <v>6</v>
      </c>
    </row>
    <row r="27" spans="1:4" x14ac:dyDescent="0.45">
      <c r="A27">
        <f ca="1">dict_zul_Var_Meth[ID_Methods]</f>
        <v>559</v>
      </c>
      <c r="B27">
        <f ca="1">dict_zul_Var_Meth[ID_Variables]</f>
        <v>6</v>
      </c>
      <c r="C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">
        <f ca="1">IF(dict_zuord_Meth_Pos[[#This Row],[kval_active]],dict_zuord_Meth_Pos[[#This Row],[ID_Positions]],"")</f>
        <v>6</v>
      </c>
    </row>
    <row r="28" spans="1:4" x14ac:dyDescent="0.45">
      <c r="A28">
        <f ca="1">dict_zul_Var_Meth[ID_Methods]</f>
        <v>27</v>
      </c>
      <c r="B28">
        <f ca="1">dict_zul_Var_Meth[ID_Variables]</f>
        <v>7</v>
      </c>
      <c r="C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">
        <f ca="1">IF(dict_zuord_Meth_Pos[[#This Row],[kval_active]],dict_zuord_Meth_Pos[[#This Row],[ID_Positions]],"")</f>
        <v>7</v>
      </c>
    </row>
    <row r="29" spans="1:4" x14ac:dyDescent="0.45">
      <c r="A29">
        <f ca="1">dict_zul_Var_Meth[ID_Methods]</f>
        <v>176</v>
      </c>
      <c r="B29">
        <f ca="1">dict_zul_Var_Meth[ID_Variables]</f>
        <v>7</v>
      </c>
      <c r="C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">
        <f ca="1">IF(dict_zuord_Meth_Pos[[#This Row],[kval_active]],dict_zuord_Meth_Pos[[#This Row],[ID_Positions]],"")</f>
        <v>7</v>
      </c>
    </row>
    <row r="30" spans="1:4" x14ac:dyDescent="0.45">
      <c r="A30">
        <f ca="1">dict_zul_Var_Meth[ID_Methods]</f>
        <v>250</v>
      </c>
      <c r="B30">
        <f ca="1">dict_zul_Var_Meth[ID_Variables]</f>
        <v>7</v>
      </c>
      <c r="C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">
        <f ca="1">IF(dict_zuord_Meth_Pos[[#This Row],[kval_active]],dict_zuord_Meth_Pos[[#This Row],[ID_Positions]],"")</f>
        <v>7</v>
      </c>
    </row>
    <row r="31" spans="1:4" x14ac:dyDescent="0.45">
      <c r="A31">
        <f ca="1">dict_zul_Var_Meth[ID_Methods]</f>
        <v>430</v>
      </c>
      <c r="B31">
        <f ca="1">dict_zul_Var_Meth[ID_Variables]</f>
        <v>7</v>
      </c>
      <c r="C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">
        <f ca="1">IF(dict_zuord_Meth_Pos[[#This Row],[kval_active]],dict_zuord_Meth_Pos[[#This Row],[ID_Positions]],"")</f>
        <v>7</v>
      </c>
    </row>
    <row r="32" spans="1:4" x14ac:dyDescent="0.45">
      <c r="A32">
        <f ca="1">dict_zul_Var_Meth[ID_Methods]</f>
        <v>50</v>
      </c>
      <c r="B32">
        <f ca="1">dict_zul_Var_Meth[ID_Variables]</f>
        <v>8</v>
      </c>
      <c r="C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">
        <f ca="1">IF(dict_zuord_Meth_Pos[[#This Row],[kval_active]],dict_zuord_Meth_Pos[[#This Row],[ID_Positions]],"")</f>
        <v>8</v>
      </c>
    </row>
    <row r="33" spans="1:4" x14ac:dyDescent="0.45">
      <c r="A33">
        <f ca="1">dict_zul_Var_Meth[ID_Methods]</f>
        <v>585</v>
      </c>
      <c r="B33">
        <f ca="1">dict_zul_Var_Meth[ID_Variables]</f>
        <v>8</v>
      </c>
      <c r="C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">
        <f ca="1">IF(dict_zuord_Meth_Pos[[#This Row],[kval_active]],dict_zuord_Meth_Pos[[#This Row],[ID_Positions]],"")</f>
        <v>8</v>
      </c>
    </row>
    <row r="34" spans="1:4" x14ac:dyDescent="0.45">
      <c r="A34">
        <f ca="1">dict_zul_Var_Meth[ID_Methods]</f>
        <v>4</v>
      </c>
      <c r="B34">
        <f ca="1">dict_zul_Var_Meth[ID_Variables]</f>
        <v>9</v>
      </c>
      <c r="C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">
        <f ca="1">IF(dict_zuord_Meth_Pos[[#This Row],[kval_active]],dict_zuord_Meth_Pos[[#This Row],[ID_Positions]],"")</f>
        <v>9</v>
      </c>
    </row>
    <row r="35" spans="1:4" x14ac:dyDescent="0.45">
      <c r="A35">
        <f ca="1">dict_zul_Var_Meth[ID_Methods]</f>
        <v>20</v>
      </c>
      <c r="B35">
        <f ca="1">dict_zul_Var_Meth[ID_Variables]</f>
        <v>9</v>
      </c>
      <c r="C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">
        <f ca="1">IF(dict_zuord_Meth_Pos[[#This Row],[kval_active]],dict_zuord_Meth_Pos[[#This Row],[ID_Positions]],"")</f>
        <v>9</v>
      </c>
    </row>
    <row r="36" spans="1:4" x14ac:dyDescent="0.45">
      <c r="A36">
        <f ca="1">dict_zul_Var_Meth[ID_Methods]</f>
        <v>22</v>
      </c>
      <c r="B36">
        <f ca="1">dict_zul_Var_Meth[ID_Variables]</f>
        <v>9</v>
      </c>
      <c r="C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">
        <f ca="1">IF(dict_zuord_Meth_Pos[[#This Row],[kval_active]],dict_zuord_Meth_Pos[[#This Row],[ID_Positions]],"")</f>
        <v>9</v>
      </c>
    </row>
    <row r="37" spans="1:4" x14ac:dyDescent="0.45">
      <c r="A37">
        <f ca="1">dict_zul_Var_Meth[ID_Methods]</f>
        <v>205</v>
      </c>
      <c r="B37">
        <f ca="1">dict_zul_Var_Meth[ID_Variables]</f>
        <v>9</v>
      </c>
      <c r="C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">
        <f ca="1">IF(dict_zuord_Meth_Pos[[#This Row],[kval_active]],dict_zuord_Meth_Pos[[#This Row],[ID_Positions]],"")</f>
        <v>9</v>
      </c>
    </row>
    <row r="38" spans="1:4" x14ac:dyDescent="0.45">
      <c r="A38">
        <f ca="1">dict_zul_Var_Meth[ID_Methods]</f>
        <v>371</v>
      </c>
      <c r="B38">
        <f ca="1">dict_zul_Var_Meth[ID_Variables]</f>
        <v>9</v>
      </c>
      <c r="C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">
        <f ca="1">IF(dict_zuord_Meth_Pos[[#This Row],[kval_active]],dict_zuord_Meth_Pos[[#This Row],[ID_Positions]],"")</f>
        <v>9</v>
      </c>
    </row>
    <row r="39" spans="1:4" x14ac:dyDescent="0.45">
      <c r="A39">
        <f ca="1">dict_zul_Var_Meth[ID_Methods]</f>
        <v>12</v>
      </c>
      <c r="B39">
        <f ca="1">dict_zul_Var_Meth[ID_Variables]</f>
        <v>10</v>
      </c>
      <c r="C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" t="str">
        <f ca="1">IF(dict_zuord_Meth_Pos[[#This Row],[kval_active]],dict_zuord_Meth_Pos[[#This Row],[ID_Positions]],"")</f>
        <v/>
      </c>
    </row>
    <row r="40" spans="1:4" x14ac:dyDescent="0.45">
      <c r="A40">
        <f ca="1">dict_zul_Var_Meth[ID_Methods]</f>
        <v>42</v>
      </c>
      <c r="B40">
        <f ca="1">dict_zul_Var_Meth[ID_Variables]</f>
        <v>10</v>
      </c>
      <c r="C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" t="str">
        <f ca="1">IF(dict_zuord_Meth_Pos[[#This Row],[kval_active]],dict_zuord_Meth_Pos[[#This Row],[ID_Positions]],"")</f>
        <v/>
      </c>
    </row>
    <row r="41" spans="1:4" x14ac:dyDescent="0.45">
      <c r="A41">
        <f ca="1">dict_zul_Var_Meth[ID_Methods]</f>
        <v>128</v>
      </c>
      <c r="B41">
        <f ca="1">dict_zul_Var_Meth[ID_Variables]</f>
        <v>10</v>
      </c>
      <c r="C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" t="str">
        <f ca="1">IF(dict_zuord_Meth_Pos[[#This Row],[kval_active]],dict_zuord_Meth_Pos[[#This Row],[ID_Positions]],"")</f>
        <v/>
      </c>
    </row>
    <row r="42" spans="1:4" x14ac:dyDescent="0.45">
      <c r="A42">
        <f ca="1">dict_zul_Var_Meth[ID_Methods]</f>
        <v>130</v>
      </c>
      <c r="B42">
        <f ca="1">dict_zul_Var_Meth[ID_Variables]</f>
        <v>10</v>
      </c>
      <c r="C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" t="str">
        <f ca="1">IF(dict_zuord_Meth_Pos[[#This Row],[kval_active]],dict_zuord_Meth_Pos[[#This Row],[ID_Positions]],"")</f>
        <v/>
      </c>
    </row>
    <row r="43" spans="1:4" x14ac:dyDescent="0.45">
      <c r="A43">
        <f ca="1">dict_zul_Var_Meth[ID_Methods]</f>
        <v>146</v>
      </c>
      <c r="B43">
        <f ca="1">dict_zul_Var_Meth[ID_Variables]</f>
        <v>10</v>
      </c>
      <c r="C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" t="str">
        <f ca="1">IF(dict_zuord_Meth_Pos[[#This Row],[kval_active]],dict_zuord_Meth_Pos[[#This Row],[ID_Positions]],"")</f>
        <v/>
      </c>
    </row>
    <row r="44" spans="1:4" x14ac:dyDescent="0.45">
      <c r="A44">
        <f ca="1">dict_zul_Var_Meth[ID_Methods]</f>
        <v>18</v>
      </c>
      <c r="B44">
        <f ca="1">dict_zul_Var_Meth[ID_Variables]</f>
        <v>11</v>
      </c>
      <c r="C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" t="str">
        <f ca="1">IF(dict_zuord_Meth_Pos[[#This Row],[kval_active]],dict_zuord_Meth_Pos[[#This Row],[ID_Positions]],"")</f>
        <v/>
      </c>
    </row>
    <row r="45" spans="1:4" x14ac:dyDescent="0.45">
      <c r="A45">
        <f ca="1">dict_zul_Var_Meth[ID_Methods]</f>
        <v>91</v>
      </c>
      <c r="B45">
        <f ca="1">dict_zul_Var_Meth[ID_Variables]</f>
        <v>11</v>
      </c>
      <c r="C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" t="str">
        <f ca="1">IF(dict_zuord_Meth_Pos[[#This Row],[kval_active]],dict_zuord_Meth_Pos[[#This Row],[ID_Positions]],"")</f>
        <v/>
      </c>
    </row>
    <row r="46" spans="1:4" x14ac:dyDescent="0.45">
      <c r="A46">
        <f ca="1">dict_zul_Var_Meth[ID_Methods]</f>
        <v>7</v>
      </c>
      <c r="B46">
        <f ca="1">dict_zul_Var_Meth[ID_Variables]</f>
        <v>12</v>
      </c>
      <c r="C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" t="str">
        <f ca="1">IF(dict_zuord_Meth_Pos[[#This Row],[kval_active]],dict_zuord_Meth_Pos[[#This Row],[ID_Positions]],"")</f>
        <v/>
      </c>
    </row>
    <row r="47" spans="1:4" x14ac:dyDescent="0.45">
      <c r="A47">
        <f ca="1">dict_zul_Var_Meth[ID_Methods]</f>
        <v>290</v>
      </c>
      <c r="B47">
        <f ca="1">dict_zul_Var_Meth[ID_Variables]</f>
        <v>12</v>
      </c>
      <c r="C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" t="str">
        <f ca="1">IF(dict_zuord_Meth_Pos[[#This Row],[kval_active]],dict_zuord_Meth_Pos[[#This Row],[ID_Positions]],"")</f>
        <v/>
      </c>
    </row>
    <row r="48" spans="1:4" x14ac:dyDescent="0.45">
      <c r="A48">
        <f ca="1">dict_zul_Var_Meth[ID_Methods]</f>
        <v>330</v>
      </c>
      <c r="B48">
        <f ca="1">dict_zul_Var_Meth[ID_Variables]</f>
        <v>12</v>
      </c>
      <c r="C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" t="str">
        <f ca="1">IF(dict_zuord_Meth_Pos[[#This Row],[kval_active]],dict_zuord_Meth_Pos[[#This Row],[ID_Positions]],"")</f>
        <v/>
      </c>
    </row>
    <row r="49" spans="1:4" x14ac:dyDescent="0.45">
      <c r="A49">
        <f ca="1">dict_zul_Var_Meth[ID_Methods]</f>
        <v>426</v>
      </c>
      <c r="B49">
        <f ca="1">dict_zul_Var_Meth[ID_Variables]</f>
        <v>12</v>
      </c>
      <c r="C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" t="str">
        <f ca="1">IF(dict_zuord_Meth_Pos[[#This Row],[kval_active]],dict_zuord_Meth_Pos[[#This Row],[ID_Positions]],"")</f>
        <v/>
      </c>
    </row>
    <row r="50" spans="1:4" x14ac:dyDescent="0.45">
      <c r="A50">
        <f ca="1">dict_zul_Var_Meth[ID_Methods]</f>
        <v>661</v>
      </c>
      <c r="B50">
        <f ca="1">dict_zul_Var_Meth[ID_Variables]</f>
        <v>12</v>
      </c>
      <c r="C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" t="str">
        <f ca="1">IF(dict_zuord_Meth_Pos[[#This Row],[kval_active]],dict_zuord_Meth_Pos[[#This Row],[ID_Positions]],"")</f>
        <v/>
      </c>
    </row>
    <row r="51" spans="1:4" x14ac:dyDescent="0.45">
      <c r="A51">
        <f ca="1">dict_zul_Var_Meth[ID_Methods]</f>
        <v>211</v>
      </c>
      <c r="B51">
        <f ca="1">dict_zul_Var_Meth[ID_Variables]</f>
        <v>13</v>
      </c>
      <c r="C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" t="str">
        <f ca="1">IF(dict_zuord_Meth_Pos[[#This Row],[kval_active]],dict_zuord_Meth_Pos[[#This Row],[ID_Positions]],"")</f>
        <v/>
      </c>
    </row>
    <row r="52" spans="1:4" x14ac:dyDescent="0.45">
      <c r="A52">
        <f ca="1">dict_zul_Var_Meth[ID_Methods]</f>
        <v>241</v>
      </c>
      <c r="B52">
        <f ca="1">dict_zul_Var_Meth[ID_Variables]</f>
        <v>13</v>
      </c>
      <c r="C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" t="str">
        <f ca="1">IF(dict_zuord_Meth_Pos[[#This Row],[kval_active]],dict_zuord_Meth_Pos[[#This Row],[ID_Positions]],"")</f>
        <v/>
      </c>
    </row>
    <row r="53" spans="1:4" x14ac:dyDescent="0.45">
      <c r="A53">
        <f ca="1">dict_zul_Var_Meth[ID_Methods]</f>
        <v>313</v>
      </c>
      <c r="B53">
        <f ca="1">dict_zul_Var_Meth[ID_Variables]</f>
        <v>13</v>
      </c>
      <c r="C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" t="str">
        <f ca="1">IF(dict_zuord_Meth_Pos[[#This Row],[kval_active]],dict_zuord_Meth_Pos[[#This Row],[ID_Positions]],"")</f>
        <v/>
      </c>
    </row>
    <row r="54" spans="1:4" x14ac:dyDescent="0.45">
      <c r="A54">
        <f ca="1">dict_zul_Var_Meth[ID_Methods]</f>
        <v>36</v>
      </c>
      <c r="B54">
        <f ca="1">dict_zul_Var_Meth[ID_Variables]</f>
        <v>14</v>
      </c>
      <c r="C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" t="str">
        <f ca="1">IF(dict_zuord_Meth_Pos[[#This Row],[kval_active]],dict_zuord_Meth_Pos[[#This Row],[ID_Positions]],"")</f>
        <v/>
      </c>
    </row>
    <row r="55" spans="1:4" x14ac:dyDescent="0.45">
      <c r="A55">
        <f ca="1">dict_zul_Var_Meth[ID_Methods]</f>
        <v>53</v>
      </c>
      <c r="B55">
        <f ca="1">dict_zul_Var_Meth[ID_Variables]</f>
        <v>14</v>
      </c>
      <c r="C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" t="str">
        <f ca="1">IF(dict_zuord_Meth_Pos[[#This Row],[kval_active]],dict_zuord_Meth_Pos[[#This Row],[ID_Positions]],"")</f>
        <v/>
      </c>
    </row>
    <row r="56" spans="1:4" x14ac:dyDescent="0.45">
      <c r="A56">
        <f ca="1">dict_zul_Var_Meth[ID_Methods]</f>
        <v>60</v>
      </c>
      <c r="B56">
        <f ca="1">dict_zul_Var_Meth[ID_Variables]</f>
        <v>14</v>
      </c>
      <c r="C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" t="str">
        <f ca="1">IF(dict_zuord_Meth_Pos[[#This Row],[kval_active]],dict_zuord_Meth_Pos[[#This Row],[ID_Positions]],"")</f>
        <v/>
      </c>
    </row>
    <row r="57" spans="1:4" x14ac:dyDescent="0.45">
      <c r="A57">
        <f ca="1">dict_zul_Var_Meth[ID_Methods]</f>
        <v>565</v>
      </c>
      <c r="B57">
        <f ca="1">dict_zul_Var_Meth[ID_Variables]</f>
        <v>14</v>
      </c>
      <c r="C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" t="str">
        <f ca="1">IF(dict_zuord_Meth_Pos[[#This Row],[kval_active]],dict_zuord_Meth_Pos[[#This Row],[ID_Positions]],"")</f>
        <v/>
      </c>
    </row>
    <row r="58" spans="1:4" x14ac:dyDescent="0.45">
      <c r="A58">
        <f ca="1">dict_zul_Var_Meth[ID_Methods]</f>
        <v>44</v>
      </c>
      <c r="B58">
        <f ca="1">dict_zul_Var_Meth[ID_Variables]</f>
        <v>15</v>
      </c>
      <c r="C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" t="str">
        <f ca="1">IF(dict_zuord_Meth_Pos[[#This Row],[kval_active]],dict_zuord_Meth_Pos[[#This Row],[ID_Positions]],"")</f>
        <v/>
      </c>
    </row>
    <row r="59" spans="1:4" x14ac:dyDescent="0.45">
      <c r="A59">
        <f ca="1">dict_zul_Var_Meth[ID_Methods]</f>
        <v>458</v>
      </c>
      <c r="B59">
        <f ca="1">dict_zul_Var_Meth[ID_Variables]</f>
        <v>15</v>
      </c>
      <c r="C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" t="str">
        <f ca="1">IF(dict_zuord_Meth_Pos[[#This Row],[kval_active]],dict_zuord_Meth_Pos[[#This Row],[ID_Positions]],"")</f>
        <v/>
      </c>
    </row>
    <row r="60" spans="1:4" x14ac:dyDescent="0.45">
      <c r="A60">
        <f ca="1">dict_zul_Var_Meth[ID_Methods]</f>
        <v>43</v>
      </c>
      <c r="B60">
        <f ca="1">dict_zul_Var_Meth[ID_Variables]</f>
        <v>16</v>
      </c>
      <c r="C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" t="str">
        <f ca="1">IF(dict_zuord_Meth_Pos[[#This Row],[kval_active]],dict_zuord_Meth_Pos[[#This Row],[ID_Positions]],"")</f>
        <v/>
      </c>
    </row>
    <row r="61" spans="1:4" x14ac:dyDescent="0.45">
      <c r="A61">
        <f ca="1">dict_zul_Var_Meth[ID_Methods]</f>
        <v>129</v>
      </c>
      <c r="B61">
        <f ca="1">dict_zul_Var_Meth[ID_Variables]</f>
        <v>16</v>
      </c>
      <c r="C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" t="str">
        <f ca="1">IF(dict_zuord_Meth_Pos[[#This Row],[kval_active]],dict_zuord_Meth_Pos[[#This Row],[ID_Positions]],"")</f>
        <v/>
      </c>
    </row>
    <row r="62" spans="1:4" x14ac:dyDescent="0.45">
      <c r="A62">
        <f ca="1">dict_zul_Var_Meth[ID_Methods]</f>
        <v>377</v>
      </c>
      <c r="B62">
        <f ca="1">dict_zul_Var_Meth[ID_Variables]</f>
        <v>16</v>
      </c>
      <c r="C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" t="str">
        <f ca="1">IF(dict_zuord_Meth_Pos[[#This Row],[kval_active]],dict_zuord_Meth_Pos[[#This Row],[ID_Positions]],"")</f>
        <v/>
      </c>
    </row>
    <row r="63" spans="1:4" x14ac:dyDescent="0.45">
      <c r="A63">
        <f ca="1">dict_zul_Var_Meth[ID_Methods]</f>
        <v>437</v>
      </c>
      <c r="B63">
        <f ca="1">dict_zul_Var_Meth[ID_Variables]</f>
        <v>16</v>
      </c>
      <c r="C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" t="str">
        <f ca="1">IF(dict_zuord_Meth_Pos[[#This Row],[kval_active]],dict_zuord_Meth_Pos[[#This Row],[ID_Positions]],"")</f>
        <v/>
      </c>
    </row>
    <row r="64" spans="1:4" x14ac:dyDescent="0.45">
      <c r="A64">
        <f ca="1">dict_zul_Var_Meth[ID_Methods]</f>
        <v>561</v>
      </c>
      <c r="B64">
        <f ca="1">dict_zul_Var_Meth[ID_Variables]</f>
        <v>16</v>
      </c>
      <c r="C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" t="str">
        <f ca="1">IF(dict_zuord_Meth_Pos[[#This Row],[kval_active]],dict_zuord_Meth_Pos[[#This Row],[ID_Positions]],"")</f>
        <v/>
      </c>
    </row>
    <row r="65" spans="1:4" x14ac:dyDescent="0.45">
      <c r="A65">
        <f ca="1">dict_zul_Var_Meth[ID_Methods]</f>
        <v>97</v>
      </c>
      <c r="B65">
        <f ca="1">dict_zul_Var_Meth[ID_Variables]</f>
        <v>17</v>
      </c>
      <c r="C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" t="str">
        <f ca="1">IF(dict_zuord_Meth_Pos[[#This Row],[kval_active]],dict_zuord_Meth_Pos[[#This Row],[ID_Positions]],"")</f>
        <v/>
      </c>
    </row>
    <row r="66" spans="1:4" x14ac:dyDescent="0.45">
      <c r="A66">
        <f ca="1">dict_zul_Var_Meth[ID_Methods]</f>
        <v>131</v>
      </c>
      <c r="B66">
        <f ca="1">dict_zul_Var_Meth[ID_Variables]</f>
        <v>17</v>
      </c>
      <c r="C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" t="str">
        <f ca="1">IF(dict_zuord_Meth_Pos[[#This Row],[kval_active]],dict_zuord_Meth_Pos[[#This Row],[ID_Positions]],"")</f>
        <v/>
      </c>
    </row>
    <row r="67" spans="1:4" x14ac:dyDescent="0.45">
      <c r="A67">
        <f ca="1">dict_zul_Var_Meth[ID_Methods]</f>
        <v>219</v>
      </c>
      <c r="B67">
        <f ca="1">dict_zul_Var_Meth[ID_Variables]</f>
        <v>17</v>
      </c>
      <c r="C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" t="str">
        <f ca="1">IF(dict_zuord_Meth_Pos[[#This Row],[kval_active]],dict_zuord_Meth_Pos[[#This Row],[ID_Positions]],"")</f>
        <v/>
      </c>
    </row>
    <row r="68" spans="1:4" x14ac:dyDescent="0.45">
      <c r="A68">
        <f ca="1">dict_zul_Var_Meth[ID_Methods]</f>
        <v>247</v>
      </c>
      <c r="B68">
        <f ca="1">dict_zul_Var_Meth[ID_Variables]</f>
        <v>17</v>
      </c>
      <c r="C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" t="str">
        <f ca="1">IF(dict_zuord_Meth_Pos[[#This Row],[kval_active]],dict_zuord_Meth_Pos[[#This Row],[ID_Positions]],"")</f>
        <v/>
      </c>
    </row>
    <row r="69" spans="1:4" x14ac:dyDescent="0.45">
      <c r="A69">
        <f ca="1">dict_zul_Var_Meth[ID_Methods]</f>
        <v>214</v>
      </c>
      <c r="B69">
        <f ca="1">dict_zul_Var_Meth[ID_Variables]</f>
        <v>18</v>
      </c>
      <c r="C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" t="str">
        <f ca="1">IF(dict_zuord_Meth_Pos[[#This Row],[kval_active]],dict_zuord_Meth_Pos[[#This Row],[ID_Positions]],"")</f>
        <v/>
      </c>
    </row>
    <row r="70" spans="1:4" x14ac:dyDescent="0.45">
      <c r="A70">
        <f ca="1">dict_zul_Var_Meth[ID_Methods]</f>
        <v>358</v>
      </c>
      <c r="B70">
        <f ca="1">dict_zul_Var_Meth[ID_Variables]</f>
        <v>18</v>
      </c>
      <c r="C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" t="str">
        <f ca="1">IF(dict_zuord_Meth_Pos[[#This Row],[kval_active]],dict_zuord_Meth_Pos[[#This Row],[ID_Positions]],"")</f>
        <v/>
      </c>
    </row>
    <row r="71" spans="1:4" x14ac:dyDescent="0.45">
      <c r="A71">
        <f ca="1">dict_zul_Var_Meth[ID_Methods]</f>
        <v>386</v>
      </c>
      <c r="B71">
        <f ca="1">dict_zul_Var_Meth[ID_Variables]</f>
        <v>18</v>
      </c>
      <c r="C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" t="str">
        <f ca="1">IF(dict_zuord_Meth_Pos[[#This Row],[kval_active]],dict_zuord_Meth_Pos[[#This Row],[ID_Positions]],"")</f>
        <v/>
      </c>
    </row>
    <row r="72" spans="1:4" x14ac:dyDescent="0.45">
      <c r="A72">
        <f ca="1">dict_zul_Var_Meth[ID_Methods]</f>
        <v>637</v>
      </c>
      <c r="B72">
        <f ca="1">dict_zul_Var_Meth[ID_Variables]</f>
        <v>18</v>
      </c>
      <c r="C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" t="str">
        <f ca="1">IF(dict_zuord_Meth_Pos[[#This Row],[kval_active]],dict_zuord_Meth_Pos[[#This Row],[ID_Positions]],"")</f>
        <v/>
      </c>
    </row>
    <row r="73" spans="1:4" x14ac:dyDescent="0.45">
      <c r="A73">
        <f ca="1">dict_zul_Var_Meth[ID_Methods]</f>
        <v>17</v>
      </c>
      <c r="B73">
        <f ca="1">dict_zul_Var_Meth[ID_Variables]</f>
        <v>19</v>
      </c>
      <c r="C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" t="str">
        <f ca="1">IF(dict_zuord_Meth_Pos[[#This Row],[kval_active]],dict_zuord_Meth_Pos[[#This Row],[ID_Positions]],"")</f>
        <v/>
      </c>
    </row>
    <row r="74" spans="1:4" x14ac:dyDescent="0.45">
      <c r="A74">
        <f ca="1">dict_zul_Var_Meth[ID_Methods]</f>
        <v>315</v>
      </c>
      <c r="B74">
        <f ca="1">dict_zul_Var_Meth[ID_Variables]</f>
        <v>19</v>
      </c>
      <c r="C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" t="str">
        <f ca="1">IF(dict_zuord_Meth_Pos[[#This Row],[kval_active]],dict_zuord_Meth_Pos[[#This Row],[ID_Positions]],"")</f>
        <v/>
      </c>
    </row>
    <row r="75" spans="1:4" x14ac:dyDescent="0.45">
      <c r="A75">
        <f ca="1">dict_zul_Var_Meth[ID_Methods]</f>
        <v>634</v>
      </c>
      <c r="B75">
        <f ca="1">dict_zul_Var_Meth[ID_Variables]</f>
        <v>19</v>
      </c>
      <c r="C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" t="str">
        <f ca="1">IF(dict_zuord_Meth_Pos[[#This Row],[kval_active]],dict_zuord_Meth_Pos[[#This Row],[ID_Positions]],"")</f>
        <v/>
      </c>
    </row>
    <row r="76" spans="1:4" x14ac:dyDescent="0.45">
      <c r="A76">
        <f ca="1">dict_zul_Var_Meth[ID_Methods]</f>
        <v>58</v>
      </c>
      <c r="B76">
        <f ca="1">dict_zul_Var_Meth[ID_Variables]</f>
        <v>20</v>
      </c>
      <c r="C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" t="str">
        <f ca="1">IF(dict_zuord_Meth_Pos[[#This Row],[kval_active]],dict_zuord_Meth_Pos[[#This Row],[ID_Positions]],"")</f>
        <v/>
      </c>
    </row>
    <row r="77" spans="1:4" x14ac:dyDescent="0.45">
      <c r="A77">
        <f ca="1">dict_zul_Var_Meth[ID_Methods]</f>
        <v>409</v>
      </c>
      <c r="B77">
        <f ca="1">dict_zul_Var_Meth[ID_Variables]</f>
        <v>20</v>
      </c>
      <c r="C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7" t="str">
        <f ca="1">IF(dict_zuord_Meth_Pos[[#This Row],[kval_active]],dict_zuord_Meth_Pos[[#This Row],[ID_Positions]],"")</f>
        <v/>
      </c>
    </row>
    <row r="78" spans="1:4" x14ac:dyDescent="0.45">
      <c r="A78">
        <f ca="1">dict_zul_Var_Meth[ID_Methods]</f>
        <v>453</v>
      </c>
      <c r="B78">
        <f ca="1">dict_zul_Var_Meth[ID_Variables]</f>
        <v>20</v>
      </c>
      <c r="C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8" t="str">
        <f ca="1">IF(dict_zuord_Meth_Pos[[#This Row],[kval_active]],dict_zuord_Meth_Pos[[#This Row],[ID_Positions]],"")</f>
        <v/>
      </c>
    </row>
    <row r="79" spans="1:4" x14ac:dyDescent="0.45">
      <c r="A79">
        <f ca="1">dict_zul_Var_Meth[ID_Methods]</f>
        <v>536</v>
      </c>
      <c r="B79">
        <f ca="1">dict_zul_Var_Meth[ID_Variables]</f>
        <v>20</v>
      </c>
      <c r="C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9" t="str">
        <f ca="1">IF(dict_zuord_Meth_Pos[[#This Row],[kval_active]],dict_zuord_Meth_Pos[[#This Row],[ID_Positions]],"")</f>
        <v/>
      </c>
    </row>
    <row r="80" spans="1:4" x14ac:dyDescent="0.45">
      <c r="A80">
        <f ca="1">dict_zul_Var_Meth[ID_Methods]</f>
        <v>9</v>
      </c>
      <c r="B80">
        <f ca="1">dict_zul_Var_Meth[ID_Variables]</f>
        <v>21</v>
      </c>
      <c r="C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0" t="str">
        <f ca="1">IF(dict_zuord_Meth_Pos[[#This Row],[kval_active]],dict_zuord_Meth_Pos[[#This Row],[ID_Positions]],"")</f>
        <v/>
      </c>
    </row>
    <row r="81" spans="1:4" x14ac:dyDescent="0.45">
      <c r="A81">
        <f ca="1">dict_zul_Var_Meth[ID_Methods]</f>
        <v>27</v>
      </c>
      <c r="B81">
        <f ca="1">dict_zul_Var_Meth[ID_Variables]</f>
        <v>21</v>
      </c>
      <c r="C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1">
        <f ca="1">IF(dict_zuord_Meth_Pos[[#This Row],[kval_active]],dict_zuord_Meth_Pos[[#This Row],[ID_Positions]],"")</f>
        <v>21</v>
      </c>
    </row>
    <row r="82" spans="1:4" x14ac:dyDescent="0.45">
      <c r="A82">
        <f ca="1">dict_zul_Var_Meth[ID_Methods]</f>
        <v>360</v>
      </c>
      <c r="B82">
        <f ca="1">dict_zul_Var_Meth[ID_Variables]</f>
        <v>21</v>
      </c>
      <c r="C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2" t="str">
        <f ca="1">IF(dict_zuord_Meth_Pos[[#This Row],[kval_active]],dict_zuord_Meth_Pos[[#This Row],[ID_Positions]],"")</f>
        <v/>
      </c>
    </row>
    <row r="83" spans="1:4" x14ac:dyDescent="0.45">
      <c r="A83">
        <f ca="1">dict_zul_Var_Meth[ID_Methods]</f>
        <v>523</v>
      </c>
      <c r="B83">
        <f ca="1">dict_zul_Var_Meth[ID_Variables]</f>
        <v>21</v>
      </c>
      <c r="C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3" t="str">
        <f ca="1">IF(dict_zuord_Meth_Pos[[#This Row],[kval_active]],dict_zuord_Meth_Pos[[#This Row],[ID_Positions]],"")</f>
        <v/>
      </c>
    </row>
    <row r="84" spans="1:4" x14ac:dyDescent="0.45">
      <c r="A84">
        <f ca="1">dict_zul_Var_Meth[ID_Methods]</f>
        <v>605</v>
      </c>
      <c r="B84">
        <f ca="1">dict_zul_Var_Meth[ID_Variables]</f>
        <v>21</v>
      </c>
      <c r="C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4" t="str">
        <f ca="1">IF(dict_zuord_Meth_Pos[[#This Row],[kval_active]],dict_zuord_Meth_Pos[[#This Row],[ID_Positions]],"")</f>
        <v/>
      </c>
    </row>
    <row r="85" spans="1:4" x14ac:dyDescent="0.45">
      <c r="A85">
        <f ca="1">dict_zul_Var_Meth[ID_Methods]</f>
        <v>422</v>
      </c>
      <c r="B85">
        <f ca="1">dict_zul_Var_Meth[ID_Variables]</f>
        <v>22</v>
      </c>
      <c r="C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5" t="str">
        <f ca="1">IF(dict_zuord_Meth_Pos[[#This Row],[kval_active]],dict_zuord_Meth_Pos[[#This Row],[ID_Positions]],"")</f>
        <v/>
      </c>
    </row>
    <row r="86" spans="1:4" x14ac:dyDescent="0.45">
      <c r="A86">
        <f ca="1">dict_zul_Var_Meth[ID_Methods]</f>
        <v>524</v>
      </c>
      <c r="B86">
        <f ca="1">dict_zul_Var_Meth[ID_Variables]</f>
        <v>22</v>
      </c>
      <c r="C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6" t="str">
        <f ca="1">IF(dict_zuord_Meth_Pos[[#This Row],[kval_active]],dict_zuord_Meth_Pos[[#This Row],[ID_Positions]],"")</f>
        <v/>
      </c>
    </row>
    <row r="87" spans="1:4" x14ac:dyDescent="0.45">
      <c r="A87">
        <f ca="1">dict_zul_Var_Meth[ID_Methods]</f>
        <v>37</v>
      </c>
      <c r="B87">
        <f ca="1">dict_zul_Var_Meth[ID_Variables]</f>
        <v>23</v>
      </c>
      <c r="C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7" t="str">
        <f ca="1">IF(dict_zuord_Meth_Pos[[#This Row],[kval_active]],dict_zuord_Meth_Pos[[#This Row],[ID_Positions]],"")</f>
        <v/>
      </c>
    </row>
    <row r="88" spans="1:4" x14ac:dyDescent="0.45">
      <c r="A88">
        <f ca="1">dict_zul_Var_Meth[ID_Methods]</f>
        <v>169</v>
      </c>
      <c r="B88">
        <f ca="1">dict_zul_Var_Meth[ID_Variables]</f>
        <v>23</v>
      </c>
      <c r="C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8" t="str">
        <f ca="1">IF(dict_zuord_Meth_Pos[[#This Row],[kval_active]],dict_zuord_Meth_Pos[[#This Row],[ID_Positions]],"")</f>
        <v/>
      </c>
    </row>
    <row r="89" spans="1:4" x14ac:dyDescent="0.45">
      <c r="A89">
        <f ca="1">dict_zul_Var_Meth[ID_Methods]</f>
        <v>490</v>
      </c>
      <c r="B89">
        <f ca="1">dict_zul_Var_Meth[ID_Variables]</f>
        <v>23</v>
      </c>
      <c r="C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9" t="str">
        <f ca="1">IF(dict_zuord_Meth_Pos[[#This Row],[kval_active]],dict_zuord_Meth_Pos[[#This Row],[ID_Positions]],"")</f>
        <v/>
      </c>
    </row>
    <row r="90" spans="1:4" x14ac:dyDescent="0.45">
      <c r="A90">
        <f ca="1">dict_zul_Var_Meth[ID_Methods]</f>
        <v>697</v>
      </c>
      <c r="B90">
        <f ca="1">dict_zul_Var_Meth[ID_Variables]</f>
        <v>23</v>
      </c>
      <c r="C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0" t="str">
        <f ca="1">IF(dict_zuord_Meth_Pos[[#This Row],[kval_active]],dict_zuord_Meth_Pos[[#This Row],[ID_Positions]],"")</f>
        <v/>
      </c>
    </row>
    <row r="91" spans="1:4" x14ac:dyDescent="0.45">
      <c r="A91">
        <f ca="1">dict_zul_Var_Meth[ID_Methods]</f>
        <v>20</v>
      </c>
      <c r="B91">
        <f ca="1">dict_zul_Var_Meth[ID_Variables]</f>
        <v>24</v>
      </c>
      <c r="C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1">
        <f ca="1">IF(dict_zuord_Meth_Pos[[#This Row],[kval_active]],dict_zuord_Meth_Pos[[#This Row],[ID_Positions]],"")</f>
        <v>24</v>
      </c>
    </row>
    <row r="92" spans="1:4" x14ac:dyDescent="0.45">
      <c r="A92">
        <f ca="1">dict_zul_Var_Meth[ID_Methods]</f>
        <v>42</v>
      </c>
      <c r="B92">
        <f ca="1">dict_zul_Var_Meth[ID_Variables]</f>
        <v>24</v>
      </c>
      <c r="C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2" t="str">
        <f ca="1">IF(dict_zuord_Meth_Pos[[#This Row],[kval_active]],dict_zuord_Meth_Pos[[#This Row],[ID_Positions]],"")</f>
        <v/>
      </c>
    </row>
    <row r="93" spans="1:4" x14ac:dyDescent="0.45">
      <c r="A93">
        <f ca="1">dict_zul_Var_Meth[ID_Methods]</f>
        <v>191</v>
      </c>
      <c r="B93">
        <f ca="1">dict_zul_Var_Meth[ID_Variables]</f>
        <v>24</v>
      </c>
      <c r="C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3" t="str">
        <f ca="1">IF(dict_zuord_Meth_Pos[[#This Row],[kval_active]],dict_zuord_Meth_Pos[[#This Row],[ID_Positions]],"")</f>
        <v/>
      </c>
    </row>
    <row r="94" spans="1:4" x14ac:dyDescent="0.45">
      <c r="A94">
        <f ca="1">dict_zul_Var_Meth[ID_Methods]</f>
        <v>499</v>
      </c>
      <c r="B94">
        <f ca="1">dict_zul_Var_Meth[ID_Variables]</f>
        <v>24</v>
      </c>
      <c r="C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4" t="str">
        <f ca="1">IF(dict_zuord_Meth_Pos[[#This Row],[kval_active]],dict_zuord_Meth_Pos[[#This Row],[ID_Positions]],"")</f>
        <v/>
      </c>
    </row>
    <row r="95" spans="1:4" x14ac:dyDescent="0.45">
      <c r="A95">
        <f ca="1">dict_zul_Var_Meth[ID_Methods]</f>
        <v>244</v>
      </c>
      <c r="B95">
        <f ca="1">dict_zul_Var_Meth[ID_Variables]</f>
        <v>25</v>
      </c>
      <c r="C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5" t="str">
        <f ca="1">IF(dict_zuord_Meth_Pos[[#This Row],[kval_active]],dict_zuord_Meth_Pos[[#This Row],[ID_Positions]],"")</f>
        <v/>
      </c>
    </row>
    <row r="96" spans="1:4" x14ac:dyDescent="0.45">
      <c r="A96">
        <f ca="1">dict_zul_Var_Meth[ID_Methods]</f>
        <v>291</v>
      </c>
      <c r="B96">
        <f ca="1">dict_zul_Var_Meth[ID_Variables]</f>
        <v>25</v>
      </c>
      <c r="C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6" t="str">
        <f ca="1">IF(dict_zuord_Meth_Pos[[#This Row],[kval_active]],dict_zuord_Meth_Pos[[#This Row],[ID_Positions]],"")</f>
        <v/>
      </c>
    </row>
    <row r="97" spans="1:4" x14ac:dyDescent="0.45">
      <c r="A97">
        <f ca="1">dict_zul_Var_Meth[ID_Methods]</f>
        <v>443</v>
      </c>
      <c r="B97">
        <f ca="1">dict_zul_Var_Meth[ID_Variables]</f>
        <v>25</v>
      </c>
      <c r="C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7" t="str">
        <f ca="1">IF(dict_zuord_Meth_Pos[[#This Row],[kval_active]],dict_zuord_Meth_Pos[[#This Row],[ID_Positions]],"")</f>
        <v/>
      </c>
    </row>
    <row r="98" spans="1:4" x14ac:dyDescent="0.45">
      <c r="A98">
        <f ca="1">dict_zul_Var_Meth[ID_Methods]</f>
        <v>26</v>
      </c>
      <c r="B98">
        <f ca="1">dict_zul_Var_Meth[ID_Variables]</f>
        <v>26</v>
      </c>
      <c r="C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8" t="str">
        <f ca="1">IF(dict_zuord_Meth_Pos[[#This Row],[kval_active]],dict_zuord_Meth_Pos[[#This Row],[ID_Positions]],"")</f>
        <v/>
      </c>
    </row>
    <row r="99" spans="1:4" x14ac:dyDescent="0.45">
      <c r="A99">
        <f ca="1">dict_zul_Var_Meth[ID_Methods]</f>
        <v>75</v>
      </c>
      <c r="B99">
        <f ca="1">dict_zul_Var_Meth[ID_Variables]</f>
        <v>26</v>
      </c>
      <c r="C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9" t="str">
        <f ca="1">IF(dict_zuord_Meth_Pos[[#This Row],[kval_active]],dict_zuord_Meth_Pos[[#This Row],[ID_Positions]],"")</f>
        <v/>
      </c>
    </row>
    <row r="100" spans="1:4" x14ac:dyDescent="0.45">
      <c r="A100">
        <f ca="1">dict_zul_Var_Meth[ID_Methods]</f>
        <v>457</v>
      </c>
      <c r="B100">
        <f ca="1">dict_zul_Var_Meth[ID_Variables]</f>
        <v>26</v>
      </c>
      <c r="C1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0" t="str">
        <f ca="1">IF(dict_zuord_Meth_Pos[[#This Row],[kval_active]],dict_zuord_Meth_Pos[[#This Row],[ID_Positions]],"")</f>
        <v/>
      </c>
    </row>
    <row r="101" spans="1:4" x14ac:dyDescent="0.45">
      <c r="A101">
        <f ca="1">dict_zul_Var_Meth[ID_Methods]</f>
        <v>486</v>
      </c>
      <c r="B101">
        <f ca="1">dict_zul_Var_Meth[ID_Variables]</f>
        <v>26</v>
      </c>
      <c r="C1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1" t="str">
        <f ca="1">IF(dict_zuord_Meth_Pos[[#This Row],[kval_active]],dict_zuord_Meth_Pos[[#This Row],[ID_Positions]],"")</f>
        <v/>
      </c>
    </row>
    <row r="102" spans="1:4" x14ac:dyDescent="0.45">
      <c r="A102">
        <f ca="1">dict_zul_Var_Meth[ID_Methods]</f>
        <v>74</v>
      </c>
      <c r="B102">
        <f ca="1">dict_zul_Var_Meth[ID_Variables]</f>
        <v>27</v>
      </c>
      <c r="C1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2" t="str">
        <f ca="1">IF(dict_zuord_Meth_Pos[[#This Row],[kval_active]],dict_zuord_Meth_Pos[[#This Row],[ID_Positions]],"")</f>
        <v/>
      </c>
    </row>
    <row r="103" spans="1:4" x14ac:dyDescent="0.45">
      <c r="A103">
        <f ca="1">dict_zul_Var_Meth[ID_Methods]</f>
        <v>238</v>
      </c>
      <c r="B103">
        <f ca="1">dict_zul_Var_Meth[ID_Variables]</f>
        <v>27</v>
      </c>
      <c r="C1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3" t="str">
        <f ca="1">IF(dict_zuord_Meth_Pos[[#This Row],[kval_active]],dict_zuord_Meth_Pos[[#This Row],[ID_Positions]],"")</f>
        <v/>
      </c>
    </row>
    <row r="104" spans="1:4" x14ac:dyDescent="0.45">
      <c r="A104">
        <f ca="1">dict_zul_Var_Meth[ID_Methods]</f>
        <v>487</v>
      </c>
      <c r="B104">
        <f ca="1">dict_zul_Var_Meth[ID_Variables]</f>
        <v>27</v>
      </c>
      <c r="C1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4" t="str">
        <f ca="1">IF(dict_zuord_Meth_Pos[[#This Row],[kval_active]],dict_zuord_Meth_Pos[[#This Row],[ID_Positions]],"")</f>
        <v/>
      </c>
    </row>
    <row r="105" spans="1:4" x14ac:dyDescent="0.45">
      <c r="A105">
        <f ca="1">dict_zul_Var_Meth[ID_Methods]</f>
        <v>506</v>
      </c>
      <c r="B105">
        <f ca="1">dict_zul_Var_Meth[ID_Variables]</f>
        <v>27</v>
      </c>
      <c r="C1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5" t="str">
        <f ca="1">IF(dict_zuord_Meth_Pos[[#This Row],[kval_active]],dict_zuord_Meth_Pos[[#This Row],[ID_Positions]],"")</f>
        <v/>
      </c>
    </row>
    <row r="106" spans="1:4" x14ac:dyDescent="0.45">
      <c r="A106">
        <f ca="1">dict_zul_Var_Meth[ID_Methods]</f>
        <v>583</v>
      </c>
      <c r="B106">
        <f ca="1">dict_zul_Var_Meth[ID_Variables]</f>
        <v>27</v>
      </c>
      <c r="C1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6" t="str">
        <f ca="1">IF(dict_zuord_Meth_Pos[[#This Row],[kval_active]],dict_zuord_Meth_Pos[[#This Row],[ID_Positions]],"")</f>
        <v/>
      </c>
    </row>
    <row r="107" spans="1:4" x14ac:dyDescent="0.45">
      <c r="A107">
        <f ca="1">dict_zul_Var_Meth[ID_Methods]</f>
        <v>252</v>
      </c>
      <c r="B107">
        <f ca="1">dict_zul_Var_Meth[ID_Variables]</f>
        <v>28</v>
      </c>
      <c r="C1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7" t="str">
        <f ca="1">IF(dict_zuord_Meth_Pos[[#This Row],[kval_active]],dict_zuord_Meth_Pos[[#This Row],[ID_Positions]],"")</f>
        <v/>
      </c>
    </row>
    <row r="108" spans="1:4" x14ac:dyDescent="0.45">
      <c r="A108">
        <f ca="1">dict_zul_Var_Meth[ID_Methods]</f>
        <v>530</v>
      </c>
      <c r="B108">
        <f ca="1">dict_zul_Var_Meth[ID_Variables]</f>
        <v>28</v>
      </c>
      <c r="C1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8" t="str">
        <f ca="1">IF(dict_zuord_Meth_Pos[[#This Row],[kval_active]],dict_zuord_Meth_Pos[[#This Row],[ID_Positions]],"")</f>
        <v/>
      </c>
    </row>
    <row r="109" spans="1:4" x14ac:dyDescent="0.45">
      <c r="A109">
        <f ca="1">dict_zul_Var_Meth[ID_Methods]</f>
        <v>49</v>
      </c>
      <c r="B109">
        <f ca="1">dict_zul_Var_Meth[ID_Variables]</f>
        <v>29</v>
      </c>
      <c r="C1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9" t="str">
        <f ca="1">IF(dict_zuord_Meth_Pos[[#This Row],[kval_active]],dict_zuord_Meth_Pos[[#This Row],[ID_Positions]],"")</f>
        <v/>
      </c>
    </row>
    <row r="110" spans="1:4" x14ac:dyDescent="0.45">
      <c r="A110">
        <f ca="1">dict_zul_Var_Meth[ID_Methods]</f>
        <v>326</v>
      </c>
      <c r="B110">
        <f ca="1">dict_zul_Var_Meth[ID_Variables]</f>
        <v>29</v>
      </c>
      <c r="C1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0" t="str">
        <f ca="1">IF(dict_zuord_Meth_Pos[[#This Row],[kval_active]],dict_zuord_Meth_Pos[[#This Row],[ID_Positions]],"")</f>
        <v/>
      </c>
    </row>
    <row r="111" spans="1:4" x14ac:dyDescent="0.45">
      <c r="A111">
        <f ca="1">dict_zul_Var_Meth[ID_Methods]</f>
        <v>354</v>
      </c>
      <c r="B111">
        <f ca="1">dict_zul_Var_Meth[ID_Variables]</f>
        <v>29</v>
      </c>
      <c r="C1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1" t="str">
        <f ca="1">IF(dict_zuord_Meth_Pos[[#This Row],[kval_active]],dict_zuord_Meth_Pos[[#This Row],[ID_Positions]],"")</f>
        <v/>
      </c>
    </row>
    <row r="112" spans="1:4" x14ac:dyDescent="0.45">
      <c r="A112">
        <f ca="1">dict_zul_Var_Meth[ID_Methods]</f>
        <v>407</v>
      </c>
      <c r="B112">
        <f ca="1">dict_zul_Var_Meth[ID_Variables]</f>
        <v>29</v>
      </c>
      <c r="C1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2" t="str">
        <f ca="1">IF(dict_zuord_Meth_Pos[[#This Row],[kval_active]],dict_zuord_Meth_Pos[[#This Row],[ID_Positions]],"")</f>
        <v/>
      </c>
    </row>
    <row r="113" spans="1:4" x14ac:dyDescent="0.45">
      <c r="A113">
        <f ca="1">dict_zul_Var_Meth[ID_Methods]</f>
        <v>408</v>
      </c>
      <c r="B113">
        <f ca="1">dict_zul_Var_Meth[ID_Variables]</f>
        <v>29</v>
      </c>
      <c r="C1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3" t="str">
        <f ca="1">IF(dict_zuord_Meth_Pos[[#This Row],[kval_active]],dict_zuord_Meth_Pos[[#This Row],[ID_Positions]],"")</f>
        <v/>
      </c>
    </row>
    <row r="114" spans="1:4" x14ac:dyDescent="0.45">
      <c r="A114">
        <f ca="1">dict_zul_Var_Meth[ID_Methods]</f>
        <v>468</v>
      </c>
      <c r="B114">
        <f ca="1">dict_zul_Var_Meth[ID_Variables]</f>
        <v>29</v>
      </c>
      <c r="C1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4" t="str">
        <f ca="1">IF(dict_zuord_Meth_Pos[[#This Row],[kval_active]],dict_zuord_Meth_Pos[[#This Row],[ID_Positions]],"")</f>
        <v/>
      </c>
    </row>
    <row r="115" spans="1:4" x14ac:dyDescent="0.45">
      <c r="A115">
        <f ca="1">dict_zul_Var_Meth[ID_Methods]</f>
        <v>46</v>
      </c>
      <c r="B115">
        <f ca="1">dict_zul_Var_Meth[ID_Variables]</f>
        <v>30</v>
      </c>
      <c r="C1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5" t="str">
        <f ca="1">IF(dict_zuord_Meth_Pos[[#This Row],[kval_active]],dict_zuord_Meth_Pos[[#This Row],[ID_Positions]],"")</f>
        <v/>
      </c>
    </row>
    <row r="116" spans="1:4" x14ac:dyDescent="0.45">
      <c r="A116">
        <f ca="1">dict_zul_Var_Meth[ID_Methods]</f>
        <v>178</v>
      </c>
      <c r="B116">
        <f ca="1">dict_zul_Var_Meth[ID_Variables]</f>
        <v>30</v>
      </c>
      <c r="C1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6" t="str">
        <f ca="1">IF(dict_zuord_Meth_Pos[[#This Row],[kval_active]],dict_zuord_Meth_Pos[[#This Row],[ID_Positions]],"")</f>
        <v/>
      </c>
    </row>
    <row r="117" spans="1:4" x14ac:dyDescent="0.45">
      <c r="A117">
        <f ca="1">dict_zul_Var_Meth[ID_Methods]</f>
        <v>283</v>
      </c>
      <c r="B117">
        <f ca="1">dict_zul_Var_Meth[ID_Variables]</f>
        <v>30</v>
      </c>
      <c r="C1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7" t="str">
        <f ca="1">IF(dict_zuord_Meth_Pos[[#This Row],[kval_active]],dict_zuord_Meth_Pos[[#This Row],[ID_Positions]],"")</f>
        <v/>
      </c>
    </row>
    <row r="118" spans="1:4" x14ac:dyDescent="0.45">
      <c r="A118">
        <f ca="1">dict_zul_Var_Meth[ID_Methods]</f>
        <v>46</v>
      </c>
      <c r="B118">
        <f ca="1">dict_zul_Var_Meth[ID_Variables]</f>
        <v>31</v>
      </c>
      <c r="C1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8" t="str">
        <f ca="1">IF(dict_zuord_Meth_Pos[[#This Row],[kval_active]],dict_zuord_Meth_Pos[[#This Row],[ID_Positions]],"")</f>
        <v/>
      </c>
    </row>
    <row r="119" spans="1:4" x14ac:dyDescent="0.45">
      <c r="A119">
        <f ca="1">dict_zul_Var_Meth[ID_Methods]</f>
        <v>55</v>
      </c>
      <c r="B119">
        <f ca="1">dict_zul_Var_Meth[ID_Variables]</f>
        <v>31</v>
      </c>
      <c r="C1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9" t="str">
        <f ca="1">IF(dict_zuord_Meth_Pos[[#This Row],[kval_active]],dict_zuord_Meth_Pos[[#This Row],[ID_Positions]],"")</f>
        <v/>
      </c>
    </row>
    <row r="120" spans="1:4" x14ac:dyDescent="0.45">
      <c r="A120">
        <f ca="1">dict_zul_Var_Meth[ID_Methods]</f>
        <v>134</v>
      </c>
      <c r="B120">
        <f ca="1">dict_zul_Var_Meth[ID_Variables]</f>
        <v>31</v>
      </c>
      <c r="C1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0" t="str">
        <f ca="1">IF(dict_zuord_Meth_Pos[[#This Row],[kval_active]],dict_zuord_Meth_Pos[[#This Row],[ID_Positions]],"")</f>
        <v/>
      </c>
    </row>
    <row r="121" spans="1:4" x14ac:dyDescent="0.45">
      <c r="A121">
        <f ca="1">dict_zul_Var_Meth[ID_Methods]</f>
        <v>35</v>
      </c>
      <c r="B121">
        <f ca="1">dict_zul_Var_Meth[ID_Variables]</f>
        <v>32</v>
      </c>
      <c r="C1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1" t="str">
        <f ca="1">IF(dict_zuord_Meth_Pos[[#This Row],[kval_active]],dict_zuord_Meth_Pos[[#This Row],[ID_Positions]],"")</f>
        <v/>
      </c>
    </row>
    <row r="122" spans="1:4" x14ac:dyDescent="0.45">
      <c r="A122">
        <f ca="1">dict_zul_Var_Meth[ID_Methods]</f>
        <v>64</v>
      </c>
      <c r="B122">
        <f ca="1">dict_zul_Var_Meth[ID_Variables]</f>
        <v>32</v>
      </c>
      <c r="C1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2" t="str">
        <f ca="1">IF(dict_zuord_Meth_Pos[[#This Row],[kval_active]],dict_zuord_Meth_Pos[[#This Row],[ID_Positions]],"")</f>
        <v/>
      </c>
    </row>
    <row r="123" spans="1:4" x14ac:dyDescent="0.45">
      <c r="A123">
        <f ca="1">dict_zul_Var_Meth[ID_Methods]</f>
        <v>121</v>
      </c>
      <c r="B123">
        <f ca="1">dict_zul_Var_Meth[ID_Variables]</f>
        <v>32</v>
      </c>
      <c r="C1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3" t="str">
        <f ca="1">IF(dict_zuord_Meth_Pos[[#This Row],[kval_active]],dict_zuord_Meth_Pos[[#This Row],[ID_Positions]],"")</f>
        <v/>
      </c>
    </row>
    <row r="124" spans="1:4" x14ac:dyDescent="0.45">
      <c r="A124">
        <f ca="1">dict_zul_Var_Meth[ID_Methods]</f>
        <v>171</v>
      </c>
      <c r="B124">
        <f ca="1">dict_zul_Var_Meth[ID_Variables]</f>
        <v>32</v>
      </c>
      <c r="C1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4" t="str">
        <f ca="1">IF(dict_zuord_Meth_Pos[[#This Row],[kval_active]],dict_zuord_Meth_Pos[[#This Row],[ID_Positions]],"")</f>
        <v/>
      </c>
    </row>
    <row r="125" spans="1:4" x14ac:dyDescent="0.45">
      <c r="A125">
        <f ca="1">dict_zul_Var_Meth[ID_Methods]</f>
        <v>31</v>
      </c>
      <c r="B125">
        <f ca="1">dict_zul_Var_Meth[ID_Variables]</f>
        <v>33</v>
      </c>
      <c r="C1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5" t="str">
        <f ca="1">IF(dict_zuord_Meth_Pos[[#This Row],[kval_active]],dict_zuord_Meth_Pos[[#This Row],[ID_Positions]],"")</f>
        <v/>
      </c>
    </row>
    <row r="126" spans="1:4" x14ac:dyDescent="0.45">
      <c r="A126">
        <f ca="1">dict_zul_Var_Meth[ID_Methods]</f>
        <v>257</v>
      </c>
      <c r="B126">
        <f ca="1">dict_zul_Var_Meth[ID_Variables]</f>
        <v>33</v>
      </c>
      <c r="C1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6" t="str">
        <f ca="1">IF(dict_zuord_Meth_Pos[[#This Row],[kval_active]],dict_zuord_Meth_Pos[[#This Row],[ID_Positions]],"")</f>
        <v/>
      </c>
    </row>
    <row r="127" spans="1:4" x14ac:dyDescent="0.45">
      <c r="A127">
        <f ca="1">dict_zul_Var_Meth[ID_Methods]</f>
        <v>459</v>
      </c>
      <c r="B127">
        <f ca="1">dict_zul_Var_Meth[ID_Variables]</f>
        <v>33</v>
      </c>
      <c r="C1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7" t="str">
        <f ca="1">IF(dict_zuord_Meth_Pos[[#This Row],[kval_active]],dict_zuord_Meth_Pos[[#This Row],[ID_Positions]],"")</f>
        <v/>
      </c>
    </row>
    <row r="128" spans="1:4" x14ac:dyDescent="0.45">
      <c r="A128">
        <f ca="1">dict_zul_Var_Meth[ID_Methods]</f>
        <v>95</v>
      </c>
      <c r="B128">
        <f ca="1">dict_zul_Var_Meth[ID_Variables]</f>
        <v>34</v>
      </c>
      <c r="C1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8" t="str">
        <f ca="1">IF(dict_zuord_Meth_Pos[[#This Row],[kval_active]],dict_zuord_Meth_Pos[[#This Row],[ID_Positions]],"")</f>
        <v/>
      </c>
    </row>
    <row r="129" spans="1:4" x14ac:dyDescent="0.45">
      <c r="A129">
        <f ca="1">dict_zul_Var_Meth[ID_Methods]</f>
        <v>286</v>
      </c>
      <c r="B129">
        <f ca="1">dict_zul_Var_Meth[ID_Variables]</f>
        <v>34</v>
      </c>
      <c r="C1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9" t="str">
        <f ca="1">IF(dict_zuord_Meth_Pos[[#This Row],[kval_active]],dict_zuord_Meth_Pos[[#This Row],[ID_Positions]],"")</f>
        <v/>
      </c>
    </row>
    <row r="130" spans="1:4" x14ac:dyDescent="0.45">
      <c r="A130">
        <f ca="1">dict_zul_Var_Meth[ID_Methods]</f>
        <v>436</v>
      </c>
      <c r="B130">
        <f ca="1">dict_zul_Var_Meth[ID_Variables]</f>
        <v>34</v>
      </c>
      <c r="C1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0" t="str">
        <f ca="1">IF(dict_zuord_Meth_Pos[[#This Row],[kval_active]],dict_zuord_Meth_Pos[[#This Row],[ID_Positions]],"")</f>
        <v/>
      </c>
    </row>
    <row r="131" spans="1:4" x14ac:dyDescent="0.45">
      <c r="A131">
        <f ca="1">dict_zul_Var_Meth[ID_Methods]</f>
        <v>582</v>
      </c>
      <c r="B131">
        <f ca="1">dict_zul_Var_Meth[ID_Variables]</f>
        <v>34</v>
      </c>
      <c r="C1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1" t="str">
        <f ca="1">IF(dict_zuord_Meth_Pos[[#This Row],[kval_active]],dict_zuord_Meth_Pos[[#This Row],[ID_Positions]],"")</f>
        <v/>
      </c>
    </row>
    <row r="132" spans="1:4" x14ac:dyDescent="0.45">
      <c r="A132">
        <f ca="1">dict_zul_Var_Meth[ID_Methods]</f>
        <v>0</v>
      </c>
      <c r="B132">
        <f ca="1">dict_zul_Var_Meth[ID_Variables]</f>
        <v>35</v>
      </c>
      <c r="C1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2" t="str">
        <f ca="1">IF(dict_zuord_Meth_Pos[[#This Row],[kval_active]],dict_zuord_Meth_Pos[[#This Row],[ID_Positions]],"")</f>
        <v/>
      </c>
    </row>
    <row r="133" spans="1:4" x14ac:dyDescent="0.45">
      <c r="A133">
        <f ca="1">dict_zul_Var_Meth[ID_Methods]</f>
        <v>349</v>
      </c>
      <c r="B133">
        <f ca="1">dict_zul_Var_Meth[ID_Variables]</f>
        <v>35</v>
      </c>
      <c r="C1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3" t="str">
        <f ca="1">IF(dict_zuord_Meth_Pos[[#This Row],[kval_active]],dict_zuord_Meth_Pos[[#This Row],[ID_Positions]],"")</f>
        <v/>
      </c>
    </row>
    <row r="134" spans="1:4" x14ac:dyDescent="0.45">
      <c r="A134">
        <f ca="1">dict_zul_Var_Meth[ID_Methods]</f>
        <v>398</v>
      </c>
      <c r="B134">
        <f ca="1">dict_zul_Var_Meth[ID_Variables]</f>
        <v>35</v>
      </c>
      <c r="C1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4" t="str">
        <f ca="1">IF(dict_zuord_Meth_Pos[[#This Row],[kval_active]],dict_zuord_Meth_Pos[[#This Row],[ID_Positions]],"")</f>
        <v/>
      </c>
    </row>
    <row r="135" spans="1:4" x14ac:dyDescent="0.45">
      <c r="A135">
        <f ca="1">dict_zul_Var_Meth[ID_Methods]</f>
        <v>44</v>
      </c>
      <c r="B135">
        <f ca="1">dict_zul_Var_Meth[ID_Variables]</f>
        <v>36</v>
      </c>
      <c r="C1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5" t="str">
        <f ca="1">IF(dict_zuord_Meth_Pos[[#This Row],[kval_active]],dict_zuord_Meth_Pos[[#This Row],[ID_Positions]],"")</f>
        <v/>
      </c>
    </row>
    <row r="136" spans="1:4" x14ac:dyDescent="0.45">
      <c r="A136">
        <f ca="1">dict_zul_Var_Meth[ID_Methods]</f>
        <v>310</v>
      </c>
      <c r="B136">
        <f ca="1">dict_zul_Var_Meth[ID_Variables]</f>
        <v>36</v>
      </c>
      <c r="C1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6" t="str">
        <f ca="1">IF(dict_zuord_Meth_Pos[[#This Row],[kval_active]],dict_zuord_Meth_Pos[[#This Row],[ID_Positions]],"")</f>
        <v/>
      </c>
    </row>
    <row r="137" spans="1:4" x14ac:dyDescent="0.45">
      <c r="A137">
        <f ca="1">dict_zul_Var_Meth[ID_Methods]</f>
        <v>588</v>
      </c>
      <c r="B137">
        <f ca="1">dict_zul_Var_Meth[ID_Variables]</f>
        <v>36</v>
      </c>
      <c r="C1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7" t="str">
        <f ca="1">IF(dict_zuord_Meth_Pos[[#This Row],[kval_active]],dict_zuord_Meth_Pos[[#This Row],[ID_Positions]],"")</f>
        <v/>
      </c>
    </row>
    <row r="138" spans="1:4" x14ac:dyDescent="0.45">
      <c r="A138">
        <f ca="1">dict_zul_Var_Meth[ID_Methods]</f>
        <v>610</v>
      </c>
      <c r="B138">
        <f ca="1">dict_zul_Var_Meth[ID_Variables]</f>
        <v>36</v>
      </c>
      <c r="C1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8" t="str">
        <f ca="1">IF(dict_zuord_Meth_Pos[[#This Row],[kval_active]],dict_zuord_Meth_Pos[[#This Row],[ID_Positions]],"")</f>
        <v/>
      </c>
    </row>
    <row r="139" spans="1:4" x14ac:dyDescent="0.45">
      <c r="A139">
        <f ca="1">dict_zul_Var_Meth[ID_Methods]</f>
        <v>115</v>
      </c>
      <c r="B139">
        <f ca="1">dict_zul_Var_Meth[ID_Variables]</f>
        <v>37</v>
      </c>
      <c r="C1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9" t="str">
        <f ca="1">IF(dict_zuord_Meth_Pos[[#This Row],[kval_active]],dict_zuord_Meth_Pos[[#This Row],[ID_Positions]],"")</f>
        <v/>
      </c>
    </row>
    <row r="140" spans="1:4" x14ac:dyDescent="0.45">
      <c r="A140">
        <f ca="1">dict_zul_Var_Meth[ID_Methods]</f>
        <v>230</v>
      </c>
      <c r="B140">
        <f ca="1">dict_zul_Var_Meth[ID_Variables]</f>
        <v>37</v>
      </c>
      <c r="C1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0" t="str">
        <f ca="1">IF(dict_zuord_Meth_Pos[[#This Row],[kval_active]],dict_zuord_Meth_Pos[[#This Row],[ID_Positions]],"")</f>
        <v/>
      </c>
    </row>
    <row r="141" spans="1:4" x14ac:dyDescent="0.45">
      <c r="A141">
        <f ca="1">dict_zul_Var_Meth[ID_Methods]</f>
        <v>242</v>
      </c>
      <c r="B141">
        <f ca="1">dict_zul_Var_Meth[ID_Variables]</f>
        <v>37</v>
      </c>
      <c r="C1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1" t="str">
        <f ca="1">IF(dict_zuord_Meth_Pos[[#This Row],[kval_active]],dict_zuord_Meth_Pos[[#This Row],[ID_Positions]],"")</f>
        <v/>
      </c>
    </row>
    <row r="142" spans="1:4" x14ac:dyDescent="0.45">
      <c r="A142">
        <f ca="1">dict_zul_Var_Meth[ID_Methods]</f>
        <v>323</v>
      </c>
      <c r="B142">
        <f ca="1">dict_zul_Var_Meth[ID_Variables]</f>
        <v>37</v>
      </c>
      <c r="C1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2" t="str">
        <f ca="1">IF(dict_zuord_Meth_Pos[[#This Row],[kval_active]],dict_zuord_Meth_Pos[[#This Row],[ID_Positions]],"")</f>
        <v/>
      </c>
    </row>
    <row r="143" spans="1:4" x14ac:dyDescent="0.45">
      <c r="A143">
        <f ca="1">dict_zul_Var_Meth[ID_Methods]</f>
        <v>277</v>
      </c>
      <c r="B143">
        <f ca="1">dict_zul_Var_Meth[ID_Variables]</f>
        <v>38</v>
      </c>
      <c r="C1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3" t="str">
        <f ca="1">IF(dict_zuord_Meth_Pos[[#This Row],[kval_active]],dict_zuord_Meth_Pos[[#This Row],[ID_Positions]],"")</f>
        <v/>
      </c>
    </row>
    <row r="144" spans="1:4" x14ac:dyDescent="0.45">
      <c r="A144">
        <f ca="1">dict_zul_Var_Meth[ID_Methods]</f>
        <v>331</v>
      </c>
      <c r="B144">
        <f ca="1">dict_zul_Var_Meth[ID_Variables]</f>
        <v>38</v>
      </c>
      <c r="C1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4" t="str">
        <f ca="1">IF(dict_zuord_Meth_Pos[[#This Row],[kval_active]],dict_zuord_Meth_Pos[[#This Row],[ID_Positions]],"")</f>
        <v/>
      </c>
    </row>
    <row r="145" spans="1:4" x14ac:dyDescent="0.45">
      <c r="A145">
        <f ca="1">dict_zul_Var_Meth[ID_Methods]</f>
        <v>496</v>
      </c>
      <c r="B145">
        <f ca="1">dict_zul_Var_Meth[ID_Variables]</f>
        <v>38</v>
      </c>
      <c r="C1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5" t="str">
        <f ca="1">IF(dict_zuord_Meth_Pos[[#This Row],[kval_active]],dict_zuord_Meth_Pos[[#This Row],[ID_Positions]],"")</f>
        <v/>
      </c>
    </row>
    <row r="146" spans="1:4" x14ac:dyDescent="0.45">
      <c r="A146">
        <f ca="1">dict_zul_Var_Meth[ID_Methods]</f>
        <v>699</v>
      </c>
      <c r="B146">
        <f ca="1">dict_zul_Var_Meth[ID_Variables]</f>
        <v>38</v>
      </c>
      <c r="C1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6" t="str">
        <f ca="1">IF(dict_zuord_Meth_Pos[[#This Row],[kval_active]],dict_zuord_Meth_Pos[[#This Row],[ID_Positions]],"")</f>
        <v/>
      </c>
    </row>
    <row r="147" spans="1:4" x14ac:dyDescent="0.45">
      <c r="A147">
        <f ca="1">dict_zul_Var_Meth[ID_Methods]</f>
        <v>424</v>
      </c>
      <c r="B147">
        <f ca="1">dict_zul_Var_Meth[ID_Variables]</f>
        <v>39</v>
      </c>
      <c r="C1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7" t="str">
        <f ca="1">IF(dict_zuord_Meth_Pos[[#This Row],[kval_active]],dict_zuord_Meth_Pos[[#This Row],[ID_Positions]],"")</f>
        <v/>
      </c>
    </row>
    <row r="148" spans="1:4" x14ac:dyDescent="0.45">
      <c r="A148">
        <f ca="1">dict_zul_Var_Meth[ID_Methods]</f>
        <v>429</v>
      </c>
      <c r="B148">
        <f ca="1">dict_zul_Var_Meth[ID_Variables]</f>
        <v>39</v>
      </c>
      <c r="C1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8" t="str">
        <f ca="1">IF(dict_zuord_Meth_Pos[[#This Row],[kval_active]],dict_zuord_Meth_Pos[[#This Row],[ID_Positions]],"")</f>
        <v/>
      </c>
    </row>
    <row r="149" spans="1:4" x14ac:dyDescent="0.45">
      <c r="A149">
        <f ca="1">dict_zul_Var_Meth[ID_Methods]</f>
        <v>521</v>
      </c>
      <c r="B149">
        <f ca="1">dict_zul_Var_Meth[ID_Variables]</f>
        <v>39</v>
      </c>
      <c r="C1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9" t="str">
        <f ca="1">IF(dict_zuord_Meth_Pos[[#This Row],[kval_active]],dict_zuord_Meth_Pos[[#This Row],[ID_Positions]],"")</f>
        <v/>
      </c>
    </row>
    <row r="150" spans="1:4" x14ac:dyDescent="0.45">
      <c r="A150">
        <f ca="1">dict_zul_Var_Meth[ID_Methods]</f>
        <v>690</v>
      </c>
      <c r="B150">
        <f ca="1">dict_zul_Var_Meth[ID_Variables]</f>
        <v>39</v>
      </c>
      <c r="C1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0" t="str">
        <f ca="1">IF(dict_zuord_Meth_Pos[[#This Row],[kval_active]],dict_zuord_Meth_Pos[[#This Row],[ID_Positions]],"")</f>
        <v/>
      </c>
    </row>
    <row r="151" spans="1:4" x14ac:dyDescent="0.45">
      <c r="A151">
        <f ca="1">dict_zul_Var_Meth[ID_Methods]</f>
        <v>54</v>
      </c>
      <c r="B151">
        <f ca="1">dict_zul_Var_Meth[ID_Variables]</f>
        <v>40</v>
      </c>
      <c r="C1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1" t="str">
        <f ca="1">IF(dict_zuord_Meth_Pos[[#This Row],[kval_active]],dict_zuord_Meth_Pos[[#This Row],[ID_Positions]],"")</f>
        <v/>
      </c>
    </row>
    <row r="152" spans="1:4" x14ac:dyDescent="0.45">
      <c r="A152">
        <f ca="1">dict_zul_Var_Meth[ID_Methods]</f>
        <v>111</v>
      </c>
      <c r="B152">
        <f ca="1">dict_zul_Var_Meth[ID_Variables]</f>
        <v>40</v>
      </c>
      <c r="C1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2" t="str">
        <f ca="1">IF(dict_zuord_Meth_Pos[[#This Row],[kval_active]],dict_zuord_Meth_Pos[[#This Row],[ID_Positions]],"")</f>
        <v/>
      </c>
    </row>
    <row r="153" spans="1:4" x14ac:dyDescent="0.45">
      <c r="A153">
        <f ca="1">dict_zul_Var_Meth[ID_Methods]</f>
        <v>525</v>
      </c>
      <c r="B153">
        <f ca="1">dict_zul_Var_Meth[ID_Variables]</f>
        <v>40</v>
      </c>
      <c r="C1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3" t="str">
        <f ca="1">IF(dict_zuord_Meth_Pos[[#This Row],[kval_active]],dict_zuord_Meth_Pos[[#This Row],[ID_Positions]],"")</f>
        <v/>
      </c>
    </row>
    <row r="154" spans="1:4" x14ac:dyDescent="0.45">
      <c r="A154">
        <f ca="1">dict_zul_Var_Meth[ID_Methods]</f>
        <v>573</v>
      </c>
      <c r="B154">
        <f ca="1">dict_zul_Var_Meth[ID_Variables]</f>
        <v>40</v>
      </c>
      <c r="C1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4" t="str">
        <f ca="1">IF(dict_zuord_Meth_Pos[[#This Row],[kval_active]],dict_zuord_Meth_Pos[[#This Row],[ID_Positions]],"")</f>
        <v/>
      </c>
    </row>
    <row r="155" spans="1:4" x14ac:dyDescent="0.45">
      <c r="A155">
        <f ca="1">dict_zul_Var_Meth[ID_Methods]</f>
        <v>16</v>
      </c>
      <c r="B155">
        <f ca="1">dict_zul_Var_Meth[ID_Variables]</f>
        <v>41</v>
      </c>
      <c r="C1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5" t="str">
        <f ca="1">IF(dict_zuord_Meth_Pos[[#This Row],[kval_active]],dict_zuord_Meth_Pos[[#This Row],[ID_Positions]],"")</f>
        <v/>
      </c>
    </row>
    <row r="156" spans="1:4" x14ac:dyDescent="0.45">
      <c r="A156">
        <f ca="1">dict_zul_Var_Meth[ID_Methods]</f>
        <v>237</v>
      </c>
      <c r="B156">
        <f ca="1">dict_zul_Var_Meth[ID_Variables]</f>
        <v>41</v>
      </c>
      <c r="C1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6" t="str">
        <f ca="1">IF(dict_zuord_Meth_Pos[[#This Row],[kval_active]],dict_zuord_Meth_Pos[[#This Row],[ID_Positions]],"")</f>
        <v/>
      </c>
    </row>
    <row r="157" spans="1:4" x14ac:dyDescent="0.45">
      <c r="A157">
        <f ca="1">dict_zul_Var_Meth[ID_Methods]</f>
        <v>498</v>
      </c>
      <c r="B157">
        <f ca="1">dict_zul_Var_Meth[ID_Variables]</f>
        <v>41</v>
      </c>
      <c r="C1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7" t="str">
        <f ca="1">IF(dict_zuord_Meth_Pos[[#This Row],[kval_active]],dict_zuord_Meth_Pos[[#This Row],[ID_Positions]],"")</f>
        <v/>
      </c>
    </row>
    <row r="158" spans="1:4" x14ac:dyDescent="0.45">
      <c r="A158">
        <f ca="1">dict_zul_Var_Meth[ID_Methods]</f>
        <v>34</v>
      </c>
      <c r="B158">
        <f ca="1">dict_zul_Var_Meth[ID_Variables]</f>
        <v>42</v>
      </c>
      <c r="C1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8" t="str">
        <f ca="1">IF(dict_zuord_Meth_Pos[[#This Row],[kval_active]],dict_zuord_Meth_Pos[[#This Row],[ID_Positions]],"")</f>
        <v/>
      </c>
    </row>
    <row r="159" spans="1:4" x14ac:dyDescent="0.45">
      <c r="A159">
        <f ca="1">dict_zul_Var_Meth[ID_Methods]</f>
        <v>40</v>
      </c>
      <c r="B159">
        <f ca="1">dict_zul_Var_Meth[ID_Variables]</f>
        <v>42</v>
      </c>
      <c r="C1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9" t="str">
        <f ca="1">IF(dict_zuord_Meth_Pos[[#This Row],[kval_active]],dict_zuord_Meth_Pos[[#This Row],[ID_Positions]],"")</f>
        <v/>
      </c>
    </row>
    <row r="160" spans="1:4" x14ac:dyDescent="0.45">
      <c r="A160">
        <f ca="1">dict_zul_Var_Meth[ID_Methods]</f>
        <v>278</v>
      </c>
      <c r="B160">
        <f ca="1">dict_zul_Var_Meth[ID_Variables]</f>
        <v>42</v>
      </c>
      <c r="C1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0" t="str">
        <f ca="1">IF(dict_zuord_Meth_Pos[[#This Row],[kval_active]],dict_zuord_Meth_Pos[[#This Row],[ID_Positions]],"")</f>
        <v/>
      </c>
    </row>
    <row r="161" spans="1:4" x14ac:dyDescent="0.45">
      <c r="A161">
        <f ca="1">dict_zul_Var_Meth[ID_Methods]</f>
        <v>615</v>
      </c>
      <c r="B161">
        <f ca="1">dict_zul_Var_Meth[ID_Variables]</f>
        <v>42</v>
      </c>
      <c r="C1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1" t="str">
        <f ca="1">IF(dict_zuord_Meth_Pos[[#This Row],[kval_active]],dict_zuord_Meth_Pos[[#This Row],[ID_Positions]],"")</f>
        <v/>
      </c>
    </row>
    <row r="162" spans="1:4" x14ac:dyDescent="0.45">
      <c r="A162">
        <f ca="1">dict_zul_Var_Meth[ID_Methods]</f>
        <v>28</v>
      </c>
      <c r="B162">
        <f ca="1">dict_zul_Var_Meth[ID_Variables]</f>
        <v>43</v>
      </c>
      <c r="C1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2" t="str">
        <f ca="1">IF(dict_zuord_Meth_Pos[[#This Row],[kval_active]],dict_zuord_Meth_Pos[[#This Row],[ID_Positions]],"")</f>
        <v/>
      </c>
    </row>
    <row r="163" spans="1:4" x14ac:dyDescent="0.45">
      <c r="A163">
        <f ca="1">dict_zul_Var_Meth[ID_Methods]</f>
        <v>156</v>
      </c>
      <c r="B163">
        <f ca="1">dict_zul_Var_Meth[ID_Variables]</f>
        <v>43</v>
      </c>
      <c r="C1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3" t="str">
        <f ca="1">IF(dict_zuord_Meth_Pos[[#This Row],[kval_active]],dict_zuord_Meth_Pos[[#This Row],[ID_Positions]],"")</f>
        <v/>
      </c>
    </row>
    <row r="164" spans="1:4" x14ac:dyDescent="0.45">
      <c r="A164">
        <f ca="1">dict_zul_Var_Meth[ID_Methods]</f>
        <v>246</v>
      </c>
      <c r="B164">
        <f ca="1">dict_zul_Var_Meth[ID_Variables]</f>
        <v>43</v>
      </c>
      <c r="C1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4" t="str">
        <f ca="1">IF(dict_zuord_Meth_Pos[[#This Row],[kval_active]],dict_zuord_Meth_Pos[[#This Row],[ID_Positions]],"")</f>
        <v/>
      </c>
    </row>
    <row r="165" spans="1:4" x14ac:dyDescent="0.45">
      <c r="A165">
        <f ca="1">dict_zul_Var_Meth[ID_Methods]</f>
        <v>660</v>
      </c>
      <c r="B165">
        <f ca="1">dict_zul_Var_Meth[ID_Variables]</f>
        <v>43</v>
      </c>
      <c r="C1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5" t="str">
        <f ca="1">IF(dict_zuord_Meth_Pos[[#This Row],[kval_active]],dict_zuord_Meth_Pos[[#This Row],[ID_Positions]],"")</f>
        <v/>
      </c>
    </row>
    <row r="166" spans="1:4" x14ac:dyDescent="0.45">
      <c r="A166">
        <f ca="1">dict_zul_Var_Meth[ID_Methods]</f>
        <v>77</v>
      </c>
      <c r="B166">
        <f ca="1">dict_zul_Var_Meth[ID_Variables]</f>
        <v>44</v>
      </c>
      <c r="C1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6" t="str">
        <f ca="1">IF(dict_zuord_Meth_Pos[[#This Row],[kval_active]],dict_zuord_Meth_Pos[[#This Row],[ID_Positions]],"")</f>
        <v/>
      </c>
    </row>
    <row r="167" spans="1:4" x14ac:dyDescent="0.45">
      <c r="A167">
        <f ca="1">dict_zul_Var_Meth[ID_Methods]</f>
        <v>132</v>
      </c>
      <c r="B167">
        <f ca="1">dict_zul_Var_Meth[ID_Variables]</f>
        <v>44</v>
      </c>
      <c r="C1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7" t="str">
        <f ca="1">IF(dict_zuord_Meth_Pos[[#This Row],[kval_active]],dict_zuord_Meth_Pos[[#This Row],[ID_Positions]],"")</f>
        <v/>
      </c>
    </row>
    <row r="168" spans="1:4" x14ac:dyDescent="0.45">
      <c r="A168">
        <f ca="1">dict_zul_Var_Meth[ID_Methods]</f>
        <v>438</v>
      </c>
      <c r="B168">
        <f ca="1">dict_zul_Var_Meth[ID_Variables]</f>
        <v>44</v>
      </c>
      <c r="C1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8" t="str">
        <f ca="1">IF(dict_zuord_Meth_Pos[[#This Row],[kval_active]],dict_zuord_Meth_Pos[[#This Row],[ID_Positions]],"")</f>
        <v/>
      </c>
    </row>
    <row r="169" spans="1:4" x14ac:dyDescent="0.45">
      <c r="A169">
        <f ca="1">dict_zul_Var_Meth[ID_Methods]</f>
        <v>195</v>
      </c>
      <c r="B169">
        <f ca="1">dict_zul_Var_Meth[ID_Variables]</f>
        <v>45</v>
      </c>
      <c r="C1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9" t="str">
        <f ca="1">IF(dict_zuord_Meth_Pos[[#This Row],[kval_active]],dict_zuord_Meth_Pos[[#This Row],[ID_Positions]],"")</f>
        <v/>
      </c>
    </row>
    <row r="170" spans="1:4" x14ac:dyDescent="0.45">
      <c r="A170">
        <f ca="1">dict_zul_Var_Meth[ID_Methods]</f>
        <v>207</v>
      </c>
      <c r="B170">
        <f ca="1">dict_zul_Var_Meth[ID_Variables]</f>
        <v>45</v>
      </c>
      <c r="C1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0" t="str">
        <f ca="1">IF(dict_zuord_Meth_Pos[[#This Row],[kval_active]],dict_zuord_Meth_Pos[[#This Row],[ID_Positions]],"")</f>
        <v/>
      </c>
    </row>
    <row r="171" spans="1:4" x14ac:dyDescent="0.45">
      <c r="A171">
        <f ca="1">dict_zul_Var_Meth[ID_Methods]</f>
        <v>233</v>
      </c>
      <c r="B171">
        <f ca="1">dict_zul_Var_Meth[ID_Variables]</f>
        <v>45</v>
      </c>
      <c r="C1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1" t="str">
        <f ca="1">IF(dict_zuord_Meth_Pos[[#This Row],[kval_active]],dict_zuord_Meth_Pos[[#This Row],[ID_Positions]],"")</f>
        <v/>
      </c>
    </row>
    <row r="172" spans="1:4" x14ac:dyDescent="0.45">
      <c r="A172">
        <f ca="1">dict_zul_Var_Meth[ID_Methods]</f>
        <v>293</v>
      </c>
      <c r="B172">
        <f ca="1">dict_zul_Var_Meth[ID_Variables]</f>
        <v>45</v>
      </c>
      <c r="C1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2" t="str">
        <f ca="1">IF(dict_zuord_Meth_Pos[[#This Row],[kval_active]],dict_zuord_Meth_Pos[[#This Row],[ID_Positions]],"")</f>
        <v/>
      </c>
    </row>
    <row r="173" spans="1:4" x14ac:dyDescent="0.45">
      <c r="A173">
        <f ca="1">dict_zul_Var_Meth[ID_Methods]</f>
        <v>456</v>
      </c>
      <c r="B173">
        <f ca="1">dict_zul_Var_Meth[ID_Variables]</f>
        <v>45</v>
      </c>
      <c r="C1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3" t="str">
        <f ca="1">IF(dict_zuord_Meth_Pos[[#This Row],[kval_active]],dict_zuord_Meth_Pos[[#This Row],[ID_Positions]],"")</f>
        <v/>
      </c>
    </row>
    <row r="174" spans="1:4" x14ac:dyDescent="0.45">
      <c r="A174">
        <f ca="1">dict_zul_Var_Meth[ID_Methods]</f>
        <v>138</v>
      </c>
      <c r="B174">
        <f ca="1">dict_zul_Var_Meth[ID_Variables]</f>
        <v>46</v>
      </c>
      <c r="C1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4" t="str">
        <f ca="1">IF(dict_zuord_Meth_Pos[[#This Row],[kval_active]],dict_zuord_Meth_Pos[[#This Row],[ID_Positions]],"")</f>
        <v/>
      </c>
    </row>
    <row r="175" spans="1:4" x14ac:dyDescent="0.45">
      <c r="A175">
        <f ca="1">dict_zul_Var_Meth[ID_Methods]</f>
        <v>304</v>
      </c>
      <c r="B175">
        <f ca="1">dict_zul_Var_Meth[ID_Variables]</f>
        <v>46</v>
      </c>
      <c r="C1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5" t="str">
        <f ca="1">IF(dict_zuord_Meth_Pos[[#This Row],[kval_active]],dict_zuord_Meth_Pos[[#This Row],[ID_Positions]],"")</f>
        <v/>
      </c>
    </row>
    <row r="176" spans="1:4" x14ac:dyDescent="0.45">
      <c r="A176">
        <f ca="1">dict_zul_Var_Meth[ID_Methods]</f>
        <v>372</v>
      </c>
      <c r="B176">
        <f ca="1">dict_zul_Var_Meth[ID_Variables]</f>
        <v>46</v>
      </c>
      <c r="C1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6" t="str">
        <f ca="1">IF(dict_zuord_Meth_Pos[[#This Row],[kval_active]],dict_zuord_Meth_Pos[[#This Row],[ID_Positions]],"")</f>
        <v/>
      </c>
    </row>
    <row r="177" spans="1:4" x14ac:dyDescent="0.45">
      <c r="A177">
        <f ca="1">dict_zul_Var_Meth[ID_Methods]</f>
        <v>24</v>
      </c>
      <c r="B177">
        <f ca="1">dict_zul_Var_Meth[ID_Variables]</f>
        <v>47</v>
      </c>
      <c r="C1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7">
        <f ca="1">IF(dict_zuord_Meth_Pos[[#This Row],[kval_active]],dict_zuord_Meth_Pos[[#This Row],[ID_Positions]],"")</f>
        <v>47</v>
      </c>
    </row>
    <row r="178" spans="1:4" x14ac:dyDescent="0.45">
      <c r="A178">
        <f ca="1">dict_zul_Var_Meth[ID_Methods]</f>
        <v>320</v>
      </c>
      <c r="B178">
        <f ca="1">dict_zul_Var_Meth[ID_Variables]</f>
        <v>47</v>
      </c>
      <c r="C1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8" t="str">
        <f ca="1">IF(dict_zuord_Meth_Pos[[#This Row],[kval_active]],dict_zuord_Meth_Pos[[#This Row],[ID_Positions]],"")</f>
        <v/>
      </c>
    </row>
    <row r="179" spans="1:4" x14ac:dyDescent="0.45">
      <c r="A179">
        <f ca="1">dict_zul_Var_Meth[ID_Methods]</f>
        <v>343</v>
      </c>
      <c r="B179">
        <f ca="1">dict_zul_Var_Meth[ID_Variables]</f>
        <v>47</v>
      </c>
      <c r="C1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9" t="str">
        <f ca="1">IF(dict_zuord_Meth_Pos[[#This Row],[kval_active]],dict_zuord_Meth_Pos[[#This Row],[ID_Positions]],"")</f>
        <v/>
      </c>
    </row>
    <row r="180" spans="1:4" x14ac:dyDescent="0.45">
      <c r="A180">
        <f ca="1">dict_zul_Var_Meth[ID_Methods]</f>
        <v>451</v>
      </c>
      <c r="B180">
        <f ca="1">dict_zul_Var_Meth[ID_Variables]</f>
        <v>47</v>
      </c>
      <c r="C1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0" t="str">
        <f ca="1">IF(dict_zuord_Meth_Pos[[#This Row],[kval_active]],dict_zuord_Meth_Pos[[#This Row],[ID_Positions]],"")</f>
        <v/>
      </c>
    </row>
    <row r="181" spans="1:4" x14ac:dyDescent="0.45">
      <c r="A181">
        <f ca="1">dict_zul_Var_Meth[ID_Methods]</f>
        <v>473</v>
      </c>
      <c r="B181">
        <f ca="1">dict_zul_Var_Meth[ID_Variables]</f>
        <v>47</v>
      </c>
      <c r="C1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1" t="str">
        <f ca="1">IF(dict_zuord_Meth_Pos[[#This Row],[kval_active]],dict_zuord_Meth_Pos[[#This Row],[ID_Positions]],"")</f>
        <v/>
      </c>
    </row>
    <row r="182" spans="1:4" x14ac:dyDescent="0.45">
      <c r="A182">
        <f ca="1">dict_zul_Var_Meth[ID_Methods]</f>
        <v>327</v>
      </c>
      <c r="B182">
        <f ca="1">dict_zul_Var_Meth[ID_Variables]</f>
        <v>48</v>
      </c>
      <c r="C1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2" t="str">
        <f ca="1">IF(dict_zuord_Meth_Pos[[#This Row],[kval_active]],dict_zuord_Meth_Pos[[#This Row],[ID_Positions]],"")</f>
        <v/>
      </c>
    </row>
    <row r="183" spans="1:4" x14ac:dyDescent="0.45">
      <c r="A183">
        <f ca="1">dict_zul_Var_Meth[ID_Methods]</f>
        <v>643</v>
      </c>
      <c r="B183">
        <f ca="1">dict_zul_Var_Meth[ID_Variables]</f>
        <v>48</v>
      </c>
      <c r="C1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3" t="str">
        <f ca="1">IF(dict_zuord_Meth_Pos[[#This Row],[kval_active]],dict_zuord_Meth_Pos[[#This Row],[ID_Positions]],"")</f>
        <v/>
      </c>
    </row>
    <row r="184" spans="1:4" x14ac:dyDescent="0.45">
      <c r="A184">
        <f ca="1">dict_zul_Var_Meth[ID_Methods]</f>
        <v>36</v>
      </c>
      <c r="B184">
        <f ca="1">dict_zul_Var_Meth[ID_Variables]</f>
        <v>49</v>
      </c>
      <c r="C1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4" t="str">
        <f ca="1">IF(dict_zuord_Meth_Pos[[#This Row],[kval_active]],dict_zuord_Meth_Pos[[#This Row],[ID_Positions]],"")</f>
        <v/>
      </c>
    </row>
    <row r="185" spans="1:4" x14ac:dyDescent="0.45">
      <c r="A185">
        <f ca="1">dict_zul_Var_Meth[ID_Methods]</f>
        <v>200</v>
      </c>
      <c r="B185">
        <f ca="1">dict_zul_Var_Meth[ID_Variables]</f>
        <v>49</v>
      </c>
      <c r="C1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5" t="str">
        <f ca="1">IF(dict_zuord_Meth_Pos[[#This Row],[kval_active]],dict_zuord_Meth_Pos[[#This Row],[ID_Positions]],"")</f>
        <v/>
      </c>
    </row>
    <row r="186" spans="1:4" x14ac:dyDescent="0.45">
      <c r="A186">
        <f ca="1">dict_zul_Var_Meth[ID_Methods]</f>
        <v>265</v>
      </c>
      <c r="B186">
        <f ca="1">dict_zul_Var_Meth[ID_Variables]</f>
        <v>49</v>
      </c>
      <c r="C1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6" t="str">
        <f ca="1">IF(dict_zuord_Meth_Pos[[#This Row],[kval_active]],dict_zuord_Meth_Pos[[#This Row],[ID_Positions]],"")</f>
        <v/>
      </c>
    </row>
    <row r="187" spans="1:4" x14ac:dyDescent="0.45">
      <c r="A187">
        <f ca="1">dict_zul_Var_Meth[ID_Methods]</f>
        <v>373</v>
      </c>
      <c r="B187">
        <f ca="1">dict_zul_Var_Meth[ID_Variables]</f>
        <v>49</v>
      </c>
      <c r="C1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7" t="str">
        <f ca="1">IF(dict_zuord_Meth_Pos[[#This Row],[kval_active]],dict_zuord_Meth_Pos[[#This Row],[ID_Positions]],"")</f>
        <v/>
      </c>
    </row>
    <row r="188" spans="1:4" x14ac:dyDescent="0.45">
      <c r="A188">
        <f ca="1">dict_zul_Var_Meth[ID_Methods]</f>
        <v>577</v>
      </c>
      <c r="B188">
        <f ca="1">dict_zul_Var_Meth[ID_Variables]</f>
        <v>49</v>
      </c>
      <c r="C1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8" t="str">
        <f ca="1">IF(dict_zuord_Meth_Pos[[#This Row],[kval_active]],dict_zuord_Meth_Pos[[#This Row],[ID_Positions]],"")</f>
        <v/>
      </c>
    </row>
    <row r="189" spans="1:4" x14ac:dyDescent="0.45">
      <c r="A189">
        <f ca="1">dict_zul_Var_Meth[ID_Methods]</f>
        <v>16</v>
      </c>
      <c r="B189">
        <f ca="1">dict_zul_Var_Meth[ID_Variables]</f>
        <v>50</v>
      </c>
      <c r="C1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9" t="str">
        <f ca="1">IF(dict_zuord_Meth_Pos[[#This Row],[kval_active]],dict_zuord_Meth_Pos[[#This Row],[ID_Positions]],"")</f>
        <v/>
      </c>
    </row>
    <row r="190" spans="1:4" x14ac:dyDescent="0.45">
      <c r="A190">
        <f ca="1">dict_zul_Var_Meth[ID_Methods]</f>
        <v>345</v>
      </c>
      <c r="B190">
        <f ca="1">dict_zul_Var_Meth[ID_Variables]</f>
        <v>50</v>
      </c>
      <c r="C1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0" t="str">
        <f ca="1">IF(dict_zuord_Meth_Pos[[#This Row],[kval_active]],dict_zuord_Meth_Pos[[#This Row],[ID_Positions]],"")</f>
        <v/>
      </c>
    </row>
    <row r="191" spans="1:4" x14ac:dyDescent="0.45">
      <c r="A191">
        <f ca="1">dict_zul_Var_Meth[ID_Methods]</f>
        <v>57</v>
      </c>
      <c r="B191">
        <f ca="1">dict_zul_Var_Meth[ID_Variables]</f>
        <v>51</v>
      </c>
      <c r="C1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1" t="str">
        <f ca="1">IF(dict_zuord_Meth_Pos[[#This Row],[kval_active]],dict_zuord_Meth_Pos[[#This Row],[ID_Positions]],"")</f>
        <v/>
      </c>
    </row>
    <row r="192" spans="1:4" x14ac:dyDescent="0.45">
      <c r="A192">
        <f ca="1">dict_zul_Var_Meth[ID_Methods]</f>
        <v>474</v>
      </c>
      <c r="B192">
        <f ca="1">dict_zul_Var_Meth[ID_Variables]</f>
        <v>51</v>
      </c>
      <c r="C1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2" t="str">
        <f ca="1">IF(dict_zuord_Meth_Pos[[#This Row],[kval_active]],dict_zuord_Meth_Pos[[#This Row],[ID_Positions]],"")</f>
        <v/>
      </c>
    </row>
    <row r="193" spans="1:4" x14ac:dyDescent="0.45">
      <c r="A193">
        <f ca="1">dict_zul_Var_Meth[ID_Methods]</f>
        <v>555</v>
      </c>
      <c r="B193">
        <f ca="1">dict_zul_Var_Meth[ID_Variables]</f>
        <v>51</v>
      </c>
      <c r="C1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3" t="str">
        <f ca="1">IF(dict_zuord_Meth_Pos[[#This Row],[kval_active]],dict_zuord_Meth_Pos[[#This Row],[ID_Positions]],"")</f>
        <v/>
      </c>
    </row>
    <row r="194" spans="1:4" x14ac:dyDescent="0.45">
      <c r="A194">
        <f ca="1">dict_zul_Var_Meth[ID_Methods]</f>
        <v>665</v>
      </c>
      <c r="B194">
        <f ca="1">dict_zul_Var_Meth[ID_Variables]</f>
        <v>51</v>
      </c>
      <c r="C1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4" t="str">
        <f ca="1">IF(dict_zuord_Meth_Pos[[#This Row],[kval_active]],dict_zuord_Meth_Pos[[#This Row],[ID_Positions]],"")</f>
        <v/>
      </c>
    </row>
    <row r="195" spans="1:4" x14ac:dyDescent="0.45">
      <c r="A195">
        <f ca="1">dict_zul_Var_Meth[ID_Methods]</f>
        <v>154</v>
      </c>
      <c r="B195">
        <f ca="1">dict_zul_Var_Meth[ID_Variables]</f>
        <v>52</v>
      </c>
      <c r="C1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5" t="str">
        <f ca="1">IF(dict_zuord_Meth_Pos[[#This Row],[kval_active]],dict_zuord_Meth_Pos[[#This Row],[ID_Positions]],"")</f>
        <v/>
      </c>
    </row>
    <row r="196" spans="1:4" x14ac:dyDescent="0.45">
      <c r="A196">
        <f ca="1">dict_zul_Var_Meth[ID_Methods]</f>
        <v>179</v>
      </c>
      <c r="B196">
        <f ca="1">dict_zul_Var_Meth[ID_Variables]</f>
        <v>52</v>
      </c>
      <c r="C1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6" t="str">
        <f ca="1">IF(dict_zuord_Meth_Pos[[#This Row],[kval_active]],dict_zuord_Meth_Pos[[#This Row],[ID_Positions]],"")</f>
        <v/>
      </c>
    </row>
    <row r="197" spans="1:4" x14ac:dyDescent="0.45">
      <c r="A197">
        <f ca="1">dict_zul_Var_Meth[ID_Methods]</f>
        <v>329</v>
      </c>
      <c r="B197">
        <f ca="1">dict_zul_Var_Meth[ID_Variables]</f>
        <v>52</v>
      </c>
      <c r="C1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7" t="str">
        <f ca="1">IF(dict_zuord_Meth_Pos[[#This Row],[kval_active]],dict_zuord_Meth_Pos[[#This Row],[ID_Positions]],"")</f>
        <v/>
      </c>
    </row>
    <row r="198" spans="1:4" x14ac:dyDescent="0.45">
      <c r="A198">
        <f ca="1">dict_zul_Var_Meth[ID_Methods]</f>
        <v>492</v>
      </c>
      <c r="B198">
        <f ca="1">dict_zul_Var_Meth[ID_Variables]</f>
        <v>52</v>
      </c>
      <c r="C1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8" t="str">
        <f ca="1">IF(dict_zuord_Meth_Pos[[#This Row],[kval_active]],dict_zuord_Meth_Pos[[#This Row],[ID_Positions]],"")</f>
        <v/>
      </c>
    </row>
    <row r="199" spans="1:4" x14ac:dyDescent="0.45">
      <c r="A199">
        <f ca="1">dict_zul_Var_Meth[ID_Methods]</f>
        <v>28</v>
      </c>
      <c r="B199">
        <f ca="1">dict_zul_Var_Meth[ID_Variables]</f>
        <v>53</v>
      </c>
      <c r="C1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9" t="str">
        <f ca="1">IF(dict_zuord_Meth_Pos[[#This Row],[kval_active]],dict_zuord_Meth_Pos[[#This Row],[ID_Positions]],"")</f>
        <v/>
      </c>
    </row>
    <row r="200" spans="1:4" x14ac:dyDescent="0.45">
      <c r="A200">
        <f ca="1">dict_zul_Var_Meth[ID_Methods]</f>
        <v>423</v>
      </c>
      <c r="B200">
        <f ca="1">dict_zul_Var_Meth[ID_Variables]</f>
        <v>53</v>
      </c>
      <c r="C2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0" t="str">
        <f ca="1">IF(dict_zuord_Meth_Pos[[#This Row],[kval_active]],dict_zuord_Meth_Pos[[#This Row],[ID_Positions]],"")</f>
        <v/>
      </c>
    </row>
    <row r="201" spans="1:4" x14ac:dyDescent="0.45">
      <c r="A201">
        <f ca="1">dict_zul_Var_Meth[ID_Methods]</f>
        <v>533</v>
      </c>
      <c r="B201">
        <f ca="1">dict_zul_Var_Meth[ID_Variables]</f>
        <v>53</v>
      </c>
      <c r="C2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1" t="str">
        <f ca="1">IF(dict_zuord_Meth_Pos[[#This Row],[kval_active]],dict_zuord_Meth_Pos[[#This Row],[ID_Positions]],"")</f>
        <v/>
      </c>
    </row>
    <row r="202" spans="1:4" x14ac:dyDescent="0.45">
      <c r="A202">
        <f ca="1">dict_zul_Var_Meth[ID_Methods]</f>
        <v>183</v>
      </c>
      <c r="B202">
        <f ca="1">dict_zul_Var_Meth[ID_Variables]</f>
        <v>54</v>
      </c>
      <c r="C2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2" t="str">
        <f ca="1">IF(dict_zuord_Meth_Pos[[#This Row],[kval_active]],dict_zuord_Meth_Pos[[#This Row],[ID_Positions]],"")</f>
        <v/>
      </c>
    </row>
    <row r="203" spans="1:4" x14ac:dyDescent="0.45">
      <c r="A203">
        <f ca="1">dict_zul_Var_Meth[ID_Methods]</f>
        <v>225</v>
      </c>
      <c r="B203">
        <f ca="1">dict_zul_Var_Meth[ID_Variables]</f>
        <v>54</v>
      </c>
      <c r="C2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3" t="str">
        <f ca="1">IF(dict_zuord_Meth_Pos[[#This Row],[kval_active]],dict_zuord_Meth_Pos[[#This Row],[ID_Positions]],"")</f>
        <v/>
      </c>
    </row>
    <row r="204" spans="1:4" x14ac:dyDescent="0.45">
      <c r="A204">
        <f ca="1">dict_zul_Var_Meth[ID_Methods]</f>
        <v>287</v>
      </c>
      <c r="B204">
        <f ca="1">dict_zul_Var_Meth[ID_Variables]</f>
        <v>54</v>
      </c>
      <c r="C2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4" t="str">
        <f ca="1">IF(dict_zuord_Meth_Pos[[#This Row],[kval_active]],dict_zuord_Meth_Pos[[#This Row],[ID_Positions]],"")</f>
        <v/>
      </c>
    </row>
    <row r="205" spans="1:4" x14ac:dyDescent="0.45">
      <c r="A205">
        <f ca="1">dict_zul_Var_Meth[ID_Methods]</f>
        <v>299</v>
      </c>
      <c r="B205">
        <f ca="1">dict_zul_Var_Meth[ID_Variables]</f>
        <v>54</v>
      </c>
      <c r="C2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5" t="str">
        <f ca="1">IF(dict_zuord_Meth_Pos[[#This Row],[kval_active]],dict_zuord_Meth_Pos[[#This Row],[ID_Positions]],"")</f>
        <v/>
      </c>
    </row>
    <row r="206" spans="1:4" x14ac:dyDescent="0.45">
      <c r="A206">
        <f ca="1">dict_zul_Var_Meth[ID_Methods]</f>
        <v>517</v>
      </c>
      <c r="B206">
        <f ca="1">dict_zul_Var_Meth[ID_Variables]</f>
        <v>54</v>
      </c>
      <c r="C2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6" t="str">
        <f ca="1">IF(dict_zuord_Meth_Pos[[#This Row],[kval_active]],dict_zuord_Meth_Pos[[#This Row],[ID_Positions]],"")</f>
        <v/>
      </c>
    </row>
    <row r="207" spans="1:4" x14ac:dyDescent="0.45">
      <c r="A207">
        <f ca="1">dict_zul_Var_Meth[ID_Methods]</f>
        <v>6</v>
      </c>
      <c r="B207">
        <f ca="1">dict_zul_Var_Meth[ID_Variables]</f>
        <v>55</v>
      </c>
      <c r="C2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7" t="str">
        <f ca="1">IF(dict_zuord_Meth_Pos[[#This Row],[kval_active]],dict_zuord_Meth_Pos[[#This Row],[ID_Positions]],"")</f>
        <v/>
      </c>
    </row>
    <row r="208" spans="1:4" x14ac:dyDescent="0.45">
      <c r="A208">
        <f ca="1">dict_zul_Var_Meth[ID_Methods]</f>
        <v>58</v>
      </c>
      <c r="B208">
        <f ca="1">dict_zul_Var_Meth[ID_Variables]</f>
        <v>55</v>
      </c>
      <c r="C2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8" t="str">
        <f ca="1">IF(dict_zuord_Meth_Pos[[#This Row],[kval_active]],dict_zuord_Meth_Pos[[#This Row],[ID_Positions]],"")</f>
        <v/>
      </c>
    </row>
    <row r="209" spans="1:4" x14ac:dyDescent="0.45">
      <c r="A209">
        <f ca="1">dict_zul_Var_Meth[ID_Methods]</f>
        <v>204</v>
      </c>
      <c r="B209">
        <f ca="1">dict_zul_Var_Meth[ID_Variables]</f>
        <v>55</v>
      </c>
      <c r="C2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9" t="str">
        <f ca="1">IF(dict_zuord_Meth_Pos[[#This Row],[kval_active]],dict_zuord_Meth_Pos[[#This Row],[ID_Positions]],"")</f>
        <v/>
      </c>
    </row>
    <row r="210" spans="1:4" x14ac:dyDescent="0.45">
      <c r="A210">
        <f ca="1">dict_zul_Var_Meth[ID_Methods]</f>
        <v>680</v>
      </c>
      <c r="B210">
        <f ca="1">dict_zul_Var_Meth[ID_Variables]</f>
        <v>55</v>
      </c>
      <c r="C2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0" t="str">
        <f ca="1">IF(dict_zuord_Meth_Pos[[#This Row],[kval_active]],dict_zuord_Meth_Pos[[#This Row],[ID_Positions]],"")</f>
        <v/>
      </c>
    </row>
    <row r="211" spans="1:4" x14ac:dyDescent="0.45">
      <c r="A211">
        <f ca="1">dict_zul_Var_Meth[ID_Methods]</f>
        <v>152</v>
      </c>
      <c r="B211">
        <f ca="1">dict_zul_Var_Meth[ID_Variables]</f>
        <v>56</v>
      </c>
      <c r="C2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1" t="str">
        <f ca="1">IF(dict_zuord_Meth_Pos[[#This Row],[kval_active]],dict_zuord_Meth_Pos[[#This Row],[ID_Positions]],"")</f>
        <v/>
      </c>
    </row>
    <row r="212" spans="1:4" x14ac:dyDescent="0.45">
      <c r="A212">
        <f ca="1">dict_zul_Var_Meth[ID_Methods]</f>
        <v>181</v>
      </c>
      <c r="B212">
        <f ca="1">dict_zul_Var_Meth[ID_Variables]</f>
        <v>56</v>
      </c>
      <c r="C2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2" t="str">
        <f ca="1">IF(dict_zuord_Meth_Pos[[#This Row],[kval_active]],dict_zuord_Meth_Pos[[#This Row],[ID_Positions]],"")</f>
        <v/>
      </c>
    </row>
    <row r="213" spans="1:4" x14ac:dyDescent="0.45">
      <c r="A213">
        <f ca="1">dict_zul_Var_Meth[ID_Methods]</f>
        <v>547</v>
      </c>
      <c r="B213">
        <f ca="1">dict_zul_Var_Meth[ID_Variables]</f>
        <v>56</v>
      </c>
      <c r="C2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3" t="str">
        <f ca="1">IF(dict_zuord_Meth_Pos[[#This Row],[kval_active]],dict_zuord_Meth_Pos[[#This Row],[ID_Positions]],"")</f>
        <v/>
      </c>
    </row>
    <row r="214" spans="1:4" x14ac:dyDescent="0.45">
      <c r="A214">
        <f ca="1">dict_zul_Var_Meth[ID_Methods]</f>
        <v>574</v>
      </c>
      <c r="B214">
        <f ca="1">dict_zul_Var_Meth[ID_Variables]</f>
        <v>56</v>
      </c>
      <c r="C2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4" t="str">
        <f ca="1">IF(dict_zuord_Meth_Pos[[#This Row],[kval_active]],dict_zuord_Meth_Pos[[#This Row],[ID_Positions]],"")</f>
        <v/>
      </c>
    </row>
    <row r="215" spans="1:4" x14ac:dyDescent="0.45">
      <c r="A215">
        <f ca="1">dict_zul_Var_Meth[ID_Methods]</f>
        <v>8</v>
      </c>
      <c r="B215">
        <f ca="1">dict_zul_Var_Meth[ID_Variables]</f>
        <v>57</v>
      </c>
      <c r="C2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5" t="str">
        <f ca="1">IF(dict_zuord_Meth_Pos[[#This Row],[kval_active]],dict_zuord_Meth_Pos[[#This Row],[ID_Positions]],"")</f>
        <v/>
      </c>
    </row>
    <row r="216" spans="1:4" x14ac:dyDescent="0.45">
      <c r="A216">
        <f ca="1">dict_zul_Var_Meth[ID_Methods]</f>
        <v>392</v>
      </c>
      <c r="B216">
        <f ca="1">dict_zul_Var_Meth[ID_Variables]</f>
        <v>57</v>
      </c>
      <c r="C2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6" t="str">
        <f ca="1">IF(dict_zuord_Meth_Pos[[#This Row],[kval_active]],dict_zuord_Meth_Pos[[#This Row],[ID_Positions]],"")</f>
        <v/>
      </c>
    </row>
    <row r="217" spans="1:4" x14ac:dyDescent="0.45">
      <c r="A217">
        <f ca="1">dict_zul_Var_Meth[ID_Methods]</f>
        <v>564</v>
      </c>
      <c r="B217">
        <f ca="1">dict_zul_Var_Meth[ID_Variables]</f>
        <v>57</v>
      </c>
      <c r="C2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7" t="str">
        <f ca="1">IF(dict_zuord_Meth_Pos[[#This Row],[kval_active]],dict_zuord_Meth_Pos[[#This Row],[ID_Positions]],"")</f>
        <v/>
      </c>
    </row>
    <row r="218" spans="1:4" x14ac:dyDescent="0.45">
      <c r="A218">
        <f ca="1">dict_zul_Var_Meth[ID_Methods]</f>
        <v>65</v>
      </c>
      <c r="B218">
        <f ca="1">dict_zul_Var_Meth[ID_Variables]</f>
        <v>58</v>
      </c>
      <c r="C2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8" t="str">
        <f ca="1">IF(dict_zuord_Meth_Pos[[#This Row],[kval_active]],dict_zuord_Meth_Pos[[#This Row],[ID_Positions]],"")</f>
        <v/>
      </c>
    </row>
    <row r="219" spans="1:4" x14ac:dyDescent="0.45">
      <c r="A219">
        <f ca="1">dict_zul_Var_Meth[ID_Methods]</f>
        <v>229</v>
      </c>
      <c r="B219">
        <f ca="1">dict_zul_Var_Meth[ID_Variables]</f>
        <v>58</v>
      </c>
      <c r="C2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9" t="str">
        <f ca="1">IF(dict_zuord_Meth_Pos[[#This Row],[kval_active]],dict_zuord_Meth_Pos[[#This Row],[ID_Positions]],"")</f>
        <v/>
      </c>
    </row>
    <row r="220" spans="1:4" x14ac:dyDescent="0.45">
      <c r="A220">
        <f ca="1">dict_zul_Var_Meth[ID_Methods]</f>
        <v>663</v>
      </c>
      <c r="B220">
        <f ca="1">dict_zul_Var_Meth[ID_Variables]</f>
        <v>58</v>
      </c>
      <c r="C2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0" t="str">
        <f ca="1">IF(dict_zuord_Meth_Pos[[#This Row],[kval_active]],dict_zuord_Meth_Pos[[#This Row],[ID_Positions]],"")</f>
        <v/>
      </c>
    </row>
    <row r="221" spans="1:4" x14ac:dyDescent="0.45">
      <c r="A221">
        <f ca="1">dict_zul_Var_Meth[ID_Methods]</f>
        <v>101</v>
      </c>
      <c r="B221">
        <f ca="1">dict_zul_Var_Meth[ID_Variables]</f>
        <v>59</v>
      </c>
      <c r="C2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1" t="str">
        <f ca="1">IF(dict_zuord_Meth_Pos[[#This Row],[kval_active]],dict_zuord_Meth_Pos[[#This Row],[ID_Positions]],"")</f>
        <v/>
      </c>
    </row>
    <row r="222" spans="1:4" x14ac:dyDescent="0.45">
      <c r="A222">
        <f ca="1">dict_zul_Var_Meth[ID_Methods]</f>
        <v>185</v>
      </c>
      <c r="B222">
        <f ca="1">dict_zul_Var_Meth[ID_Variables]</f>
        <v>59</v>
      </c>
      <c r="C2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2" t="str">
        <f ca="1">IF(dict_zuord_Meth_Pos[[#This Row],[kval_active]],dict_zuord_Meth_Pos[[#This Row],[ID_Positions]],"")</f>
        <v/>
      </c>
    </row>
    <row r="223" spans="1:4" x14ac:dyDescent="0.45">
      <c r="A223">
        <f ca="1">dict_zul_Var_Meth[ID_Methods]</f>
        <v>206</v>
      </c>
      <c r="B223">
        <f ca="1">dict_zul_Var_Meth[ID_Variables]</f>
        <v>59</v>
      </c>
      <c r="C2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3" t="str">
        <f ca="1">IF(dict_zuord_Meth_Pos[[#This Row],[kval_active]],dict_zuord_Meth_Pos[[#This Row],[ID_Positions]],"")</f>
        <v/>
      </c>
    </row>
    <row r="224" spans="1:4" x14ac:dyDescent="0.45">
      <c r="A224">
        <f ca="1">dict_zul_Var_Meth[ID_Methods]</f>
        <v>368</v>
      </c>
      <c r="B224">
        <f ca="1">dict_zul_Var_Meth[ID_Variables]</f>
        <v>59</v>
      </c>
      <c r="C2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4" t="str">
        <f ca="1">IF(dict_zuord_Meth_Pos[[#This Row],[kval_active]],dict_zuord_Meth_Pos[[#This Row],[ID_Positions]],"")</f>
        <v/>
      </c>
    </row>
    <row r="225" spans="1:4" x14ac:dyDescent="0.45">
      <c r="A225">
        <f ca="1">dict_zul_Var_Meth[ID_Methods]</f>
        <v>381</v>
      </c>
      <c r="B225">
        <f ca="1">dict_zul_Var_Meth[ID_Variables]</f>
        <v>59</v>
      </c>
      <c r="C2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5" t="str">
        <f ca="1">IF(dict_zuord_Meth_Pos[[#This Row],[kval_active]],dict_zuord_Meth_Pos[[#This Row],[ID_Positions]],"")</f>
        <v/>
      </c>
    </row>
    <row r="226" spans="1:4" x14ac:dyDescent="0.45">
      <c r="A226">
        <f ca="1">dict_zul_Var_Meth[ID_Methods]</f>
        <v>678</v>
      </c>
      <c r="B226">
        <f ca="1">dict_zul_Var_Meth[ID_Variables]</f>
        <v>59</v>
      </c>
      <c r="C2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6" t="str">
        <f ca="1">IF(dict_zuord_Meth_Pos[[#This Row],[kval_active]],dict_zuord_Meth_Pos[[#This Row],[ID_Positions]],"")</f>
        <v/>
      </c>
    </row>
    <row r="227" spans="1:4" x14ac:dyDescent="0.45">
      <c r="A227">
        <f ca="1">dict_zul_Var_Meth[ID_Methods]</f>
        <v>11</v>
      </c>
      <c r="B227">
        <f ca="1">dict_zul_Var_Meth[ID_Variables]</f>
        <v>60</v>
      </c>
      <c r="C2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7" t="str">
        <f ca="1">IF(dict_zuord_Meth_Pos[[#This Row],[kval_active]],dict_zuord_Meth_Pos[[#This Row],[ID_Positions]],"")</f>
        <v/>
      </c>
    </row>
    <row r="228" spans="1:4" x14ac:dyDescent="0.45">
      <c r="A228">
        <f ca="1">dict_zul_Var_Meth[ID_Methods]</f>
        <v>553</v>
      </c>
      <c r="B228">
        <f ca="1">dict_zul_Var_Meth[ID_Variables]</f>
        <v>60</v>
      </c>
      <c r="C2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8" t="str">
        <f ca="1">IF(dict_zuord_Meth_Pos[[#This Row],[kval_active]],dict_zuord_Meth_Pos[[#This Row],[ID_Positions]],"")</f>
        <v/>
      </c>
    </row>
    <row r="229" spans="1:4" x14ac:dyDescent="0.45">
      <c r="A229">
        <f ca="1">dict_zul_Var_Meth[ID_Methods]</f>
        <v>0</v>
      </c>
      <c r="B229">
        <f ca="1">dict_zul_Var_Meth[ID_Variables]</f>
        <v>61</v>
      </c>
      <c r="C2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9" t="str">
        <f ca="1">IF(dict_zuord_Meth_Pos[[#This Row],[kval_active]],dict_zuord_Meth_Pos[[#This Row],[ID_Positions]],"")</f>
        <v/>
      </c>
    </row>
    <row r="230" spans="1:4" x14ac:dyDescent="0.45">
      <c r="A230">
        <f ca="1">dict_zul_Var_Meth[ID_Methods]</f>
        <v>274</v>
      </c>
      <c r="B230">
        <f ca="1">dict_zul_Var_Meth[ID_Variables]</f>
        <v>61</v>
      </c>
      <c r="C2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0" t="str">
        <f ca="1">IF(dict_zuord_Meth_Pos[[#This Row],[kval_active]],dict_zuord_Meth_Pos[[#This Row],[ID_Positions]],"")</f>
        <v/>
      </c>
    </row>
    <row r="231" spans="1:4" x14ac:dyDescent="0.45">
      <c r="A231">
        <f ca="1">dict_zul_Var_Meth[ID_Methods]</f>
        <v>626</v>
      </c>
      <c r="B231">
        <f ca="1">dict_zul_Var_Meth[ID_Variables]</f>
        <v>61</v>
      </c>
      <c r="C2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1" t="str">
        <f ca="1">IF(dict_zuord_Meth_Pos[[#This Row],[kval_active]],dict_zuord_Meth_Pos[[#This Row],[ID_Positions]],"")</f>
        <v/>
      </c>
    </row>
    <row r="232" spans="1:4" x14ac:dyDescent="0.45">
      <c r="A232">
        <f ca="1">dict_zul_Var_Meth[ID_Methods]</f>
        <v>61</v>
      </c>
      <c r="B232">
        <f ca="1">dict_zul_Var_Meth[ID_Variables]</f>
        <v>62</v>
      </c>
      <c r="C2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2" t="str">
        <f ca="1">IF(dict_zuord_Meth_Pos[[#This Row],[kval_active]],dict_zuord_Meth_Pos[[#This Row],[ID_Positions]],"")</f>
        <v/>
      </c>
    </row>
    <row r="233" spans="1:4" x14ac:dyDescent="0.45">
      <c r="A233">
        <f ca="1">dict_zul_Var_Meth[ID_Methods]</f>
        <v>294</v>
      </c>
      <c r="B233">
        <f ca="1">dict_zul_Var_Meth[ID_Variables]</f>
        <v>62</v>
      </c>
      <c r="C2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3" t="str">
        <f ca="1">IF(dict_zuord_Meth_Pos[[#This Row],[kval_active]],dict_zuord_Meth_Pos[[#This Row],[ID_Positions]],"")</f>
        <v/>
      </c>
    </row>
    <row r="234" spans="1:4" x14ac:dyDescent="0.45">
      <c r="A234">
        <f ca="1">dict_zul_Var_Meth[ID_Methods]</f>
        <v>425</v>
      </c>
      <c r="B234">
        <f ca="1">dict_zul_Var_Meth[ID_Variables]</f>
        <v>62</v>
      </c>
      <c r="C2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4" t="str">
        <f ca="1">IF(dict_zuord_Meth_Pos[[#This Row],[kval_active]],dict_zuord_Meth_Pos[[#This Row],[ID_Positions]],"")</f>
        <v/>
      </c>
    </row>
    <row r="235" spans="1:4" x14ac:dyDescent="0.45">
      <c r="A235">
        <f ca="1">dict_zul_Var_Meth[ID_Methods]</f>
        <v>455</v>
      </c>
      <c r="B235">
        <f ca="1">dict_zul_Var_Meth[ID_Variables]</f>
        <v>62</v>
      </c>
      <c r="C2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5" t="str">
        <f ca="1">IF(dict_zuord_Meth_Pos[[#This Row],[kval_active]],dict_zuord_Meth_Pos[[#This Row],[ID_Positions]],"")</f>
        <v/>
      </c>
    </row>
    <row r="236" spans="1:4" x14ac:dyDescent="0.45">
      <c r="A236">
        <f ca="1">dict_zul_Var_Meth[ID_Methods]</f>
        <v>601</v>
      </c>
      <c r="B236">
        <f ca="1">dict_zul_Var_Meth[ID_Variables]</f>
        <v>62</v>
      </c>
      <c r="C2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6" t="str">
        <f ca="1">IF(dict_zuord_Meth_Pos[[#This Row],[kval_active]],dict_zuord_Meth_Pos[[#This Row],[ID_Positions]],"")</f>
        <v/>
      </c>
    </row>
    <row r="237" spans="1:4" x14ac:dyDescent="0.45">
      <c r="A237">
        <f ca="1">dict_zul_Var_Meth[ID_Methods]</f>
        <v>73</v>
      </c>
      <c r="B237">
        <f ca="1">dict_zul_Var_Meth[ID_Variables]</f>
        <v>63</v>
      </c>
      <c r="C2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7" t="str">
        <f ca="1">IF(dict_zuord_Meth_Pos[[#This Row],[kval_active]],dict_zuord_Meth_Pos[[#This Row],[ID_Positions]],"")</f>
        <v/>
      </c>
    </row>
    <row r="238" spans="1:4" x14ac:dyDescent="0.45">
      <c r="A238">
        <f ca="1">dict_zul_Var_Meth[ID_Methods]</f>
        <v>262</v>
      </c>
      <c r="B238">
        <f ca="1">dict_zul_Var_Meth[ID_Variables]</f>
        <v>63</v>
      </c>
      <c r="C2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8" t="str">
        <f ca="1">IF(dict_zuord_Meth_Pos[[#This Row],[kval_active]],dict_zuord_Meth_Pos[[#This Row],[ID_Positions]],"")</f>
        <v/>
      </c>
    </row>
    <row r="239" spans="1:4" x14ac:dyDescent="0.45">
      <c r="A239">
        <f ca="1">dict_zul_Var_Meth[ID_Methods]</f>
        <v>566</v>
      </c>
      <c r="B239">
        <f ca="1">dict_zul_Var_Meth[ID_Variables]</f>
        <v>63</v>
      </c>
      <c r="C2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9" t="str">
        <f ca="1">IF(dict_zuord_Meth_Pos[[#This Row],[kval_active]],dict_zuord_Meth_Pos[[#This Row],[ID_Positions]],"")</f>
        <v/>
      </c>
    </row>
    <row r="240" spans="1:4" x14ac:dyDescent="0.45">
      <c r="A240">
        <f ca="1">dict_zul_Var_Meth[ID_Methods]</f>
        <v>648</v>
      </c>
      <c r="B240">
        <f ca="1">dict_zul_Var_Meth[ID_Variables]</f>
        <v>63</v>
      </c>
      <c r="C2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0" t="str">
        <f ca="1">IF(dict_zuord_Meth_Pos[[#This Row],[kval_active]],dict_zuord_Meth_Pos[[#This Row],[ID_Positions]],"")</f>
        <v/>
      </c>
    </row>
    <row r="241" spans="1:4" x14ac:dyDescent="0.45">
      <c r="A241">
        <f ca="1">dict_zul_Var_Meth[ID_Methods]</f>
        <v>110</v>
      </c>
      <c r="B241">
        <f ca="1">dict_zul_Var_Meth[ID_Variables]</f>
        <v>64</v>
      </c>
      <c r="C2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1" t="str">
        <f ca="1">IF(dict_zuord_Meth_Pos[[#This Row],[kval_active]],dict_zuord_Meth_Pos[[#This Row],[ID_Positions]],"")</f>
        <v/>
      </c>
    </row>
    <row r="242" spans="1:4" x14ac:dyDescent="0.45">
      <c r="A242">
        <f ca="1">dict_zul_Var_Meth[ID_Methods]</f>
        <v>174</v>
      </c>
      <c r="B242">
        <f ca="1">dict_zul_Var_Meth[ID_Variables]</f>
        <v>64</v>
      </c>
      <c r="C2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2" t="str">
        <f ca="1">IF(dict_zuord_Meth_Pos[[#This Row],[kval_active]],dict_zuord_Meth_Pos[[#This Row],[ID_Positions]],"")</f>
        <v/>
      </c>
    </row>
    <row r="243" spans="1:4" x14ac:dyDescent="0.45">
      <c r="A243">
        <f ca="1">dict_zul_Var_Meth[ID_Methods]</f>
        <v>226</v>
      </c>
      <c r="B243">
        <f ca="1">dict_zul_Var_Meth[ID_Variables]</f>
        <v>64</v>
      </c>
      <c r="C2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3" t="str">
        <f ca="1">IF(dict_zuord_Meth_Pos[[#This Row],[kval_active]],dict_zuord_Meth_Pos[[#This Row],[ID_Positions]],"")</f>
        <v/>
      </c>
    </row>
    <row r="244" spans="1:4" x14ac:dyDescent="0.45">
      <c r="A244">
        <f ca="1">dict_zul_Var_Meth[ID_Methods]</f>
        <v>332</v>
      </c>
      <c r="B244">
        <f ca="1">dict_zul_Var_Meth[ID_Variables]</f>
        <v>64</v>
      </c>
      <c r="C2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4" t="str">
        <f ca="1">IF(dict_zuord_Meth_Pos[[#This Row],[kval_active]],dict_zuord_Meth_Pos[[#This Row],[ID_Positions]],"")</f>
        <v/>
      </c>
    </row>
    <row r="245" spans="1:4" x14ac:dyDescent="0.45">
      <c r="A245">
        <f ca="1">dict_zul_Var_Meth[ID_Methods]</f>
        <v>649</v>
      </c>
      <c r="B245">
        <f ca="1">dict_zul_Var_Meth[ID_Variables]</f>
        <v>64</v>
      </c>
      <c r="C2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5" t="str">
        <f ca="1">IF(dict_zuord_Meth_Pos[[#This Row],[kval_active]],dict_zuord_Meth_Pos[[#This Row],[ID_Positions]],"")</f>
        <v/>
      </c>
    </row>
    <row r="246" spans="1:4" x14ac:dyDescent="0.45">
      <c r="A246">
        <f ca="1">dict_zul_Var_Meth[ID_Methods]</f>
        <v>164</v>
      </c>
      <c r="B246">
        <f ca="1">dict_zul_Var_Meth[ID_Variables]</f>
        <v>65</v>
      </c>
      <c r="C2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6" t="str">
        <f ca="1">IF(dict_zuord_Meth_Pos[[#This Row],[kval_active]],dict_zuord_Meth_Pos[[#This Row],[ID_Positions]],"")</f>
        <v/>
      </c>
    </row>
    <row r="247" spans="1:4" x14ac:dyDescent="0.45">
      <c r="A247">
        <f ca="1">dict_zul_Var_Meth[ID_Methods]</f>
        <v>235</v>
      </c>
      <c r="B247">
        <f ca="1">dict_zul_Var_Meth[ID_Variables]</f>
        <v>65</v>
      </c>
      <c r="C2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7" t="str">
        <f ca="1">IF(dict_zuord_Meth_Pos[[#This Row],[kval_active]],dict_zuord_Meth_Pos[[#This Row],[ID_Positions]],"")</f>
        <v/>
      </c>
    </row>
    <row r="248" spans="1:4" x14ac:dyDescent="0.45">
      <c r="A248">
        <f ca="1">dict_zul_Var_Meth[ID_Methods]</f>
        <v>520</v>
      </c>
      <c r="B248">
        <f ca="1">dict_zul_Var_Meth[ID_Variables]</f>
        <v>65</v>
      </c>
      <c r="C2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8" t="str">
        <f ca="1">IF(dict_zuord_Meth_Pos[[#This Row],[kval_active]],dict_zuord_Meth_Pos[[#This Row],[ID_Positions]],"")</f>
        <v/>
      </c>
    </row>
    <row r="249" spans="1:4" x14ac:dyDescent="0.45">
      <c r="A249">
        <f ca="1">dict_zul_Var_Meth[ID_Methods]</f>
        <v>62</v>
      </c>
      <c r="B249">
        <f ca="1">dict_zul_Var_Meth[ID_Variables]</f>
        <v>66</v>
      </c>
      <c r="C2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9" t="str">
        <f ca="1">IF(dict_zuord_Meth_Pos[[#This Row],[kval_active]],dict_zuord_Meth_Pos[[#This Row],[ID_Positions]],"")</f>
        <v/>
      </c>
    </row>
    <row r="250" spans="1:4" x14ac:dyDescent="0.45">
      <c r="A250">
        <f ca="1">dict_zul_Var_Meth[ID_Methods]</f>
        <v>190</v>
      </c>
      <c r="B250">
        <f ca="1">dict_zul_Var_Meth[ID_Variables]</f>
        <v>66</v>
      </c>
      <c r="C2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0" t="str">
        <f ca="1">IF(dict_zuord_Meth_Pos[[#This Row],[kval_active]],dict_zuord_Meth_Pos[[#This Row],[ID_Positions]],"")</f>
        <v/>
      </c>
    </row>
    <row r="251" spans="1:4" x14ac:dyDescent="0.45">
      <c r="A251">
        <f ca="1">dict_zul_Var_Meth[ID_Methods]</f>
        <v>209</v>
      </c>
      <c r="B251">
        <f ca="1">dict_zul_Var_Meth[ID_Variables]</f>
        <v>66</v>
      </c>
      <c r="C2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1" t="str">
        <f ca="1">IF(dict_zuord_Meth_Pos[[#This Row],[kval_active]],dict_zuord_Meth_Pos[[#This Row],[ID_Positions]],"")</f>
        <v/>
      </c>
    </row>
    <row r="252" spans="1:4" x14ac:dyDescent="0.45">
      <c r="A252">
        <f ca="1">dict_zul_Var_Meth[ID_Methods]</f>
        <v>596</v>
      </c>
      <c r="B252">
        <f ca="1">dict_zul_Var_Meth[ID_Variables]</f>
        <v>66</v>
      </c>
      <c r="C2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2" t="str">
        <f ca="1">IF(dict_zuord_Meth_Pos[[#This Row],[kval_active]],dict_zuord_Meth_Pos[[#This Row],[ID_Positions]],"")</f>
        <v/>
      </c>
    </row>
    <row r="253" spans="1:4" x14ac:dyDescent="0.45">
      <c r="A253">
        <f ca="1">dict_zul_Var_Meth[ID_Methods]</f>
        <v>14</v>
      </c>
      <c r="B253">
        <f ca="1">dict_zul_Var_Meth[ID_Variables]</f>
        <v>67</v>
      </c>
      <c r="C2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3" t="str">
        <f ca="1">IF(dict_zuord_Meth_Pos[[#This Row],[kval_active]],dict_zuord_Meth_Pos[[#This Row],[ID_Positions]],"")</f>
        <v/>
      </c>
    </row>
    <row r="254" spans="1:4" x14ac:dyDescent="0.45">
      <c r="A254">
        <f ca="1">dict_zul_Var_Meth[ID_Methods]</f>
        <v>604</v>
      </c>
      <c r="B254">
        <f ca="1">dict_zul_Var_Meth[ID_Variables]</f>
        <v>67</v>
      </c>
      <c r="C2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4" t="str">
        <f ca="1">IF(dict_zuord_Meth_Pos[[#This Row],[kval_active]],dict_zuord_Meth_Pos[[#This Row],[ID_Positions]],"")</f>
        <v/>
      </c>
    </row>
    <row r="255" spans="1:4" x14ac:dyDescent="0.45">
      <c r="A255">
        <f ca="1">dict_zul_Var_Meth[ID_Methods]</f>
        <v>676</v>
      </c>
      <c r="B255">
        <f ca="1">dict_zul_Var_Meth[ID_Variables]</f>
        <v>67</v>
      </c>
      <c r="C2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5" t="str">
        <f ca="1">IF(dict_zuord_Meth_Pos[[#This Row],[kval_active]],dict_zuord_Meth_Pos[[#This Row],[ID_Positions]],"")</f>
        <v/>
      </c>
    </row>
    <row r="256" spans="1:4" x14ac:dyDescent="0.45">
      <c r="A256">
        <f ca="1">dict_zul_Var_Meth[ID_Methods]</f>
        <v>6</v>
      </c>
      <c r="B256">
        <f ca="1">dict_zul_Var_Meth[ID_Variables]</f>
        <v>68</v>
      </c>
      <c r="C2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6" t="str">
        <f ca="1">IF(dict_zuord_Meth_Pos[[#This Row],[kval_active]],dict_zuord_Meth_Pos[[#This Row],[ID_Positions]],"")</f>
        <v/>
      </c>
    </row>
    <row r="257" spans="1:4" x14ac:dyDescent="0.45">
      <c r="A257">
        <f ca="1">dict_zul_Var_Meth[ID_Methods]</f>
        <v>70</v>
      </c>
      <c r="B257">
        <f ca="1">dict_zul_Var_Meth[ID_Variables]</f>
        <v>68</v>
      </c>
      <c r="C2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7" t="str">
        <f ca="1">IF(dict_zuord_Meth_Pos[[#This Row],[kval_active]],dict_zuord_Meth_Pos[[#This Row],[ID_Positions]],"")</f>
        <v/>
      </c>
    </row>
    <row r="258" spans="1:4" x14ac:dyDescent="0.45">
      <c r="A258">
        <f ca="1">dict_zul_Var_Meth[ID_Methods]</f>
        <v>439</v>
      </c>
      <c r="B258">
        <f ca="1">dict_zul_Var_Meth[ID_Variables]</f>
        <v>68</v>
      </c>
      <c r="C2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8" t="str">
        <f ca="1">IF(dict_zuord_Meth_Pos[[#This Row],[kval_active]],dict_zuord_Meth_Pos[[#This Row],[ID_Positions]],"")</f>
        <v/>
      </c>
    </row>
    <row r="259" spans="1:4" x14ac:dyDescent="0.45">
      <c r="A259">
        <f ca="1">dict_zul_Var_Meth[ID_Methods]</f>
        <v>108</v>
      </c>
      <c r="B259">
        <f ca="1">dict_zul_Var_Meth[ID_Variables]</f>
        <v>69</v>
      </c>
      <c r="C2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9" t="str">
        <f ca="1">IF(dict_zuord_Meth_Pos[[#This Row],[kval_active]],dict_zuord_Meth_Pos[[#This Row],[ID_Positions]],"")</f>
        <v/>
      </c>
    </row>
    <row r="260" spans="1:4" x14ac:dyDescent="0.45">
      <c r="A260">
        <f ca="1">dict_zul_Var_Meth[ID_Methods]</f>
        <v>137</v>
      </c>
      <c r="B260">
        <f ca="1">dict_zul_Var_Meth[ID_Variables]</f>
        <v>69</v>
      </c>
      <c r="C2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0" t="str">
        <f ca="1">IF(dict_zuord_Meth_Pos[[#This Row],[kval_active]],dict_zuord_Meth_Pos[[#This Row],[ID_Positions]],"")</f>
        <v/>
      </c>
    </row>
    <row r="261" spans="1:4" x14ac:dyDescent="0.45">
      <c r="A261">
        <f ca="1">dict_zul_Var_Meth[ID_Methods]</f>
        <v>167</v>
      </c>
      <c r="B261">
        <f ca="1">dict_zul_Var_Meth[ID_Variables]</f>
        <v>69</v>
      </c>
      <c r="C2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1" t="str">
        <f ca="1">IF(dict_zuord_Meth_Pos[[#This Row],[kval_active]],dict_zuord_Meth_Pos[[#This Row],[ID_Positions]],"")</f>
        <v/>
      </c>
    </row>
    <row r="262" spans="1:4" x14ac:dyDescent="0.45">
      <c r="A262">
        <f ca="1">dict_zul_Var_Meth[ID_Methods]</f>
        <v>7</v>
      </c>
      <c r="B262">
        <f ca="1">dict_zul_Var_Meth[ID_Variables]</f>
        <v>70</v>
      </c>
      <c r="C2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2" t="str">
        <f ca="1">IF(dict_zuord_Meth_Pos[[#This Row],[kval_active]],dict_zuord_Meth_Pos[[#This Row],[ID_Positions]],"")</f>
        <v/>
      </c>
    </row>
    <row r="263" spans="1:4" x14ac:dyDescent="0.45">
      <c r="A263">
        <f ca="1">dict_zul_Var_Meth[ID_Methods]</f>
        <v>56</v>
      </c>
      <c r="B263">
        <f ca="1">dict_zul_Var_Meth[ID_Variables]</f>
        <v>70</v>
      </c>
      <c r="C2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3" t="str">
        <f ca="1">IF(dict_zuord_Meth_Pos[[#This Row],[kval_active]],dict_zuord_Meth_Pos[[#This Row],[ID_Positions]],"")</f>
        <v/>
      </c>
    </row>
    <row r="264" spans="1:4" x14ac:dyDescent="0.45">
      <c r="A264">
        <f ca="1">dict_zul_Var_Meth[ID_Methods]</f>
        <v>96</v>
      </c>
      <c r="B264">
        <f ca="1">dict_zul_Var_Meth[ID_Variables]</f>
        <v>70</v>
      </c>
      <c r="C2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4" t="str">
        <f ca="1">IF(dict_zuord_Meth_Pos[[#This Row],[kval_active]],dict_zuord_Meth_Pos[[#This Row],[ID_Positions]],"")</f>
        <v/>
      </c>
    </row>
    <row r="265" spans="1:4" x14ac:dyDescent="0.45">
      <c r="A265">
        <f ca="1">dict_zul_Var_Meth[ID_Methods]</f>
        <v>98</v>
      </c>
      <c r="B265">
        <f ca="1">dict_zul_Var_Meth[ID_Variables]</f>
        <v>70</v>
      </c>
      <c r="C2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5" t="str">
        <f ca="1">IF(dict_zuord_Meth_Pos[[#This Row],[kval_active]],dict_zuord_Meth_Pos[[#This Row],[ID_Positions]],"")</f>
        <v/>
      </c>
    </row>
    <row r="266" spans="1:4" x14ac:dyDescent="0.45">
      <c r="A266">
        <f ca="1">dict_zul_Var_Meth[ID_Methods]</f>
        <v>412</v>
      </c>
      <c r="B266">
        <f ca="1">dict_zul_Var_Meth[ID_Variables]</f>
        <v>70</v>
      </c>
      <c r="C2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6" t="str">
        <f ca="1">IF(dict_zuord_Meth_Pos[[#This Row],[kval_active]],dict_zuord_Meth_Pos[[#This Row],[ID_Positions]],"")</f>
        <v/>
      </c>
    </row>
    <row r="267" spans="1:4" x14ac:dyDescent="0.45">
      <c r="A267">
        <f ca="1">dict_zul_Var_Meth[ID_Methods]</f>
        <v>448</v>
      </c>
      <c r="B267">
        <f ca="1">dict_zul_Var_Meth[ID_Variables]</f>
        <v>70</v>
      </c>
      <c r="C2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7" t="str">
        <f ca="1">IF(dict_zuord_Meth_Pos[[#This Row],[kval_active]],dict_zuord_Meth_Pos[[#This Row],[ID_Positions]],"")</f>
        <v/>
      </c>
    </row>
    <row r="268" spans="1:4" x14ac:dyDescent="0.45">
      <c r="A268">
        <f ca="1">dict_zul_Var_Meth[ID_Methods]</f>
        <v>267</v>
      </c>
      <c r="B268">
        <f ca="1">dict_zul_Var_Meth[ID_Variables]</f>
        <v>71</v>
      </c>
      <c r="C2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8" t="str">
        <f ca="1">IF(dict_zuord_Meth_Pos[[#This Row],[kval_active]],dict_zuord_Meth_Pos[[#This Row],[ID_Positions]],"")</f>
        <v/>
      </c>
    </row>
    <row r="269" spans="1:4" x14ac:dyDescent="0.45">
      <c r="A269">
        <f ca="1">dict_zul_Var_Meth[ID_Methods]</f>
        <v>452</v>
      </c>
      <c r="B269">
        <f ca="1">dict_zul_Var_Meth[ID_Variables]</f>
        <v>71</v>
      </c>
      <c r="C2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9" t="str">
        <f ca="1">IF(dict_zuord_Meth_Pos[[#This Row],[kval_active]],dict_zuord_Meth_Pos[[#This Row],[ID_Positions]],"")</f>
        <v/>
      </c>
    </row>
    <row r="270" spans="1:4" x14ac:dyDescent="0.45">
      <c r="A270">
        <f ca="1">dict_zul_Var_Meth[ID_Methods]</f>
        <v>481</v>
      </c>
      <c r="B270">
        <f ca="1">dict_zul_Var_Meth[ID_Variables]</f>
        <v>71</v>
      </c>
      <c r="C2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0" t="str">
        <f ca="1">IF(dict_zuord_Meth_Pos[[#This Row],[kval_active]],dict_zuord_Meth_Pos[[#This Row],[ID_Positions]],"")</f>
        <v/>
      </c>
    </row>
    <row r="271" spans="1:4" x14ac:dyDescent="0.45">
      <c r="A271">
        <f ca="1">dict_zul_Var_Meth[ID_Methods]</f>
        <v>216</v>
      </c>
      <c r="B271">
        <f ca="1">dict_zul_Var_Meth[ID_Variables]</f>
        <v>72</v>
      </c>
      <c r="C2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1" t="str">
        <f ca="1">IF(dict_zuord_Meth_Pos[[#This Row],[kval_active]],dict_zuord_Meth_Pos[[#This Row],[ID_Positions]],"")</f>
        <v/>
      </c>
    </row>
    <row r="272" spans="1:4" x14ac:dyDescent="0.45">
      <c r="A272">
        <f ca="1">dict_zul_Var_Meth[ID_Methods]</f>
        <v>393</v>
      </c>
      <c r="B272">
        <f ca="1">dict_zul_Var_Meth[ID_Variables]</f>
        <v>72</v>
      </c>
      <c r="C2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2" t="str">
        <f ca="1">IF(dict_zuord_Meth_Pos[[#This Row],[kval_active]],dict_zuord_Meth_Pos[[#This Row],[ID_Positions]],"")</f>
        <v/>
      </c>
    </row>
    <row r="273" spans="1:4" x14ac:dyDescent="0.45">
      <c r="A273">
        <f ca="1">dict_zul_Var_Meth[ID_Methods]</f>
        <v>599</v>
      </c>
      <c r="B273">
        <f ca="1">dict_zul_Var_Meth[ID_Variables]</f>
        <v>72</v>
      </c>
      <c r="C2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3" t="str">
        <f ca="1">IF(dict_zuord_Meth_Pos[[#This Row],[kval_active]],dict_zuord_Meth_Pos[[#This Row],[ID_Positions]],"")</f>
        <v/>
      </c>
    </row>
    <row r="274" spans="1:4" x14ac:dyDescent="0.45">
      <c r="A274">
        <f ca="1">dict_zul_Var_Meth[ID_Methods]</f>
        <v>23</v>
      </c>
      <c r="B274">
        <f ca="1">dict_zul_Var_Meth[ID_Variables]</f>
        <v>73</v>
      </c>
      <c r="C2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4" t="str">
        <f ca="1">IF(dict_zuord_Meth_Pos[[#This Row],[kval_active]],dict_zuord_Meth_Pos[[#This Row],[ID_Positions]],"")</f>
        <v/>
      </c>
    </row>
    <row r="275" spans="1:4" x14ac:dyDescent="0.45">
      <c r="A275">
        <f ca="1">dict_zul_Var_Meth[ID_Methods]</f>
        <v>321</v>
      </c>
      <c r="B275">
        <f ca="1">dict_zul_Var_Meth[ID_Variables]</f>
        <v>73</v>
      </c>
      <c r="C2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5" t="str">
        <f ca="1">IF(dict_zuord_Meth_Pos[[#This Row],[kval_active]],dict_zuord_Meth_Pos[[#This Row],[ID_Positions]],"")</f>
        <v/>
      </c>
    </row>
    <row r="276" spans="1:4" x14ac:dyDescent="0.45">
      <c r="A276">
        <f ca="1">dict_zul_Var_Meth[ID_Methods]</f>
        <v>325</v>
      </c>
      <c r="B276">
        <f ca="1">dict_zul_Var_Meth[ID_Variables]</f>
        <v>73</v>
      </c>
      <c r="C2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6" t="str">
        <f ca="1">IF(dict_zuord_Meth_Pos[[#This Row],[kval_active]],dict_zuord_Meth_Pos[[#This Row],[ID_Positions]],"")</f>
        <v/>
      </c>
    </row>
    <row r="277" spans="1:4" x14ac:dyDescent="0.45">
      <c r="A277">
        <f ca="1">dict_zul_Var_Meth[ID_Methods]</f>
        <v>567</v>
      </c>
      <c r="B277">
        <f ca="1">dict_zul_Var_Meth[ID_Variables]</f>
        <v>73</v>
      </c>
      <c r="C2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7" t="str">
        <f ca="1">IF(dict_zuord_Meth_Pos[[#This Row],[kval_active]],dict_zuord_Meth_Pos[[#This Row],[ID_Positions]],"")</f>
        <v/>
      </c>
    </row>
    <row r="278" spans="1:4" x14ac:dyDescent="0.45">
      <c r="A278">
        <f ca="1">dict_zul_Var_Meth[ID_Methods]</f>
        <v>654</v>
      </c>
      <c r="B278">
        <f ca="1">dict_zul_Var_Meth[ID_Variables]</f>
        <v>73</v>
      </c>
      <c r="C2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8" t="str">
        <f ca="1">IF(dict_zuord_Meth_Pos[[#This Row],[kval_active]],dict_zuord_Meth_Pos[[#This Row],[ID_Positions]],"")</f>
        <v/>
      </c>
    </row>
    <row r="279" spans="1:4" x14ac:dyDescent="0.45">
      <c r="A279">
        <f ca="1">dict_zul_Var_Meth[ID_Methods]</f>
        <v>18</v>
      </c>
      <c r="B279">
        <f ca="1">dict_zul_Var_Meth[ID_Variables]</f>
        <v>74</v>
      </c>
      <c r="C2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9" t="str">
        <f ca="1">IF(dict_zuord_Meth_Pos[[#This Row],[kval_active]],dict_zuord_Meth_Pos[[#This Row],[ID_Positions]],"")</f>
        <v/>
      </c>
    </row>
    <row r="280" spans="1:4" x14ac:dyDescent="0.45">
      <c r="A280">
        <f ca="1">dict_zul_Var_Meth[ID_Methods]</f>
        <v>396</v>
      </c>
      <c r="B280">
        <f ca="1">dict_zul_Var_Meth[ID_Variables]</f>
        <v>74</v>
      </c>
      <c r="C2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0" t="str">
        <f ca="1">IF(dict_zuord_Meth_Pos[[#This Row],[kval_active]],dict_zuord_Meth_Pos[[#This Row],[ID_Positions]],"")</f>
        <v/>
      </c>
    </row>
    <row r="281" spans="1:4" x14ac:dyDescent="0.45">
      <c r="A281">
        <f ca="1">dict_zul_Var_Meth[ID_Methods]</f>
        <v>613</v>
      </c>
      <c r="B281">
        <f ca="1">dict_zul_Var_Meth[ID_Variables]</f>
        <v>74</v>
      </c>
      <c r="C2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1" t="str">
        <f ca="1">IF(dict_zuord_Meth_Pos[[#This Row],[kval_active]],dict_zuord_Meth_Pos[[#This Row],[ID_Positions]],"")</f>
        <v/>
      </c>
    </row>
    <row r="282" spans="1:4" x14ac:dyDescent="0.45">
      <c r="A282">
        <f ca="1">dict_zul_Var_Meth[ID_Methods]</f>
        <v>45</v>
      </c>
      <c r="B282">
        <f ca="1">dict_zul_Var_Meth[ID_Variables]</f>
        <v>75</v>
      </c>
      <c r="C2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2" t="str">
        <f ca="1">IF(dict_zuord_Meth_Pos[[#This Row],[kval_active]],dict_zuord_Meth_Pos[[#This Row],[ID_Positions]],"")</f>
        <v/>
      </c>
    </row>
    <row r="283" spans="1:4" x14ac:dyDescent="0.45">
      <c r="A283">
        <f ca="1">dict_zul_Var_Meth[ID_Methods]</f>
        <v>133</v>
      </c>
      <c r="B283">
        <f ca="1">dict_zul_Var_Meth[ID_Variables]</f>
        <v>75</v>
      </c>
      <c r="C2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3" t="str">
        <f ca="1">IF(dict_zuord_Meth_Pos[[#This Row],[kval_active]],dict_zuord_Meth_Pos[[#This Row],[ID_Positions]],"")</f>
        <v/>
      </c>
    </row>
    <row r="284" spans="1:4" x14ac:dyDescent="0.45">
      <c r="A284">
        <f ca="1">dict_zul_Var_Meth[ID_Methods]</f>
        <v>222</v>
      </c>
      <c r="B284">
        <f ca="1">dict_zul_Var_Meth[ID_Variables]</f>
        <v>75</v>
      </c>
      <c r="C2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4" t="str">
        <f ca="1">IF(dict_zuord_Meth_Pos[[#This Row],[kval_active]],dict_zuord_Meth_Pos[[#This Row],[ID_Positions]],"")</f>
        <v/>
      </c>
    </row>
    <row r="285" spans="1:4" x14ac:dyDescent="0.45">
      <c r="A285">
        <f ca="1">dict_zul_Var_Meth[ID_Methods]</f>
        <v>698</v>
      </c>
      <c r="B285">
        <f ca="1">dict_zul_Var_Meth[ID_Variables]</f>
        <v>75</v>
      </c>
      <c r="C2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5" t="str">
        <f ca="1">IF(dict_zuord_Meth_Pos[[#This Row],[kval_active]],dict_zuord_Meth_Pos[[#This Row],[ID_Positions]],"")</f>
        <v/>
      </c>
    </row>
    <row r="286" spans="1:4" x14ac:dyDescent="0.45">
      <c r="A286">
        <f ca="1">dict_zul_Var_Meth[ID_Methods]</f>
        <v>227</v>
      </c>
      <c r="B286">
        <f ca="1">dict_zul_Var_Meth[ID_Variables]</f>
        <v>76</v>
      </c>
      <c r="C2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6" t="str">
        <f ca="1">IF(dict_zuord_Meth_Pos[[#This Row],[kval_active]],dict_zuord_Meth_Pos[[#This Row],[ID_Positions]],"")</f>
        <v/>
      </c>
    </row>
    <row r="287" spans="1:4" x14ac:dyDescent="0.45">
      <c r="A287">
        <f ca="1">dict_zul_Var_Meth[ID_Methods]</f>
        <v>309</v>
      </c>
      <c r="B287">
        <f ca="1">dict_zul_Var_Meth[ID_Variables]</f>
        <v>76</v>
      </c>
      <c r="C2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7" t="str">
        <f ca="1">IF(dict_zuord_Meth_Pos[[#This Row],[kval_active]],dict_zuord_Meth_Pos[[#This Row],[ID_Positions]],"")</f>
        <v/>
      </c>
    </row>
    <row r="288" spans="1:4" x14ac:dyDescent="0.45">
      <c r="A288">
        <f ca="1">dict_zul_Var_Meth[ID_Methods]</f>
        <v>367</v>
      </c>
      <c r="B288">
        <f ca="1">dict_zul_Var_Meth[ID_Variables]</f>
        <v>76</v>
      </c>
      <c r="C2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8" t="str">
        <f ca="1">IF(dict_zuord_Meth_Pos[[#This Row],[kval_active]],dict_zuord_Meth_Pos[[#This Row],[ID_Positions]],"")</f>
        <v/>
      </c>
    </row>
    <row r="289" spans="1:4" x14ac:dyDescent="0.45">
      <c r="A289">
        <f ca="1">dict_zul_Var_Meth[ID_Methods]</f>
        <v>535</v>
      </c>
      <c r="B289">
        <f ca="1">dict_zul_Var_Meth[ID_Variables]</f>
        <v>76</v>
      </c>
      <c r="C2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9" t="str">
        <f ca="1">IF(dict_zuord_Meth_Pos[[#This Row],[kval_active]],dict_zuord_Meth_Pos[[#This Row],[ID_Positions]],"")</f>
        <v/>
      </c>
    </row>
    <row r="290" spans="1:4" x14ac:dyDescent="0.45">
      <c r="A290">
        <f ca="1">dict_zul_Var_Meth[ID_Methods]</f>
        <v>30</v>
      </c>
      <c r="B290">
        <f ca="1">dict_zul_Var_Meth[ID_Variables]</f>
        <v>77</v>
      </c>
      <c r="C2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0" t="str">
        <f ca="1">IF(dict_zuord_Meth_Pos[[#This Row],[kval_active]],dict_zuord_Meth_Pos[[#This Row],[ID_Positions]],"")</f>
        <v/>
      </c>
    </row>
    <row r="291" spans="1:4" x14ac:dyDescent="0.45">
      <c r="A291">
        <f ca="1">dict_zul_Var_Meth[ID_Methods]</f>
        <v>80</v>
      </c>
      <c r="B291">
        <f ca="1">dict_zul_Var_Meth[ID_Variables]</f>
        <v>77</v>
      </c>
      <c r="C2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1" t="str">
        <f ca="1">IF(dict_zuord_Meth_Pos[[#This Row],[kval_active]],dict_zuord_Meth_Pos[[#This Row],[ID_Positions]],"")</f>
        <v/>
      </c>
    </row>
    <row r="292" spans="1:4" x14ac:dyDescent="0.45">
      <c r="A292">
        <f ca="1">dict_zul_Var_Meth[ID_Methods]</f>
        <v>15</v>
      </c>
      <c r="B292">
        <f ca="1">dict_zul_Var_Meth[ID_Variables]</f>
        <v>78</v>
      </c>
      <c r="C2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2" t="str">
        <f ca="1">IF(dict_zuord_Meth_Pos[[#This Row],[kval_active]],dict_zuord_Meth_Pos[[#This Row],[ID_Positions]],"")</f>
        <v/>
      </c>
    </row>
    <row r="293" spans="1:4" x14ac:dyDescent="0.45">
      <c r="A293">
        <f ca="1">dict_zul_Var_Meth[ID_Methods]</f>
        <v>59</v>
      </c>
      <c r="B293">
        <f ca="1">dict_zul_Var_Meth[ID_Variables]</f>
        <v>78</v>
      </c>
      <c r="C2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3" t="str">
        <f ca="1">IF(dict_zuord_Meth_Pos[[#This Row],[kval_active]],dict_zuord_Meth_Pos[[#This Row],[ID_Positions]],"")</f>
        <v/>
      </c>
    </row>
    <row r="294" spans="1:4" x14ac:dyDescent="0.45">
      <c r="A294">
        <f ca="1">dict_zul_Var_Meth[ID_Methods]</f>
        <v>168</v>
      </c>
      <c r="B294">
        <f ca="1">dict_zul_Var_Meth[ID_Variables]</f>
        <v>78</v>
      </c>
      <c r="C2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4" t="str">
        <f ca="1">IF(dict_zuord_Meth_Pos[[#This Row],[kval_active]],dict_zuord_Meth_Pos[[#This Row],[ID_Positions]],"")</f>
        <v/>
      </c>
    </row>
    <row r="295" spans="1:4" x14ac:dyDescent="0.45">
      <c r="A295">
        <f ca="1">dict_zul_Var_Meth[ID_Methods]</f>
        <v>324</v>
      </c>
      <c r="B295">
        <f ca="1">dict_zul_Var_Meth[ID_Variables]</f>
        <v>78</v>
      </c>
      <c r="C2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5" t="str">
        <f ca="1">IF(dict_zuord_Meth_Pos[[#This Row],[kval_active]],dict_zuord_Meth_Pos[[#This Row],[ID_Positions]],"")</f>
        <v/>
      </c>
    </row>
    <row r="296" spans="1:4" x14ac:dyDescent="0.45">
      <c r="A296">
        <f ca="1">dict_zul_Var_Meth[ID_Methods]</f>
        <v>72</v>
      </c>
      <c r="B296">
        <f ca="1">dict_zul_Var_Meth[ID_Variables]</f>
        <v>79</v>
      </c>
      <c r="C2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6" t="str">
        <f ca="1">IF(dict_zuord_Meth_Pos[[#This Row],[kval_active]],dict_zuord_Meth_Pos[[#This Row],[ID_Positions]],"")</f>
        <v/>
      </c>
    </row>
    <row r="297" spans="1:4" x14ac:dyDescent="0.45">
      <c r="A297">
        <f ca="1">dict_zul_Var_Meth[ID_Methods]</f>
        <v>240</v>
      </c>
      <c r="B297">
        <f ca="1">dict_zul_Var_Meth[ID_Variables]</f>
        <v>79</v>
      </c>
      <c r="C2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7" t="str">
        <f ca="1">IF(dict_zuord_Meth_Pos[[#This Row],[kval_active]],dict_zuord_Meth_Pos[[#This Row],[ID_Positions]],"")</f>
        <v/>
      </c>
    </row>
    <row r="298" spans="1:4" x14ac:dyDescent="0.45">
      <c r="A298">
        <f ca="1">dict_zul_Var_Meth[ID_Methods]</f>
        <v>254</v>
      </c>
      <c r="B298">
        <f ca="1">dict_zul_Var_Meth[ID_Variables]</f>
        <v>79</v>
      </c>
      <c r="C2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8" t="str">
        <f ca="1">IF(dict_zuord_Meth_Pos[[#This Row],[kval_active]],dict_zuord_Meth_Pos[[#This Row],[ID_Positions]],"")</f>
        <v/>
      </c>
    </row>
    <row r="299" spans="1:4" x14ac:dyDescent="0.45">
      <c r="A299">
        <f ca="1">dict_zul_Var_Meth[ID_Methods]</f>
        <v>334</v>
      </c>
      <c r="B299">
        <f ca="1">dict_zul_Var_Meth[ID_Variables]</f>
        <v>79</v>
      </c>
      <c r="C2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9" t="str">
        <f ca="1">IF(dict_zuord_Meth_Pos[[#This Row],[kval_active]],dict_zuord_Meth_Pos[[#This Row],[ID_Positions]],"")</f>
        <v/>
      </c>
    </row>
    <row r="300" spans="1:4" x14ac:dyDescent="0.45">
      <c r="A300">
        <f ca="1">dict_zul_Var_Meth[ID_Methods]</f>
        <v>519</v>
      </c>
      <c r="B300">
        <f ca="1">dict_zul_Var_Meth[ID_Variables]</f>
        <v>79</v>
      </c>
      <c r="C3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0" t="str">
        <f ca="1">IF(dict_zuord_Meth_Pos[[#This Row],[kval_active]],dict_zuord_Meth_Pos[[#This Row],[ID_Positions]],"")</f>
        <v/>
      </c>
    </row>
    <row r="301" spans="1:4" x14ac:dyDescent="0.45">
      <c r="A301">
        <f ca="1">dict_zul_Var_Meth[ID_Methods]</f>
        <v>5</v>
      </c>
      <c r="B301">
        <f ca="1">dict_zul_Var_Meth[ID_Variables]</f>
        <v>80</v>
      </c>
      <c r="C3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1" t="str">
        <f ca="1">IF(dict_zuord_Meth_Pos[[#This Row],[kval_active]],dict_zuord_Meth_Pos[[#This Row],[ID_Positions]],"")</f>
        <v/>
      </c>
    </row>
    <row r="302" spans="1:4" x14ac:dyDescent="0.45">
      <c r="A302">
        <f ca="1">dict_zul_Var_Meth[ID_Methods]</f>
        <v>259</v>
      </c>
      <c r="B302">
        <f ca="1">dict_zul_Var_Meth[ID_Variables]</f>
        <v>80</v>
      </c>
      <c r="C3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2" t="str">
        <f ca="1">IF(dict_zuord_Meth_Pos[[#This Row],[kval_active]],dict_zuord_Meth_Pos[[#This Row],[ID_Positions]],"")</f>
        <v/>
      </c>
    </row>
    <row r="303" spans="1:4" x14ac:dyDescent="0.45">
      <c r="A303">
        <f ca="1">dict_zul_Var_Meth[ID_Methods]</f>
        <v>500</v>
      </c>
      <c r="B303">
        <f ca="1">dict_zul_Var_Meth[ID_Variables]</f>
        <v>80</v>
      </c>
      <c r="C3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3" t="str">
        <f ca="1">IF(dict_zuord_Meth_Pos[[#This Row],[kval_active]],dict_zuord_Meth_Pos[[#This Row],[ID_Positions]],"")</f>
        <v/>
      </c>
    </row>
    <row r="304" spans="1:4" x14ac:dyDescent="0.45">
      <c r="A304">
        <f ca="1">dict_zul_Var_Meth[ID_Methods]</f>
        <v>1</v>
      </c>
      <c r="B304">
        <f ca="1">dict_zul_Var_Meth[ID_Variables]</f>
        <v>81</v>
      </c>
      <c r="C3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4" t="str">
        <f ca="1">IF(dict_zuord_Meth_Pos[[#This Row],[kval_active]],dict_zuord_Meth_Pos[[#This Row],[ID_Positions]],"")</f>
        <v/>
      </c>
    </row>
    <row r="305" spans="1:4" x14ac:dyDescent="0.45">
      <c r="A305">
        <f ca="1">dict_zul_Var_Meth[ID_Methods]</f>
        <v>50</v>
      </c>
      <c r="B305">
        <f ca="1">dict_zul_Var_Meth[ID_Variables]</f>
        <v>81</v>
      </c>
      <c r="C3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5">
        <f ca="1">IF(dict_zuord_Meth_Pos[[#This Row],[kval_active]],dict_zuord_Meth_Pos[[#This Row],[ID_Positions]],"")</f>
        <v>81</v>
      </c>
    </row>
    <row r="306" spans="1:4" x14ac:dyDescent="0.45">
      <c r="A306">
        <f ca="1">dict_zul_Var_Meth[ID_Methods]</f>
        <v>125</v>
      </c>
      <c r="B306">
        <f ca="1">dict_zul_Var_Meth[ID_Variables]</f>
        <v>81</v>
      </c>
      <c r="C3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6" t="str">
        <f ca="1">IF(dict_zuord_Meth_Pos[[#This Row],[kval_active]],dict_zuord_Meth_Pos[[#This Row],[ID_Positions]],"")</f>
        <v/>
      </c>
    </row>
    <row r="307" spans="1:4" x14ac:dyDescent="0.45">
      <c r="A307">
        <f ca="1">dict_zul_Var_Meth[ID_Methods]</f>
        <v>562</v>
      </c>
      <c r="B307">
        <f ca="1">dict_zul_Var_Meth[ID_Variables]</f>
        <v>81</v>
      </c>
      <c r="C3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7" t="str">
        <f ca="1">IF(dict_zuord_Meth_Pos[[#This Row],[kval_active]],dict_zuord_Meth_Pos[[#This Row],[ID_Positions]],"")</f>
        <v/>
      </c>
    </row>
    <row r="308" spans="1:4" x14ac:dyDescent="0.45">
      <c r="A308">
        <f ca="1">dict_zul_Var_Meth[ID_Methods]</f>
        <v>37</v>
      </c>
      <c r="B308">
        <f ca="1">dict_zul_Var_Meth[ID_Variables]</f>
        <v>82</v>
      </c>
      <c r="C3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8" t="str">
        <f ca="1">IF(dict_zuord_Meth_Pos[[#This Row],[kval_active]],dict_zuord_Meth_Pos[[#This Row],[ID_Positions]],"")</f>
        <v/>
      </c>
    </row>
    <row r="309" spans="1:4" x14ac:dyDescent="0.45">
      <c r="A309">
        <f ca="1">dict_zul_Var_Meth[ID_Methods]</f>
        <v>220</v>
      </c>
      <c r="B309">
        <f ca="1">dict_zul_Var_Meth[ID_Variables]</f>
        <v>82</v>
      </c>
      <c r="C3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9" t="str">
        <f ca="1">IF(dict_zuord_Meth_Pos[[#This Row],[kval_active]],dict_zuord_Meth_Pos[[#This Row],[ID_Positions]],"")</f>
        <v/>
      </c>
    </row>
    <row r="310" spans="1:4" x14ac:dyDescent="0.45">
      <c r="A310">
        <f ca="1">dict_zul_Var_Meth[ID_Methods]</f>
        <v>270</v>
      </c>
      <c r="B310">
        <f ca="1">dict_zul_Var_Meth[ID_Variables]</f>
        <v>82</v>
      </c>
      <c r="C3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0" t="str">
        <f ca="1">IF(dict_zuord_Meth_Pos[[#This Row],[kval_active]],dict_zuord_Meth_Pos[[#This Row],[ID_Positions]],"")</f>
        <v/>
      </c>
    </row>
    <row r="311" spans="1:4" x14ac:dyDescent="0.45">
      <c r="A311">
        <f ca="1">dict_zul_Var_Meth[ID_Methods]</f>
        <v>516</v>
      </c>
      <c r="B311">
        <f ca="1">dict_zul_Var_Meth[ID_Variables]</f>
        <v>82</v>
      </c>
      <c r="C3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1" t="str">
        <f ca="1">IF(dict_zuord_Meth_Pos[[#This Row],[kval_active]],dict_zuord_Meth_Pos[[#This Row],[ID_Positions]],"")</f>
        <v/>
      </c>
    </row>
    <row r="312" spans="1:4" x14ac:dyDescent="0.45">
      <c r="A312">
        <f ca="1">dict_zul_Var_Meth[ID_Methods]</f>
        <v>48</v>
      </c>
      <c r="B312">
        <f ca="1">dict_zul_Var_Meth[ID_Variables]</f>
        <v>83</v>
      </c>
      <c r="C3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2" t="str">
        <f ca="1">IF(dict_zuord_Meth_Pos[[#This Row],[kval_active]],dict_zuord_Meth_Pos[[#This Row],[ID_Positions]],"")</f>
        <v/>
      </c>
    </row>
    <row r="313" spans="1:4" x14ac:dyDescent="0.45">
      <c r="A313">
        <f ca="1">dict_zul_Var_Meth[ID_Methods]</f>
        <v>217</v>
      </c>
      <c r="B313">
        <f ca="1">dict_zul_Var_Meth[ID_Variables]</f>
        <v>83</v>
      </c>
      <c r="C3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3" t="str">
        <f ca="1">IF(dict_zuord_Meth_Pos[[#This Row],[kval_active]],dict_zuord_Meth_Pos[[#This Row],[ID_Positions]],"")</f>
        <v/>
      </c>
    </row>
    <row r="314" spans="1:4" x14ac:dyDescent="0.45">
      <c r="A314">
        <f ca="1">dict_zul_Var_Meth[ID_Methods]</f>
        <v>383</v>
      </c>
      <c r="B314">
        <f ca="1">dict_zul_Var_Meth[ID_Variables]</f>
        <v>83</v>
      </c>
      <c r="C3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4" t="str">
        <f ca="1">IF(dict_zuord_Meth_Pos[[#This Row],[kval_active]],dict_zuord_Meth_Pos[[#This Row],[ID_Positions]],"")</f>
        <v/>
      </c>
    </row>
    <row r="315" spans="1:4" x14ac:dyDescent="0.45">
      <c r="A315">
        <f ca="1">dict_zul_Var_Meth[ID_Methods]</f>
        <v>480</v>
      </c>
      <c r="B315">
        <f ca="1">dict_zul_Var_Meth[ID_Variables]</f>
        <v>83</v>
      </c>
      <c r="C3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5" t="str">
        <f ca="1">IF(dict_zuord_Meth_Pos[[#This Row],[kval_active]],dict_zuord_Meth_Pos[[#This Row],[ID_Positions]],"")</f>
        <v/>
      </c>
    </row>
    <row r="316" spans="1:4" x14ac:dyDescent="0.45">
      <c r="A316">
        <f ca="1">dict_zul_Var_Meth[ID_Methods]</f>
        <v>68</v>
      </c>
      <c r="B316">
        <f ca="1">dict_zul_Var_Meth[ID_Variables]</f>
        <v>84</v>
      </c>
      <c r="C3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6" t="str">
        <f ca="1">IF(dict_zuord_Meth_Pos[[#This Row],[kval_active]],dict_zuord_Meth_Pos[[#This Row],[ID_Positions]],"")</f>
        <v/>
      </c>
    </row>
    <row r="317" spans="1:4" x14ac:dyDescent="0.45">
      <c r="A317">
        <f ca="1">dict_zul_Var_Meth[ID_Methods]</f>
        <v>623</v>
      </c>
      <c r="B317">
        <f ca="1">dict_zul_Var_Meth[ID_Variables]</f>
        <v>84</v>
      </c>
      <c r="C3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7" t="str">
        <f ca="1">IF(dict_zuord_Meth_Pos[[#This Row],[kval_active]],dict_zuord_Meth_Pos[[#This Row],[ID_Positions]],"")</f>
        <v/>
      </c>
    </row>
    <row r="318" spans="1:4" x14ac:dyDescent="0.45">
      <c r="A318">
        <f ca="1">dict_zul_Var_Meth[ID_Methods]</f>
        <v>629</v>
      </c>
      <c r="B318">
        <f ca="1">dict_zul_Var_Meth[ID_Variables]</f>
        <v>84</v>
      </c>
      <c r="C3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8" t="str">
        <f ca="1">IF(dict_zuord_Meth_Pos[[#This Row],[kval_active]],dict_zuord_Meth_Pos[[#This Row],[ID_Positions]],"")</f>
        <v/>
      </c>
    </row>
    <row r="319" spans="1:4" x14ac:dyDescent="0.45">
      <c r="A319">
        <f ca="1">dict_zul_Var_Meth[ID_Methods]</f>
        <v>653</v>
      </c>
      <c r="B319">
        <f ca="1">dict_zul_Var_Meth[ID_Variables]</f>
        <v>84</v>
      </c>
      <c r="C3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9" t="str">
        <f ca="1">IF(dict_zuord_Meth_Pos[[#This Row],[kval_active]],dict_zuord_Meth_Pos[[#This Row],[ID_Positions]],"")</f>
        <v/>
      </c>
    </row>
    <row r="320" spans="1:4" x14ac:dyDescent="0.45">
      <c r="A320">
        <f ca="1">dict_zul_Var_Meth[ID_Methods]</f>
        <v>382</v>
      </c>
      <c r="B320">
        <f ca="1">dict_zul_Var_Meth[ID_Variables]</f>
        <v>85</v>
      </c>
      <c r="C3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0" t="str">
        <f ca="1">IF(dict_zuord_Meth_Pos[[#This Row],[kval_active]],dict_zuord_Meth_Pos[[#This Row],[ID_Positions]],"")</f>
        <v/>
      </c>
    </row>
    <row r="321" spans="1:4" x14ac:dyDescent="0.45">
      <c r="A321">
        <f ca="1">dict_zul_Var_Meth[ID_Methods]</f>
        <v>666</v>
      </c>
      <c r="B321">
        <f ca="1">dict_zul_Var_Meth[ID_Variables]</f>
        <v>85</v>
      </c>
      <c r="C3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1" t="str">
        <f ca="1">IF(dict_zuord_Meth_Pos[[#This Row],[kval_active]],dict_zuord_Meth_Pos[[#This Row],[ID_Positions]],"")</f>
        <v/>
      </c>
    </row>
    <row r="322" spans="1:4" x14ac:dyDescent="0.45">
      <c r="A322">
        <f ca="1">dict_zul_Var_Meth[ID_Methods]</f>
        <v>142</v>
      </c>
      <c r="B322">
        <f ca="1">dict_zul_Var_Meth[ID_Variables]</f>
        <v>86</v>
      </c>
      <c r="C3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2" t="str">
        <f ca="1">IF(dict_zuord_Meth_Pos[[#This Row],[kval_active]],dict_zuord_Meth_Pos[[#This Row],[ID_Positions]],"")</f>
        <v/>
      </c>
    </row>
    <row r="323" spans="1:4" x14ac:dyDescent="0.45">
      <c r="A323">
        <f ca="1">dict_zul_Var_Meth[ID_Methods]</f>
        <v>494</v>
      </c>
      <c r="B323">
        <f ca="1">dict_zul_Var_Meth[ID_Variables]</f>
        <v>86</v>
      </c>
      <c r="C3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3" t="str">
        <f ca="1">IF(dict_zuord_Meth_Pos[[#This Row],[kval_active]],dict_zuord_Meth_Pos[[#This Row],[ID_Positions]],"")</f>
        <v/>
      </c>
    </row>
    <row r="324" spans="1:4" x14ac:dyDescent="0.45">
      <c r="A324">
        <f ca="1">dict_zul_Var_Meth[ID_Methods]</f>
        <v>594</v>
      </c>
      <c r="B324">
        <f ca="1">dict_zul_Var_Meth[ID_Variables]</f>
        <v>86</v>
      </c>
      <c r="C3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4" t="str">
        <f ca="1">IF(dict_zuord_Meth_Pos[[#This Row],[kval_active]],dict_zuord_Meth_Pos[[#This Row],[ID_Positions]],"")</f>
        <v/>
      </c>
    </row>
    <row r="325" spans="1:4" x14ac:dyDescent="0.45">
      <c r="A325">
        <f ca="1">dict_zul_Var_Meth[ID_Methods]</f>
        <v>684</v>
      </c>
      <c r="B325">
        <f ca="1">dict_zul_Var_Meth[ID_Variables]</f>
        <v>86</v>
      </c>
      <c r="C3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5" t="str">
        <f ca="1">IF(dict_zuord_Meth_Pos[[#This Row],[kval_active]],dict_zuord_Meth_Pos[[#This Row],[ID_Positions]],"")</f>
        <v/>
      </c>
    </row>
    <row r="326" spans="1:4" x14ac:dyDescent="0.45">
      <c r="A326">
        <f ca="1">dict_zul_Var_Meth[ID_Methods]</f>
        <v>31</v>
      </c>
      <c r="B326">
        <f ca="1">dict_zul_Var_Meth[ID_Variables]</f>
        <v>87</v>
      </c>
      <c r="C3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6" t="str">
        <f ca="1">IF(dict_zuord_Meth_Pos[[#This Row],[kval_active]],dict_zuord_Meth_Pos[[#This Row],[ID_Positions]],"")</f>
        <v/>
      </c>
    </row>
    <row r="327" spans="1:4" x14ac:dyDescent="0.45">
      <c r="A327">
        <f ca="1">dict_zul_Var_Meth[ID_Methods]</f>
        <v>114</v>
      </c>
      <c r="B327">
        <f ca="1">dict_zul_Var_Meth[ID_Variables]</f>
        <v>87</v>
      </c>
      <c r="C3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7" t="str">
        <f ca="1">IF(dict_zuord_Meth_Pos[[#This Row],[kval_active]],dict_zuord_Meth_Pos[[#This Row],[ID_Positions]],"")</f>
        <v/>
      </c>
    </row>
    <row r="328" spans="1:4" x14ac:dyDescent="0.45">
      <c r="A328">
        <f ca="1">dict_zul_Var_Meth[ID_Methods]</f>
        <v>116</v>
      </c>
      <c r="B328">
        <f ca="1">dict_zul_Var_Meth[ID_Variables]</f>
        <v>87</v>
      </c>
      <c r="C3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8" t="str">
        <f ca="1">IF(dict_zuord_Meth_Pos[[#This Row],[kval_active]],dict_zuord_Meth_Pos[[#This Row],[ID_Positions]],"")</f>
        <v/>
      </c>
    </row>
    <row r="329" spans="1:4" x14ac:dyDescent="0.45">
      <c r="A329">
        <f ca="1">dict_zul_Var_Meth[ID_Methods]</f>
        <v>143</v>
      </c>
      <c r="B329">
        <f ca="1">dict_zul_Var_Meth[ID_Variables]</f>
        <v>87</v>
      </c>
      <c r="C3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9" t="str">
        <f ca="1">IF(dict_zuord_Meth_Pos[[#This Row],[kval_active]],dict_zuord_Meth_Pos[[#This Row],[ID_Positions]],"")</f>
        <v/>
      </c>
    </row>
    <row r="330" spans="1:4" x14ac:dyDescent="0.45">
      <c r="A330">
        <f ca="1">dict_zul_Var_Meth[ID_Methods]</f>
        <v>340</v>
      </c>
      <c r="B330">
        <f ca="1">dict_zul_Var_Meth[ID_Variables]</f>
        <v>87</v>
      </c>
      <c r="C3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0" t="str">
        <f ca="1">IF(dict_zuord_Meth_Pos[[#This Row],[kval_active]],dict_zuord_Meth_Pos[[#This Row],[ID_Positions]],"")</f>
        <v/>
      </c>
    </row>
    <row r="331" spans="1:4" x14ac:dyDescent="0.45">
      <c r="A331">
        <f ca="1">dict_zul_Var_Meth[ID_Methods]</f>
        <v>231</v>
      </c>
      <c r="B331">
        <f ca="1">dict_zul_Var_Meth[ID_Variables]</f>
        <v>88</v>
      </c>
      <c r="C3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1" t="str">
        <f ca="1">IF(dict_zuord_Meth_Pos[[#This Row],[kval_active]],dict_zuord_Meth_Pos[[#This Row],[ID_Positions]],"")</f>
        <v/>
      </c>
    </row>
    <row r="332" spans="1:4" x14ac:dyDescent="0.45">
      <c r="A332">
        <f ca="1">dict_zul_Var_Meth[ID_Methods]</f>
        <v>344</v>
      </c>
      <c r="B332">
        <f ca="1">dict_zul_Var_Meth[ID_Variables]</f>
        <v>88</v>
      </c>
      <c r="C3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2" t="str">
        <f ca="1">IF(dict_zuord_Meth_Pos[[#This Row],[kval_active]],dict_zuord_Meth_Pos[[#This Row],[ID_Positions]],"")</f>
        <v/>
      </c>
    </row>
    <row r="333" spans="1:4" x14ac:dyDescent="0.45">
      <c r="A333">
        <f ca="1">dict_zul_Var_Meth[ID_Methods]</f>
        <v>592</v>
      </c>
      <c r="B333">
        <f ca="1">dict_zul_Var_Meth[ID_Variables]</f>
        <v>88</v>
      </c>
      <c r="C3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3" t="str">
        <f ca="1">IF(dict_zuord_Meth_Pos[[#This Row],[kval_active]],dict_zuord_Meth_Pos[[#This Row],[ID_Positions]],"")</f>
        <v/>
      </c>
    </row>
    <row r="334" spans="1:4" x14ac:dyDescent="0.45">
      <c r="A334">
        <f ca="1">dict_zul_Var_Meth[ID_Methods]</f>
        <v>600</v>
      </c>
      <c r="B334">
        <f ca="1">dict_zul_Var_Meth[ID_Variables]</f>
        <v>88</v>
      </c>
      <c r="C3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4" t="str">
        <f ca="1">IF(dict_zuord_Meth_Pos[[#This Row],[kval_active]],dict_zuord_Meth_Pos[[#This Row],[ID_Positions]],"")</f>
        <v/>
      </c>
    </row>
    <row r="335" spans="1:4" x14ac:dyDescent="0.45">
      <c r="A335">
        <f ca="1">dict_zul_Var_Meth[ID_Methods]</f>
        <v>285</v>
      </c>
      <c r="B335">
        <f ca="1">dict_zul_Var_Meth[ID_Variables]</f>
        <v>89</v>
      </c>
      <c r="C3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5" t="str">
        <f ca="1">IF(dict_zuord_Meth_Pos[[#This Row],[kval_active]],dict_zuord_Meth_Pos[[#This Row],[ID_Positions]],"")</f>
        <v/>
      </c>
    </row>
    <row r="336" spans="1:4" x14ac:dyDescent="0.45">
      <c r="A336">
        <f ca="1">dict_zul_Var_Meth[ID_Methods]</f>
        <v>558</v>
      </c>
      <c r="B336">
        <f ca="1">dict_zul_Var_Meth[ID_Variables]</f>
        <v>89</v>
      </c>
      <c r="C3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6" t="str">
        <f ca="1">IF(dict_zuord_Meth_Pos[[#This Row],[kval_active]],dict_zuord_Meth_Pos[[#This Row],[ID_Positions]],"")</f>
        <v/>
      </c>
    </row>
    <row r="337" spans="1:4" x14ac:dyDescent="0.45">
      <c r="A337">
        <f ca="1">dict_zul_Var_Meth[ID_Methods]</f>
        <v>13</v>
      </c>
      <c r="B337">
        <f ca="1">dict_zul_Var_Meth[ID_Variables]</f>
        <v>90</v>
      </c>
      <c r="C3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7" t="str">
        <f ca="1">IF(dict_zuord_Meth_Pos[[#This Row],[kval_active]],dict_zuord_Meth_Pos[[#This Row],[ID_Positions]],"")</f>
        <v/>
      </c>
    </row>
    <row r="338" spans="1:4" x14ac:dyDescent="0.45">
      <c r="A338">
        <f ca="1">dict_zul_Var_Meth[ID_Methods]</f>
        <v>184</v>
      </c>
      <c r="B338">
        <f ca="1">dict_zul_Var_Meth[ID_Variables]</f>
        <v>90</v>
      </c>
      <c r="C3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8" t="str">
        <f ca="1">IF(dict_zuord_Meth_Pos[[#This Row],[kval_active]],dict_zuord_Meth_Pos[[#This Row],[ID_Positions]],"")</f>
        <v/>
      </c>
    </row>
    <row r="339" spans="1:4" x14ac:dyDescent="0.45">
      <c r="A339">
        <f ca="1">dict_zul_Var_Meth[ID_Methods]</f>
        <v>228</v>
      </c>
      <c r="B339">
        <f ca="1">dict_zul_Var_Meth[ID_Variables]</f>
        <v>90</v>
      </c>
      <c r="C3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9" t="str">
        <f ca="1">IF(dict_zuord_Meth_Pos[[#This Row],[kval_active]],dict_zuord_Meth_Pos[[#This Row],[ID_Positions]],"")</f>
        <v/>
      </c>
    </row>
    <row r="340" spans="1:4" x14ac:dyDescent="0.45">
      <c r="A340">
        <f ca="1">dict_zul_Var_Meth[ID_Methods]</f>
        <v>450</v>
      </c>
      <c r="B340">
        <f ca="1">dict_zul_Var_Meth[ID_Variables]</f>
        <v>90</v>
      </c>
      <c r="C3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0" t="str">
        <f ca="1">IF(dict_zuord_Meth_Pos[[#This Row],[kval_active]],dict_zuord_Meth_Pos[[#This Row],[ID_Positions]],"")</f>
        <v/>
      </c>
    </row>
    <row r="341" spans="1:4" x14ac:dyDescent="0.45">
      <c r="A341">
        <f ca="1">dict_zul_Var_Meth[ID_Methods]</f>
        <v>543</v>
      </c>
      <c r="B341">
        <f ca="1">dict_zul_Var_Meth[ID_Variables]</f>
        <v>90</v>
      </c>
      <c r="C3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1" t="str">
        <f ca="1">IF(dict_zuord_Meth_Pos[[#This Row],[kval_active]],dict_zuord_Meth_Pos[[#This Row],[ID_Positions]],"")</f>
        <v/>
      </c>
    </row>
    <row r="342" spans="1:4" x14ac:dyDescent="0.45">
      <c r="A342">
        <f ca="1">dict_zul_Var_Meth[ID_Methods]</f>
        <v>619</v>
      </c>
      <c r="B342">
        <f ca="1">dict_zul_Var_Meth[ID_Variables]</f>
        <v>90</v>
      </c>
      <c r="C3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2" t="str">
        <f ca="1">IF(dict_zuord_Meth_Pos[[#This Row],[kval_active]],dict_zuord_Meth_Pos[[#This Row],[ID_Positions]],"")</f>
        <v/>
      </c>
    </row>
    <row r="343" spans="1:4" x14ac:dyDescent="0.45">
      <c r="A343">
        <f ca="1">dict_zul_Var_Meth[ID_Methods]</f>
        <v>159</v>
      </c>
      <c r="B343">
        <f ca="1">dict_zul_Var_Meth[ID_Variables]</f>
        <v>91</v>
      </c>
      <c r="C3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3" t="str">
        <f ca="1">IF(dict_zuord_Meth_Pos[[#This Row],[kval_active]],dict_zuord_Meth_Pos[[#This Row],[ID_Positions]],"")</f>
        <v/>
      </c>
    </row>
    <row r="344" spans="1:4" x14ac:dyDescent="0.45">
      <c r="A344">
        <f ca="1">dict_zul_Var_Meth[ID_Methods]</f>
        <v>212</v>
      </c>
      <c r="B344">
        <f ca="1">dict_zul_Var_Meth[ID_Variables]</f>
        <v>91</v>
      </c>
      <c r="C3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4" t="str">
        <f ca="1">IF(dict_zuord_Meth_Pos[[#This Row],[kval_active]],dict_zuord_Meth_Pos[[#This Row],[ID_Positions]],"")</f>
        <v/>
      </c>
    </row>
    <row r="345" spans="1:4" x14ac:dyDescent="0.45">
      <c r="A345">
        <f ca="1">dict_zul_Var_Meth[ID_Methods]</f>
        <v>404</v>
      </c>
      <c r="B345">
        <f ca="1">dict_zul_Var_Meth[ID_Variables]</f>
        <v>91</v>
      </c>
      <c r="C3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5" t="str">
        <f ca="1">IF(dict_zuord_Meth_Pos[[#This Row],[kval_active]],dict_zuord_Meth_Pos[[#This Row],[ID_Positions]],"")</f>
        <v/>
      </c>
    </row>
    <row r="346" spans="1:4" x14ac:dyDescent="0.45">
      <c r="A346">
        <f ca="1">dict_zul_Var_Meth[ID_Methods]</f>
        <v>38</v>
      </c>
      <c r="B346">
        <f ca="1">dict_zul_Var_Meth[ID_Variables]</f>
        <v>92</v>
      </c>
      <c r="C3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6" t="str">
        <f ca="1">IF(dict_zuord_Meth_Pos[[#This Row],[kval_active]],dict_zuord_Meth_Pos[[#This Row],[ID_Positions]],"")</f>
        <v/>
      </c>
    </row>
    <row r="347" spans="1:4" x14ac:dyDescent="0.45">
      <c r="A347">
        <f ca="1">dict_zul_Var_Meth[ID_Methods]</f>
        <v>189</v>
      </c>
      <c r="B347">
        <f ca="1">dict_zul_Var_Meth[ID_Variables]</f>
        <v>92</v>
      </c>
      <c r="C3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7" t="str">
        <f ca="1">IF(dict_zuord_Meth_Pos[[#This Row],[kval_active]],dict_zuord_Meth_Pos[[#This Row],[ID_Positions]],"")</f>
        <v/>
      </c>
    </row>
    <row r="348" spans="1:4" x14ac:dyDescent="0.45">
      <c r="A348">
        <f ca="1">dict_zul_Var_Meth[ID_Methods]</f>
        <v>544</v>
      </c>
      <c r="B348">
        <f ca="1">dict_zul_Var_Meth[ID_Variables]</f>
        <v>92</v>
      </c>
      <c r="C3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8" t="str">
        <f ca="1">IF(dict_zuord_Meth_Pos[[#This Row],[kval_active]],dict_zuord_Meth_Pos[[#This Row],[ID_Positions]],"")</f>
        <v/>
      </c>
    </row>
    <row r="349" spans="1:4" x14ac:dyDescent="0.45">
      <c r="A349">
        <f ca="1">dict_zul_Var_Meth[ID_Methods]</f>
        <v>546</v>
      </c>
      <c r="B349">
        <f ca="1">dict_zul_Var_Meth[ID_Variables]</f>
        <v>92</v>
      </c>
      <c r="C3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9" t="str">
        <f ca="1">IF(dict_zuord_Meth_Pos[[#This Row],[kval_active]],dict_zuord_Meth_Pos[[#This Row],[ID_Positions]],"")</f>
        <v/>
      </c>
    </row>
    <row r="350" spans="1:4" x14ac:dyDescent="0.45">
      <c r="A350">
        <f ca="1">dict_zul_Var_Meth[ID_Methods]</f>
        <v>391</v>
      </c>
      <c r="B350">
        <f ca="1">dict_zul_Var_Meth[ID_Variables]</f>
        <v>93</v>
      </c>
      <c r="C3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0" t="str">
        <f ca="1">IF(dict_zuord_Meth_Pos[[#This Row],[kval_active]],dict_zuord_Meth_Pos[[#This Row],[ID_Positions]],"")</f>
        <v/>
      </c>
    </row>
    <row r="351" spans="1:4" x14ac:dyDescent="0.45">
      <c r="A351">
        <f ca="1">dict_zul_Var_Meth[ID_Methods]</f>
        <v>542</v>
      </c>
      <c r="B351">
        <f ca="1">dict_zul_Var_Meth[ID_Variables]</f>
        <v>93</v>
      </c>
      <c r="C3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1" t="str">
        <f ca="1">IF(dict_zuord_Meth_Pos[[#This Row],[kval_active]],dict_zuord_Meth_Pos[[#This Row],[ID_Positions]],"")</f>
        <v/>
      </c>
    </row>
    <row r="352" spans="1:4" x14ac:dyDescent="0.45">
      <c r="A352">
        <f ca="1">dict_zul_Var_Meth[ID_Methods]</f>
        <v>239</v>
      </c>
      <c r="B352">
        <f ca="1">dict_zul_Var_Meth[ID_Variables]</f>
        <v>94</v>
      </c>
      <c r="C3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2" t="str">
        <f ca="1">IF(dict_zuord_Meth_Pos[[#This Row],[kval_active]],dict_zuord_Meth_Pos[[#This Row],[ID_Positions]],"")</f>
        <v/>
      </c>
    </row>
    <row r="353" spans="1:4" x14ac:dyDescent="0.45">
      <c r="A353">
        <f ca="1">dict_zul_Var_Meth[ID_Methods]</f>
        <v>255</v>
      </c>
      <c r="B353">
        <f ca="1">dict_zul_Var_Meth[ID_Variables]</f>
        <v>94</v>
      </c>
      <c r="C3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3" t="str">
        <f ca="1">IF(dict_zuord_Meth_Pos[[#This Row],[kval_active]],dict_zuord_Meth_Pos[[#This Row],[ID_Positions]],"")</f>
        <v/>
      </c>
    </row>
    <row r="354" spans="1:4" x14ac:dyDescent="0.45">
      <c r="A354">
        <f ca="1">dict_zul_Var_Meth[ID_Methods]</f>
        <v>385</v>
      </c>
      <c r="B354">
        <f ca="1">dict_zul_Var_Meth[ID_Variables]</f>
        <v>94</v>
      </c>
      <c r="C3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4" t="str">
        <f ca="1">IF(dict_zuord_Meth_Pos[[#This Row],[kval_active]],dict_zuord_Meth_Pos[[#This Row],[ID_Positions]],"")</f>
        <v/>
      </c>
    </row>
    <row r="355" spans="1:4" x14ac:dyDescent="0.45">
      <c r="A355">
        <f ca="1">dict_zul_Var_Meth[ID_Methods]</f>
        <v>397</v>
      </c>
      <c r="B355">
        <f ca="1">dict_zul_Var_Meth[ID_Variables]</f>
        <v>94</v>
      </c>
      <c r="C3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5" t="str">
        <f ca="1">IF(dict_zuord_Meth_Pos[[#This Row],[kval_active]],dict_zuord_Meth_Pos[[#This Row],[ID_Positions]],"")</f>
        <v/>
      </c>
    </row>
    <row r="356" spans="1:4" x14ac:dyDescent="0.45">
      <c r="A356">
        <f ca="1">dict_zul_Var_Meth[ID_Methods]</f>
        <v>89</v>
      </c>
      <c r="B356">
        <f ca="1">dict_zul_Var_Meth[ID_Variables]</f>
        <v>95</v>
      </c>
      <c r="C3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6" t="str">
        <f ca="1">IF(dict_zuord_Meth_Pos[[#This Row],[kval_active]],dict_zuord_Meth_Pos[[#This Row],[ID_Positions]],"")</f>
        <v/>
      </c>
    </row>
    <row r="357" spans="1:4" x14ac:dyDescent="0.45">
      <c r="A357">
        <f ca="1">dict_zul_Var_Meth[ID_Methods]</f>
        <v>180</v>
      </c>
      <c r="B357">
        <f ca="1">dict_zul_Var_Meth[ID_Variables]</f>
        <v>95</v>
      </c>
      <c r="C3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7" t="str">
        <f ca="1">IF(dict_zuord_Meth_Pos[[#This Row],[kval_active]],dict_zuord_Meth_Pos[[#This Row],[ID_Positions]],"")</f>
        <v/>
      </c>
    </row>
    <row r="358" spans="1:4" x14ac:dyDescent="0.45">
      <c r="A358">
        <f ca="1">dict_zul_Var_Meth[ID_Methods]</f>
        <v>188</v>
      </c>
      <c r="B358">
        <f ca="1">dict_zul_Var_Meth[ID_Variables]</f>
        <v>95</v>
      </c>
      <c r="C3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8" t="str">
        <f ca="1">IF(dict_zuord_Meth_Pos[[#This Row],[kval_active]],dict_zuord_Meth_Pos[[#This Row],[ID_Positions]],"")</f>
        <v/>
      </c>
    </row>
    <row r="359" spans="1:4" x14ac:dyDescent="0.45">
      <c r="A359">
        <f ca="1">dict_zul_Var_Meth[ID_Methods]</f>
        <v>432</v>
      </c>
      <c r="B359">
        <f ca="1">dict_zul_Var_Meth[ID_Variables]</f>
        <v>95</v>
      </c>
      <c r="C3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9" t="str">
        <f ca="1">IF(dict_zuord_Meth_Pos[[#This Row],[kval_active]],dict_zuord_Meth_Pos[[#This Row],[ID_Positions]],"")</f>
        <v/>
      </c>
    </row>
    <row r="360" spans="1:4" x14ac:dyDescent="0.45">
      <c r="A360">
        <f ca="1">dict_zul_Var_Meth[ID_Methods]</f>
        <v>568</v>
      </c>
      <c r="B360">
        <f ca="1">dict_zul_Var_Meth[ID_Variables]</f>
        <v>95</v>
      </c>
      <c r="C3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0" t="str">
        <f ca="1">IF(dict_zuord_Meth_Pos[[#This Row],[kval_active]],dict_zuord_Meth_Pos[[#This Row],[ID_Positions]],"")</f>
        <v/>
      </c>
    </row>
    <row r="361" spans="1:4" x14ac:dyDescent="0.45">
      <c r="A361">
        <f ca="1">dict_zul_Var_Meth[ID_Methods]</f>
        <v>644</v>
      </c>
      <c r="B361">
        <f ca="1">dict_zul_Var_Meth[ID_Variables]</f>
        <v>95</v>
      </c>
      <c r="C3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1" t="str">
        <f ca="1">IF(dict_zuord_Meth_Pos[[#This Row],[kval_active]],dict_zuord_Meth_Pos[[#This Row],[ID_Positions]],"")</f>
        <v/>
      </c>
    </row>
    <row r="362" spans="1:4" x14ac:dyDescent="0.45">
      <c r="A362">
        <f ca="1">dict_zul_Var_Meth[ID_Methods]</f>
        <v>353</v>
      </c>
      <c r="B362">
        <f ca="1">dict_zul_Var_Meth[ID_Variables]</f>
        <v>96</v>
      </c>
      <c r="C3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2" t="str">
        <f ca="1">IF(dict_zuord_Meth_Pos[[#This Row],[kval_active]],dict_zuord_Meth_Pos[[#This Row],[ID_Positions]],"")</f>
        <v/>
      </c>
    </row>
    <row r="363" spans="1:4" x14ac:dyDescent="0.45">
      <c r="A363">
        <f ca="1">dict_zul_Var_Meth[ID_Methods]</f>
        <v>418</v>
      </c>
      <c r="B363">
        <f ca="1">dict_zul_Var_Meth[ID_Variables]</f>
        <v>96</v>
      </c>
      <c r="C3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3" t="str">
        <f ca="1">IF(dict_zuord_Meth_Pos[[#This Row],[kval_active]],dict_zuord_Meth_Pos[[#This Row],[ID_Positions]],"")</f>
        <v/>
      </c>
    </row>
    <row r="364" spans="1:4" x14ac:dyDescent="0.45">
      <c r="A364">
        <f ca="1">dict_zul_Var_Meth[ID_Methods]</f>
        <v>87</v>
      </c>
      <c r="B364">
        <f ca="1">dict_zul_Var_Meth[ID_Variables]</f>
        <v>97</v>
      </c>
      <c r="C3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4" t="str">
        <f ca="1">IF(dict_zuord_Meth_Pos[[#This Row],[kval_active]],dict_zuord_Meth_Pos[[#This Row],[ID_Positions]],"")</f>
        <v/>
      </c>
    </row>
    <row r="365" spans="1:4" x14ac:dyDescent="0.45">
      <c r="A365">
        <f ca="1">dict_zul_Var_Meth[ID_Methods]</f>
        <v>198</v>
      </c>
      <c r="B365">
        <f ca="1">dict_zul_Var_Meth[ID_Variables]</f>
        <v>97</v>
      </c>
      <c r="C3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5" t="str">
        <f ca="1">IF(dict_zuord_Meth_Pos[[#This Row],[kval_active]],dict_zuord_Meth_Pos[[#This Row],[ID_Positions]],"")</f>
        <v/>
      </c>
    </row>
    <row r="366" spans="1:4" x14ac:dyDescent="0.45">
      <c r="A366">
        <f ca="1">dict_zul_Var_Meth[ID_Methods]</f>
        <v>552</v>
      </c>
      <c r="B366">
        <f ca="1">dict_zul_Var_Meth[ID_Variables]</f>
        <v>97</v>
      </c>
      <c r="C3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6" t="str">
        <f ca="1">IF(dict_zuord_Meth_Pos[[#This Row],[kval_active]],dict_zuord_Meth_Pos[[#This Row],[ID_Positions]],"")</f>
        <v/>
      </c>
    </row>
    <row r="367" spans="1:4" x14ac:dyDescent="0.45">
      <c r="A367">
        <f ca="1">dict_zul_Var_Meth[ID_Methods]</f>
        <v>627</v>
      </c>
      <c r="B367">
        <f ca="1">dict_zul_Var_Meth[ID_Variables]</f>
        <v>97</v>
      </c>
      <c r="C3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7" t="str">
        <f ca="1">IF(dict_zuord_Meth_Pos[[#This Row],[kval_active]],dict_zuord_Meth_Pos[[#This Row],[ID_Positions]],"")</f>
        <v/>
      </c>
    </row>
    <row r="368" spans="1:4" x14ac:dyDescent="0.45">
      <c r="A368">
        <f ca="1">dict_zul_Var_Meth[ID_Methods]</f>
        <v>302</v>
      </c>
      <c r="B368">
        <f ca="1">dict_zul_Var_Meth[ID_Variables]</f>
        <v>98</v>
      </c>
      <c r="C3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8" t="str">
        <f ca="1">IF(dict_zuord_Meth_Pos[[#This Row],[kval_active]],dict_zuord_Meth_Pos[[#This Row],[ID_Positions]],"")</f>
        <v/>
      </c>
    </row>
    <row r="369" spans="1:4" x14ac:dyDescent="0.45">
      <c r="A369">
        <f ca="1">dict_zul_Var_Meth[ID_Methods]</f>
        <v>348</v>
      </c>
      <c r="B369">
        <f ca="1">dict_zul_Var_Meth[ID_Variables]</f>
        <v>98</v>
      </c>
      <c r="C3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9" t="str">
        <f ca="1">IF(dict_zuord_Meth_Pos[[#This Row],[kval_active]],dict_zuord_Meth_Pos[[#This Row],[ID_Positions]],"")</f>
        <v/>
      </c>
    </row>
    <row r="370" spans="1:4" x14ac:dyDescent="0.45">
      <c r="A370">
        <f ca="1">dict_zul_Var_Meth[ID_Methods]</f>
        <v>528</v>
      </c>
      <c r="B370">
        <f ca="1">dict_zul_Var_Meth[ID_Variables]</f>
        <v>98</v>
      </c>
      <c r="C3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0" t="str">
        <f ca="1">IF(dict_zuord_Meth_Pos[[#This Row],[kval_active]],dict_zuord_Meth_Pos[[#This Row],[ID_Positions]],"")</f>
        <v/>
      </c>
    </row>
    <row r="371" spans="1:4" x14ac:dyDescent="0.45">
      <c r="A371">
        <f ca="1">dict_zul_Var_Meth[ID_Methods]</f>
        <v>22</v>
      </c>
      <c r="B371">
        <f ca="1">dict_zul_Var_Meth[ID_Variables]</f>
        <v>99</v>
      </c>
      <c r="C3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1">
        <f ca="1">IF(dict_zuord_Meth_Pos[[#This Row],[kval_active]],dict_zuord_Meth_Pos[[#This Row],[ID_Positions]],"")</f>
        <v>99</v>
      </c>
    </row>
    <row r="372" spans="1:4" x14ac:dyDescent="0.45">
      <c r="A372">
        <f ca="1">dict_zul_Var_Meth[ID_Methods]</f>
        <v>117</v>
      </c>
      <c r="B372">
        <f ca="1">dict_zul_Var_Meth[ID_Variables]</f>
        <v>99</v>
      </c>
      <c r="C3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2" t="str">
        <f ca="1">IF(dict_zuord_Meth_Pos[[#This Row],[kval_active]],dict_zuord_Meth_Pos[[#This Row],[ID_Positions]],"")</f>
        <v/>
      </c>
    </row>
    <row r="373" spans="1:4" x14ac:dyDescent="0.45">
      <c r="A373">
        <f ca="1">dict_zul_Var_Meth[ID_Methods]</f>
        <v>476</v>
      </c>
      <c r="B373">
        <f ca="1">dict_zul_Var_Meth[ID_Variables]</f>
        <v>99</v>
      </c>
      <c r="C3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3" t="str">
        <f ca="1">IF(dict_zuord_Meth_Pos[[#This Row],[kval_active]],dict_zuord_Meth_Pos[[#This Row],[ID_Positions]],"")</f>
        <v/>
      </c>
    </row>
    <row r="374" spans="1:4" x14ac:dyDescent="0.45">
      <c r="A374">
        <f ca="1">dict_zul_Var_Meth[ID_Methods]</f>
        <v>488</v>
      </c>
      <c r="B374">
        <f ca="1">dict_zul_Var_Meth[ID_Variables]</f>
        <v>99</v>
      </c>
      <c r="C3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4" t="str">
        <f ca="1">IF(dict_zuord_Meth_Pos[[#This Row],[kval_active]],dict_zuord_Meth_Pos[[#This Row],[ID_Positions]],"")</f>
        <v/>
      </c>
    </row>
    <row r="375" spans="1:4" x14ac:dyDescent="0.45">
      <c r="A375">
        <f ca="1">dict_zul_Var_Meth[ID_Methods]</f>
        <v>504</v>
      </c>
      <c r="B375">
        <f ca="1">dict_zul_Var_Meth[ID_Variables]</f>
        <v>99</v>
      </c>
      <c r="C3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5" t="str">
        <f ca="1">IF(dict_zuord_Meth_Pos[[#This Row],[kval_active]],dict_zuord_Meth_Pos[[#This Row],[ID_Positions]],"")</f>
        <v/>
      </c>
    </row>
    <row r="376" spans="1:4" x14ac:dyDescent="0.45">
      <c r="A376">
        <f ca="1">dict_zul_Var_Meth[ID_Methods]</f>
        <v>170</v>
      </c>
      <c r="B376">
        <f ca="1">dict_zul_Var_Meth[ID_Variables]</f>
        <v>100</v>
      </c>
      <c r="C3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6" t="str">
        <f ca="1">IF(dict_zuord_Meth_Pos[[#This Row],[kval_active]],dict_zuord_Meth_Pos[[#This Row],[ID_Positions]],"")</f>
        <v/>
      </c>
    </row>
    <row r="377" spans="1:4" x14ac:dyDescent="0.45">
      <c r="A377">
        <f ca="1">dict_zul_Var_Meth[ID_Methods]</f>
        <v>362</v>
      </c>
      <c r="B377">
        <f ca="1">dict_zul_Var_Meth[ID_Variables]</f>
        <v>100</v>
      </c>
      <c r="C3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7" t="str">
        <f ca="1">IF(dict_zuord_Meth_Pos[[#This Row],[kval_active]],dict_zuord_Meth_Pos[[#This Row],[ID_Positions]],"")</f>
        <v/>
      </c>
    </row>
    <row r="378" spans="1:4" x14ac:dyDescent="0.45">
      <c r="A378">
        <f ca="1">dict_zul_Var_Meth[ID_Methods]</f>
        <v>628</v>
      </c>
      <c r="B378">
        <f ca="1">dict_zul_Var_Meth[ID_Variables]</f>
        <v>100</v>
      </c>
      <c r="C3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8" t="str">
        <f ca="1">IF(dict_zuord_Meth_Pos[[#This Row],[kval_active]],dict_zuord_Meth_Pos[[#This Row],[ID_Positions]],"")</f>
        <v/>
      </c>
    </row>
    <row r="379" spans="1:4" x14ac:dyDescent="0.45">
      <c r="A379">
        <f ca="1">dict_zul_Var_Meth[ID_Methods]</f>
        <v>370</v>
      </c>
      <c r="B379">
        <f ca="1">dict_zul_Var_Meth[ID_Variables]</f>
        <v>101</v>
      </c>
      <c r="C3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9" t="str">
        <f ca="1">IF(dict_zuord_Meth_Pos[[#This Row],[kval_active]],dict_zuord_Meth_Pos[[#This Row],[ID_Positions]],"")</f>
        <v/>
      </c>
    </row>
    <row r="380" spans="1:4" x14ac:dyDescent="0.45">
      <c r="A380">
        <f ca="1">dict_zul_Var_Meth[ID_Methods]</f>
        <v>410</v>
      </c>
      <c r="B380">
        <f ca="1">dict_zul_Var_Meth[ID_Variables]</f>
        <v>101</v>
      </c>
      <c r="C3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0" t="str">
        <f ca="1">IF(dict_zuord_Meth_Pos[[#This Row],[kval_active]],dict_zuord_Meth_Pos[[#This Row],[ID_Positions]],"")</f>
        <v/>
      </c>
    </row>
    <row r="381" spans="1:4" x14ac:dyDescent="0.45">
      <c r="A381">
        <f ca="1">dict_zul_Var_Meth[ID_Methods]</f>
        <v>462</v>
      </c>
      <c r="B381">
        <f ca="1">dict_zul_Var_Meth[ID_Variables]</f>
        <v>101</v>
      </c>
      <c r="C3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1" t="str">
        <f ca="1">IF(dict_zuord_Meth_Pos[[#This Row],[kval_active]],dict_zuord_Meth_Pos[[#This Row],[ID_Positions]],"")</f>
        <v/>
      </c>
    </row>
    <row r="382" spans="1:4" x14ac:dyDescent="0.45">
      <c r="A382">
        <f ca="1">dict_zul_Var_Meth[ID_Methods]</f>
        <v>586</v>
      </c>
      <c r="B382">
        <f ca="1">dict_zul_Var_Meth[ID_Variables]</f>
        <v>101</v>
      </c>
      <c r="C3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2" t="str">
        <f ca="1">IF(dict_zuord_Meth_Pos[[#This Row],[kval_active]],dict_zuord_Meth_Pos[[#This Row],[ID_Positions]],"")</f>
        <v/>
      </c>
    </row>
    <row r="383" spans="1:4" x14ac:dyDescent="0.45">
      <c r="A383">
        <f ca="1">dict_zul_Var_Meth[ID_Methods]</f>
        <v>49</v>
      </c>
      <c r="B383">
        <f ca="1">dict_zul_Var_Meth[ID_Variables]</f>
        <v>102</v>
      </c>
      <c r="C3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3" t="str">
        <f ca="1">IF(dict_zuord_Meth_Pos[[#This Row],[kval_active]],dict_zuord_Meth_Pos[[#This Row],[ID_Positions]],"")</f>
        <v/>
      </c>
    </row>
    <row r="384" spans="1:4" x14ac:dyDescent="0.45">
      <c r="A384">
        <f ca="1">dict_zul_Var_Meth[ID_Methods]</f>
        <v>66</v>
      </c>
      <c r="B384">
        <f ca="1">dict_zul_Var_Meth[ID_Variables]</f>
        <v>102</v>
      </c>
      <c r="C3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4" t="str">
        <f ca="1">IF(dict_zuord_Meth_Pos[[#This Row],[kval_active]],dict_zuord_Meth_Pos[[#This Row],[ID_Positions]],"")</f>
        <v/>
      </c>
    </row>
    <row r="385" spans="1:4" x14ac:dyDescent="0.45">
      <c r="A385">
        <f ca="1">dict_zul_Var_Meth[ID_Methods]</f>
        <v>71</v>
      </c>
      <c r="B385">
        <f ca="1">dict_zul_Var_Meth[ID_Variables]</f>
        <v>102</v>
      </c>
      <c r="C3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5" t="str">
        <f ca="1">IF(dict_zuord_Meth_Pos[[#This Row],[kval_active]],dict_zuord_Meth_Pos[[#This Row],[ID_Positions]],"")</f>
        <v/>
      </c>
    </row>
    <row r="386" spans="1:4" x14ac:dyDescent="0.45">
      <c r="A386">
        <f ca="1">dict_zul_Var_Meth[ID_Methods]</f>
        <v>361</v>
      </c>
      <c r="B386">
        <f ca="1">dict_zul_Var_Meth[ID_Variables]</f>
        <v>102</v>
      </c>
      <c r="C3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6" t="str">
        <f ca="1">IF(dict_zuord_Meth_Pos[[#This Row],[kval_active]],dict_zuord_Meth_Pos[[#This Row],[ID_Positions]],"")</f>
        <v/>
      </c>
    </row>
    <row r="387" spans="1:4" x14ac:dyDescent="0.45">
      <c r="A387">
        <f ca="1">dict_zul_Var_Meth[ID_Methods]</f>
        <v>21</v>
      </c>
      <c r="B387">
        <f ca="1">dict_zul_Var_Meth[ID_Variables]</f>
        <v>103</v>
      </c>
      <c r="C3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7" t="str">
        <f ca="1">IF(dict_zuord_Meth_Pos[[#This Row],[kval_active]],dict_zuord_Meth_Pos[[#This Row],[ID_Positions]],"")</f>
        <v/>
      </c>
    </row>
    <row r="388" spans="1:4" x14ac:dyDescent="0.45">
      <c r="A388">
        <f ca="1">dict_zul_Var_Meth[ID_Methods]</f>
        <v>105</v>
      </c>
      <c r="B388">
        <f ca="1">dict_zul_Var_Meth[ID_Variables]</f>
        <v>103</v>
      </c>
      <c r="C3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8" t="str">
        <f ca="1">IF(dict_zuord_Meth_Pos[[#This Row],[kval_active]],dict_zuord_Meth_Pos[[#This Row],[ID_Positions]],"")</f>
        <v/>
      </c>
    </row>
    <row r="389" spans="1:4" x14ac:dyDescent="0.45">
      <c r="A389">
        <f ca="1">dict_zul_Var_Meth[ID_Methods]</f>
        <v>472</v>
      </c>
      <c r="B389">
        <f ca="1">dict_zul_Var_Meth[ID_Variables]</f>
        <v>103</v>
      </c>
      <c r="C3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9" t="str">
        <f ca="1">IF(dict_zuord_Meth_Pos[[#This Row],[kval_active]],dict_zuord_Meth_Pos[[#This Row],[ID_Positions]],"")</f>
        <v/>
      </c>
    </row>
    <row r="390" spans="1:4" x14ac:dyDescent="0.45">
      <c r="A390">
        <f ca="1">dict_zul_Var_Meth[ID_Methods]</f>
        <v>53</v>
      </c>
      <c r="B390">
        <f ca="1">dict_zul_Var_Meth[ID_Variables]</f>
        <v>104</v>
      </c>
      <c r="C3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0" t="str">
        <f ca="1">IF(dict_zuord_Meth_Pos[[#This Row],[kval_active]],dict_zuord_Meth_Pos[[#This Row],[ID_Positions]],"")</f>
        <v/>
      </c>
    </row>
    <row r="391" spans="1:4" x14ac:dyDescent="0.45">
      <c r="A391">
        <f ca="1">dict_zul_Var_Meth[ID_Methods]</f>
        <v>454</v>
      </c>
      <c r="B391">
        <f ca="1">dict_zul_Var_Meth[ID_Variables]</f>
        <v>104</v>
      </c>
      <c r="C3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1" t="str">
        <f ca="1">IF(dict_zuord_Meth_Pos[[#This Row],[kval_active]],dict_zuord_Meth_Pos[[#This Row],[ID_Positions]],"")</f>
        <v/>
      </c>
    </row>
    <row r="392" spans="1:4" x14ac:dyDescent="0.45">
      <c r="A392">
        <f ca="1">dict_zul_Var_Meth[ID_Methods]</f>
        <v>489</v>
      </c>
      <c r="B392">
        <f ca="1">dict_zul_Var_Meth[ID_Variables]</f>
        <v>104</v>
      </c>
      <c r="C3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2" t="str">
        <f ca="1">IF(dict_zuord_Meth_Pos[[#This Row],[kval_active]],dict_zuord_Meth_Pos[[#This Row],[ID_Positions]],"")</f>
        <v/>
      </c>
    </row>
    <row r="393" spans="1:4" x14ac:dyDescent="0.45">
      <c r="A393">
        <f ca="1">dict_zul_Var_Meth[ID_Methods]</f>
        <v>630</v>
      </c>
      <c r="B393">
        <f ca="1">dict_zul_Var_Meth[ID_Variables]</f>
        <v>104</v>
      </c>
      <c r="C3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3" t="str">
        <f ca="1">IF(dict_zuord_Meth_Pos[[#This Row],[kval_active]],dict_zuord_Meth_Pos[[#This Row],[ID_Positions]],"")</f>
        <v/>
      </c>
    </row>
    <row r="394" spans="1:4" x14ac:dyDescent="0.45">
      <c r="A394">
        <f ca="1">dict_zul_Var_Meth[ID_Methods]</f>
        <v>10</v>
      </c>
      <c r="B394">
        <f ca="1">dict_zul_Var_Meth[ID_Variables]</f>
        <v>105</v>
      </c>
      <c r="C3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4" t="str">
        <f ca="1">IF(dict_zuord_Meth_Pos[[#This Row],[kval_active]],dict_zuord_Meth_Pos[[#This Row],[ID_Positions]],"")</f>
        <v/>
      </c>
    </row>
    <row r="395" spans="1:4" x14ac:dyDescent="0.45">
      <c r="A395">
        <f ca="1">dict_zul_Var_Meth[ID_Methods]</f>
        <v>187</v>
      </c>
      <c r="B395">
        <f ca="1">dict_zul_Var_Meth[ID_Variables]</f>
        <v>105</v>
      </c>
      <c r="C3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5" t="str">
        <f ca="1">IF(dict_zuord_Meth_Pos[[#This Row],[kval_active]],dict_zuord_Meth_Pos[[#This Row],[ID_Positions]],"")</f>
        <v/>
      </c>
    </row>
    <row r="396" spans="1:4" x14ac:dyDescent="0.45">
      <c r="A396">
        <f ca="1">dict_zul_Var_Meth[ID_Methods]</f>
        <v>215</v>
      </c>
      <c r="B396">
        <f ca="1">dict_zul_Var_Meth[ID_Variables]</f>
        <v>105</v>
      </c>
      <c r="C3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6" t="str">
        <f ca="1">IF(dict_zuord_Meth_Pos[[#This Row],[kval_active]],dict_zuord_Meth_Pos[[#This Row],[ID_Positions]],"")</f>
        <v/>
      </c>
    </row>
    <row r="397" spans="1:4" x14ac:dyDescent="0.45">
      <c r="A397">
        <f ca="1">dict_zul_Var_Meth[ID_Methods]</f>
        <v>557</v>
      </c>
      <c r="B397">
        <f ca="1">dict_zul_Var_Meth[ID_Variables]</f>
        <v>105</v>
      </c>
      <c r="C3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7" t="str">
        <f ca="1">IF(dict_zuord_Meth_Pos[[#This Row],[kval_active]],dict_zuord_Meth_Pos[[#This Row],[ID_Positions]],"")</f>
        <v/>
      </c>
    </row>
    <row r="398" spans="1:4" x14ac:dyDescent="0.45">
      <c r="A398">
        <f ca="1">dict_zul_Var_Meth[ID_Methods]</f>
        <v>88</v>
      </c>
      <c r="B398">
        <f ca="1">dict_zul_Var_Meth[ID_Variables]</f>
        <v>106</v>
      </c>
      <c r="C3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8" t="str">
        <f ca="1">IF(dict_zuord_Meth_Pos[[#This Row],[kval_active]],dict_zuord_Meth_Pos[[#This Row],[ID_Positions]],"")</f>
        <v/>
      </c>
    </row>
    <row r="399" spans="1:4" x14ac:dyDescent="0.45">
      <c r="A399">
        <f ca="1">dict_zul_Var_Meth[ID_Methods]</f>
        <v>380</v>
      </c>
      <c r="B399">
        <f ca="1">dict_zul_Var_Meth[ID_Variables]</f>
        <v>106</v>
      </c>
      <c r="C3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9" t="str">
        <f ca="1">IF(dict_zuord_Meth_Pos[[#This Row],[kval_active]],dict_zuord_Meth_Pos[[#This Row],[ID_Positions]],"")</f>
        <v/>
      </c>
    </row>
    <row r="400" spans="1:4" x14ac:dyDescent="0.45">
      <c r="A400">
        <f ca="1">dict_zul_Var_Meth[ID_Methods]</f>
        <v>470</v>
      </c>
      <c r="B400">
        <f ca="1">dict_zul_Var_Meth[ID_Variables]</f>
        <v>106</v>
      </c>
      <c r="C4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0" t="str">
        <f ca="1">IF(dict_zuord_Meth_Pos[[#This Row],[kval_active]],dict_zuord_Meth_Pos[[#This Row],[ID_Positions]],"")</f>
        <v/>
      </c>
    </row>
    <row r="401" spans="1:4" x14ac:dyDescent="0.45">
      <c r="A401">
        <f ca="1">dict_zul_Var_Meth[ID_Methods]</f>
        <v>635</v>
      </c>
      <c r="B401">
        <f ca="1">dict_zul_Var_Meth[ID_Variables]</f>
        <v>106</v>
      </c>
      <c r="C4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1" t="str">
        <f ca="1">IF(dict_zuord_Meth_Pos[[#This Row],[kval_active]],dict_zuord_Meth_Pos[[#This Row],[ID_Positions]],"")</f>
        <v/>
      </c>
    </row>
    <row r="402" spans="1:4" x14ac:dyDescent="0.45">
      <c r="A402">
        <f ca="1">dict_zul_Var_Meth[ID_Methods]</f>
        <v>355</v>
      </c>
      <c r="B402">
        <f ca="1">dict_zul_Var_Meth[ID_Variables]</f>
        <v>107</v>
      </c>
      <c r="C4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2" t="str">
        <f ca="1">IF(dict_zuord_Meth_Pos[[#This Row],[kval_active]],dict_zuord_Meth_Pos[[#This Row],[ID_Positions]],"")</f>
        <v/>
      </c>
    </row>
    <row r="403" spans="1:4" x14ac:dyDescent="0.45">
      <c r="A403">
        <f ca="1">dict_zul_Var_Meth[ID_Methods]</f>
        <v>427</v>
      </c>
      <c r="B403">
        <f ca="1">dict_zul_Var_Meth[ID_Variables]</f>
        <v>107</v>
      </c>
      <c r="C4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3" t="str">
        <f ca="1">IF(dict_zuord_Meth_Pos[[#This Row],[kval_active]],dict_zuord_Meth_Pos[[#This Row],[ID_Positions]],"")</f>
        <v/>
      </c>
    </row>
    <row r="404" spans="1:4" x14ac:dyDescent="0.45">
      <c r="A404">
        <f ca="1">dict_zul_Var_Meth[ID_Methods]</f>
        <v>491</v>
      </c>
      <c r="B404">
        <f ca="1">dict_zul_Var_Meth[ID_Variables]</f>
        <v>107</v>
      </c>
      <c r="C4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4" t="str">
        <f ca="1">IF(dict_zuord_Meth_Pos[[#This Row],[kval_active]],dict_zuord_Meth_Pos[[#This Row],[ID_Positions]],"")</f>
        <v/>
      </c>
    </row>
    <row r="405" spans="1:4" x14ac:dyDescent="0.45">
      <c r="A405">
        <f ca="1">dict_zul_Var_Meth[ID_Methods]</f>
        <v>305</v>
      </c>
      <c r="B405">
        <f ca="1">dict_zul_Var_Meth[ID_Variables]</f>
        <v>108</v>
      </c>
      <c r="C4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5" t="str">
        <f ca="1">IF(dict_zuord_Meth_Pos[[#This Row],[kval_active]],dict_zuord_Meth_Pos[[#This Row],[ID_Positions]],"")</f>
        <v/>
      </c>
    </row>
    <row r="406" spans="1:4" x14ac:dyDescent="0.45">
      <c r="A406">
        <f ca="1">dict_zul_Var_Meth[ID_Methods]</f>
        <v>675</v>
      </c>
      <c r="B406">
        <f ca="1">dict_zul_Var_Meth[ID_Variables]</f>
        <v>108</v>
      </c>
      <c r="C4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6" t="str">
        <f ca="1">IF(dict_zuord_Meth_Pos[[#This Row],[kval_active]],dict_zuord_Meth_Pos[[#This Row],[ID_Positions]],"")</f>
        <v/>
      </c>
    </row>
    <row r="407" spans="1:4" x14ac:dyDescent="0.45">
      <c r="A407">
        <f ca="1">dict_zul_Var_Meth[ID_Methods]</f>
        <v>679</v>
      </c>
      <c r="B407">
        <f ca="1">dict_zul_Var_Meth[ID_Variables]</f>
        <v>108</v>
      </c>
      <c r="C4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7" t="str">
        <f ca="1">IF(dict_zuord_Meth_Pos[[#This Row],[kval_active]],dict_zuord_Meth_Pos[[#This Row],[ID_Positions]],"")</f>
        <v/>
      </c>
    </row>
    <row r="408" spans="1:4" x14ac:dyDescent="0.45">
      <c r="A408">
        <f ca="1">dict_zul_Var_Meth[ID_Methods]</f>
        <v>687</v>
      </c>
      <c r="B408">
        <f ca="1">dict_zul_Var_Meth[ID_Variables]</f>
        <v>108</v>
      </c>
      <c r="C4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8" t="str">
        <f ca="1">IF(dict_zuord_Meth_Pos[[#This Row],[kval_active]],dict_zuord_Meth_Pos[[#This Row],[ID_Positions]],"")</f>
        <v/>
      </c>
    </row>
    <row r="409" spans="1:4" x14ac:dyDescent="0.45">
      <c r="A409">
        <f ca="1">dict_zul_Var_Meth[ID_Methods]</f>
        <v>107</v>
      </c>
      <c r="B409">
        <f ca="1">dict_zul_Var_Meth[ID_Variables]</f>
        <v>109</v>
      </c>
      <c r="C4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9" t="str">
        <f ca="1">IF(dict_zuord_Meth_Pos[[#This Row],[kval_active]],dict_zuord_Meth_Pos[[#This Row],[ID_Positions]],"")</f>
        <v/>
      </c>
    </row>
    <row r="410" spans="1:4" x14ac:dyDescent="0.45">
      <c r="A410">
        <f ca="1">dict_zul_Var_Meth[ID_Methods]</f>
        <v>243</v>
      </c>
      <c r="B410">
        <f ca="1">dict_zul_Var_Meth[ID_Variables]</f>
        <v>109</v>
      </c>
      <c r="C4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0" t="str">
        <f ca="1">IF(dict_zuord_Meth_Pos[[#This Row],[kval_active]],dict_zuord_Meth_Pos[[#This Row],[ID_Positions]],"")</f>
        <v/>
      </c>
    </row>
    <row r="411" spans="1:4" x14ac:dyDescent="0.45">
      <c r="A411">
        <f ca="1">dict_zul_Var_Meth[ID_Methods]</f>
        <v>337</v>
      </c>
      <c r="B411">
        <f ca="1">dict_zul_Var_Meth[ID_Variables]</f>
        <v>109</v>
      </c>
      <c r="C4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1" t="str">
        <f ca="1">IF(dict_zuord_Meth_Pos[[#This Row],[kval_active]],dict_zuord_Meth_Pos[[#This Row],[ID_Positions]],"")</f>
        <v/>
      </c>
    </row>
    <row r="412" spans="1:4" x14ac:dyDescent="0.45">
      <c r="A412">
        <f ca="1">dict_zul_Var_Meth[ID_Methods]</f>
        <v>656</v>
      </c>
      <c r="B412">
        <f ca="1">dict_zul_Var_Meth[ID_Variables]</f>
        <v>109</v>
      </c>
      <c r="C4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2" t="str">
        <f ca="1">IF(dict_zuord_Meth_Pos[[#This Row],[kval_active]],dict_zuord_Meth_Pos[[#This Row],[ID_Positions]],"")</f>
        <v/>
      </c>
    </row>
    <row r="413" spans="1:4" x14ac:dyDescent="0.45">
      <c r="A413">
        <f ca="1">dict_zul_Var_Meth[ID_Methods]</f>
        <v>102</v>
      </c>
      <c r="B413">
        <f ca="1">dict_zul_Var_Meth[ID_Variables]</f>
        <v>110</v>
      </c>
      <c r="C4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3" t="str">
        <f ca="1">IF(dict_zuord_Meth_Pos[[#This Row],[kval_active]],dict_zuord_Meth_Pos[[#This Row],[ID_Positions]],"")</f>
        <v/>
      </c>
    </row>
    <row r="414" spans="1:4" x14ac:dyDescent="0.45">
      <c r="A414">
        <f ca="1">dict_zul_Var_Meth[ID_Methods]</f>
        <v>109</v>
      </c>
      <c r="B414">
        <f ca="1">dict_zul_Var_Meth[ID_Variables]</f>
        <v>110</v>
      </c>
      <c r="C4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4" t="str">
        <f ca="1">IF(dict_zuord_Meth_Pos[[#This Row],[kval_active]],dict_zuord_Meth_Pos[[#This Row],[ID_Positions]],"")</f>
        <v/>
      </c>
    </row>
    <row r="415" spans="1:4" x14ac:dyDescent="0.45">
      <c r="A415">
        <f ca="1">dict_zul_Var_Meth[ID_Methods]</f>
        <v>501</v>
      </c>
      <c r="B415">
        <f ca="1">dict_zul_Var_Meth[ID_Variables]</f>
        <v>110</v>
      </c>
      <c r="C4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5" t="str">
        <f ca="1">IF(dict_zuord_Meth_Pos[[#This Row],[kval_active]],dict_zuord_Meth_Pos[[#This Row],[ID_Positions]],"")</f>
        <v/>
      </c>
    </row>
    <row r="416" spans="1:4" x14ac:dyDescent="0.45">
      <c r="A416">
        <f ca="1">dict_zul_Var_Meth[ID_Methods]</f>
        <v>155</v>
      </c>
      <c r="B416">
        <f ca="1">dict_zul_Var_Meth[ID_Variables]</f>
        <v>111</v>
      </c>
      <c r="C4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6" t="str">
        <f ca="1">IF(dict_zuord_Meth_Pos[[#This Row],[kval_active]],dict_zuord_Meth_Pos[[#This Row],[ID_Positions]],"")</f>
        <v/>
      </c>
    </row>
    <row r="417" spans="1:4" x14ac:dyDescent="0.45">
      <c r="A417">
        <f ca="1">dict_zul_Var_Meth[ID_Methods]</f>
        <v>342</v>
      </c>
      <c r="B417">
        <f ca="1">dict_zul_Var_Meth[ID_Variables]</f>
        <v>111</v>
      </c>
      <c r="C4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7" t="str">
        <f ca="1">IF(dict_zuord_Meth_Pos[[#This Row],[kval_active]],dict_zuord_Meth_Pos[[#This Row],[ID_Positions]],"")</f>
        <v/>
      </c>
    </row>
    <row r="418" spans="1:4" x14ac:dyDescent="0.45">
      <c r="A418">
        <f ca="1">dict_zul_Var_Meth[ID_Methods]</f>
        <v>420</v>
      </c>
      <c r="B418">
        <f ca="1">dict_zul_Var_Meth[ID_Variables]</f>
        <v>111</v>
      </c>
      <c r="C4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8" t="str">
        <f ca="1">IF(dict_zuord_Meth_Pos[[#This Row],[kval_active]],dict_zuord_Meth_Pos[[#This Row],[ID_Positions]],"")</f>
        <v/>
      </c>
    </row>
    <row r="419" spans="1:4" x14ac:dyDescent="0.45">
      <c r="A419">
        <f ca="1">dict_zul_Var_Meth[ID_Methods]</f>
        <v>442</v>
      </c>
      <c r="B419">
        <f ca="1">dict_zul_Var_Meth[ID_Variables]</f>
        <v>111</v>
      </c>
      <c r="C4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9" t="str">
        <f ca="1">IF(dict_zuord_Meth_Pos[[#This Row],[kval_active]],dict_zuord_Meth_Pos[[#This Row],[ID_Positions]],"")</f>
        <v/>
      </c>
    </row>
    <row r="420" spans="1:4" x14ac:dyDescent="0.45">
      <c r="A420">
        <f ca="1">dict_zul_Var_Meth[ID_Methods]</f>
        <v>48</v>
      </c>
      <c r="B420">
        <f ca="1">dict_zul_Var_Meth[ID_Variables]</f>
        <v>112</v>
      </c>
      <c r="C4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0" t="str">
        <f ca="1">IF(dict_zuord_Meth_Pos[[#This Row],[kval_active]],dict_zuord_Meth_Pos[[#This Row],[ID_Positions]],"")</f>
        <v/>
      </c>
    </row>
    <row r="421" spans="1:4" x14ac:dyDescent="0.45">
      <c r="A421">
        <f ca="1">dict_zul_Var_Meth[ID_Methods]</f>
        <v>308</v>
      </c>
      <c r="B421">
        <f ca="1">dict_zul_Var_Meth[ID_Variables]</f>
        <v>112</v>
      </c>
      <c r="C4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1" t="str">
        <f ca="1">IF(dict_zuord_Meth_Pos[[#This Row],[kval_active]],dict_zuord_Meth_Pos[[#This Row],[ID_Positions]],"")</f>
        <v/>
      </c>
    </row>
    <row r="422" spans="1:4" x14ac:dyDescent="0.45">
      <c r="A422">
        <f ca="1">dict_zul_Var_Meth[ID_Methods]</f>
        <v>465</v>
      </c>
      <c r="B422">
        <f ca="1">dict_zul_Var_Meth[ID_Variables]</f>
        <v>112</v>
      </c>
      <c r="C4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2" t="str">
        <f ca="1">IF(dict_zuord_Meth_Pos[[#This Row],[kval_active]],dict_zuord_Meth_Pos[[#This Row],[ID_Positions]],"")</f>
        <v/>
      </c>
    </row>
    <row r="423" spans="1:4" x14ac:dyDescent="0.45">
      <c r="A423">
        <f ca="1">dict_zul_Var_Meth[ID_Methods]</f>
        <v>673</v>
      </c>
      <c r="B423">
        <f ca="1">dict_zul_Var_Meth[ID_Variables]</f>
        <v>112</v>
      </c>
      <c r="C4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3" t="str">
        <f ca="1">IF(dict_zuord_Meth_Pos[[#This Row],[kval_active]],dict_zuord_Meth_Pos[[#This Row],[ID_Positions]],"")</f>
        <v/>
      </c>
    </row>
    <row r="424" spans="1:4" x14ac:dyDescent="0.45">
      <c r="A424">
        <f ca="1">dict_zul_Var_Meth[ID_Methods]</f>
        <v>34</v>
      </c>
      <c r="B424">
        <f ca="1">dict_zul_Var_Meth[ID_Variables]</f>
        <v>113</v>
      </c>
      <c r="C4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4" t="str">
        <f ca="1">IF(dict_zuord_Meth_Pos[[#This Row],[kval_active]],dict_zuord_Meth_Pos[[#This Row],[ID_Positions]],"")</f>
        <v/>
      </c>
    </row>
    <row r="425" spans="1:4" x14ac:dyDescent="0.45">
      <c r="A425">
        <f ca="1">dict_zul_Var_Meth[ID_Methods]</f>
        <v>177</v>
      </c>
      <c r="B425">
        <f ca="1">dict_zul_Var_Meth[ID_Variables]</f>
        <v>113</v>
      </c>
      <c r="C4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5" t="str">
        <f ca="1">IF(dict_zuord_Meth_Pos[[#This Row],[kval_active]],dict_zuord_Meth_Pos[[#This Row],[ID_Positions]],"")</f>
        <v/>
      </c>
    </row>
    <row r="426" spans="1:4" x14ac:dyDescent="0.45">
      <c r="A426">
        <f ca="1">dict_zul_Var_Meth[ID_Methods]</f>
        <v>695</v>
      </c>
      <c r="B426">
        <f ca="1">dict_zul_Var_Meth[ID_Variables]</f>
        <v>113</v>
      </c>
      <c r="C4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6" t="str">
        <f ca="1">IF(dict_zuord_Meth_Pos[[#This Row],[kval_active]],dict_zuord_Meth_Pos[[#This Row],[ID_Positions]],"")</f>
        <v/>
      </c>
    </row>
    <row r="427" spans="1:4" x14ac:dyDescent="0.45">
      <c r="A427">
        <f ca="1">dict_zul_Var_Meth[ID_Methods]</f>
        <v>26</v>
      </c>
      <c r="B427">
        <f ca="1">dict_zul_Var_Meth[ID_Variables]</f>
        <v>114</v>
      </c>
      <c r="C4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7" t="str">
        <f ca="1">IF(dict_zuord_Meth_Pos[[#This Row],[kval_active]],dict_zuord_Meth_Pos[[#This Row],[ID_Positions]],"")</f>
        <v/>
      </c>
    </row>
    <row r="428" spans="1:4" x14ac:dyDescent="0.45">
      <c r="A428">
        <f ca="1">dict_zul_Var_Meth[ID_Methods]</f>
        <v>148</v>
      </c>
      <c r="B428">
        <f ca="1">dict_zul_Var_Meth[ID_Variables]</f>
        <v>114</v>
      </c>
      <c r="C4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8" t="str">
        <f ca="1">IF(dict_zuord_Meth_Pos[[#This Row],[kval_active]],dict_zuord_Meth_Pos[[#This Row],[ID_Positions]],"")</f>
        <v/>
      </c>
    </row>
    <row r="429" spans="1:4" x14ac:dyDescent="0.45">
      <c r="A429">
        <f ca="1">dict_zul_Var_Meth[ID_Methods]</f>
        <v>388</v>
      </c>
      <c r="B429">
        <f ca="1">dict_zul_Var_Meth[ID_Variables]</f>
        <v>114</v>
      </c>
      <c r="C4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9" t="str">
        <f ca="1">IF(dict_zuord_Meth_Pos[[#This Row],[kval_active]],dict_zuord_Meth_Pos[[#This Row],[ID_Positions]],"")</f>
        <v/>
      </c>
    </row>
    <row r="430" spans="1:4" x14ac:dyDescent="0.45">
      <c r="A430">
        <f ca="1">dict_zul_Var_Meth[ID_Methods]</f>
        <v>449</v>
      </c>
      <c r="B430">
        <f ca="1">dict_zul_Var_Meth[ID_Variables]</f>
        <v>114</v>
      </c>
      <c r="C4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0" t="str">
        <f ca="1">IF(dict_zuord_Meth_Pos[[#This Row],[kval_active]],dict_zuord_Meth_Pos[[#This Row],[ID_Positions]],"")</f>
        <v/>
      </c>
    </row>
    <row r="431" spans="1:4" x14ac:dyDescent="0.45">
      <c r="A431">
        <f ca="1">dict_zul_Var_Meth[ID_Methods]</f>
        <v>550</v>
      </c>
      <c r="B431">
        <f ca="1">dict_zul_Var_Meth[ID_Variables]</f>
        <v>114</v>
      </c>
      <c r="C4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1" t="str">
        <f ca="1">IF(dict_zuord_Meth_Pos[[#This Row],[kval_active]],dict_zuord_Meth_Pos[[#This Row],[ID_Positions]],"")</f>
        <v/>
      </c>
    </row>
    <row r="432" spans="1:4" x14ac:dyDescent="0.45">
      <c r="A432">
        <f ca="1">dict_zul_Var_Meth[ID_Methods]</f>
        <v>694</v>
      </c>
      <c r="B432">
        <f ca="1">dict_zul_Var_Meth[ID_Variables]</f>
        <v>114</v>
      </c>
      <c r="C4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2" t="str">
        <f ca="1">IF(dict_zuord_Meth_Pos[[#This Row],[kval_active]],dict_zuord_Meth_Pos[[#This Row],[ID_Positions]],"")</f>
        <v/>
      </c>
    </row>
    <row r="433" spans="1:4" x14ac:dyDescent="0.45">
      <c r="A433">
        <f ca="1">dict_zul_Var_Meth[ID_Methods]</f>
        <v>192</v>
      </c>
      <c r="B433">
        <f ca="1">dict_zul_Var_Meth[ID_Variables]</f>
        <v>115</v>
      </c>
      <c r="C4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3" t="str">
        <f ca="1">IF(dict_zuord_Meth_Pos[[#This Row],[kval_active]],dict_zuord_Meth_Pos[[#This Row],[ID_Positions]],"")</f>
        <v/>
      </c>
    </row>
    <row r="434" spans="1:4" x14ac:dyDescent="0.45">
      <c r="A434">
        <f ca="1">dict_zul_Var_Meth[ID_Methods]</f>
        <v>379</v>
      </c>
      <c r="B434">
        <f ca="1">dict_zul_Var_Meth[ID_Variables]</f>
        <v>115</v>
      </c>
      <c r="C4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4" t="str">
        <f ca="1">IF(dict_zuord_Meth_Pos[[#This Row],[kval_active]],dict_zuord_Meth_Pos[[#This Row],[ID_Positions]],"")</f>
        <v/>
      </c>
    </row>
    <row r="435" spans="1:4" x14ac:dyDescent="0.45">
      <c r="A435">
        <f ca="1">dict_zul_Var_Meth[ID_Methods]</f>
        <v>186</v>
      </c>
      <c r="B435">
        <f ca="1">dict_zul_Var_Meth[ID_Variables]</f>
        <v>116</v>
      </c>
      <c r="C4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5" t="str">
        <f ca="1">IF(dict_zuord_Meth_Pos[[#This Row],[kval_active]],dict_zuord_Meth_Pos[[#This Row],[ID_Positions]],"")</f>
        <v/>
      </c>
    </row>
    <row r="436" spans="1:4" x14ac:dyDescent="0.45">
      <c r="A436">
        <f ca="1">dict_zul_Var_Meth[ID_Methods]</f>
        <v>539</v>
      </c>
      <c r="B436">
        <f ca="1">dict_zul_Var_Meth[ID_Variables]</f>
        <v>116</v>
      </c>
      <c r="C4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6" t="str">
        <f ca="1">IF(dict_zuord_Meth_Pos[[#This Row],[kval_active]],dict_zuord_Meth_Pos[[#This Row],[ID_Positions]],"")</f>
        <v/>
      </c>
    </row>
    <row r="437" spans="1:4" x14ac:dyDescent="0.45">
      <c r="A437">
        <f ca="1">dict_zul_Var_Meth[ID_Methods]</f>
        <v>668</v>
      </c>
      <c r="B437">
        <f ca="1">dict_zul_Var_Meth[ID_Variables]</f>
        <v>116</v>
      </c>
      <c r="C4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7" t="str">
        <f ca="1">IF(dict_zuord_Meth_Pos[[#This Row],[kval_active]],dict_zuord_Meth_Pos[[#This Row],[ID_Positions]],"")</f>
        <v/>
      </c>
    </row>
    <row r="438" spans="1:4" x14ac:dyDescent="0.45">
      <c r="A438">
        <f ca="1">dict_zul_Var_Meth[ID_Methods]</f>
        <v>696</v>
      </c>
      <c r="B438">
        <f ca="1">dict_zul_Var_Meth[ID_Variables]</f>
        <v>116</v>
      </c>
      <c r="C4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8" t="str">
        <f ca="1">IF(dict_zuord_Meth_Pos[[#This Row],[kval_active]],dict_zuord_Meth_Pos[[#This Row],[ID_Positions]],"")</f>
        <v/>
      </c>
    </row>
    <row r="439" spans="1:4" x14ac:dyDescent="0.45">
      <c r="A439">
        <f ca="1">dict_zul_Var_Meth[ID_Methods]</f>
        <v>29</v>
      </c>
      <c r="B439">
        <f ca="1">dict_zul_Var_Meth[ID_Variables]</f>
        <v>117</v>
      </c>
      <c r="C4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9" t="str">
        <f ca="1">IF(dict_zuord_Meth_Pos[[#This Row],[kval_active]],dict_zuord_Meth_Pos[[#This Row],[ID_Positions]],"")</f>
        <v/>
      </c>
    </row>
    <row r="440" spans="1:4" x14ac:dyDescent="0.45">
      <c r="A440">
        <f ca="1">dict_zul_Var_Meth[ID_Methods]</f>
        <v>281</v>
      </c>
      <c r="B440">
        <f ca="1">dict_zul_Var_Meth[ID_Variables]</f>
        <v>117</v>
      </c>
      <c r="C4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0" t="str">
        <f ca="1">IF(dict_zuord_Meth_Pos[[#This Row],[kval_active]],dict_zuord_Meth_Pos[[#This Row],[ID_Positions]],"")</f>
        <v/>
      </c>
    </row>
    <row r="441" spans="1:4" x14ac:dyDescent="0.45">
      <c r="A441">
        <f ca="1">dict_zul_Var_Meth[ID_Methods]</f>
        <v>445</v>
      </c>
      <c r="B441">
        <f ca="1">dict_zul_Var_Meth[ID_Variables]</f>
        <v>117</v>
      </c>
      <c r="C4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1" t="str">
        <f ca="1">IF(dict_zuord_Meth_Pos[[#This Row],[kval_active]],dict_zuord_Meth_Pos[[#This Row],[ID_Positions]],"")</f>
        <v/>
      </c>
    </row>
    <row r="442" spans="1:4" x14ac:dyDescent="0.45">
      <c r="A442">
        <f ca="1">dict_zul_Var_Meth[ID_Methods]</f>
        <v>52</v>
      </c>
      <c r="B442">
        <f ca="1">dict_zul_Var_Meth[ID_Variables]</f>
        <v>118</v>
      </c>
      <c r="C4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2" t="str">
        <f ca="1">IF(dict_zuord_Meth_Pos[[#This Row],[kval_active]],dict_zuord_Meth_Pos[[#This Row],[ID_Positions]],"")</f>
        <v/>
      </c>
    </row>
    <row r="443" spans="1:4" x14ac:dyDescent="0.45">
      <c r="A443">
        <f ca="1">dict_zul_Var_Meth[ID_Methods]</f>
        <v>157</v>
      </c>
      <c r="B443">
        <f ca="1">dict_zul_Var_Meth[ID_Variables]</f>
        <v>118</v>
      </c>
      <c r="C4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3" t="str">
        <f ca="1">IF(dict_zuord_Meth_Pos[[#This Row],[kval_active]],dict_zuord_Meth_Pos[[#This Row],[ID_Positions]],"")</f>
        <v/>
      </c>
    </row>
    <row r="444" spans="1:4" x14ac:dyDescent="0.45">
      <c r="A444">
        <f ca="1">dict_zul_Var_Meth[ID_Methods]</f>
        <v>161</v>
      </c>
      <c r="B444">
        <f ca="1">dict_zul_Var_Meth[ID_Variables]</f>
        <v>118</v>
      </c>
      <c r="C4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4" t="str">
        <f ca="1">IF(dict_zuord_Meth_Pos[[#This Row],[kval_active]],dict_zuord_Meth_Pos[[#This Row],[ID_Positions]],"")</f>
        <v/>
      </c>
    </row>
    <row r="445" spans="1:4" x14ac:dyDescent="0.45">
      <c r="A445">
        <f ca="1">dict_zul_Var_Meth[ID_Methods]</f>
        <v>280</v>
      </c>
      <c r="B445">
        <f ca="1">dict_zul_Var_Meth[ID_Variables]</f>
        <v>118</v>
      </c>
      <c r="C4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5" t="str">
        <f ca="1">IF(dict_zuord_Meth_Pos[[#This Row],[kval_active]],dict_zuord_Meth_Pos[[#This Row],[ID_Positions]],"")</f>
        <v/>
      </c>
    </row>
    <row r="446" spans="1:4" x14ac:dyDescent="0.45">
      <c r="A446">
        <f ca="1">dict_zul_Var_Meth[ID_Methods]</f>
        <v>560</v>
      </c>
      <c r="B446">
        <f ca="1">dict_zul_Var_Meth[ID_Variables]</f>
        <v>118</v>
      </c>
      <c r="C4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6" t="str">
        <f ca="1">IF(dict_zuord_Meth_Pos[[#This Row],[kval_active]],dict_zuord_Meth_Pos[[#This Row],[ID_Positions]],"")</f>
        <v/>
      </c>
    </row>
    <row r="447" spans="1:4" x14ac:dyDescent="0.45">
      <c r="A447">
        <f ca="1">dict_zul_Var_Meth[ID_Methods]</f>
        <v>40</v>
      </c>
      <c r="B447">
        <f ca="1">dict_zul_Var_Meth[ID_Variables]</f>
        <v>119</v>
      </c>
      <c r="C4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7" t="str">
        <f ca="1">IF(dict_zuord_Meth_Pos[[#This Row],[kval_active]],dict_zuord_Meth_Pos[[#This Row],[ID_Positions]],"")</f>
        <v/>
      </c>
    </row>
    <row r="448" spans="1:4" x14ac:dyDescent="0.45">
      <c r="A448">
        <f ca="1">dict_zul_Var_Meth[ID_Methods]</f>
        <v>253</v>
      </c>
      <c r="B448">
        <f ca="1">dict_zul_Var_Meth[ID_Variables]</f>
        <v>119</v>
      </c>
      <c r="C4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8" t="str">
        <f ca="1">IF(dict_zuord_Meth_Pos[[#This Row],[kval_active]],dict_zuord_Meth_Pos[[#This Row],[ID_Positions]],"")</f>
        <v/>
      </c>
    </row>
    <row r="449" spans="1:4" x14ac:dyDescent="0.45">
      <c r="A449">
        <f ca="1">dict_zul_Var_Meth[ID_Methods]</f>
        <v>646</v>
      </c>
      <c r="B449">
        <f ca="1">dict_zul_Var_Meth[ID_Variables]</f>
        <v>119</v>
      </c>
      <c r="C4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9" t="str">
        <f ca="1">IF(dict_zuord_Meth_Pos[[#This Row],[kval_active]],dict_zuord_Meth_Pos[[#This Row],[ID_Positions]],"")</f>
        <v/>
      </c>
    </row>
    <row r="450" spans="1:4" x14ac:dyDescent="0.45">
      <c r="A450">
        <f ca="1">dict_zul_Var_Meth[ID_Methods]</f>
        <v>56</v>
      </c>
      <c r="B450">
        <f ca="1">dict_zul_Var_Meth[ID_Variables]</f>
        <v>120</v>
      </c>
      <c r="C4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0" t="str">
        <f ca="1">IF(dict_zuord_Meth_Pos[[#This Row],[kval_active]],dict_zuord_Meth_Pos[[#This Row],[ID_Positions]],"")</f>
        <v/>
      </c>
    </row>
    <row r="451" spans="1:4" x14ac:dyDescent="0.45">
      <c r="A451">
        <f ca="1">dict_zul_Var_Meth[ID_Methods]</f>
        <v>123</v>
      </c>
      <c r="B451">
        <f ca="1">dict_zul_Var_Meth[ID_Variables]</f>
        <v>120</v>
      </c>
      <c r="C4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1" t="str">
        <f ca="1">IF(dict_zuord_Meth_Pos[[#This Row],[kval_active]],dict_zuord_Meth_Pos[[#This Row],[ID_Positions]],"")</f>
        <v/>
      </c>
    </row>
    <row r="452" spans="1:4" x14ac:dyDescent="0.45">
      <c r="A452">
        <f ca="1">dict_zul_Var_Meth[ID_Methods]</f>
        <v>140</v>
      </c>
      <c r="B452">
        <f ca="1">dict_zul_Var_Meth[ID_Variables]</f>
        <v>120</v>
      </c>
      <c r="C4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2" t="str">
        <f ca="1">IF(dict_zuord_Meth_Pos[[#This Row],[kval_active]],dict_zuord_Meth_Pos[[#This Row],[ID_Positions]],"")</f>
        <v/>
      </c>
    </row>
    <row r="453" spans="1:4" x14ac:dyDescent="0.45">
      <c r="A453">
        <f ca="1">dict_zul_Var_Meth[ID_Methods]</f>
        <v>314</v>
      </c>
      <c r="B453">
        <f ca="1">dict_zul_Var_Meth[ID_Variables]</f>
        <v>120</v>
      </c>
      <c r="C4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3" t="str">
        <f ca="1">IF(dict_zuord_Meth_Pos[[#This Row],[kval_active]],dict_zuord_Meth_Pos[[#This Row],[ID_Positions]],"")</f>
        <v/>
      </c>
    </row>
    <row r="454" spans="1:4" x14ac:dyDescent="0.45">
      <c r="A454">
        <f ca="1">dict_zul_Var_Meth[ID_Methods]</f>
        <v>434</v>
      </c>
      <c r="B454">
        <f ca="1">dict_zul_Var_Meth[ID_Variables]</f>
        <v>120</v>
      </c>
      <c r="C4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4" t="str">
        <f ca="1">IF(dict_zuord_Meth_Pos[[#This Row],[kval_active]],dict_zuord_Meth_Pos[[#This Row],[ID_Positions]],"")</f>
        <v/>
      </c>
    </row>
    <row r="455" spans="1:4" x14ac:dyDescent="0.45">
      <c r="A455">
        <f ca="1">dict_zul_Var_Meth[ID_Methods]</f>
        <v>484</v>
      </c>
      <c r="B455">
        <f ca="1">dict_zul_Var_Meth[ID_Variables]</f>
        <v>121</v>
      </c>
      <c r="C4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5" t="str">
        <f ca="1">IF(dict_zuord_Meth_Pos[[#This Row],[kval_active]],dict_zuord_Meth_Pos[[#This Row],[ID_Positions]],"")</f>
        <v/>
      </c>
    </row>
    <row r="456" spans="1:4" x14ac:dyDescent="0.45">
      <c r="A456">
        <f ca="1">dict_zul_Var_Meth[ID_Methods]</f>
        <v>497</v>
      </c>
      <c r="B456">
        <f ca="1">dict_zul_Var_Meth[ID_Variables]</f>
        <v>121</v>
      </c>
      <c r="C4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6" t="str">
        <f ca="1">IF(dict_zuord_Meth_Pos[[#This Row],[kval_active]],dict_zuord_Meth_Pos[[#This Row],[ID_Positions]],"")</f>
        <v/>
      </c>
    </row>
    <row r="457" spans="1:4" x14ac:dyDescent="0.45">
      <c r="A457">
        <f ca="1">dict_zul_Var_Meth[ID_Methods]</f>
        <v>607</v>
      </c>
      <c r="B457">
        <f ca="1">dict_zul_Var_Meth[ID_Variables]</f>
        <v>121</v>
      </c>
      <c r="C4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7" t="str">
        <f ca="1">IF(dict_zuord_Meth_Pos[[#This Row],[kval_active]],dict_zuord_Meth_Pos[[#This Row],[ID_Positions]],"")</f>
        <v/>
      </c>
    </row>
    <row r="458" spans="1:4" x14ac:dyDescent="0.45">
      <c r="A458">
        <f ca="1">dict_zul_Var_Meth[ID_Methods]</f>
        <v>33</v>
      </c>
      <c r="B458">
        <f ca="1">dict_zul_Var_Meth[ID_Variables]</f>
        <v>122</v>
      </c>
      <c r="C4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8" t="str">
        <f ca="1">IF(dict_zuord_Meth_Pos[[#This Row],[kval_active]],dict_zuord_Meth_Pos[[#This Row],[ID_Positions]],"")</f>
        <v/>
      </c>
    </row>
    <row r="459" spans="1:4" x14ac:dyDescent="0.45">
      <c r="A459">
        <f ca="1">dict_zul_Var_Meth[ID_Methods]</f>
        <v>93</v>
      </c>
      <c r="B459">
        <f ca="1">dict_zul_Var_Meth[ID_Variables]</f>
        <v>122</v>
      </c>
      <c r="C4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9" t="str">
        <f ca="1">IF(dict_zuord_Meth_Pos[[#This Row],[kval_active]],dict_zuord_Meth_Pos[[#This Row],[ID_Positions]],"")</f>
        <v/>
      </c>
    </row>
    <row r="460" spans="1:4" x14ac:dyDescent="0.45">
      <c r="A460">
        <f ca="1">dict_zul_Var_Meth[ID_Methods]</f>
        <v>514</v>
      </c>
      <c r="B460">
        <f ca="1">dict_zul_Var_Meth[ID_Variables]</f>
        <v>122</v>
      </c>
      <c r="C4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0" t="str">
        <f ca="1">IF(dict_zuord_Meth_Pos[[#This Row],[kval_active]],dict_zuord_Meth_Pos[[#This Row],[ID_Positions]],"")</f>
        <v/>
      </c>
    </row>
    <row r="461" spans="1:4" x14ac:dyDescent="0.45">
      <c r="A461">
        <f ca="1">dict_zul_Var_Meth[ID_Methods]</f>
        <v>616</v>
      </c>
      <c r="B461">
        <f ca="1">dict_zul_Var_Meth[ID_Variables]</f>
        <v>122</v>
      </c>
      <c r="C4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1" t="str">
        <f ca="1">IF(dict_zuord_Meth_Pos[[#This Row],[kval_active]],dict_zuord_Meth_Pos[[#This Row],[ID_Positions]],"")</f>
        <v/>
      </c>
    </row>
    <row r="462" spans="1:4" x14ac:dyDescent="0.45">
      <c r="A462">
        <f ca="1">dict_zul_Var_Meth[ID_Methods]</f>
        <v>461</v>
      </c>
      <c r="B462">
        <f ca="1">dict_zul_Var_Meth[ID_Variables]</f>
        <v>123</v>
      </c>
      <c r="C4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2" t="str">
        <f ca="1">IF(dict_zuord_Meth_Pos[[#This Row],[kval_active]],dict_zuord_Meth_Pos[[#This Row],[ID_Positions]],"")</f>
        <v/>
      </c>
    </row>
    <row r="463" spans="1:4" x14ac:dyDescent="0.45">
      <c r="A463">
        <f ca="1">dict_zul_Var_Meth[ID_Methods]</f>
        <v>538</v>
      </c>
      <c r="B463">
        <f ca="1">dict_zul_Var_Meth[ID_Variables]</f>
        <v>123</v>
      </c>
      <c r="C4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3" t="str">
        <f ca="1">IF(dict_zuord_Meth_Pos[[#This Row],[kval_active]],dict_zuord_Meth_Pos[[#This Row],[ID_Positions]],"")</f>
        <v/>
      </c>
    </row>
    <row r="464" spans="1:4" x14ac:dyDescent="0.45">
      <c r="A464">
        <f ca="1">dict_zul_Var_Meth[ID_Methods]</f>
        <v>571</v>
      </c>
      <c r="B464">
        <f ca="1">dict_zul_Var_Meth[ID_Variables]</f>
        <v>123</v>
      </c>
      <c r="C4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4" t="str">
        <f ca="1">IF(dict_zuord_Meth_Pos[[#This Row],[kval_active]],dict_zuord_Meth_Pos[[#This Row],[ID_Positions]],"")</f>
        <v/>
      </c>
    </row>
    <row r="465" spans="1:4" x14ac:dyDescent="0.45">
      <c r="A465">
        <f ca="1">dict_zul_Var_Meth[ID_Methods]</f>
        <v>112</v>
      </c>
      <c r="B465">
        <f ca="1">dict_zul_Var_Meth[ID_Variables]</f>
        <v>124</v>
      </c>
      <c r="C4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5" t="str">
        <f ca="1">IF(dict_zuord_Meth_Pos[[#This Row],[kval_active]],dict_zuord_Meth_Pos[[#This Row],[ID_Positions]],"")</f>
        <v/>
      </c>
    </row>
    <row r="466" spans="1:4" x14ac:dyDescent="0.45">
      <c r="A466">
        <f ca="1">dict_zul_Var_Meth[ID_Methods]</f>
        <v>256</v>
      </c>
      <c r="B466">
        <f ca="1">dict_zul_Var_Meth[ID_Variables]</f>
        <v>124</v>
      </c>
      <c r="C4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6" t="str">
        <f ca="1">IF(dict_zuord_Meth_Pos[[#This Row],[kval_active]],dict_zuord_Meth_Pos[[#This Row],[ID_Positions]],"")</f>
        <v/>
      </c>
    </row>
    <row r="467" spans="1:4" x14ac:dyDescent="0.45">
      <c r="A467">
        <f ca="1">dict_zul_Var_Meth[ID_Methods]</f>
        <v>316</v>
      </c>
      <c r="B467">
        <f ca="1">dict_zul_Var_Meth[ID_Variables]</f>
        <v>124</v>
      </c>
      <c r="C4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7" t="str">
        <f ca="1">IF(dict_zuord_Meth_Pos[[#This Row],[kval_active]],dict_zuord_Meth_Pos[[#This Row],[ID_Positions]],"")</f>
        <v/>
      </c>
    </row>
    <row r="468" spans="1:4" x14ac:dyDescent="0.45">
      <c r="A468">
        <f ca="1">dict_zul_Var_Meth[ID_Methods]</f>
        <v>685</v>
      </c>
      <c r="B468">
        <f ca="1">dict_zul_Var_Meth[ID_Variables]</f>
        <v>124</v>
      </c>
      <c r="C4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8" t="str">
        <f ca="1">IF(dict_zuord_Meth_Pos[[#This Row],[kval_active]],dict_zuord_Meth_Pos[[#This Row],[ID_Positions]],"")</f>
        <v/>
      </c>
    </row>
    <row r="469" spans="1:4" x14ac:dyDescent="0.45">
      <c r="A469">
        <f ca="1">dict_zul_Var_Meth[ID_Methods]</f>
        <v>17</v>
      </c>
      <c r="B469">
        <f ca="1">dict_zul_Var_Meth[ID_Variables]</f>
        <v>125</v>
      </c>
      <c r="C4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9" t="str">
        <f ca="1">IF(dict_zuord_Meth_Pos[[#This Row],[kval_active]],dict_zuord_Meth_Pos[[#This Row],[ID_Positions]],"")</f>
        <v/>
      </c>
    </row>
    <row r="470" spans="1:4" x14ac:dyDescent="0.45">
      <c r="A470">
        <f ca="1">dict_zul_Var_Meth[ID_Methods]</f>
        <v>21</v>
      </c>
      <c r="B470">
        <f ca="1">dict_zul_Var_Meth[ID_Variables]</f>
        <v>125</v>
      </c>
      <c r="C4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0" t="str">
        <f ca="1">IF(dict_zuord_Meth_Pos[[#This Row],[kval_active]],dict_zuord_Meth_Pos[[#This Row],[ID_Positions]],"")</f>
        <v/>
      </c>
    </row>
    <row r="471" spans="1:4" x14ac:dyDescent="0.45">
      <c r="A471">
        <f ca="1">dict_zul_Var_Meth[ID_Methods]</f>
        <v>51</v>
      </c>
      <c r="B471">
        <f ca="1">dict_zul_Var_Meth[ID_Variables]</f>
        <v>125</v>
      </c>
      <c r="C4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1">
        <f ca="1">IF(dict_zuord_Meth_Pos[[#This Row],[kval_active]],dict_zuord_Meth_Pos[[#This Row],[ID_Positions]],"")</f>
        <v>125</v>
      </c>
    </row>
    <row r="472" spans="1:4" x14ac:dyDescent="0.45">
      <c r="A472">
        <f ca="1">dict_zul_Var_Meth[ID_Methods]</f>
        <v>234</v>
      </c>
      <c r="B472">
        <f ca="1">dict_zul_Var_Meth[ID_Variables]</f>
        <v>125</v>
      </c>
      <c r="C4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2" t="str">
        <f ca="1">IF(dict_zuord_Meth_Pos[[#This Row],[kval_active]],dict_zuord_Meth_Pos[[#This Row],[ID_Positions]],"")</f>
        <v/>
      </c>
    </row>
    <row r="473" spans="1:4" x14ac:dyDescent="0.45">
      <c r="A473">
        <f ca="1">dict_zul_Var_Meth[ID_Methods]</f>
        <v>664</v>
      </c>
      <c r="B473">
        <f ca="1">dict_zul_Var_Meth[ID_Variables]</f>
        <v>125</v>
      </c>
      <c r="C4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3" t="str">
        <f ca="1">IF(dict_zuord_Meth_Pos[[#This Row],[kval_active]],dict_zuord_Meth_Pos[[#This Row],[ID_Positions]],"")</f>
        <v/>
      </c>
    </row>
    <row r="474" spans="1:4" x14ac:dyDescent="0.45">
      <c r="A474">
        <f ca="1">dict_zul_Var_Meth[ID_Methods]</f>
        <v>119</v>
      </c>
      <c r="B474">
        <f ca="1">dict_zul_Var_Meth[ID_Variables]</f>
        <v>126</v>
      </c>
      <c r="C4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4" t="str">
        <f ca="1">IF(dict_zuord_Meth_Pos[[#This Row],[kval_active]],dict_zuord_Meth_Pos[[#This Row],[ID_Positions]],"")</f>
        <v/>
      </c>
    </row>
    <row r="475" spans="1:4" x14ac:dyDescent="0.45">
      <c r="A475">
        <f ca="1">dict_zul_Var_Meth[ID_Methods]</f>
        <v>3</v>
      </c>
      <c r="B475">
        <f ca="1">dict_zul_Var_Meth[ID_Variables]</f>
        <v>127</v>
      </c>
      <c r="C4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5" t="str">
        <f ca="1">IF(dict_zuord_Meth_Pos[[#This Row],[kval_active]],dict_zuord_Meth_Pos[[#This Row],[ID_Positions]],"")</f>
        <v/>
      </c>
    </row>
    <row r="476" spans="1:4" x14ac:dyDescent="0.45">
      <c r="A476">
        <f ca="1">dict_zul_Var_Meth[ID_Methods]</f>
        <v>19</v>
      </c>
      <c r="B476">
        <f ca="1">dict_zul_Var_Meth[ID_Variables]</f>
        <v>127</v>
      </c>
      <c r="C4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6" t="str">
        <f ca="1">IF(dict_zuord_Meth_Pos[[#This Row],[kval_active]],dict_zuord_Meth_Pos[[#This Row],[ID_Positions]],"")</f>
        <v/>
      </c>
    </row>
    <row r="477" spans="1:4" x14ac:dyDescent="0.45">
      <c r="A477">
        <f ca="1">dict_zul_Var_Meth[ID_Methods]</f>
        <v>336</v>
      </c>
      <c r="B477">
        <f ca="1">dict_zul_Var_Meth[ID_Variables]</f>
        <v>127</v>
      </c>
      <c r="C4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7" t="str">
        <f ca="1">IF(dict_zuord_Meth_Pos[[#This Row],[kval_active]],dict_zuord_Meth_Pos[[#This Row],[ID_Positions]],"")</f>
        <v/>
      </c>
    </row>
    <row r="478" spans="1:4" x14ac:dyDescent="0.45">
      <c r="A478">
        <f ca="1">dict_zul_Var_Meth[ID_Methods]</f>
        <v>415</v>
      </c>
      <c r="B478">
        <f ca="1">dict_zul_Var_Meth[ID_Variables]</f>
        <v>127</v>
      </c>
      <c r="C4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8" t="str">
        <f ca="1">IF(dict_zuord_Meth_Pos[[#This Row],[kval_active]],dict_zuord_Meth_Pos[[#This Row],[ID_Positions]],"")</f>
        <v/>
      </c>
    </row>
    <row r="479" spans="1:4" x14ac:dyDescent="0.45">
      <c r="A479">
        <f ca="1">dict_zul_Var_Meth[ID_Methods]</f>
        <v>511</v>
      </c>
      <c r="B479">
        <f ca="1">dict_zul_Var_Meth[ID_Variables]</f>
        <v>127</v>
      </c>
      <c r="C4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9" t="str">
        <f ca="1">IF(dict_zuord_Meth_Pos[[#This Row],[kval_active]],dict_zuord_Meth_Pos[[#This Row],[ID_Positions]],"")</f>
        <v/>
      </c>
    </row>
    <row r="480" spans="1:4" x14ac:dyDescent="0.45">
      <c r="A480">
        <f ca="1">dict_zul_Var_Meth[ID_Methods]</f>
        <v>32</v>
      </c>
      <c r="B480">
        <f ca="1">dict_zul_Var_Meth[ID_Variables]</f>
        <v>128</v>
      </c>
      <c r="C4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0" t="str">
        <f ca="1">IF(dict_zuord_Meth_Pos[[#This Row],[kval_active]],dict_zuord_Meth_Pos[[#This Row],[ID_Positions]],"")</f>
        <v/>
      </c>
    </row>
    <row r="481" spans="1:4" x14ac:dyDescent="0.45">
      <c r="A481">
        <f ca="1">dict_zul_Var_Meth[ID_Methods]</f>
        <v>522</v>
      </c>
      <c r="B481">
        <f ca="1">dict_zul_Var_Meth[ID_Variables]</f>
        <v>128</v>
      </c>
      <c r="C4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1" t="str">
        <f ca="1">IF(dict_zuord_Meth_Pos[[#This Row],[kval_active]],dict_zuord_Meth_Pos[[#This Row],[ID_Positions]],"")</f>
        <v/>
      </c>
    </row>
    <row r="482" spans="1:4" x14ac:dyDescent="0.45">
      <c r="A482">
        <f ca="1">dict_zul_Var_Meth[ID_Methods]</f>
        <v>526</v>
      </c>
      <c r="B482">
        <f ca="1">dict_zul_Var_Meth[ID_Variables]</f>
        <v>128</v>
      </c>
      <c r="C4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2" t="str">
        <f ca="1">IF(dict_zuord_Meth_Pos[[#This Row],[kval_active]],dict_zuord_Meth_Pos[[#This Row],[ID_Positions]],"")</f>
        <v/>
      </c>
    </row>
    <row r="483" spans="1:4" x14ac:dyDescent="0.45">
      <c r="A483">
        <f ca="1">dict_zul_Var_Meth[ID_Methods]</f>
        <v>631</v>
      </c>
      <c r="B483">
        <f ca="1">dict_zul_Var_Meth[ID_Variables]</f>
        <v>128</v>
      </c>
      <c r="C4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3" t="str">
        <f ca="1">IF(dict_zuord_Meth_Pos[[#This Row],[kval_active]],dict_zuord_Meth_Pos[[#This Row],[ID_Positions]],"")</f>
        <v/>
      </c>
    </row>
    <row r="484" spans="1:4" x14ac:dyDescent="0.45">
      <c r="A484">
        <f ca="1">dict_zul_Var_Meth[ID_Methods]</f>
        <v>374</v>
      </c>
      <c r="B484">
        <f ca="1">dict_zul_Var_Meth[ID_Variables]</f>
        <v>129</v>
      </c>
      <c r="C4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4" t="str">
        <f ca="1">IF(dict_zuord_Meth_Pos[[#This Row],[kval_active]],dict_zuord_Meth_Pos[[#This Row],[ID_Positions]],"")</f>
        <v/>
      </c>
    </row>
    <row r="485" spans="1:4" x14ac:dyDescent="0.45">
      <c r="A485">
        <f ca="1">dict_zul_Var_Meth[ID_Methods]</f>
        <v>475</v>
      </c>
      <c r="B485">
        <f ca="1">dict_zul_Var_Meth[ID_Variables]</f>
        <v>129</v>
      </c>
      <c r="C4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5" t="str">
        <f ca="1">IF(dict_zuord_Meth_Pos[[#This Row],[kval_active]],dict_zuord_Meth_Pos[[#This Row],[ID_Positions]],"")</f>
        <v/>
      </c>
    </row>
    <row r="486" spans="1:4" x14ac:dyDescent="0.45">
      <c r="A486">
        <f ca="1">dict_zul_Var_Meth[ID_Methods]</f>
        <v>518</v>
      </c>
      <c r="B486">
        <f ca="1">dict_zul_Var_Meth[ID_Variables]</f>
        <v>129</v>
      </c>
      <c r="C4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6" t="str">
        <f ca="1">IF(dict_zuord_Meth_Pos[[#This Row],[kval_active]],dict_zuord_Meth_Pos[[#This Row],[ID_Positions]],"")</f>
        <v/>
      </c>
    </row>
    <row r="487" spans="1:4" x14ac:dyDescent="0.45">
      <c r="A487">
        <f ca="1">dict_zul_Var_Meth[ID_Methods]</f>
        <v>106</v>
      </c>
      <c r="B487">
        <f ca="1">dict_zul_Var_Meth[ID_Variables]</f>
        <v>130</v>
      </c>
      <c r="C4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7" t="str">
        <f ca="1">IF(dict_zuord_Meth_Pos[[#This Row],[kval_active]],dict_zuord_Meth_Pos[[#This Row],[ID_Positions]],"")</f>
        <v/>
      </c>
    </row>
    <row r="488" spans="1:4" x14ac:dyDescent="0.45">
      <c r="A488">
        <f ca="1">dict_zul_Var_Meth[ID_Methods]</f>
        <v>347</v>
      </c>
      <c r="B488">
        <f ca="1">dict_zul_Var_Meth[ID_Variables]</f>
        <v>130</v>
      </c>
      <c r="C4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8" t="str">
        <f ca="1">IF(dict_zuord_Meth_Pos[[#This Row],[kval_active]],dict_zuord_Meth_Pos[[#This Row],[ID_Positions]],"")</f>
        <v/>
      </c>
    </row>
    <row r="489" spans="1:4" x14ac:dyDescent="0.45">
      <c r="A489">
        <f ca="1">dict_zul_Var_Meth[ID_Methods]</f>
        <v>513</v>
      </c>
      <c r="B489">
        <f ca="1">dict_zul_Var_Meth[ID_Variables]</f>
        <v>130</v>
      </c>
      <c r="C4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9" t="str">
        <f ca="1">IF(dict_zuord_Meth_Pos[[#This Row],[kval_active]],dict_zuord_Meth_Pos[[#This Row],[ID_Positions]],"")</f>
        <v/>
      </c>
    </row>
    <row r="490" spans="1:4" x14ac:dyDescent="0.45">
      <c r="A490">
        <f ca="1">dict_zul_Var_Meth[ID_Methods]</f>
        <v>633</v>
      </c>
      <c r="B490">
        <f ca="1">dict_zul_Var_Meth[ID_Variables]</f>
        <v>130</v>
      </c>
      <c r="C4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0" t="str">
        <f ca="1">IF(dict_zuord_Meth_Pos[[#This Row],[kval_active]],dict_zuord_Meth_Pos[[#This Row],[ID_Positions]],"")</f>
        <v/>
      </c>
    </row>
    <row r="491" spans="1:4" x14ac:dyDescent="0.45">
      <c r="A491">
        <f ca="1">dict_zul_Var_Meth[ID_Methods]</f>
        <v>86</v>
      </c>
      <c r="B491">
        <f ca="1">dict_zul_Var_Meth[ID_Variables]</f>
        <v>131</v>
      </c>
      <c r="C4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1" t="str">
        <f ca="1">IF(dict_zuord_Meth_Pos[[#This Row],[kval_active]],dict_zuord_Meth_Pos[[#This Row],[ID_Positions]],"")</f>
        <v/>
      </c>
    </row>
    <row r="492" spans="1:4" x14ac:dyDescent="0.45">
      <c r="A492">
        <f ca="1">dict_zul_Var_Meth[ID_Methods]</f>
        <v>113</v>
      </c>
      <c r="B492">
        <f ca="1">dict_zul_Var_Meth[ID_Variables]</f>
        <v>131</v>
      </c>
      <c r="C4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2" t="str">
        <f ca="1">IF(dict_zuord_Meth_Pos[[#This Row],[kval_active]],dict_zuord_Meth_Pos[[#This Row],[ID_Positions]],"")</f>
        <v/>
      </c>
    </row>
    <row r="493" spans="1:4" x14ac:dyDescent="0.45">
      <c r="A493">
        <f ca="1">dict_zul_Var_Meth[ID_Methods]</f>
        <v>609</v>
      </c>
      <c r="B493">
        <f ca="1">dict_zul_Var_Meth[ID_Variables]</f>
        <v>131</v>
      </c>
      <c r="C4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3" t="str">
        <f ca="1">IF(dict_zuord_Meth_Pos[[#This Row],[kval_active]],dict_zuord_Meth_Pos[[#This Row],[ID_Positions]],"")</f>
        <v/>
      </c>
    </row>
    <row r="494" spans="1:4" x14ac:dyDescent="0.45">
      <c r="A494">
        <f ca="1">dict_zul_Var_Meth[ID_Methods]</f>
        <v>700</v>
      </c>
      <c r="B494">
        <f ca="1">dict_zul_Var_Meth[ID_Variables]</f>
        <v>131</v>
      </c>
      <c r="C4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4" t="str">
        <f ca="1">IF(dict_zuord_Meth_Pos[[#This Row],[kval_active]],dict_zuord_Meth_Pos[[#This Row],[ID_Positions]],"")</f>
        <v/>
      </c>
    </row>
    <row r="495" spans="1:4" x14ac:dyDescent="0.45">
      <c r="A495">
        <f ca="1">dict_zul_Var_Meth[ID_Methods]</f>
        <v>2</v>
      </c>
      <c r="B495">
        <f ca="1">dict_zul_Var_Meth[ID_Variables]</f>
        <v>132</v>
      </c>
      <c r="C4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5" t="str">
        <f ca="1">IF(dict_zuord_Meth_Pos[[#This Row],[kval_active]],dict_zuord_Meth_Pos[[#This Row],[ID_Positions]],"")</f>
        <v/>
      </c>
    </row>
    <row r="496" spans="1:4" x14ac:dyDescent="0.45">
      <c r="A496">
        <f ca="1">dict_zul_Var_Meth[ID_Methods]</f>
        <v>4</v>
      </c>
      <c r="B496">
        <f ca="1">dict_zul_Var_Meth[ID_Variables]</f>
        <v>132</v>
      </c>
      <c r="C4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6">
        <f ca="1">IF(dict_zuord_Meth_Pos[[#This Row],[kval_active]],dict_zuord_Meth_Pos[[#This Row],[ID_Positions]],"")</f>
        <v>132</v>
      </c>
    </row>
    <row r="497" spans="1:4" x14ac:dyDescent="0.45">
      <c r="A497">
        <f ca="1">dict_zul_Var_Meth[ID_Methods]</f>
        <v>295</v>
      </c>
      <c r="B497">
        <f ca="1">dict_zul_Var_Meth[ID_Variables]</f>
        <v>132</v>
      </c>
      <c r="C4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7" t="str">
        <f ca="1">IF(dict_zuord_Meth_Pos[[#This Row],[kval_active]],dict_zuord_Meth_Pos[[#This Row],[ID_Positions]],"")</f>
        <v/>
      </c>
    </row>
    <row r="498" spans="1:4" x14ac:dyDescent="0.45">
      <c r="A498">
        <f ca="1">dict_zul_Var_Meth[ID_Methods]</f>
        <v>14</v>
      </c>
      <c r="B498">
        <f ca="1">dict_zul_Var_Meth[ID_Variables]</f>
        <v>133</v>
      </c>
      <c r="C4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8" t="str">
        <f ca="1">IF(dict_zuord_Meth_Pos[[#This Row],[kval_active]],dict_zuord_Meth_Pos[[#This Row],[ID_Positions]],"")</f>
        <v/>
      </c>
    </row>
    <row r="499" spans="1:4" x14ac:dyDescent="0.45">
      <c r="A499">
        <f ca="1">dict_zul_Var_Meth[ID_Methods]</f>
        <v>213</v>
      </c>
      <c r="B499">
        <f ca="1">dict_zul_Var_Meth[ID_Variables]</f>
        <v>133</v>
      </c>
      <c r="C4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9" t="str">
        <f ca="1">IF(dict_zuord_Meth_Pos[[#This Row],[kval_active]],dict_zuord_Meth_Pos[[#This Row],[ID_Positions]],"")</f>
        <v/>
      </c>
    </row>
    <row r="500" spans="1:4" x14ac:dyDescent="0.45">
      <c r="A500">
        <f ca="1">dict_zul_Var_Meth[ID_Methods]</f>
        <v>306</v>
      </c>
      <c r="B500">
        <f ca="1">dict_zul_Var_Meth[ID_Variables]</f>
        <v>133</v>
      </c>
      <c r="C5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0" t="str">
        <f ca="1">IF(dict_zuord_Meth_Pos[[#This Row],[kval_active]],dict_zuord_Meth_Pos[[#This Row],[ID_Positions]],"")</f>
        <v/>
      </c>
    </row>
    <row r="501" spans="1:4" x14ac:dyDescent="0.45">
      <c r="A501">
        <f ca="1">dict_zul_Var_Meth[ID_Methods]</f>
        <v>471</v>
      </c>
      <c r="B501">
        <f ca="1">dict_zul_Var_Meth[ID_Variables]</f>
        <v>133</v>
      </c>
      <c r="C5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1" t="str">
        <f ca="1">IF(dict_zuord_Meth_Pos[[#This Row],[kval_active]],dict_zuord_Meth_Pos[[#This Row],[ID_Positions]],"")</f>
        <v/>
      </c>
    </row>
    <row r="502" spans="1:4" x14ac:dyDescent="0.45">
      <c r="A502">
        <f ca="1">dict_zul_Var_Meth[ID_Methods]</f>
        <v>508</v>
      </c>
      <c r="B502">
        <f ca="1">dict_zul_Var_Meth[ID_Variables]</f>
        <v>133</v>
      </c>
      <c r="C5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2" t="str">
        <f ca="1">IF(dict_zuord_Meth_Pos[[#This Row],[kval_active]],dict_zuord_Meth_Pos[[#This Row],[ID_Positions]],"")</f>
        <v/>
      </c>
    </row>
    <row r="503" spans="1:4" x14ac:dyDescent="0.45">
      <c r="A503">
        <f ca="1">dict_zul_Var_Meth[ID_Methods]</f>
        <v>556</v>
      </c>
      <c r="B503">
        <f ca="1">dict_zul_Var_Meth[ID_Variables]</f>
        <v>133</v>
      </c>
      <c r="C5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3" t="str">
        <f ca="1">IF(dict_zuord_Meth_Pos[[#This Row],[kval_active]],dict_zuord_Meth_Pos[[#This Row],[ID_Positions]],"")</f>
        <v/>
      </c>
    </row>
    <row r="504" spans="1:4" x14ac:dyDescent="0.45">
      <c r="A504">
        <f ca="1">dict_zul_Var_Meth[ID_Methods]</f>
        <v>363</v>
      </c>
      <c r="B504">
        <f ca="1">dict_zul_Var_Meth[ID_Variables]</f>
        <v>134</v>
      </c>
      <c r="C5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4" t="str">
        <f ca="1">IF(dict_zuord_Meth_Pos[[#This Row],[kval_active]],dict_zuord_Meth_Pos[[#This Row],[ID_Positions]],"")</f>
        <v/>
      </c>
    </row>
    <row r="505" spans="1:4" x14ac:dyDescent="0.45">
      <c r="A505">
        <f ca="1">dict_zul_Var_Meth[ID_Methods]</f>
        <v>611</v>
      </c>
      <c r="B505">
        <f ca="1">dict_zul_Var_Meth[ID_Variables]</f>
        <v>134</v>
      </c>
      <c r="C5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5" t="str">
        <f ca="1">IF(dict_zuord_Meth_Pos[[#This Row],[kval_active]],dict_zuord_Meth_Pos[[#This Row],[ID_Positions]],"")</f>
        <v/>
      </c>
    </row>
    <row r="506" spans="1:4" x14ac:dyDescent="0.45">
      <c r="A506">
        <f ca="1">dict_zul_Var_Meth[ID_Methods]</f>
        <v>19</v>
      </c>
      <c r="B506">
        <f ca="1">dict_zul_Var_Meth[ID_Variables]</f>
        <v>135</v>
      </c>
      <c r="C5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6" t="str">
        <f ca="1">IF(dict_zuord_Meth_Pos[[#This Row],[kval_active]],dict_zuord_Meth_Pos[[#This Row],[ID_Positions]],"")</f>
        <v/>
      </c>
    </row>
    <row r="507" spans="1:4" x14ac:dyDescent="0.45">
      <c r="A507">
        <f ca="1">dict_zul_Var_Meth[ID_Methods]</f>
        <v>85</v>
      </c>
      <c r="B507">
        <f ca="1">dict_zul_Var_Meth[ID_Variables]</f>
        <v>135</v>
      </c>
      <c r="C5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7" t="str">
        <f ca="1">IF(dict_zuord_Meth_Pos[[#This Row],[kval_active]],dict_zuord_Meth_Pos[[#This Row],[ID_Positions]],"")</f>
        <v/>
      </c>
    </row>
    <row r="508" spans="1:4" x14ac:dyDescent="0.45">
      <c r="A508">
        <f ca="1">dict_zul_Var_Meth[ID_Methods]</f>
        <v>339</v>
      </c>
      <c r="B508">
        <f ca="1">dict_zul_Var_Meth[ID_Variables]</f>
        <v>135</v>
      </c>
      <c r="C5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8" t="str">
        <f ca="1">IF(dict_zuord_Meth_Pos[[#This Row],[kval_active]],dict_zuord_Meth_Pos[[#This Row],[ID_Positions]],"")</f>
        <v/>
      </c>
    </row>
    <row r="509" spans="1:4" x14ac:dyDescent="0.45">
      <c r="A509">
        <f ca="1">dict_zul_Var_Meth[ID_Methods]</f>
        <v>401</v>
      </c>
      <c r="B509">
        <f ca="1">dict_zul_Var_Meth[ID_Variables]</f>
        <v>135</v>
      </c>
      <c r="C5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9" t="str">
        <f ca="1">IF(dict_zuord_Meth_Pos[[#This Row],[kval_active]],dict_zuord_Meth_Pos[[#This Row],[ID_Positions]],"")</f>
        <v/>
      </c>
    </row>
    <row r="510" spans="1:4" x14ac:dyDescent="0.45">
      <c r="A510">
        <f ca="1">dict_zul_Var_Meth[ID_Methods]</f>
        <v>333</v>
      </c>
      <c r="B510">
        <f ca="1">dict_zul_Var_Meth[ID_Variables]</f>
        <v>136</v>
      </c>
      <c r="C5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0" t="str">
        <f ca="1">IF(dict_zuord_Meth_Pos[[#This Row],[kval_active]],dict_zuord_Meth_Pos[[#This Row],[ID_Positions]],"")</f>
        <v/>
      </c>
    </row>
    <row r="511" spans="1:4" x14ac:dyDescent="0.45">
      <c r="A511">
        <f ca="1">dict_zul_Var_Meth[ID_Methods]</f>
        <v>541</v>
      </c>
      <c r="B511">
        <f ca="1">dict_zul_Var_Meth[ID_Variables]</f>
        <v>136</v>
      </c>
      <c r="C5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1" t="str">
        <f ca="1">IF(dict_zuord_Meth_Pos[[#This Row],[kval_active]],dict_zuord_Meth_Pos[[#This Row],[ID_Positions]],"")</f>
        <v/>
      </c>
    </row>
    <row r="512" spans="1:4" x14ac:dyDescent="0.45">
      <c r="A512">
        <f ca="1">dict_zul_Var_Meth[ID_Methods]</f>
        <v>590</v>
      </c>
      <c r="B512">
        <f ca="1">dict_zul_Var_Meth[ID_Variables]</f>
        <v>136</v>
      </c>
      <c r="C5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2" t="str">
        <f ca="1">IF(dict_zuord_Meth_Pos[[#This Row],[kval_active]],dict_zuord_Meth_Pos[[#This Row],[ID_Positions]],"")</f>
        <v/>
      </c>
    </row>
    <row r="513" spans="1:4" x14ac:dyDescent="0.45">
      <c r="A513">
        <f ca="1">dict_zul_Var_Meth[ID_Methods]</f>
        <v>139</v>
      </c>
      <c r="B513">
        <f ca="1">dict_zul_Var_Meth[ID_Variables]</f>
        <v>137</v>
      </c>
      <c r="C5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3" t="str">
        <f ca="1">IF(dict_zuord_Meth_Pos[[#This Row],[kval_active]],dict_zuord_Meth_Pos[[#This Row],[ID_Positions]],"")</f>
        <v/>
      </c>
    </row>
    <row r="514" spans="1:4" x14ac:dyDescent="0.45">
      <c r="A514">
        <f ca="1">dict_zul_Var_Meth[ID_Methods]</f>
        <v>151</v>
      </c>
      <c r="B514">
        <f ca="1">dict_zul_Var_Meth[ID_Variables]</f>
        <v>137</v>
      </c>
      <c r="C5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4" t="str">
        <f ca="1">IF(dict_zuord_Meth_Pos[[#This Row],[kval_active]],dict_zuord_Meth_Pos[[#This Row],[ID_Positions]],"")</f>
        <v/>
      </c>
    </row>
    <row r="515" spans="1:4" x14ac:dyDescent="0.45">
      <c r="A515">
        <f ca="1">dict_zul_Var_Meth[ID_Methods]</f>
        <v>166</v>
      </c>
      <c r="B515">
        <f ca="1">dict_zul_Var_Meth[ID_Variables]</f>
        <v>137</v>
      </c>
      <c r="C5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5" t="str">
        <f ca="1">IF(dict_zuord_Meth_Pos[[#This Row],[kval_active]],dict_zuord_Meth_Pos[[#This Row],[ID_Positions]],"")</f>
        <v/>
      </c>
    </row>
    <row r="516" spans="1:4" x14ac:dyDescent="0.45">
      <c r="A516">
        <f ca="1">dict_zul_Var_Meth[ID_Methods]</f>
        <v>276</v>
      </c>
      <c r="B516">
        <f ca="1">dict_zul_Var_Meth[ID_Variables]</f>
        <v>137</v>
      </c>
      <c r="C5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6" t="str">
        <f ca="1">IF(dict_zuord_Meth_Pos[[#This Row],[kval_active]],dict_zuord_Meth_Pos[[#This Row],[ID_Positions]],"")</f>
        <v/>
      </c>
    </row>
    <row r="517" spans="1:4" x14ac:dyDescent="0.45">
      <c r="A517">
        <f ca="1">dict_zul_Var_Meth[ID_Methods]</f>
        <v>580</v>
      </c>
      <c r="B517">
        <f ca="1">dict_zul_Var_Meth[ID_Variables]</f>
        <v>137</v>
      </c>
      <c r="C5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7" t="str">
        <f ca="1">IF(dict_zuord_Meth_Pos[[#This Row],[kval_active]],dict_zuord_Meth_Pos[[#This Row],[ID_Positions]],"")</f>
        <v/>
      </c>
    </row>
    <row r="518" spans="1:4" x14ac:dyDescent="0.45">
      <c r="A518">
        <f ca="1">dict_zul_Var_Meth[ID_Methods]</f>
        <v>175</v>
      </c>
      <c r="B518">
        <f ca="1">dict_zul_Var_Meth[ID_Variables]</f>
        <v>138</v>
      </c>
      <c r="C5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8" t="str">
        <f ca="1">IF(dict_zuord_Meth_Pos[[#This Row],[kval_active]],dict_zuord_Meth_Pos[[#This Row],[ID_Positions]],"")</f>
        <v/>
      </c>
    </row>
    <row r="519" spans="1:4" x14ac:dyDescent="0.45">
      <c r="A519">
        <f ca="1">dict_zul_Var_Meth[ID_Methods]</f>
        <v>346</v>
      </c>
      <c r="B519">
        <f ca="1">dict_zul_Var_Meth[ID_Variables]</f>
        <v>138</v>
      </c>
      <c r="C5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9" t="str">
        <f ca="1">IF(dict_zuord_Meth_Pos[[#This Row],[kval_active]],dict_zuord_Meth_Pos[[#This Row],[ID_Positions]],"")</f>
        <v/>
      </c>
    </row>
    <row r="520" spans="1:4" x14ac:dyDescent="0.45">
      <c r="A520">
        <f ca="1">dict_zul_Var_Meth[ID_Methods]</f>
        <v>469</v>
      </c>
      <c r="B520">
        <f ca="1">dict_zul_Var_Meth[ID_Variables]</f>
        <v>138</v>
      </c>
      <c r="C5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0" t="str">
        <f ca="1">IF(dict_zuord_Meth_Pos[[#This Row],[kval_active]],dict_zuord_Meth_Pos[[#This Row],[ID_Positions]],"")</f>
        <v/>
      </c>
    </row>
    <row r="521" spans="1:4" x14ac:dyDescent="0.45">
      <c r="A521">
        <f ca="1">dict_zul_Var_Meth[ID_Methods]</f>
        <v>639</v>
      </c>
      <c r="B521">
        <f ca="1">dict_zul_Var_Meth[ID_Variables]</f>
        <v>138</v>
      </c>
      <c r="C5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1" t="str">
        <f ca="1">IF(dict_zuord_Meth_Pos[[#This Row],[kval_active]],dict_zuord_Meth_Pos[[#This Row],[ID_Positions]],"")</f>
        <v/>
      </c>
    </row>
    <row r="522" spans="1:4" x14ac:dyDescent="0.45">
      <c r="A522">
        <f ca="1">dict_zul_Var_Meth[ID_Methods]</f>
        <v>69</v>
      </c>
      <c r="B522">
        <f ca="1">dict_zul_Var_Meth[ID_Variables]</f>
        <v>139</v>
      </c>
      <c r="C5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2" t="str">
        <f ca="1">IF(dict_zuord_Meth_Pos[[#This Row],[kval_active]],dict_zuord_Meth_Pos[[#This Row],[ID_Positions]],"")</f>
        <v/>
      </c>
    </row>
    <row r="523" spans="1:4" x14ac:dyDescent="0.45">
      <c r="A523">
        <f ca="1">dict_zul_Var_Meth[ID_Methods]</f>
        <v>460</v>
      </c>
      <c r="B523">
        <f ca="1">dict_zul_Var_Meth[ID_Variables]</f>
        <v>139</v>
      </c>
      <c r="C5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3" t="str">
        <f ca="1">IF(dict_zuord_Meth_Pos[[#This Row],[kval_active]],dict_zuord_Meth_Pos[[#This Row],[ID_Positions]],"")</f>
        <v/>
      </c>
    </row>
    <row r="524" spans="1:4" x14ac:dyDescent="0.45">
      <c r="A524">
        <f ca="1">dict_zul_Var_Meth[ID_Methods]</f>
        <v>688</v>
      </c>
      <c r="B524">
        <f ca="1">dict_zul_Var_Meth[ID_Variables]</f>
        <v>139</v>
      </c>
      <c r="C5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4" t="str">
        <f ca="1">IF(dict_zuord_Meth_Pos[[#This Row],[kval_active]],dict_zuord_Meth_Pos[[#This Row],[ID_Positions]],"")</f>
        <v/>
      </c>
    </row>
    <row r="525" spans="1:4" x14ac:dyDescent="0.45">
      <c r="A525">
        <f ca="1">dict_zul_Var_Meth[ID_Methods]</f>
        <v>297</v>
      </c>
      <c r="B525">
        <f ca="1">dict_zul_Var_Meth[ID_Variables]</f>
        <v>140</v>
      </c>
      <c r="C5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5" t="str">
        <f ca="1">IF(dict_zuord_Meth_Pos[[#This Row],[kval_active]],dict_zuord_Meth_Pos[[#This Row],[ID_Positions]],"")</f>
        <v/>
      </c>
    </row>
    <row r="526" spans="1:4" x14ac:dyDescent="0.45">
      <c r="A526">
        <f ca="1">dict_zul_Var_Meth[ID_Methods]</f>
        <v>389</v>
      </c>
      <c r="B526">
        <f ca="1">dict_zul_Var_Meth[ID_Variables]</f>
        <v>140</v>
      </c>
      <c r="C5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6" t="str">
        <f ca="1">IF(dict_zuord_Meth_Pos[[#This Row],[kval_active]],dict_zuord_Meth_Pos[[#This Row],[ID_Positions]],"")</f>
        <v/>
      </c>
    </row>
    <row r="527" spans="1:4" x14ac:dyDescent="0.45">
      <c r="A527">
        <f ca="1">dict_zul_Var_Meth[ID_Methods]</f>
        <v>551</v>
      </c>
      <c r="B527">
        <f ca="1">dict_zul_Var_Meth[ID_Variables]</f>
        <v>140</v>
      </c>
      <c r="C5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7" t="str">
        <f ca="1">IF(dict_zuord_Meth_Pos[[#This Row],[kval_active]],dict_zuord_Meth_Pos[[#This Row],[ID_Positions]],"")</f>
        <v/>
      </c>
    </row>
    <row r="528" spans="1:4" x14ac:dyDescent="0.45">
      <c r="A528">
        <f ca="1">dict_zul_Var_Meth[ID_Methods]</f>
        <v>606</v>
      </c>
      <c r="B528">
        <f ca="1">dict_zul_Var_Meth[ID_Variables]</f>
        <v>140</v>
      </c>
      <c r="C5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8" t="str">
        <f ca="1">IF(dict_zuord_Meth_Pos[[#This Row],[kval_active]],dict_zuord_Meth_Pos[[#This Row],[ID_Positions]],"")</f>
        <v/>
      </c>
    </row>
    <row r="529" spans="1:4" x14ac:dyDescent="0.45">
      <c r="A529">
        <f ca="1">dict_zul_Var_Meth[ID_Methods]</f>
        <v>38</v>
      </c>
      <c r="B529">
        <f ca="1">dict_zul_Var_Meth[ID_Variables]</f>
        <v>141</v>
      </c>
      <c r="C5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9" t="str">
        <f ca="1">IF(dict_zuord_Meth_Pos[[#This Row],[kval_active]],dict_zuord_Meth_Pos[[#This Row],[ID_Positions]],"")</f>
        <v/>
      </c>
    </row>
    <row r="530" spans="1:4" x14ac:dyDescent="0.45">
      <c r="A530">
        <f ca="1">dict_zul_Var_Meth[ID_Methods]</f>
        <v>399</v>
      </c>
      <c r="B530">
        <f ca="1">dict_zul_Var_Meth[ID_Variables]</f>
        <v>141</v>
      </c>
      <c r="C5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0" t="str">
        <f ca="1">IF(dict_zuord_Meth_Pos[[#This Row],[kval_active]],dict_zuord_Meth_Pos[[#This Row],[ID_Positions]],"")</f>
        <v/>
      </c>
    </row>
    <row r="531" spans="1:4" x14ac:dyDescent="0.45">
      <c r="A531">
        <f ca="1">dict_zul_Var_Meth[ID_Methods]</f>
        <v>435</v>
      </c>
      <c r="B531">
        <f ca="1">dict_zul_Var_Meth[ID_Variables]</f>
        <v>141</v>
      </c>
      <c r="C5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1" t="str">
        <f ca="1">IF(dict_zuord_Meth_Pos[[#This Row],[kval_active]],dict_zuord_Meth_Pos[[#This Row],[ID_Positions]],"")</f>
        <v/>
      </c>
    </row>
    <row r="532" spans="1:4" x14ac:dyDescent="0.45">
      <c r="A532">
        <f ca="1">dict_zul_Var_Meth[ID_Methods]</f>
        <v>570</v>
      </c>
      <c r="B532">
        <f ca="1">dict_zul_Var_Meth[ID_Variables]</f>
        <v>141</v>
      </c>
      <c r="C5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2" t="str">
        <f ca="1">IF(dict_zuord_Meth_Pos[[#This Row],[kval_active]],dict_zuord_Meth_Pos[[#This Row],[ID_Positions]],"")</f>
        <v/>
      </c>
    </row>
    <row r="533" spans="1:4" x14ac:dyDescent="0.45">
      <c r="A533">
        <f ca="1">dict_zul_Var_Meth[ID_Methods]</f>
        <v>45</v>
      </c>
      <c r="B533">
        <f ca="1">dict_zul_Var_Meth[ID_Variables]</f>
        <v>142</v>
      </c>
      <c r="C5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3" t="str">
        <f ca="1">IF(dict_zuord_Meth_Pos[[#This Row],[kval_active]],dict_zuord_Meth_Pos[[#This Row],[ID_Positions]],"")</f>
        <v/>
      </c>
    </row>
    <row r="534" spans="1:4" x14ac:dyDescent="0.45">
      <c r="A534">
        <f ca="1">dict_zul_Var_Meth[ID_Methods]</f>
        <v>160</v>
      </c>
      <c r="B534">
        <f ca="1">dict_zul_Var_Meth[ID_Variables]</f>
        <v>142</v>
      </c>
      <c r="C5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4" t="str">
        <f ca="1">IF(dict_zuord_Meth_Pos[[#This Row],[kval_active]],dict_zuord_Meth_Pos[[#This Row],[ID_Positions]],"")</f>
        <v/>
      </c>
    </row>
    <row r="535" spans="1:4" x14ac:dyDescent="0.45">
      <c r="A535">
        <f ca="1">dict_zul_Var_Meth[ID_Methods]</f>
        <v>575</v>
      </c>
      <c r="B535">
        <f ca="1">dict_zul_Var_Meth[ID_Variables]</f>
        <v>142</v>
      </c>
      <c r="C5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5" t="str">
        <f ca="1">IF(dict_zuord_Meth_Pos[[#This Row],[kval_active]],dict_zuord_Meth_Pos[[#This Row],[ID_Positions]],"")</f>
        <v/>
      </c>
    </row>
    <row r="536" spans="1:4" x14ac:dyDescent="0.45">
      <c r="A536">
        <f ca="1">dict_zul_Var_Meth[ID_Methods]</f>
        <v>8</v>
      </c>
      <c r="B536">
        <f ca="1">dict_zul_Var_Meth[ID_Variables]</f>
        <v>143</v>
      </c>
      <c r="C5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6" t="str">
        <f ca="1">IF(dict_zuord_Meth_Pos[[#This Row],[kval_active]],dict_zuord_Meth_Pos[[#This Row],[ID_Positions]],"")</f>
        <v/>
      </c>
    </row>
    <row r="537" spans="1:4" x14ac:dyDescent="0.45">
      <c r="A537">
        <f ca="1">dict_zul_Var_Meth[ID_Methods]</f>
        <v>271</v>
      </c>
      <c r="B537">
        <f ca="1">dict_zul_Var_Meth[ID_Variables]</f>
        <v>143</v>
      </c>
      <c r="C5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7" t="str">
        <f ca="1">IF(dict_zuord_Meth_Pos[[#This Row],[kval_active]],dict_zuord_Meth_Pos[[#This Row],[ID_Positions]],"")</f>
        <v/>
      </c>
    </row>
    <row r="538" spans="1:4" x14ac:dyDescent="0.45">
      <c r="A538">
        <f ca="1">dict_zul_Var_Meth[ID_Methods]</f>
        <v>298</v>
      </c>
      <c r="B538">
        <f ca="1">dict_zul_Var_Meth[ID_Variables]</f>
        <v>143</v>
      </c>
      <c r="C5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8" t="str">
        <f ca="1">IF(dict_zuord_Meth_Pos[[#This Row],[kval_active]],dict_zuord_Meth_Pos[[#This Row],[ID_Positions]],"")</f>
        <v/>
      </c>
    </row>
    <row r="539" spans="1:4" x14ac:dyDescent="0.45">
      <c r="A539">
        <f ca="1">dict_zul_Var_Meth[ID_Methods]</f>
        <v>464</v>
      </c>
      <c r="B539">
        <f ca="1">dict_zul_Var_Meth[ID_Variables]</f>
        <v>143</v>
      </c>
      <c r="C5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9" t="str">
        <f ca="1">IF(dict_zuord_Meth_Pos[[#This Row],[kval_active]],dict_zuord_Meth_Pos[[#This Row],[ID_Positions]],"")</f>
        <v/>
      </c>
    </row>
    <row r="540" spans="1:4" x14ac:dyDescent="0.45">
      <c r="A540">
        <f ca="1">dict_zul_Var_Meth[ID_Methods]</f>
        <v>505</v>
      </c>
      <c r="B540">
        <f ca="1">dict_zul_Var_Meth[ID_Variables]</f>
        <v>143</v>
      </c>
      <c r="C5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0" t="str">
        <f ca="1">IF(dict_zuord_Meth_Pos[[#This Row],[kval_active]],dict_zuord_Meth_Pos[[#This Row],[ID_Positions]],"")</f>
        <v/>
      </c>
    </row>
    <row r="541" spans="1:4" x14ac:dyDescent="0.45">
      <c r="A541">
        <f ca="1">dict_zul_Var_Meth[ID_Methods]</f>
        <v>57</v>
      </c>
      <c r="B541">
        <f ca="1">dict_zul_Var_Meth[ID_Variables]</f>
        <v>144</v>
      </c>
      <c r="C5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1" t="str">
        <f ca="1">IF(dict_zuord_Meth_Pos[[#This Row],[kval_active]],dict_zuord_Meth_Pos[[#This Row],[ID_Positions]],"")</f>
        <v/>
      </c>
    </row>
    <row r="542" spans="1:4" x14ac:dyDescent="0.45">
      <c r="A542">
        <f ca="1">dict_zul_Var_Meth[ID_Methods]</f>
        <v>197</v>
      </c>
      <c r="B542">
        <f ca="1">dict_zul_Var_Meth[ID_Variables]</f>
        <v>144</v>
      </c>
      <c r="C5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2" t="str">
        <f ca="1">IF(dict_zuord_Meth_Pos[[#This Row],[kval_active]],dict_zuord_Meth_Pos[[#This Row],[ID_Positions]],"")</f>
        <v/>
      </c>
    </row>
    <row r="543" spans="1:4" x14ac:dyDescent="0.45">
      <c r="A543">
        <f ca="1">dict_zul_Var_Meth[ID_Methods]</f>
        <v>681</v>
      </c>
      <c r="B543">
        <f ca="1">dict_zul_Var_Meth[ID_Variables]</f>
        <v>144</v>
      </c>
      <c r="C5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3" t="str">
        <f ca="1">IF(dict_zuord_Meth_Pos[[#This Row],[kval_active]],dict_zuord_Meth_Pos[[#This Row],[ID_Positions]],"")</f>
        <v/>
      </c>
    </row>
    <row r="544" spans="1:4" x14ac:dyDescent="0.45">
      <c r="A544">
        <f ca="1">dict_zul_Var_Meth[ID_Methods]</f>
        <v>153</v>
      </c>
      <c r="B544">
        <f ca="1">dict_zul_Var_Meth[ID_Variables]</f>
        <v>145</v>
      </c>
      <c r="C5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4" t="str">
        <f ca="1">IF(dict_zuord_Meth_Pos[[#This Row],[kval_active]],dict_zuord_Meth_Pos[[#This Row],[ID_Positions]],"")</f>
        <v/>
      </c>
    </row>
    <row r="545" spans="1:4" x14ac:dyDescent="0.45">
      <c r="A545">
        <f ca="1">dict_zul_Var_Meth[ID_Methods]</f>
        <v>269</v>
      </c>
      <c r="B545">
        <f ca="1">dict_zul_Var_Meth[ID_Variables]</f>
        <v>145</v>
      </c>
      <c r="C5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5" t="str">
        <f ca="1">IF(dict_zuord_Meth_Pos[[#This Row],[kval_active]],dict_zuord_Meth_Pos[[#This Row],[ID_Positions]],"")</f>
        <v/>
      </c>
    </row>
    <row r="546" spans="1:4" x14ac:dyDescent="0.45">
      <c r="A546">
        <f ca="1">dict_zul_Var_Meth[ID_Methods]</f>
        <v>301</v>
      </c>
      <c r="B546">
        <f ca="1">dict_zul_Var_Meth[ID_Variables]</f>
        <v>145</v>
      </c>
      <c r="C5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6" t="str">
        <f ca="1">IF(dict_zuord_Meth_Pos[[#This Row],[kval_active]],dict_zuord_Meth_Pos[[#This Row],[ID_Positions]],"")</f>
        <v/>
      </c>
    </row>
    <row r="547" spans="1:4" x14ac:dyDescent="0.45">
      <c r="A547">
        <f ca="1">dict_zul_Var_Meth[ID_Methods]</f>
        <v>312</v>
      </c>
      <c r="B547">
        <f ca="1">dict_zul_Var_Meth[ID_Variables]</f>
        <v>145</v>
      </c>
      <c r="C5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7" t="str">
        <f ca="1">IF(dict_zuord_Meth_Pos[[#This Row],[kval_active]],dict_zuord_Meth_Pos[[#This Row],[ID_Positions]],"")</f>
        <v/>
      </c>
    </row>
    <row r="548" spans="1:4" x14ac:dyDescent="0.45">
      <c r="A548">
        <f ca="1">dict_zul_Var_Meth[ID_Methods]</f>
        <v>322</v>
      </c>
      <c r="B548">
        <f ca="1">dict_zul_Var_Meth[ID_Variables]</f>
        <v>145</v>
      </c>
      <c r="C5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8" t="str">
        <f ca="1">IF(dict_zuord_Meth_Pos[[#This Row],[kval_active]],dict_zuord_Meth_Pos[[#This Row],[ID_Positions]],"")</f>
        <v/>
      </c>
    </row>
    <row r="549" spans="1:4" x14ac:dyDescent="0.45">
      <c r="A549">
        <f ca="1">dict_zul_Var_Meth[ID_Methods]</f>
        <v>440</v>
      </c>
      <c r="B549">
        <f ca="1">dict_zul_Var_Meth[ID_Variables]</f>
        <v>146</v>
      </c>
      <c r="C5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9" t="str">
        <f ca="1">IF(dict_zuord_Meth_Pos[[#This Row],[kval_active]],dict_zuord_Meth_Pos[[#This Row],[ID_Positions]],"")</f>
        <v/>
      </c>
    </row>
    <row r="550" spans="1:4" x14ac:dyDescent="0.45">
      <c r="A550">
        <f ca="1">dict_zul_Var_Meth[ID_Methods]</f>
        <v>145</v>
      </c>
      <c r="B550">
        <f ca="1">dict_zul_Var_Meth[ID_Variables]</f>
        <v>147</v>
      </c>
      <c r="C5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0" t="str">
        <f ca="1">IF(dict_zuord_Meth_Pos[[#This Row],[kval_active]],dict_zuord_Meth_Pos[[#This Row],[ID_Positions]],"")</f>
        <v/>
      </c>
    </row>
    <row r="551" spans="1:4" x14ac:dyDescent="0.45">
      <c r="A551">
        <f ca="1">dict_zul_Var_Meth[ID_Methods]</f>
        <v>563</v>
      </c>
      <c r="B551">
        <f ca="1">dict_zul_Var_Meth[ID_Variables]</f>
        <v>147</v>
      </c>
      <c r="C5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1" t="str">
        <f ca="1">IF(dict_zuord_Meth_Pos[[#This Row],[kval_active]],dict_zuord_Meth_Pos[[#This Row],[ID_Positions]],"")</f>
        <v/>
      </c>
    </row>
    <row r="552" spans="1:4" x14ac:dyDescent="0.45">
      <c r="A552">
        <f ca="1">dict_zul_Var_Meth[ID_Methods]</f>
        <v>622</v>
      </c>
      <c r="B552">
        <f ca="1">dict_zul_Var_Meth[ID_Variables]</f>
        <v>147</v>
      </c>
      <c r="C5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2" t="str">
        <f ca="1">IF(dict_zuord_Meth_Pos[[#This Row],[kval_active]],dict_zuord_Meth_Pos[[#This Row],[ID_Positions]],"")</f>
        <v/>
      </c>
    </row>
    <row r="553" spans="1:4" x14ac:dyDescent="0.45">
      <c r="A553">
        <f ca="1">dict_zul_Var_Meth[ID_Methods]</f>
        <v>657</v>
      </c>
      <c r="B553">
        <f ca="1">dict_zul_Var_Meth[ID_Variables]</f>
        <v>147</v>
      </c>
      <c r="C5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3" t="str">
        <f ca="1">IF(dict_zuord_Meth_Pos[[#This Row],[kval_active]],dict_zuord_Meth_Pos[[#This Row],[ID_Positions]],"")</f>
        <v/>
      </c>
    </row>
    <row r="554" spans="1:4" x14ac:dyDescent="0.45">
      <c r="A554">
        <f ca="1">dict_zul_Var_Meth[ID_Methods]</f>
        <v>52</v>
      </c>
      <c r="B554">
        <f ca="1">dict_zul_Var_Meth[ID_Variables]</f>
        <v>148</v>
      </c>
      <c r="C5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4" t="str">
        <f ca="1">IF(dict_zuord_Meth_Pos[[#This Row],[kval_active]],dict_zuord_Meth_Pos[[#This Row],[ID_Positions]],"")</f>
        <v/>
      </c>
    </row>
    <row r="555" spans="1:4" x14ac:dyDescent="0.45">
      <c r="A555">
        <f ca="1">dict_zul_Var_Meth[ID_Methods]</f>
        <v>307</v>
      </c>
      <c r="B555">
        <f ca="1">dict_zul_Var_Meth[ID_Variables]</f>
        <v>148</v>
      </c>
      <c r="C5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5" t="str">
        <f ca="1">IF(dict_zuord_Meth_Pos[[#This Row],[kval_active]],dict_zuord_Meth_Pos[[#This Row],[ID_Positions]],"")</f>
        <v/>
      </c>
    </row>
    <row r="556" spans="1:4" x14ac:dyDescent="0.45">
      <c r="A556">
        <f ca="1">dict_zul_Var_Meth[ID_Methods]</f>
        <v>341</v>
      </c>
      <c r="B556">
        <f ca="1">dict_zul_Var_Meth[ID_Variables]</f>
        <v>148</v>
      </c>
      <c r="C5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6" t="str">
        <f ca="1">IF(dict_zuord_Meth_Pos[[#This Row],[kval_active]],dict_zuord_Meth_Pos[[#This Row],[ID_Positions]],"")</f>
        <v/>
      </c>
    </row>
    <row r="557" spans="1:4" x14ac:dyDescent="0.45">
      <c r="A557">
        <f ca="1">dict_zul_Var_Meth[ID_Methods]</f>
        <v>359</v>
      </c>
      <c r="B557">
        <f ca="1">dict_zul_Var_Meth[ID_Variables]</f>
        <v>148</v>
      </c>
      <c r="C5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7" t="str">
        <f ca="1">IF(dict_zuord_Meth_Pos[[#This Row],[kval_active]],dict_zuord_Meth_Pos[[#This Row],[ID_Positions]],"")</f>
        <v/>
      </c>
    </row>
    <row r="558" spans="1:4" x14ac:dyDescent="0.45">
      <c r="A558">
        <f ca="1">dict_zul_Var_Meth[ID_Methods]</f>
        <v>652</v>
      </c>
      <c r="B558">
        <f ca="1">dict_zul_Var_Meth[ID_Variables]</f>
        <v>148</v>
      </c>
      <c r="C5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8" t="str">
        <f ca="1">IF(dict_zuord_Meth_Pos[[#This Row],[kval_active]],dict_zuord_Meth_Pos[[#This Row],[ID_Positions]],"")</f>
        <v/>
      </c>
    </row>
    <row r="559" spans="1:4" x14ac:dyDescent="0.45">
      <c r="A559">
        <f ca="1">dict_zul_Var_Meth[ID_Methods]</f>
        <v>122</v>
      </c>
      <c r="B559">
        <f ca="1">dict_zul_Var_Meth[ID_Variables]</f>
        <v>149</v>
      </c>
      <c r="C5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9" t="str">
        <f ca="1">IF(dict_zuord_Meth_Pos[[#This Row],[kval_active]],dict_zuord_Meth_Pos[[#This Row],[ID_Positions]],"")</f>
        <v/>
      </c>
    </row>
    <row r="560" spans="1:4" x14ac:dyDescent="0.45">
      <c r="A560">
        <f ca="1">dict_zul_Var_Meth[ID_Methods]</f>
        <v>366</v>
      </c>
      <c r="B560">
        <f ca="1">dict_zul_Var_Meth[ID_Variables]</f>
        <v>149</v>
      </c>
      <c r="C5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0" t="str">
        <f ca="1">IF(dict_zuord_Meth_Pos[[#This Row],[kval_active]],dict_zuord_Meth_Pos[[#This Row],[ID_Positions]],"")</f>
        <v/>
      </c>
    </row>
    <row r="561" spans="1:4" x14ac:dyDescent="0.45">
      <c r="A561">
        <f ca="1">dict_zul_Var_Meth[ID_Methods]</f>
        <v>483</v>
      </c>
      <c r="B561">
        <f ca="1">dict_zul_Var_Meth[ID_Variables]</f>
        <v>149</v>
      </c>
      <c r="C5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1" t="str">
        <f ca="1">IF(dict_zuord_Meth_Pos[[#This Row],[kval_active]],dict_zuord_Meth_Pos[[#This Row],[ID_Positions]],"")</f>
        <v/>
      </c>
    </row>
    <row r="562" spans="1:4" x14ac:dyDescent="0.45">
      <c r="A562">
        <f ca="1">dict_zul_Var_Meth[ID_Methods]</f>
        <v>47</v>
      </c>
      <c r="B562">
        <f ca="1">dict_zul_Var_Meth[ID_Variables]</f>
        <v>150</v>
      </c>
      <c r="C5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2" t="str">
        <f ca="1">IF(dict_zuord_Meth_Pos[[#This Row],[kval_active]],dict_zuord_Meth_Pos[[#This Row],[ID_Positions]],"")</f>
        <v/>
      </c>
    </row>
    <row r="563" spans="1:4" x14ac:dyDescent="0.45">
      <c r="A563">
        <f ca="1">dict_zul_Var_Meth[ID_Methods]</f>
        <v>149</v>
      </c>
      <c r="B563">
        <f ca="1">dict_zul_Var_Meth[ID_Variables]</f>
        <v>150</v>
      </c>
      <c r="C5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3" t="str">
        <f ca="1">IF(dict_zuord_Meth_Pos[[#This Row],[kval_active]],dict_zuord_Meth_Pos[[#This Row],[ID_Positions]],"")</f>
        <v/>
      </c>
    </row>
    <row r="564" spans="1:4" x14ac:dyDescent="0.45">
      <c r="A564">
        <f ca="1">dict_zul_Var_Meth[ID_Methods]</f>
        <v>264</v>
      </c>
      <c r="B564">
        <f ca="1">dict_zul_Var_Meth[ID_Variables]</f>
        <v>150</v>
      </c>
      <c r="C5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4" t="str">
        <f ca="1">IF(dict_zuord_Meth_Pos[[#This Row],[kval_active]],dict_zuord_Meth_Pos[[#This Row],[ID_Positions]],"")</f>
        <v/>
      </c>
    </row>
    <row r="565" spans="1:4" x14ac:dyDescent="0.45">
      <c r="A565">
        <f ca="1">dict_zul_Var_Meth[ID_Methods]</f>
        <v>602</v>
      </c>
      <c r="B565">
        <f ca="1">dict_zul_Var_Meth[ID_Variables]</f>
        <v>150</v>
      </c>
      <c r="C5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5" t="str">
        <f ca="1">IF(dict_zuord_Meth_Pos[[#This Row],[kval_active]],dict_zuord_Meth_Pos[[#This Row],[ID_Positions]],"")</f>
        <v/>
      </c>
    </row>
    <row r="566" spans="1:4" x14ac:dyDescent="0.45">
      <c r="A566">
        <f ca="1">dict_zul_Var_Meth[ID_Methods]</f>
        <v>1</v>
      </c>
      <c r="B566">
        <f ca="1">dict_zul_Var_Meth[ID_Variables]</f>
        <v>151</v>
      </c>
      <c r="C5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6" t="str">
        <f ca="1">IF(dict_zuord_Meth_Pos[[#This Row],[kval_active]],dict_zuord_Meth_Pos[[#This Row],[ID_Positions]],"")</f>
        <v/>
      </c>
    </row>
    <row r="567" spans="1:4" x14ac:dyDescent="0.45">
      <c r="A567">
        <f ca="1">dict_zul_Var_Meth[ID_Methods]</f>
        <v>47</v>
      </c>
      <c r="B567">
        <f ca="1">dict_zul_Var_Meth[ID_Variables]</f>
        <v>151</v>
      </c>
      <c r="C5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7" t="str">
        <f ca="1">IF(dict_zuord_Meth_Pos[[#This Row],[kval_active]],dict_zuord_Meth_Pos[[#This Row],[ID_Positions]],"")</f>
        <v/>
      </c>
    </row>
    <row r="568" spans="1:4" x14ac:dyDescent="0.45">
      <c r="A568">
        <f ca="1">dict_zul_Var_Meth[ID_Methods]</f>
        <v>311</v>
      </c>
      <c r="B568">
        <f ca="1">dict_zul_Var_Meth[ID_Variables]</f>
        <v>151</v>
      </c>
      <c r="C5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8" t="str">
        <f ca="1">IF(dict_zuord_Meth_Pos[[#This Row],[kval_active]],dict_zuord_Meth_Pos[[#This Row],[ID_Positions]],"")</f>
        <v/>
      </c>
    </row>
    <row r="569" spans="1:4" x14ac:dyDescent="0.45">
      <c r="A569">
        <f ca="1">dict_zul_Var_Meth[ID_Methods]</f>
        <v>495</v>
      </c>
      <c r="B569">
        <f ca="1">dict_zul_Var_Meth[ID_Variables]</f>
        <v>151</v>
      </c>
      <c r="C5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9" t="str">
        <f ca="1">IF(dict_zuord_Meth_Pos[[#This Row],[kval_active]],dict_zuord_Meth_Pos[[#This Row],[ID_Positions]],"")</f>
        <v/>
      </c>
    </row>
    <row r="570" spans="1:4" x14ac:dyDescent="0.45">
      <c r="A570">
        <f ca="1">dict_zul_Var_Meth[ID_Methods]</f>
        <v>23</v>
      </c>
      <c r="B570">
        <f ca="1">dict_zul_Var_Meth[ID_Variables]</f>
        <v>152</v>
      </c>
      <c r="C5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0" t="str">
        <f ca="1">IF(dict_zuord_Meth_Pos[[#This Row],[kval_active]],dict_zuord_Meth_Pos[[#This Row],[ID_Positions]],"")</f>
        <v/>
      </c>
    </row>
    <row r="571" spans="1:4" x14ac:dyDescent="0.45">
      <c r="A571">
        <f ca="1">dict_zul_Var_Meth[ID_Methods]</f>
        <v>482</v>
      </c>
      <c r="B571">
        <f ca="1">dict_zul_Var_Meth[ID_Variables]</f>
        <v>152</v>
      </c>
      <c r="C5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1" t="str">
        <f ca="1">IF(dict_zuord_Meth_Pos[[#This Row],[kval_active]],dict_zuord_Meth_Pos[[#This Row],[ID_Positions]],"")</f>
        <v/>
      </c>
    </row>
    <row r="572" spans="1:4" x14ac:dyDescent="0.45">
      <c r="A572">
        <f ca="1">dict_zul_Var_Meth[ID_Methods]</f>
        <v>572</v>
      </c>
      <c r="B572">
        <f ca="1">dict_zul_Var_Meth[ID_Variables]</f>
        <v>152</v>
      </c>
      <c r="C5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2" t="str">
        <f ca="1">IF(dict_zuord_Meth_Pos[[#This Row],[kval_active]],dict_zuord_Meth_Pos[[#This Row],[ID_Positions]],"")</f>
        <v/>
      </c>
    </row>
    <row r="573" spans="1:4" x14ac:dyDescent="0.45">
      <c r="A573">
        <f ca="1">dict_zul_Var_Meth[ID_Methods]</f>
        <v>624</v>
      </c>
      <c r="B573">
        <f ca="1">dict_zul_Var_Meth[ID_Variables]</f>
        <v>152</v>
      </c>
      <c r="C5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3" t="str">
        <f ca="1">IF(dict_zuord_Meth_Pos[[#This Row],[kval_active]],dict_zuord_Meth_Pos[[#This Row],[ID_Positions]],"")</f>
        <v/>
      </c>
    </row>
    <row r="574" spans="1:4" x14ac:dyDescent="0.45">
      <c r="A574">
        <f ca="1">dict_zul_Var_Meth[ID_Methods]</f>
        <v>13</v>
      </c>
      <c r="B574">
        <f ca="1">dict_zul_Var_Meth[ID_Variables]</f>
        <v>153</v>
      </c>
      <c r="C5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4" t="str">
        <f ca="1">IF(dict_zuord_Meth_Pos[[#This Row],[kval_active]],dict_zuord_Meth_Pos[[#This Row],[ID_Positions]],"")</f>
        <v/>
      </c>
    </row>
    <row r="575" spans="1:4" x14ac:dyDescent="0.45">
      <c r="A575">
        <f ca="1">dict_zul_Var_Meth[ID_Methods]</f>
        <v>78</v>
      </c>
      <c r="B575">
        <f ca="1">dict_zul_Var_Meth[ID_Variables]</f>
        <v>153</v>
      </c>
      <c r="C5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5" t="str">
        <f ca="1">IF(dict_zuord_Meth_Pos[[#This Row],[kval_active]],dict_zuord_Meth_Pos[[#This Row],[ID_Positions]],"")</f>
        <v/>
      </c>
    </row>
    <row r="576" spans="1:4" x14ac:dyDescent="0.45">
      <c r="A576">
        <f ca="1">dict_zul_Var_Meth[ID_Methods]</f>
        <v>579</v>
      </c>
      <c r="B576">
        <f ca="1">dict_zul_Var_Meth[ID_Variables]</f>
        <v>153</v>
      </c>
      <c r="C5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6" t="str">
        <f ca="1">IF(dict_zuord_Meth_Pos[[#This Row],[kval_active]],dict_zuord_Meth_Pos[[#This Row],[ID_Positions]],"")</f>
        <v/>
      </c>
    </row>
    <row r="577" spans="1:4" x14ac:dyDescent="0.45">
      <c r="A577">
        <f ca="1">dict_zul_Var_Meth[ID_Methods]</f>
        <v>63</v>
      </c>
      <c r="B577">
        <f ca="1">dict_zul_Var_Meth[ID_Variables]</f>
        <v>154</v>
      </c>
      <c r="C5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7" t="str">
        <f ca="1">IF(dict_zuord_Meth_Pos[[#This Row],[kval_active]],dict_zuord_Meth_Pos[[#This Row],[ID_Positions]],"")</f>
        <v/>
      </c>
    </row>
    <row r="578" spans="1:4" x14ac:dyDescent="0.45">
      <c r="A578">
        <f ca="1">dict_zul_Var_Meth[ID_Methods]</f>
        <v>376</v>
      </c>
      <c r="B578">
        <f ca="1">dict_zul_Var_Meth[ID_Variables]</f>
        <v>154</v>
      </c>
      <c r="C5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8" t="str">
        <f ca="1">IF(dict_zuord_Meth_Pos[[#This Row],[kval_active]],dict_zuord_Meth_Pos[[#This Row],[ID_Positions]],"")</f>
        <v/>
      </c>
    </row>
    <row r="579" spans="1:4" x14ac:dyDescent="0.45">
      <c r="A579">
        <f ca="1">dict_zul_Var_Meth[ID_Methods]</f>
        <v>625</v>
      </c>
      <c r="B579">
        <f ca="1">dict_zul_Var_Meth[ID_Variables]</f>
        <v>154</v>
      </c>
      <c r="C5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9" t="str">
        <f ca="1">IF(dict_zuord_Meth_Pos[[#This Row],[kval_active]],dict_zuord_Meth_Pos[[#This Row],[ID_Positions]],"")</f>
        <v/>
      </c>
    </row>
    <row r="580" spans="1:4" x14ac:dyDescent="0.45">
      <c r="A580">
        <f ca="1">dict_zul_Var_Meth[ID_Methods]</f>
        <v>645</v>
      </c>
      <c r="B580">
        <f ca="1">dict_zul_Var_Meth[ID_Variables]</f>
        <v>154</v>
      </c>
      <c r="C5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0" t="str">
        <f ca="1">IF(dict_zuord_Meth_Pos[[#This Row],[kval_active]],dict_zuord_Meth_Pos[[#This Row],[ID_Positions]],"")</f>
        <v/>
      </c>
    </row>
    <row r="581" spans="1:4" x14ac:dyDescent="0.45">
      <c r="A581">
        <f ca="1">dict_zul_Var_Meth[ID_Methods]</f>
        <v>3</v>
      </c>
      <c r="B581">
        <f ca="1">dict_zul_Var_Meth[ID_Variables]</f>
        <v>155</v>
      </c>
      <c r="C5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1" t="str">
        <f ca="1">IF(dict_zuord_Meth_Pos[[#This Row],[kval_active]],dict_zuord_Meth_Pos[[#This Row],[ID_Positions]],"")</f>
        <v/>
      </c>
    </row>
    <row r="582" spans="1:4" x14ac:dyDescent="0.45">
      <c r="A582">
        <f ca="1">dict_zul_Var_Meth[ID_Methods]</f>
        <v>84</v>
      </c>
      <c r="B582">
        <f ca="1">dict_zul_Var_Meth[ID_Variables]</f>
        <v>155</v>
      </c>
      <c r="C5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2" t="str">
        <f ca="1">IF(dict_zuord_Meth_Pos[[#This Row],[kval_active]],dict_zuord_Meth_Pos[[#This Row],[ID_Positions]],"")</f>
        <v/>
      </c>
    </row>
    <row r="583" spans="1:4" x14ac:dyDescent="0.45">
      <c r="A583">
        <f ca="1">dict_zul_Var_Meth[ID_Methods]</f>
        <v>245</v>
      </c>
      <c r="B583">
        <f ca="1">dict_zul_Var_Meth[ID_Variables]</f>
        <v>155</v>
      </c>
      <c r="C5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3" t="str">
        <f ca="1">IF(dict_zuord_Meth_Pos[[#This Row],[kval_active]],dict_zuord_Meth_Pos[[#This Row],[ID_Positions]],"")</f>
        <v/>
      </c>
    </row>
    <row r="584" spans="1:4" x14ac:dyDescent="0.45">
      <c r="A584">
        <f ca="1">dict_zul_Var_Meth[ID_Methods]</f>
        <v>493</v>
      </c>
      <c r="B584">
        <f ca="1">dict_zul_Var_Meth[ID_Variables]</f>
        <v>155</v>
      </c>
      <c r="C5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4" t="str">
        <f ca="1">IF(dict_zuord_Meth_Pos[[#This Row],[kval_active]],dict_zuord_Meth_Pos[[#This Row],[ID_Positions]],"")</f>
        <v/>
      </c>
    </row>
    <row r="585" spans="1:4" x14ac:dyDescent="0.45">
      <c r="A585">
        <f ca="1">dict_zul_Var_Meth[ID_Methods]</f>
        <v>642</v>
      </c>
      <c r="B585">
        <f ca="1">dict_zul_Var_Meth[ID_Variables]</f>
        <v>155</v>
      </c>
      <c r="C5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5" t="str">
        <f ca="1">IF(dict_zuord_Meth_Pos[[#This Row],[kval_active]],dict_zuord_Meth_Pos[[#This Row],[ID_Positions]],"")</f>
        <v/>
      </c>
    </row>
    <row r="586" spans="1:4" x14ac:dyDescent="0.45">
      <c r="A586">
        <f ca="1">dict_zul_Var_Meth[ID_Methods]</f>
        <v>82</v>
      </c>
      <c r="B586">
        <f ca="1">dict_zul_Var_Meth[ID_Variables]</f>
        <v>156</v>
      </c>
      <c r="C5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6" t="str">
        <f ca="1">IF(dict_zuord_Meth_Pos[[#This Row],[kval_active]],dict_zuord_Meth_Pos[[#This Row],[ID_Positions]],"")</f>
        <v/>
      </c>
    </row>
    <row r="587" spans="1:4" x14ac:dyDescent="0.45">
      <c r="A587">
        <f ca="1">dict_zul_Var_Meth[ID_Methods]</f>
        <v>477</v>
      </c>
      <c r="B587">
        <f ca="1">dict_zul_Var_Meth[ID_Variables]</f>
        <v>156</v>
      </c>
      <c r="C5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7" t="str">
        <f ca="1">IF(dict_zuord_Meth_Pos[[#This Row],[kval_active]],dict_zuord_Meth_Pos[[#This Row],[ID_Positions]],"")</f>
        <v/>
      </c>
    </row>
    <row r="588" spans="1:4" x14ac:dyDescent="0.45">
      <c r="A588">
        <f ca="1">dict_zul_Var_Meth[ID_Methods]</f>
        <v>620</v>
      </c>
      <c r="B588">
        <f ca="1">dict_zul_Var_Meth[ID_Variables]</f>
        <v>156</v>
      </c>
      <c r="C5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8" t="str">
        <f ca="1">IF(dict_zuord_Meth_Pos[[#This Row],[kval_active]],dict_zuord_Meth_Pos[[#This Row],[ID_Positions]],"")</f>
        <v/>
      </c>
    </row>
    <row r="589" spans="1:4" x14ac:dyDescent="0.45">
      <c r="A589">
        <f ca="1">dict_zul_Var_Meth[ID_Methods]</f>
        <v>467</v>
      </c>
      <c r="B589">
        <f ca="1">dict_zul_Var_Meth[ID_Variables]</f>
        <v>157</v>
      </c>
      <c r="C5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9" t="str">
        <f ca="1">IF(dict_zuord_Meth_Pos[[#This Row],[kval_active]],dict_zuord_Meth_Pos[[#This Row],[ID_Positions]],"")</f>
        <v/>
      </c>
    </row>
    <row r="590" spans="1:4" x14ac:dyDescent="0.45">
      <c r="A590">
        <f ca="1">dict_zul_Var_Meth[ID_Methods]</f>
        <v>532</v>
      </c>
      <c r="B590">
        <f ca="1">dict_zul_Var_Meth[ID_Variables]</f>
        <v>157</v>
      </c>
      <c r="C5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0" t="str">
        <f ca="1">IF(dict_zuord_Meth_Pos[[#This Row],[kval_active]],dict_zuord_Meth_Pos[[#This Row],[ID_Positions]],"")</f>
        <v/>
      </c>
    </row>
    <row r="591" spans="1:4" x14ac:dyDescent="0.45">
      <c r="A591">
        <f ca="1">dict_zul_Var_Meth[ID_Methods]</f>
        <v>597</v>
      </c>
      <c r="B591">
        <f ca="1">dict_zul_Var_Meth[ID_Variables]</f>
        <v>157</v>
      </c>
      <c r="C5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1" t="str">
        <f ca="1">IF(dict_zuord_Meth_Pos[[#This Row],[kval_active]],dict_zuord_Meth_Pos[[#This Row],[ID_Positions]],"")</f>
        <v/>
      </c>
    </row>
    <row r="592" spans="1:4" x14ac:dyDescent="0.45">
      <c r="A592">
        <f ca="1">dict_zul_Var_Meth[ID_Methods]</f>
        <v>29</v>
      </c>
      <c r="B592">
        <f ca="1">dict_zul_Var_Meth[ID_Variables]</f>
        <v>158</v>
      </c>
      <c r="C5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2" t="str">
        <f ca="1">IF(dict_zuord_Meth_Pos[[#This Row],[kval_active]],dict_zuord_Meth_Pos[[#This Row],[ID_Positions]],"")</f>
        <v/>
      </c>
    </row>
    <row r="593" spans="1:4" x14ac:dyDescent="0.45">
      <c r="A593">
        <f ca="1">dict_zul_Var_Meth[ID_Methods]</f>
        <v>279</v>
      </c>
      <c r="B593">
        <f ca="1">dict_zul_Var_Meth[ID_Variables]</f>
        <v>158</v>
      </c>
      <c r="C5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3" t="str">
        <f ca="1">IF(dict_zuord_Meth_Pos[[#This Row],[kval_active]],dict_zuord_Meth_Pos[[#This Row],[ID_Positions]],"")</f>
        <v/>
      </c>
    </row>
    <row r="594" spans="1:4" x14ac:dyDescent="0.45">
      <c r="A594">
        <f ca="1">dict_zul_Var_Meth[ID_Methods]</f>
        <v>416</v>
      </c>
      <c r="B594">
        <f ca="1">dict_zul_Var_Meth[ID_Variables]</f>
        <v>158</v>
      </c>
      <c r="C5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4" t="str">
        <f ca="1">IF(dict_zuord_Meth_Pos[[#This Row],[kval_active]],dict_zuord_Meth_Pos[[#This Row],[ID_Positions]],"")</f>
        <v/>
      </c>
    </row>
    <row r="595" spans="1:4" x14ac:dyDescent="0.45">
      <c r="A595">
        <f ca="1">dict_zul_Var_Meth[ID_Methods]</f>
        <v>502</v>
      </c>
      <c r="B595">
        <f ca="1">dict_zul_Var_Meth[ID_Variables]</f>
        <v>158</v>
      </c>
      <c r="C5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5" t="str">
        <f ca="1">IF(dict_zuord_Meth_Pos[[#This Row],[kval_active]],dict_zuord_Meth_Pos[[#This Row],[ID_Positions]],"")</f>
        <v/>
      </c>
    </row>
    <row r="596" spans="1:4" x14ac:dyDescent="0.45">
      <c r="A596">
        <f ca="1">dict_zul_Var_Meth[ID_Methods]</f>
        <v>670</v>
      </c>
      <c r="B596">
        <f ca="1">dict_zul_Var_Meth[ID_Variables]</f>
        <v>158</v>
      </c>
      <c r="C5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6" t="str">
        <f ca="1">IF(dict_zuord_Meth_Pos[[#This Row],[kval_active]],dict_zuord_Meth_Pos[[#This Row],[ID_Positions]],"")</f>
        <v/>
      </c>
    </row>
    <row r="597" spans="1:4" x14ac:dyDescent="0.45">
      <c r="A597">
        <f ca="1">dict_zul_Var_Meth[ID_Methods]</f>
        <v>194</v>
      </c>
      <c r="B597">
        <f ca="1">dict_zul_Var_Meth[ID_Variables]</f>
        <v>159</v>
      </c>
      <c r="C5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7" t="str">
        <f ca="1">IF(dict_zuord_Meth_Pos[[#This Row],[kval_active]],dict_zuord_Meth_Pos[[#This Row],[ID_Positions]],"")</f>
        <v/>
      </c>
    </row>
    <row r="598" spans="1:4" x14ac:dyDescent="0.45">
      <c r="A598">
        <f ca="1">dict_zul_Var_Meth[ID_Methods]</f>
        <v>258</v>
      </c>
      <c r="B598">
        <f ca="1">dict_zul_Var_Meth[ID_Variables]</f>
        <v>159</v>
      </c>
      <c r="C5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8" t="str">
        <f ca="1">IF(dict_zuord_Meth_Pos[[#This Row],[kval_active]],dict_zuord_Meth_Pos[[#This Row],[ID_Positions]],"")</f>
        <v/>
      </c>
    </row>
    <row r="599" spans="1:4" x14ac:dyDescent="0.45">
      <c r="A599">
        <f ca="1">dict_zul_Var_Meth[ID_Methods]</f>
        <v>621</v>
      </c>
      <c r="B599">
        <f ca="1">dict_zul_Var_Meth[ID_Variables]</f>
        <v>159</v>
      </c>
      <c r="C5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9" t="str">
        <f ca="1">IF(dict_zuord_Meth_Pos[[#This Row],[kval_active]],dict_zuord_Meth_Pos[[#This Row],[ID_Positions]],"")</f>
        <v/>
      </c>
    </row>
    <row r="600" spans="1:4" x14ac:dyDescent="0.45">
      <c r="A600">
        <f ca="1">dict_zul_Var_Meth[ID_Methods]</f>
        <v>124</v>
      </c>
      <c r="B600">
        <f ca="1">dict_zul_Var_Meth[ID_Variables]</f>
        <v>160</v>
      </c>
      <c r="C6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0" t="str">
        <f ca="1">IF(dict_zuord_Meth_Pos[[#This Row],[kval_active]],dict_zuord_Meth_Pos[[#This Row],[ID_Positions]],"")</f>
        <v/>
      </c>
    </row>
    <row r="601" spans="1:4" x14ac:dyDescent="0.45">
      <c r="A601">
        <f ca="1">dict_zul_Var_Meth[ID_Methods]</f>
        <v>172</v>
      </c>
      <c r="B601">
        <f ca="1">dict_zul_Var_Meth[ID_Variables]</f>
        <v>160</v>
      </c>
      <c r="C6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1" t="str">
        <f ca="1">IF(dict_zuord_Meth_Pos[[#This Row],[kval_active]],dict_zuord_Meth_Pos[[#This Row],[ID_Positions]],"")</f>
        <v/>
      </c>
    </row>
    <row r="602" spans="1:4" x14ac:dyDescent="0.45">
      <c r="A602">
        <f ca="1">dict_zul_Var_Meth[ID_Methods]</f>
        <v>356</v>
      </c>
      <c r="B602">
        <f ca="1">dict_zul_Var_Meth[ID_Variables]</f>
        <v>160</v>
      </c>
      <c r="C6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2" t="str">
        <f ca="1">IF(dict_zuord_Meth_Pos[[#This Row],[kval_active]],dict_zuord_Meth_Pos[[#This Row],[ID_Positions]],"")</f>
        <v/>
      </c>
    </row>
    <row r="603" spans="1:4" x14ac:dyDescent="0.45">
      <c r="A603">
        <f ca="1">dict_zul_Var_Meth[ID_Methods]</f>
        <v>545</v>
      </c>
      <c r="B603">
        <f ca="1">dict_zul_Var_Meth[ID_Variables]</f>
        <v>160</v>
      </c>
      <c r="C6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3" t="str">
        <f ca="1">IF(dict_zuord_Meth_Pos[[#This Row],[kval_active]],dict_zuord_Meth_Pos[[#This Row],[ID_Positions]],"")</f>
        <v/>
      </c>
    </row>
    <row r="604" spans="1:4" x14ac:dyDescent="0.45">
      <c r="A604">
        <f ca="1">dict_zul_Var_Meth[ID_Methods]</f>
        <v>141</v>
      </c>
      <c r="B604">
        <f ca="1">dict_zul_Var_Meth[ID_Variables]</f>
        <v>161</v>
      </c>
      <c r="C6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4" t="str">
        <f ca="1">IF(dict_zuord_Meth_Pos[[#This Row],[kval_active]],dict_zuord_Meth_Pos[[#This Row],[ID_Positions]],"")</f>
        <v/>
      </c>
    </row>
    <row r="605" spans="1:4" x14ac:dyDescent="0.45">
      <c r="A605">
        <f ca="1">dict_zul_Var_Meth[ID_Methods]</f>
        <v>260</v>
      </c>
      <c r="B605">
        <f ca="1">dict_zul_Var_Meth[ID_Variables]</f>
        <v>161</v>
      </c>
      <c r="C6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5" t="str">
        <f ca="1">IF(dict_zuord_Meth_Pos[[#This Row],[kval_active]],dict_zuord_Meth_Pos[[#This Row],[ID_Positions]],"")</f>
        <v/>
      </c>
    </row>
    <row r="606" spans="1:4" x14ac:dyDescent="0.45">
      <c r="A606">
        <f ca="1">dict_zul_Var_Meth[ID_Methods]</f>
        <v>10</v>
      </c>
      <c r="B606">
        <f ca="1">dict_zul_Var_Meth[ID_Variables]</f>
        <v>162</v>
      </c>
      <c r="C6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6" t="str">
        <f ca="1">IF(dict_zuord_Meth_Pos[[#This Row],[kval_active]],dict_zuord_Meth_Pos[[#This Row],[ID_Positions]],"")</f>
        <v/>
      </c>
    </row>
    <row r="607" spans="1:4" x14ac:dyDescent="0.45">
      <c r="A607">
        <f ca="1">dict_zul_Var_Meth[ID_Methods]</f>
        <v>135</v>
      </c>
      <c r="B607">
        <f ca="1">dict_zul_Var_Meth[ID_Variables]</f>
        <v>162</v>
      </c>
      <c r="C6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7" t="str">
        <f ca="1">IF(dict_zuord_Meth_Pos[[#This Row],[kval_active]],dict_zuord_Meth_Pos[[#This Row],[ID_Positions]],"")</f>
        <v/>
      </c>
    </row>
    <row r="608" spans="1:4" x14ac:dyDescent="0.45">
      <c r="A608">
        <f ca="1">dict_zul_Var_Meth[ID_Methods]</f>
        <v>249</v>
      </c>
      <c r="B608">
        <f ca="1">dict_zul_Var_Meth[ID_Variables]</f>
        <v>162</v>
      </c>
      <c r="C6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8" t="str">
        <f ca="1">IF(dict_zuord_Meth_Pos[[#This Row],[kval_active]],dict_zuord_Meth_Pos[[#This Row],[ID_Positions]],"")</f>
        <v/>
      </c>
    </row>
    <row r="609" spans="1:4" x14ac:dyDescent="0.45">
      <c r="A609">
        <f ca="1">dict_zul_Var_Meth[ID_Methods]</f>
        <v>587</v>
      </c>
      <c r="B609">
        <f ca="1">dict_zul_Var_Meth[ID_Variables]</f>
        <v>162</v>
      </c>
      <c r="C6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9" t="str">
        <f ca="1">IF(dict_zuord_Meth_Pos[[#This Row],[kval_active]],dict_zuord_Meth_Pos[[#This Row],[ID_Positions]],"")</f>
        <v/>
      </c>
    </row>
    <row r="610" spans="1:4" x14ac:dyDescent="0.45">
      <c r="A610">
        <f ca="1">dict_zul_Var_Meth[ID_Methods]</f>
        <v>603</v>
      </c>
      <c r="B610">
        <f ca="1">dict_zul_Var_Meth[ID_Variables]</f>
        <v>162</v>
      </c>
      <c r="C6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0" t="str">
        <f ca="1">IF(dict_zuord_Meth_Pos[[#This Row],[kval_active]],dict_zuord_Meth_Pos[[#This Row],[ID_Positions]],"")</f>
        <v/>
      </c>
    </row>
    <row r="611" spans="1:4" x14ac:dyDescent="0.45">
      <c r="A611">
        <f ca="1">dict_zul_Var_Meth[ID_Methods]</f>
        <v>669</v>
      </c>
      <c r="B611">
        <f ca="1">dict_zul_Var_Meth[ID_Variables]</f>
        <v>162</v>
      </c>
      <c r="C6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1" t="str">
        <f ca="1">IF(dict_zuord_Meth_Pos[[#This Row],[kval_active]],dict_zuord_Meth_Pos[[#This Row],[ID_Positions]],"")</f>
        <v/>
      </c>
    </row>
    <row r="612" spans="1:4" x14ac:dyDescent="0.45">
      <c r="A612">
        <f ca="1">dict_zul_Var_Meth[ID_Methods]</f>
        <v>33</v>
      </c>
      <c r="B612">
        <f ca="1">dict_zul_Var_Meth[ID_Variables]</f>
        <v>163</v>
      </c>
      <c r="C6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2" t="str">
        <f ca="1">IF(dict_zuord_Meth_Pos[[#This Row],[kval_active]],dict_zuord_Meth_Pos[[#This Row],[ID_Positions]],"")</f>
        <v/>
      </c>
    </row>
    <row r="613" spans="1:4" x14ac:dyDescent="0.45">
      <c r="A613">
        <f ca="1">dict_zul_Var_Meth[ID_Methods]</f>
        <v>90</v>
      </c>
      <c r="B613">
        <f ca="1">dict_zul_Var_Meth[ID_Variables]</f>
        <v>163</v>
      </c>
      <c r="C6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3" t="str">
        <f ca="1">IF(dict_zuord_Meth_Pos[[#This Row],[kval_active]],dict_zuord_Meth_Pos[[#This Row],[ID_Positions]],"")</f>
        <v/>
      </c>
    </row>
    <row r="614" spans="1:4" x14ac:dyDescent="0.45">
      <c r="A614">
        <f ca="1">dict_zul_Var_Meth[ID_Methods]</f>
        <v>598</v>
      </c>
      <c r="B614">
        <f ca="1">dict_zul_Var_Meth[ID_Variables]</f>
        <v>163</v>
      </c>
      <c r="C6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4" t="str">
        <f ca="1">IF(dict_zuord_Meth_Pos[[#This Row],[kval_active]],dict_zuord_Meth_Pos[[#This Row],[ID_Positions]],"")</f>
        <v/>
      </c>
    </row>
    <row r="615" spans="1:4" x14ac:dyDescent="0.45">
      <c r="A615">
        <f ca="1">dict_zul_Var_Meth[ID_Methods]</f>
        <v>266</v>
      </c>
      <c r="B615">
        <f ca="1">dict_zul_Var_Meth[ID_Variables]</f>
        <v>164</v>
      </c>
      <c r="C6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5" t="str">
        <f ca="1">IF(dict_zuord_Meth_Pos[[#This Row],[kval_active]],dict_zuord_Meth_Pos[[#This Row],[ID_Positions]],"")</f>
        <v/>
      </c>
    </row>
    <row r="616" spans="1:4" x14ac:dyDescent="0.45">
      <c r="A616">
        <f ca="1">dict_zul_Var_Meth[ID_Methods]</f>
        <v>288</v>
      </c>
      <c r="B616">
        <f ca="1">dict_zul_Var_Meth[ID_Variables]</f>
        <v>164</v>
      </c>
      <c r="C6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6" t="str">
        <f ca="1">IF(dict_zuord_Meth_Pos[[#This Row],[kval_active]],dict_zuord_Meth_Pos[[#This Row],[ID_Positions]],"")</f>
        <v/>
      </c>
    </row>
    <row r="617" spans="1:4" x14ac:dyDescent="0.45">
      <c r="A617">
        <f ca="1">dict_zul_Var_Meth[ID_Methods]</f>
        <v>507</v>
      </c>
      <c r="B617">
        <f ca="1">dict_zul_Var_Meth[ID_Variables]</f>
        <v>164</v>
      </c>
      <c r="C6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7" t="str">
        <f ca="1">IF(dict_zuord_Meth_Pos[[#This Row],[kval_active]],dict_zuord_Meth_Pos[[#This Row],[ID_Positions]],"")</f>
        <v/>
      </c>
    </row>
    <row r="618" spans="1:4" x14ac:dyDescent="0.45">
      <c r="A618">
        <f ca="1">dict_zul_Var_Meth[ID_Methods]</f>
        <v>549</v>
      </c>
      <c r="B618">
        <f ca="1">dict_zul_Var_Meth[ID_Variables]</f>
        <v>164</v>
      </c>
      <c r="C6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8" t="str">
        <f ca="1">IF(dict_zuord_Meth_Pos[[#This Row],[kval_active]],dict_zuord_Meth_Pos[[#This Row],[ID_Positions]],"")</f>
        <v/>
      </c>
    </row>
    <row r="619" spans="1:4" x14ac:dyDescent="0.45">
      <c r="A619">
        <f ca="1">dict_zul_Var_Meth[ID_Methods]</f>
        <v>641</v>
      </c>
      <c r="B619">
        <f ca="1">dict_zul_Var_Meth[ID_Variables]</f>
        <v>164</v>
      </c>
      <c r="C6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9" t="str">
        <f ca="1">IF(dict_zuord_Meth_Pos[[#This Row],[kval_active]],dict_zuord_Meth_Pos[[#This Row],[ID_Positions]],"")</f>
        <v/>
      </c>
    </row>
    <row r="620" spans="1:4" x14ac:dyDescent="0.45">
      <c r="A620">
        <f ca="1">dict_zul_Var_Meth[ID_Methods]</f>
        <v>79</v>
      </c>
      <c r="B620">
        <f ca="1">dict_zul_Var_Meth[ID_Variables]</f>
        <v>165</v>
      </c>
      <c r="C6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0" t="str">
        <f ca="1">IF(dict_zuord_Meth_Pos[[#This Row],[kval_active]],dict_zuord_Meth_Pos[[#This Row],[ID_Positions]],"")</f>
        <v/>
      </c>
    </row>
    <row r="621" spans="1:4" x14ac:dyDescent="0.45">
      <c r="A621">
        <f ca="1">dict_zul_Var_Meth[ID_Methods]</f>
        <v>417</v>
      </c>
      <c r="B621">
        <f ca="1">dict_zul_Var_Meth[ID_Variables]</f>
        <v>165</v>
      </c>
      <c r="C6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1" t="str">
        <f ca="1">IF(dict_zuord_Meth_Pos[[#This Row],[kval_active]],dict_zuord_Meth_Pos[[#This Row],[ID_Positions]],"")</f>
        <v/>
      </c>
    </row>
    <row r="622" spans="1:4" x14ac:dyDescent="0.45">
      <c r="A622">
        <f ca="1">dict_zul_Var_Meth[ID_Methods]</f>
        <v>208</v>
      </c>
      <c r="B622">
        <f ca="1">dict_zul_Var_Meth[ID_Variables]</f>
        <v>166</v>
      </c>
      <c r="C6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2" t="str">
        <f ca="1">IF(dict_zuord_Meth_Pos[[#This Row],[kval_active]],dict_zuord_Meth_Pos[[#This Row],[ID_Positions]],"")</f>
        <v/>
      </c>
    </row>
    <row r="623" spans="1:4" x14ac:dyDescent="0.45">
      <c r="A623">
        <f ca="1">dict_zul_Var_Meth[ID_Methods]</f>
        <v>447</v>
      </c>
      <c r="B623">
        <f ca="1">dict_zul_Var_Meth[ID_Variables]</f>
        <v>166</v>
      </c>
      <c r="C6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3" t="str">
        <f ca="1">IF(dict_zuord_Meth_Pos[[#This Row],[kval_active]],dict_zuord_Meth_Pos[[#This Row],[ID_Positions]],"")</f>
        <v/>
      </c>
    </row>
    <row r="624" spans="1:4" x14ac:dyDescent="0.45">
      <c r="A624">
        <f ca="1">dict_zul_Var_Meth[ID_Methods]</f>
        <v>662</v>
      </c>
      <c r="B624">
        <f ca="1">dict_zul_Var_Meth[ID_Variables]</f>
        <v>166</v>
      </c>
      <c r="C6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4" t="str">
        <f ca="1">IF(dict_zuord_Meth_Pos[[#This Row],[kval_active]],dict_zuord_Meth_Pos[[#This Row],[ID_Positions]],"")</f>
        <v/>
      </c>
    </row>
    <row r="625" spans="1:4" x14ac:dyDescent="0.45">
      <c r="A625">
        <f ca="1">dict_zul_Var_Meth[ID_Methods]</f>
        <v>686</v>
      </c>
      <c r="B625">
        <f ca="1">dict_zul_Var_Meth[ID_Variables]</f>
        <v>166</v>
      </c>
      <c r="C6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5" t="str">
        <f ca="1">IF(dict_zuord_Meth_Pos[[#This Row],[kval_active]],dict_zuord_Meth_Pos[[#This Row],[ID_Positions]],"")</f>
        <v/>
      </c>
    </row>
    <row r="626" spans="1:4" x14ac:dyDescent="0.45">
      <c r="A626">
        <f ca="1">dict_zul_Var_Meth[ID_Methods]</f>
        <v>43</v>
      </c>
      <c r="B626">
        <f ca="1">dict_zul_Var_Meth[ID_Variables]</f>
        <v>167</v>
      </c>
      <c r="C6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6" t="str">
        <f ca="1">IF(dict_zuord_Meth_Pos[[#This Row],[kval_active]],dict_zuord_Meth_Pos[[#This Row],[ID_Positions]],"")</f>
        <v/>
      </c>
    </row>
    <row r="627" spans="1:4" x14ac:dyDescent="0.45">
      <c r="A627">
        <f ca="1">dict_zul_Var_Meth[ID_Methods]</f>
        <v>428</v>
      </c>
      <c r="B627">
        <f ca="1">dict_zul_Var_Meth[ID_Variables]</f>
        <v>167</v>
      </c>
      <c r="C6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7" t="str">
        <f ca="1">IF(dict_zuord_Meth_Pos[[#This Row],[kval_active]],dict_zuord_Meth_Pos[[#This Row],[ID_Positions]],"")</f>
        <v/>
      </c>
    </row>
    <row r="628" spans="1:4" x14ac:dyDescent="0.45">
      <c r="A628">
        <f ca="1">dict_zul_Var_Meth[ID_Methods]</f>
        <v>503</v>
      </c>
      <c r="B628">
        <f ca="1">dict_zul_Var_Meth[ID_Variables]</f>
        <v>167</v>
      </c>
      <c r="C6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8" t="str">
        <f ca="1">IF(dict_zuord_Meth_Pos[[#This Row],[kval_active]],dict_zuord_Meth_Pos[[#This Row],[ID_Positions]],"")</f>
        <v/>
      </c>
    </row>
    <row r="629" spans="1:4" x14ac:dyDescent="0.45">
      <c r="A629">
        <f ca="1">dict_zul_Var_Meth[ID_Methods]</f>
        <v>25</v>
      </c>
      <c r="B629">
        <f ca="1">dict_zul_Var_Meth[ID_Variables]</f>
        <v>168</v>
      </c>
      <c r="C6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9" t="str">
        <f ca="1">IF(dict_zuord_Meth_Pos[[#This Row],[kval_active]],dict_zuord_Meth_Pos[[#This Row],[ID_Positions]],"")</f>
        <v/>
      </c>
    </row>
    <row r="630" spans="1:4" x14ac:dyDescent="0.45">
      <c r="A630">
        <f ca="1">dict_zul_Var_Meth[ID_Methods]</f>
        <v>261</v>
      </c>
      <c r="B630">
        <f ca="1">dict_zul_Var_Meth[ID_Variables]</f>
        <v>168</v>
      </c>
      <c r="C6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0" t="str">
        <f ca="1">IF(dict_zuord_Meth_Pos[[#This Row],[kval_active]],dict_zuord_Meth_Pos[[#This Row],[ID_Positions]],"")</f>
        <v/>
      </c>
    </row>
    <row r="631" spans="1:4" x14ac:dyDescent="0.45">
      <c r="A631">
        <f ca="1">dict_zul_Var_Meth[ID_Methods]</f>
        <v>292</v>
      </c>
      <c r="B631">
        <f ca="1">dict_zul_Var_Meth[ID_Variables]</f>
        <v>168</v>
      </c>
      <c r="C6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1" t="str">
        <f ca="1">IF(dict_zuord_Meth_Pos[[#This Row],[kval_active]],dict_zuord_Meth_Pos[[#This Row],[ID_Positions]],"")</f>
        <v/>
      </c>
    </row>
    <row r="632" spans="1:4" x14ac:dyDescent="0.45">
      <c r="A632">
        <f ca="1">dict_zul_Var_Meth[ID_Methods]</f>
        <v>300</v>
      </c>
      <c r="B632">
        <f ca="1">dict_zul_Var_Meth[ID_Variables]</f>
        <v>168</v>
      </c>
      <c r="C6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2" t="str">
        <f ca="1">IF(dict_zuord_Meth_Pos[[#This Row],[kval_active]],dict_zuord_Meth_Pos[[#This Row],[ID_Positions]],"")</f>
        <v/>
      </c>
    </row>
    <row r="633" spans="1:4" x14ac:dyDescent="0.45">
      <c r="A633">
        <f ca="1">dict_zul_Var_Meth[ID_Methods]</f>
        <v>411</v>
      </c>
      <c r="B633">
        <f ca="1">dict_zul_Var_Meth[ID_Variables]</f>
        <v>168</v>
      </c>
      <c r="C6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3" t="str">
        <f ca="1">IF(dict_zuord_Meth_Pos[[#This Row],[kval_active]],dict_zuord_Meth_Pos[[#This Row],[ID_Positions]],"")</f>
        <v/>
      </c>
    </row>
    <row r="634" spans="1:4" x14ac:dyDescent="0.45">
      <c r="A634">
        <f ca="1">dict_zul_Var_Meth[ID_Methods]</f>
        <v>210</v>
      </c>
      <c r="B634">
        <f ca="1">dict_zul_Var_Meth[ID_Variables]</f>
        <v>169</v>
      </c>
      <c r="C6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4" t="str">
        <f ca="1">IF(dict_zuord_Meth_Pos[[#This Row],[kval_active]],dict_zuord_Meth_Pos[[#This Row],[ID_Positions]],"")</f>
        <v/>
      </c>
    </row>
    <row r="635" spans="1:4" x14ac:dyDescent="0.45">
      <c r="A635">
        <f ca="1">dict_zul_Var_Meth[ID_Methods]</f>
        <v>537</v>
      </c>
      <c r="B635">
        <f ca="1">dict_zul_Var_Meth[ID_Variables]</f>
        <v>169</v>
      </c>
      <c r="C6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5" t="str">
        <f ca="1">IF(dict_zuord_Meth_Pos[[#This Row],[kval_active]],dict_zuord_Meth_Pos[[#This Row],[ID_Positions]],"")</f>
        <v/>
      </c>
    </row>
    <row r="636" spans="1:4" x14ac:dyDescent="0.45">
      <c r="A636">
        <f ca="1">dict_zul_Var_Meth[ID_Methods]</f>
        <v>647</v>
      </c>
      <c r="B636">
        <f ca="1">dict_zul_Var_Meth[ID_Variables]</f>
        <v>169</v>
      </c>
      <c r="C6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6" t="str">
        <f ca="1">IF(dict_zuord_Meth_Pos[[#This Row],[kval_active]],dict_zuord_Meth_Pos[[#This Row],[ID_Positions]],"")</f>
        <v/>
      </c>
    </row>
    <row r="637" spans="1:4" x14ac:dyDescent="0.45">
      <c r="A637">
        <f ca="1">dict_zul_Var_Meth[ID_Methods]</f>
        <v>2</v>
      </c>
      <c r="B637">
        <f ca="1">dict_zul_Var_Meth[ID_Variables]</f>
        <v>170</v>
      </c>
      <c r="C6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7" t="str">
        <f ca="1">IF(dict_zuord_Meth_Pos[[#This Row],[kval_active]],dict_zuord_Meth_Pos[[#This Row],[ID_Positions]],"")</f>
        <v/>
      </c>
    </row>
    <row r="638" spans="1:4" x14ac:dyDescent="0.45">
      <c r="A638">
        <f ca="1">dict_zul_Var_Meth[ID_Methods]</f>
        <v>67</v>
      </c>
      <c r="B638">
        <f ca="1">dict_zul_Var_Meth[ID_Variables]</f>
        <v>170</v>
      </c>
      <c r="C6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8" t="str">
        <f ca="1">IF(dict_zuord_Meth_Pos[[#This Row],[kval_active]],dict_zuord_Meth_Pos[[#This Row],[ID_Positions]],"")</f>
        <v/>
      </c>
    </row>
    <row r="639" spans="1:4" x14ac:dyDescent="0.45">
      <c r="A639">
        <f ca="1">dict_zul_Var_Meth[ID_Methods]</f>
        <v>682</v>
      </c>
      <c r="B639">
        <f ca="1">dict_zul_Var_Meth[ID_Variables]</f>
        <v>170</v>
      </c>
      <c r="C6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9" t="str">
        <f ca="1">IF(dict_zuord_Meth_Pos[[#This Row],[kval_active]],dict_zuord_Meth_Pos[[#This Row],[ID_Positions]],"")</f>
        <v/>
      </c>
    </row>
    <row r="640" spans="1:4" x14ac:dyDescent="0.45">
      <c r="A640">
        <f ca="1">dict_zul_Var_Meth[ID_Methods]</f>
        <v>5</v>
      </c>
      <c r="B640">
        <f ca="1">dict_zul_Var_Meth[ID_Variables]</f>
        <v>171</v>
      </c>
      <c r="C6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0" t="str">
        <f ca="1">IF(dict_zuord_Meth_Pos[[#This Row],[kval_active]],dict_zuord_Meth_Pos[[#This Row],[ID_Positions]],"")</f>
        <v/>
      </c>
    </row>
    <row r="641" spans="1:4" x14ac:dyDescent="0.45">
      <c r="A641">
        <f ca="1">dict_zul_Var_Meth[ID_Methods]</f>
        <v>25</v>
      </c>
      <c r="B641">
        <f ca="1">dict_zul_Var_Meth[ID_Variables]</f>
        <v>171</v>
      </c>
      <c r="C6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1" t="str">
        <f ca="1">IF(dict_zuord_Meth_Pos[[#This Row],[kval_active]],dict_zuord_Meth_Pos[[#This Row],[ID_Positions]],"")</f>
        <v/>
      </c>
    </row>
    <row r="642" spans="1:4" x14ac:dyDescent="0.45">
      <c r="A642">
        <f ca="1">dict_zul_Var_Meth[ID_Methods]</f>
        <v>83</v>
      </c>
      <c r="B642">
        <f ca="1">dict_zul_Var_Meth[ID_Variables]</f>
        <v>171</v>
      </c>
      <c r="C6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2" t="str">
        <f ca="1">IF(dict_zuord_Meth_Pos[[#This Row],[kval_active]],dict_zuord_Meth_Pos[[#This Row],[ID_Positions]],"")</f>
        <v/>
      </c>
    </row>
    <row r="643" spans="1:4" x14ac:dyDescent="0.45">
      <c r="A643">
        <f ca="1">dict_zul_Var_Meth[ID_Methods]</f>
        <v>296</v>
      </c>
      <c r="B643">
        <f ca="1">dict_zul_Var_Meth[ID_Variables]</f>
        <v>171</v>
      </c>
      <c r="C6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3" t="str">
        <f ca="1">IF(dict_zuord_Meth_Pos[[#This Row],[kval_active]],dict_zuord_Meth_Pos[[#This Row],[ID_Positions]],"")</f>
        <v/>
      </c>
    </row>
    <row r="644" spans="1:4" x14ac:dyDescent="0.45">
      <c r="A644">
        <f ca="1">dict_zul_Var_Meth[ID_Methods]</f>
        <v>589</v>
      </c>
      <c r="B644">
        <f ca="1">dict_zul_Var_Meth[ID_Variables]</f>
        <v>171</v>
      </c>
      <c r="C6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4" t="str">
        <f ca="1">IF(dict_zuord_Meth_Pos[[#This Row],[kval_active]],dict_zuord_Meth_Pos[[#This Row],[ID_Positions]],"")</f>
        <v/>
      </c>
    </row>
    <row r="645" spans="1:4" x14ac:dyDescent="0.45">
      <c r="A645">
        <f ca="1">dict_zul_Var_Meth[ID_Methods]</f>
        <v>317</v>
      </c>
      <c r="B645">
        <f ca="1">dict_zul_Var_Meth[ID_Variables]</f>
        <v>172</v>
      </c>
      <c r="C6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5" t="str">
        <f ca="1">IF(dict_zuord_Meth_Pos[[#This Row],[kval_active]],dict_zuord_Meth_Pos[[#This Row],[ID_Positions]],"")</f>
        <v/>
      </c>
    </row>
    <row r="646" spans="1:4" x14ac:dyDescent="0.45">
      <c r="A646">
        <f ca="1">dict_zul_Var_Meth[ID_Methods]</f>
        <v>413</v>
      </c>
      <c r="B646">
        <f ca="1">dict_zul_Var_Meth[ID_Variables]</f>
        <v>172</v>
      </c>
      <c r="C6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6" t="str">
        <f ca="1">IF(dict_zuord_Meth_Pos[[#This Row],[kval_active]],dict_zuord_Meth_Pos[[#This Row],[ID_Positions]],"")</f>
        <v/>
      </c>
    </row>
    <row r="647" spans="1:4" x14ac:dyDescent="0.45">
      <c r="A647">
        <f ca="1">dict_zul_Var_Meth[ID_Methods]</f>
        <v>463</v>
      </c>
      <c r="B647">
        <f ca="1">dict_zul_Var_Meth[ID_Variables]</f>
        <v>172</v>
      </c>
      <c r="C6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7" t="str">
        <f ca="1">IF(dict_zuord_Meth_Pos[[#This Row],[kval_active]],dict_zuord_Meth_Pos[[#This Row],[ID_Positions]],"")</f>
        <v/>
      </c>
    </row>
    <row r="648" spans="1:4" x14ac:dyDescent="0.45">
      <c r="A648">
        <f ca="1">dict_zul_Var_Meth[ID_Methods]</f>
        <v>584</v>
      </c>
      <c r="B648">
        <f ca="1">dict_zul_Var_Meth[ID_Variables]</f>
        <v>172</v>
      </c>
      <c r="C6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8" t="str">
        <f ca="1">IF(dict_zuord_Meth_Pos[[#This Row],[kval_active]],dict_zuord_Meth_Pos[[#This Row],[ID_Positions]],"")</f>
        <v/>
      </c>
    </row>
    <row r="649" spans="1:4" x14ac:dyDescent="0.45">
      <c r="A649">
        <f ca="1">dict_zul_Var_Meth[ID_Methods]</f>
        <v>636</v>
      </c>
      <c r="B649">
        <f ca="1">dict_zul_Var_Meth[ID_Variables]</f>
        <v>173</v>
      </c>
      <c r="C6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9" t="str">
        <f ca="1">IF(dict_zuord_Meth_Pos[[#This Row],[kval_active]],dict_zuord_Meth_Pos[[#This Row],[ID_Positions]],"")</f>
        <v/>
      </c>
    </row>
    <row r="650" spans="1:4" x14ac:dyDescent="0.45">
      <c r="A650">
        <f ca="1">dict_zul_Var_Meth[ID_Methods]</f>
        <v>692</v>
      </c>
      <c r="B650">
        <f ca="1">dict_zul_Var_Meth[ID_Variables]</f>
        <v>173</v>
      </c>
      <c r="C6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0" t="str">
        <f ca="1">IF(dict_zuord_Meth_Pos[[#This Row],[kval_active]],dict_zuord_Meth_Pos[[#This Row],[ID_Positions]],"")</f>
        <v/>
      </c>
    </row>
    <row r="651" spans="1:4" x14ac:dyDescent="0.45">
      <c r="A651">
        <f ca="1">dict_zul_Var_Meth[ID_Methods]</f>
        <v>118</v>
      </c>
      <c r="B651">
        <f ca="1">dict_zul_Var_Meth[ID_Variables]</f>
        <v>174</v>
      </c>
      <c r="C6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1" t="str">
        <f ca="1">IF(dict_zuord_Meth_Pos[[#This Row],[kval_active]],dict_zuord_Meth_Pos[[#This Row],[ID_Positions]],"")</f>
        <v/>
      </c>
    </row>
    <row r="652" spans="1:4" x14ac:dyDescent="0.45">
      <c r="A652">
        <f ca="1">dict_zul_Var_Meth[ID_Methods]</f>
        <v>144</v>
      </c>
      <c r="B652">
        <f ca="1">dict_zul_Var_Meth[ID_Variables]</f>
        <v>174</v>
      </c>
      <c r="C6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2" t="str">
        <f ca="1">IF(dict_zuord_Meth_Pos[[#This Row],[kval_active]],dict_zuord_Meth_Pos[[#This Row],[ID_Positions]],"")</f>
        <v/>
      </c>
    </row>
    <row r="653" spans="1:4" x14ac:dyDescent="0.45">
      <c r="A653">
        <f ca="1">dict_zul_Var_Meth[ID_Methods]</f>
        <v>273</v>
      </c>
      <c r="B653">
        <f ca="1">dict_zul_Var_Meth[ID_Variables]</f>
        <v>174</v>
      </c>
      <c r="C6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3" t="str">
        <f ca="1">IF(dict_zuord_Meth_Pos[[#This Row],[kval_active]],dict_zuord_Meth_Pos[[#This Row],[ID_Positions]],"")</f>
        <v/>
      </c>
    </row>
    <row r="654" spans="1:4" x14ac:dyDescent="0.45">
      <c r="A654">
        <f ca="1">dict_zul_Var_Meth[ID_Methods]</f>
        <v>608</v>
      </c>
      <c r="B654">
        <f ca="1">dict_zul_Var_Meth[ID_Variables]</f>
        <v>174</v>
      </c>
      <c r="C6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4" t="str">
        <f ca="1">IF(dict_zuord_Meth_Pos[[#This Row],[kval_active]],dict_zuord_Meth_Pos[[#This Row],[ID_Positions]],"")</f>
        <v/>
      </c>
    </row>
    <row r="655" spans="1:4" x14ac:dyDescent="0.45">
      <c r="A655">
        <f ca="1">dict_zul_Var_Meth[ID_Methods]</f>
        <v>691</v>
      </c>
      <c r="B655">
        <f ca="1">dict_zul_Var_Meth[ID_Variables]</f>
        <v>174</v>
      </c>
      <c r="C6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5" t="str">
        <f ca="1">IF(dict_zuord_Meth_Pos[[#This Row],[kval_active]],dict_zuord_Meth_Pos[[#This Row],[ID_Positions]],"")</f>
        <v/>
      </c>
    </row>
    <row r="656" spans="1:4" x14ac:dyDescent="0.45">
      <c r="A656">
        <f ca="1">dict_zul_Var_Meth[ID_Methods]</f>
        <v>202</v>
      </c>
      <c r="B656">
        <f ca="1">dict_zul_Var_Meth[ID_Variables]</f>
        <v>175</v>
      </c>
      <c r="C6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6" t="str">
        <f ca="1">IF(dict_zuord_Meth_Pos[[#This Row],[kval_active]],dict_zuord_Meth_Pos[[#This Row],[ID_Positions]],"")</f>
        <v/>
      </c>
    </row>
    <row r="657" spans="1:4" x14ac:dyDescent="0.45">
      <c r="A657">
        <f ca="1">dict_zul_Var_Meth[ID_Methods]</f>
        <v>251</v>
      </c>
      <c r="B657">
        <f ca="1">dict_zul_Var_Meth[ID_Variables]</f>
        <v>175</v>
      </c>
      <c r="C6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7" t="str">
        <f ca="1">IF(dict_zuord_Meth_Pos[[#This Row],[kval_active]],dict_zuord_Meth_Pos[[#This Row],[ID_Positions]],"")</f>
        <v/>
      </c>
    </row>
    <row r="658" spans="1:4" x14ac:dyDescent="0.45">
      <c r="A658">
        <f ca="1">dict_zul_Var_Meth[ID_Methods]</f>
        <v>419</v>
      </c>
      <c r="B658">
        <f ca="1">dict_zul_Var_Meth[ID_Variables]</f>
        <v>175</v>
      </c>
      <c r="C6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8" t="str">
        <f ca="1">IF(dict_zuord_Meth_Pos[[#This Row],[kval_active]],dict_zuord_Meth_Pos[[#This Row],[ID_Positions]],"")</f>
        <v/>
      </c>
    </row>
    <row r="659" spans="1:4" x14ac:dyDescent="0.45">
      <c r="A659">
        <f ca="1">dict_zul_Var_Meth[ID_Methods]</f>
        <v>221</v>
      </c>
      <c r="B659">
        <f ca="1">dict_zul_Var_Meth[ID_Variables]</f>
        <v>176</v>
      </c>
      <c r="C6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9" t="str">
        <f ca="1">IF(dict_zuord_Meth_Pos[[#This Row],[kval_active]],dict_zuord_Meth_Pos[[#This Row],[ID_Positions]],"")</f>
        <v/>
      </c>
    </row>
    <row r="660" spans="1:4" x14ac:dyDescent="0.45">
      <c r="A660">
        <f ca="1">dict_zul_Var_Meth[ID_Methods]</f>
        <v>328</v>
      </c>
      <c r="B660">
        <f ca="1">dict_zul_Var_Meth[ID_Variables]</f>
        <v>176</v>
      </c>
      <c r="C6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0" t="str">
        <f ca="1">IF(dict_zuord_Meth_Pos[[#This Row],[kval_active]],dict_zuord_Meth_Pos[[#This Row],[ID_Positions]],"")</f>
        <v/>
      </c>
    </row>
    <row r="661" spans="1:4" x14ac:dyDescent="0.45">
      <c r="A661">
        <f ca="1">dict_zul_Var_Meth[ID_Methods]</f>
        <v>446</v>
      </c>
      <c r="B661">
        <f ca="1">dict_zul_Var_Meth[ID_Variables]</f>
        <v>176</v>
      </c>
      <c r="C6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1" t="str">
        <f ca="1">IF(dict_zuord_Meth_Pos[[#This Row],[kval_active]],dict_zuord_Meth_Pos[[#This Row],[ID_Positions]],"")</f>
        <v/>
      </c>
    </row>
    <row r="662" spans="1:4" x14ac:dyDescent="0.45">
      <c r="A662">
        <f ca="1">dict_zul_Var_Meth[ID_Methods]</f>
        <v>515</v>
      </c>
      <c r="B662">
        <f ca="1">dict_zul_Var_Meth[ID_Variables]</f>
        <v>176</v>
      </c>
      <c r="C6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2" t="str">
        <f ca="1">IF(dict_zuord_Meth_Pos[[#This Row],[kval_active]],dict_zuord_Meth_Pos[[#This Row],[ID_Positions]],"")</f>
        <v/>
      </c>
    </row>
    <row r="663" spans="1:4" x14ac:dyDescent="0.45">
      <c r="A663">
        <f ca="1">dict_zul_Var_Meth[ID_Methods]</f>
        <v>319</v>
      </c>
      <c r="B663">
        <f ca="1">dict_zul_Var_Meth[ID_Variables]</f>
        <v>177</v>
      </c>
      <c r="C6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3" t="str">
        <f ca="1">IF(dict_zuord_Meth_Pos[[#This Row],[kval_active]],dict_zuord_Meth_Pos[[#This Row],[ID_Positions]],"")</f>
        <v/>
      </c>
    </row>
    <row r="664" spans="1:4" x14ac:dyDescent="0.45">
      <c r="A664">
        <f ca="1">dict_zul_Var_Meth[ID_Methods]</f>
        <v>529</v>
      </c>
      <c r="B664">
        <f ca="1">dict_zul_Var_Meth[ID_Variables]</f>
        <v>177</v>
      </c>
      <c r="C6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4" t="str">
        <f ca="1">IF(dict_zuord_Meth_Pos[[#This Row],[kval_active]],dict_zuord_Meth_Pos[[#This Row],[ID_Positions]],"")</f>
        <v/>
      </c>
    </row>
    <row r="665" spans="1:4" x14ac:dyDescent="0.45">
      <c r="A665">
        <f ca="1">dict_zul_Var_Meth[ID_Methods]</f>
        <v>677</v>
      </c>
      <c r="B665">
        <f ca="1">dict_zul_Var_Meth[ID_Variables]</f>
        <v>177</v>
      </c>
      <c r="C6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5" t="str">
        <f ca="1">IF(dict_zuord_Meth_Pos[[#This Row],[kval_active]],dict_zuord_Meth_Pos[[#This Row],[ID_Positions]],"")</f>
        <v/>
      </c>
    </row>
    <row r="666" spans="1:4" x14ac:dyDescent="0.45">
      <c r="A666">
        <f ca="1">dict_zul_Var_Meth[ID_Methods]</f>
        <v>92</v>
      </c>
      <c r="B666">
        <f ca="1">dict_zul_Var_Meth[ID_Variables]</f>
        <v>178</v>
      </c>
      <c r="C6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6" t="str">
        <f ca="1">IF(dict_zuord_Meth_Pos[[#This Row],[kval_active]],dict_zuord_Meth_Pos[[#This Row],[ID_Positions]],"")</f>
        <v/>
      </c>
    </row>
    <row r="667" spans="1:4" x14ac:dyDescent="0.45">
      <c r="A667">
        <f ca="1">dict_zul_Var_Meth[ID_Methods]</f>
        <v>94</v>
      </c>
      <c r="B667">
        <f ca="1">dict_zul_Var_Meth[ID_Variables]</f>
        <v>178</v>
      </c>
      <c r="C6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7" t="str">
        <f ca="1">IF(dict_zuord_Meth_Pos[[#This Row],[kval_active]],dict_zuord_Meth_Pos[[#This Row],[ID_Positions]],"")</f>
        <v/>
      </c>
    </row>
    <row r="668" spans="1:4" x14ac:dyDescent="0.45">
      <c r="A668">
        <f ca="1">dict_zul_Var_Meth[ID_Methods]</f>
        <v>173</v>
      </c>
      <c r="B668">
        <f ca="1">dict_zul_Var_Meth[ID_Variables]</f>
        <v>178</v>
      </c>
      <c r="C6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8" t="str">
        <f ca="1">IF(dict_zuord_Meth_Pos[[#This Row],[kval_active]],dict_zuord_Meth_Pos[[#This Row],[ID_Positions]],"")</f>
        <v/>
      </c>
    </row>
    <row r="669" spans="1:4" x14ac:dyDescent="0.45">
      <c r="A669">
        <f ca="1">dict_zul_Var_Meth[ID_Methods]</f>
        <v>350</v>
      </c>
      <c r="B669">
        <f ca="1">dict_zul_Var_Meth[ID_Variables]</f>
        <v>178</v>
      </c>
      <c r="C6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9" t="str">
        <f ca="1">IF(dict_zuord_Meth_Pos[[#This Row],[kval_active]],dict_zuord_Meth_Pos[[#This Row],[ID_Positions]],"")</f>
        <v/>
      </c>
    </row>
    <row r="670" spans="1:4" x14ac:dyDescent="0.45">
      <c r="A670">
        <f ca="1">dict_zul_Var_Meth[ID_Methods]</f>
        <v>433</v>
      </c>
      <c r="B670">
        <f ca="1">dict_zul_Var_Meth[ID_Variables]</f>
        <v>178</v>
      </c>
      <c r="C6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0" t="str">
        <f ca="1">IF(dict_zuord_Meth_Pos[[#This Row],[kval_active]],dict_zuord_Meth_Pos[[#This Row],[ID_Positions]],"")</f>
        <v/>
      </c>
    </row>
    <row r="671" spans="1:4" x14ac:dyDescent="0.45">
      <c r="A671">
        <f ca="1">dict_zul_Var_Meth[ID_Methods]</f>
        <v>632</v>
      </c>
      <c r="B671">
        <f ca="1">dict_zul_Var_Meth[ID_Variables]</f>
        <v>178</v>
      </c>
      <c r="C6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1" t="str">
        <f ca="1">IF(dict_zuord_Meth_Pos[[#This Row],[kval_active]],dict_zuord_Meth_Pos[[#This Row],[ID_Positions]],"")</f>
        <v/>
      </c>
    </row>
    <row r="672" spans="1:4" x14ac:dyDescent="0.45">
      <c r="A672">
        <f ca="1">dict_zul_Var_Meth[ID_Methods]</f>
        <v>193</v>
      </c>
      <c r="B672">
        <f ca="1">dict_zul_Var_Meth[ID_Variables]</f>
        <v>179</v>
      </c>
      <c r="C6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2" t="str">
        <f ca="1">IF(dict_zuord_Meth_Pos[[#This Row],[kval_active]],dict_zuord_Meth_Pos[[#This Row],[ID_Positions]],"")</f>
        <v/>
      </c>
    </row>
    <row r="673" spans="1:4" x14ac:dyDescent="0.45">
      <c r="A673">
        <f ca="1">dict_zul_Var_Meth[ID_Methods]</f>
        <v>282</v>
      </c>
      <c r="B673">
        <f ca="1">dict_zul_Var_Meth[ID_Variables]</f>
        <v>179</v>
      </c>
      <c r="C6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3" t="str">
        <f ca="1">IF(dict_zuord_Meth_Pos[[#This Row],[kval_active]],dict_zuord_Meth_Pos[[#This Row],[ID_Positions]],"")</f>
        <v/>
      </c>
    </row>
    <row r="674" spans="1:4" x14ac:dyDescent="0.45">
      <c r="A674">
        <f ca="1">dict_zul_Var_Meth[ID_Methods]</f>
        <v>9</v>
      </c>
      <c r="B674">
        <f ca="1">dict_zul_Var_Meth[ID_Variables]</f>
        <v>180</v>
      </c>
      <c r="C6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4" t="str">
        <f ca="1">IF(dict_zuord_Meth_Pos[[#This Row],[kval_active]],dict_zuord_Meth_Pos[[#This Row],[ID_Positions]],"")</f>
        <v/>
      </c>
    </row>
    <row r="675" spans="1:4" x14ac:dyDescent="0.45">
      <c r="A675">
        <f ca="1">dict_zul_Var_Meth[ID_Methods]</f>
        <v>163</v>
      </c>
      <c r="B675">
        <f ca="1">dict_zul_Var_Meth[ID_Variables]</f>
        <v>180</v>
      </c>
      <c r="C6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5" t="str">
        <f ca="1">IF(dict_zuord_Meth_Pos[[#This Row],[kval_active]],dict_zuord_Meth_Pos[[#This Row],[ID_Positions]],"")</f>
        <v/>
      </c>
    </row>
    <row r="676" spans="1:4" x14ac:dyDescent="0.45">
      <c r="A676">
        <f ca="1">dict_zul_Var_Meth[ID_Methods]</f>
        <v>232</v>
      </c>
      <c r="B676">
        <f ca="1">dict_zul_Var_Meth[ID_Variables]</f>
        <v>180</v>
      </c>
      <c r="C6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6" t="str">
        <f ca="1">IF(dict_zuord_Meth_Pos[[#This Row],[kval_active]],dict_zuord_Meth_Pos[[#This Row],[ID_Positions]],"")</f>
        <v/>
      </c>
    </row>
    <row r="677" spans="1:4" x14ac:dyDescent="0.45">
      <c r="A677">
        <f ca="1">dict_zul_Var_Meth[ID_Methods]</f>
        <v>617</v>
      </c>
      <c r="B677">
        <f ca="1">dict_zul_Var_Meth[ID_Variables]</f>
        <v>180</v>
      </c>
      <c r="C6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7" t="str">
        <f ca="1">IF(dict_zuord_Meth_Pos[[#This Row],[kval_active]],dict_zuord_Meth_Pos[[#This Row],[ID_Positions]],"")</f>
        <v/>
      </c>
    </row>
    <row r="678" spans="1:4" x14ac:dyDescent="0.45">
      <c r="A678">
        <f ca="1">dict_zul_Var_Meth[ID_Methods]</f>
        <v>127</v>
      </c>
      <c r="B678">
        <f ca="1">dict_zul_Var_Meth[ID_Variables]</f>
        <v>181</v>
      </c>
      <c r="C6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8" t="str">
        <f ca="1">IF(dict_zuord_Meth_Pos[[#This Row],[kval_active]],dict_zuord_Meth_Pos[[#This Row],[ID_Positions]],"")</f>
        <v/>
      </c>
    </row>
    <row r="679" spans="1:4" x14ac:dyDescent="0.45">
      <c r="A679">
        <f ca="1">dict_zul_Var_Meth[ID_Methods]</f>
        <v>224</v>
      </c>
      <c r="B679">
        <f ca="1">dict_zul_Var_Meth[ID_Variables]</f>
        <v>181</v>
      </c>
      <c r="C6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9" t="str">
        <f ca="1">IF(dict_zuord_Meth_Pos[[#This Row],[kval_active]],dict_zuord_Meth_Pos[[#This Row],[ID_Positions]],"")</f>
        <v/>
      </c>
    </row>
    <row r="680" spans="1:4" x14ac:dyDescent="0.45">
      <c r="A680">
        <f ca="1">dict_zul_Var_Meth[ID_Methods]</f>
        <v>384</v>
      </c>
      <c r="B680">
        <f ca="1">dict_zul_Var_Meth[ID_Variables]</f>
        <v>181</v>
      </c>
      <c r="C6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0" t="str">
        <f ca="1">IF(dict_zuord_Meth_Pos[[#This Row],[kval_active]],dict_zuord_Meth_Pos[[#This Row],[ID_Positions]],"")</f>
        <v/>
      </c>
    </row>
    <row r="681" spans="1:4" x14ac:dyDescent="0.45">
      <c r="A681">
        <f ca="1">dict_zul_Var_Meth[ID_Methods]</f>
        <v>548</v>
      </c>
      <c r="B681">
        <f ca="1">dict_zul_Var_Meth[ID_Variables]</f>
        <v>181</v>
      </c>
      <c r="C6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1" t="str">
        <f ca="1">IF(dict_zuord_Meth_Pos[[#This Row],[kval_active]],dict_zuord_Meth_Pos[[#This Row],[ID_Positions]],"")</f>
        <v/>
      </c>
    </row>
    <row r="682" spans="1:4" x14ac:dyDescent="0.45">
      <c r="A682">
        <f ca="1">dict_zul_Var_Meth[ID_Methods]</f>
        <v>272</v>
      </c>
      <c r="B682">
        <f ca="1">dict_zul_Var_Meth[ID_Variables]</f>
        <v>182</v>
      </c>
      <c r="C6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2" t="str">
        <f ca="1">IF(dict_zuord_Meth_Pos[[#This Row],[kval_active]],dict_zuord_Meth_Pos[[#This Row],[ID_Positions]],"")</f>
        <v/>
      </c>
    </row>
    <row r="683" spans="1:4" x14ac:dyDescent="0.45">
      <c r="A683">
        <f ca="1">dict_zul_Var_Meth[ID_Methods]</f>
        <v>387</v>
      </c>
      <c r="B683">
        <f ca="1">dict_zul_Var_Meth[ID_Variables]</f>
        <v>182</v>
      </c>
      <c r="C6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3" t="str">
        <f ca="1">IF(dict_zuord_Meth_Pos[[#This Row],[kval_active]],dict_zuord_Meth_Pos[[#This Row],[ID_Positions]],"")</f>
        <v/>
      </c>
    </row>
    <row r="684" spans="1:4" x14ac:dyDescent="0.45">
      <c r="A684">
        <f ca="1">dict_zul_Var_Meth[ID_Methods]</f>
        <v>406</v>
      </c>
      <c r="B684">
        <f ca="1">dict_zul_Var_Meth[ID_Variables]</f>
        <v>182</v>
      </c>
      <c r="C6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4" t="str">
        <f ca="1">IF(dict_zuord_Meth_Pos[[#This Row],[kval_active]],dict_zuord_Meth_Pos[[#This Row],[ID_Positions]],"")</f>
        <v/>
      </c>
    </row>
    <row r="685" spans="1:4" x14ac:dyDescent="0.45">
      <c r="A685">
        <f ca="1">dict_zul_Var_Meth[ID_Methods]</f>
        <v>667</v>
      </c>
      <c r="B685">
        <f ca="1">dict_zul_Var_Meth[ID_Variables]</f>
        <v>182</v>
      </c>
      <c r="C6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5" t="str">
        <f ca="1">IF(dict_zuord_Meth_Pos[[#This Row],[kval_active]],dict_zuord_Meth_Pos[[#This Row],[ID_Positions]],"")</f>
        <v/>
      </c>
    </row>
    <row r="686" spans="1:4" x14ac:dyDescent="0.45">
      <c r="A686">
        <f ca="1">dict_zul_Var_Meth[ID_Methods]</f>
        <v>15</v>
      </c>
      <c r="B686">
        <f ca="1">dict_zul_Var_Meth[ID_Variables]</f>
        <v>183</v>
      </c>
      <c r="C6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6" t="str">
        <f ca="1">IF(dict_zuord_Meth_Pos[[#This Row],[kval_active]],dict_zuord_Meth_Pos[[#This Row],[ID_Positions]],"")</f>
        <v/>
      </c>
    </row>
    <row r="687" spans="1:4" x14ac:dyDescent="0.45">
      <c r="A687">
        <f ca="1">dict_zul_Var_Meth[ID_Methods]</f>
        <v>478</v>
      </c>
      <c r="B687">
        <f ca="1">dict_zul_Var_Meth[ID_Variables]</f>
        <v>183</v>
      </c>
      <c r="C6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7" t="str">
        <f ca="1">IF(dict_zuord_Meth_Pos[[#This Row],[kval_active]],dict_zuord_Meth_Pos[[#This Row],[ID_Positions]],"")</f>
        <v/>
      </c>
    </row>
    <row r="688" spans="1:4" x14ac:dyDescent="0.45">
      <c r="A688">
        <f ca="1">dict_zul_Var_Meth[ID_Methods]</f>
        <v>658</v>
      </c>
      <c r="B688">
        <f ca="1">dict_zul_Var_Meth[ID_Variables]</f>
        <v>183</v>
      </c>
      <c r="C6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8" t="str">
        <f ca="1">IF(dict_zuord_Meth_Pos[[#This Row],[kval_active]],dict_zuord_Meth_Pos[[#This Row],[ID_Positions]],"")</f>
        <v/>
      </c>
    </row>
    <row r="689" spans="1:4" x14ac:dyDescent="0.45">
      <c r="A689">
        <f ca="1">dict_zul_Var_Meth[ID_Methods]</f>
        <v>671</v>
      </c>
      <c r="B689">
        <f ca="1">dict_zul_Var_Meth[ID_Variables]</f>
        <v>183</v>
      </c>
      <c r="C6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9" t="str">
        <f ca="1">IF(dict_zuord_Meth_Pos[[#This Row],[kval_active]],dict_zuord_Meth_Pos[[#This Row],[ID_Positions]],"")</f>
        <v/>
      </c>
    </row>
    <row r="690" spans="1:4" x14ac:dyDescent="0.45">
      <c r="A690">
        <f ca="1">dict_zul_Var_Meth[ID_Methods]</f>
        <v>39</v>
      </c>
      <c r="B690">
        <f ca="1">dict_zul_Var_Meth[ID_Variables]</f>
        <v>184</v>
      </c>
      <c r="C6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0">
        <f ca="1">IF(dict_zuord_Meth_Pos[[#This Row],[kval_active]],dict_zuord_Meth_Pos[[#This Row],[ID_Positions]],"")</f>
        <v>184</v>
      </c>
    </row>
    <row r="691" spans="1:4" x14ac:dyDescent="0.45">
      <c r="A691">
        <f ca="1">dict_zul_Var_Meth[ID_Methods]</f>
        <v>182</v>
      </c>
      <c r="B691">
        <f ca="1">dict_zul_Var_Meth[ID_Variables]</f>
        <v>184</v>
      </c>
      <c r="C6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1" t="str">
        <f ca="1">IF(dict_zuord_Meth_Pos[[#This Row],[kval_active]],dict_zuord_Meth_Pos[[#This Row],[ID_Positions]],"")</f>
        <v/>
      </c>
    </row>
    <row r="692" spans="1:4" x14ac:dyDescent="0.45">
      <c r="A692">
        <f ca="1">dict_zul_Var_Meth[ID_Methods]</f>
        <v>479</v>
      </c>
      <c r="B692">
        <f ca="1">dict_zul_Var_Meth[ID_Variables]</f>
        <v>184</v>
      </c>
      <c r="C6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2" t="str">
        <f ca="1">IF(dict_zuord_Meth_Pos[[#This Row],[kval_active]],dict_zuord_Meth_Pos[[#This Row],[ID_Positions]],"")</f>
        <v/>
      </c>
    </row>
    <row r="693" spans="1:4" x14ac:dyDescent="0.45">
      <c r="A693">
        <f ca="1">dict_zul_Var_Meth[ID_Methods]</f>
        <v>30</v>
      </c>
      <c r="B693">
        <f ca="1">dict_zul_Var_Meth[ID_Variables]</f>
        <v>185</v>
      </c>
      <c r="C6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3" t="str">
        <f ca="1">IF(dict_zuord_Meth_Pos[[#This Row],[kval_active]],dict_zuord_Meth_Pos[[#This Row],[ID_Positions]],"")</f>
        <v/>
      </c>
    </row>
    <row r="694" spans="1:4" x14ac:dyDescent="0.45">
      <c r="A694">
        <f ca="1">dict_zul_Var_Meth[ID_Methods]</f>
        <v>335</v>
      </c>
      <c r="B694">
        <f ca="1">dict_zul_Var_Meth[ID_Variables]</f>
        <v>185</v>
      </c>
      <c r="C6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4" t="str">
        <f ca="1">IF(dict_zuord_Meth_Pos[[#This Row],[kval_active]],dict_zuord_Meth_Pos[[#This Row],[ID_Positions]],"")</f>
        <v/>
      </c>
    </row>
    <row r="695" spans="1:4" x14ac:dyDescent="0.45">
      <c r="A695">
        <f ca="1">dict_zul_Var_Meth[ID_Methods]</f>
        <v>612</v>
      </c>
      <c r="B695">
        <f ca="1">dict_zul_Var_Meth[ID_Variables]</f>
        <v>185</v>
      </c>
      <c r="C6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5" t="str">
        <f ca="1">IF(dict_zuord_Meth_Pos[[#This Row],[kval_active]],dict_zuord_Meth_Pos[[#This Row],[ID_Positions]],"")</f>
        <v/>
      </c>
    </row>
    <row r="696" spans="1:4" x14ac:dyDescent="0.45">
      <c r="A696">
        <f ca="1">dict_zul_Var_Meth[ID_Methods]</f>
        <v>689</v>
      </c>
      <c r="B696">
        <f ca="1">dict_zul_Var_Meth[ID_Variables]</f>
        <v>185</v>
      </c>
      <c r="C6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6" t="str">
        <f ca="1">IF(dict_zuord_Meth_Pos[[#This Row],[kval_active]],dict_zuord_Meth_Pos[[#This Row],[ID_Positions]],"")</f>
        <v/>
      </c>
    </row>
    <row r="697" spans="1:4" x14ac:dyDescent="0.45">
      <c r="A697">
        <f ca="1">dict_zul_Var_Meth[ID_Methods]</f>
        <v>581</v>
      </c>
      <c r="B697">
        <f ca="1">dict_zul_Var_Meth[ID_Variables]</f>
        <v>186</v>
      </c>
      <c r="C6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7" t="str">
        <f ca="1">IF(dict_zuord_Meth_Pos[[#This Row],[kval_active]],dict_zuord_Meth_Pos[[#This Row],[ID_Positions]],"")</f>
        <v/>
      </c>
    </row>
    <row r="698" spans="1:4" x14ac:dyDescent="0.45">
      <c r="A698">
        <f ca="1">dict_zul_Var_Meth[ID_Methods]</f>
        <v>614</v>
      </c>
      <c r="B698">
        <f ca="1">dict_zul_Var_Meth[ID_Variables]</f>
        <v>186</v>
      </c>
      <c r="C6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8" t="str">
        <f ca="1">IF(dict_zuord_Meth_Pos[[#This Row],[kval_active]],dict_zuord_Meth_Pos[[#This Row],[ID_Positions]],"")</f>
        <v/>
      </c>
    </row>
    <row r="699" spans="1:4" x14ac:dyDescent="0.45">
      <c r="A699">
        <f ca="1">dict_zul_Var_Meth[ID_Methods]</f>
        <v>640</v>
      </c>
      <c r="B699">
        <f ca="1">dict_zul_Var_Meth[ID_Variables]</f>
        <v>186</v>
      </c>
      <c r="C6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9" t="str">
        <f ca="1">IF(dict_zuord_Meth_Pos[[#This Row],[kval_active]],dict_zuord_Meth_Pos[[#This Row],[ID_Positions]],"")</f>
        <v/>
      </c>
    </row>
    <row r="700" spans="1:4" x14ac:dyDescent="0.45">
      <c r="A700">
        <f ca="1">dict_zul_Var_Meth[ID_Methods]</f>
        <v>650</v>
      </c>
      <c r="B700">
        <f ca="1">dict_zul_Var_Meth[ID_Variables]</f>
        <v>186</v>
      </c>
      <c r="C7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0" t="str">
        <f ca="1">IF(dict_zuord_Meth_Pos[[#This Row],[kval_active]],dict_zuord_Meth_Pos[[#This Row],[ID_Positions]],"")</f>
        <v/>
      </c>
    </row>
    <row r="701" spans="1:4" x14ac:dyDescent="0.45">
      <c r="A701">
        <f ca="1">dict_zul_Var_Meth[ID_Methods]</f>
        <v>11</v>
      </c>
      <c r="B701">
        <f ca="1">dict_zul_Var_Meth[ID_Variables]</f>
        <v>187</v>
      </c>
      <c r="C7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1" t="str">
        <f ca="1">IF(dict_zuord_Meth_Pos[[#This Row],[kval_active]],dict_zuord_Meth_Pos[[#This Row],[ID_Positions]],"")</f>
        <v/>
      </c>
    </row>
    <row r="702" spans="1:4" x14ac:dyDescent="0.45">
      <c r="A702">
        <f ca="1">dict_zul_Var_Meth[ID_Methods]</f>
        <v>55</v>
      </c>
      <c r="B702">
        <f ca="1">dict_zul_Var_Meth[ID_Variables]</f>
        <v>187</v>
      </c>
      <c r="C7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2" t="str">
        <f ca="1">IF(dict_zuord_Meth_Pos[[#This Row],[kval_active]],dict_zuord_Meth_Pos[[#This Row],[ID_Positions]],"")</f>
        <v/>
      </c>
    </row>
    <row r="703" spans="1:4" x14ac:dyDescent="0.45">
      <c r="A703">
        <f ca="1">dict_zul_Var_Meth[ID_Methods]</f>
        <v>104</v>
      </c>
      <c r="B703">
        <f ca="1">dict_zul_Var_Meth[ID_Variables]</f>
        <v>187</v>
      </c>
      <c r="C7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3" t="str">
        <f ca="1">IF(dict_zuord_Meth_Pos[[#This Row],[kval_active]],dict_zuord_Meth_Pos[[#This Row],[ID_Positions]],"")</f>
        <v/>
      </c>
    </row>
    <row r="704" spans="1:4" x14ac:dyDescent="0.45">
      <c r="A704">
        <f ca="1">dict_zul_Var_Meth[ID_Methods]</f>
        <v>199</v>
      </c>
      <c r="B704">
        <f ca="1">dict_zul_Var_Meth[ID_Variables]</f>
        <v>188</v>
      </c>
      <c r="C7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4" t="str">
        <f ca="1">IF(dict_zuord_Meth_Pos[[#This Row],[kval_active]],dict_zuord_Meth_Pos[[#This Row],[ID_Positions]],"")</f>
        <v/>
      </c>
    </row>
    <row r="705" spans="1:4" x14ac:dyDescent="0.45">
      <c r="A705">
        <f ca="1">dict_zul_Var_Meth[ID_Methods]</f>
        <v>203</v>
      </c>
      <c r="B705">
        <f ca="1">dict_zul_Var_Meth[ID_Variables]</f>
        <v>188</v>
      </c>
      <c r="C7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5" t="str">
        <f ca="1">IF(dict_zuord_Meth_Pos[[#This Row],[kval_active]],dict_zuord_Meth_Pos[[#This Row],[ID_Positions]],"")</f>
        <v/>
      </c>
    </row>
    <row r="706" spans="1:4" x14ac:dyDescent="0.45">
      <c r="A706">
        <f ca="1">dict_zul_Var_Meth[ID_Methods]</f>
        <v>394</v>
      </c>
      <c r="B706">
        <f ca="1">dict_zul_Var_Meth[ID_Variables]</f>
        <v>188</v>
      </c>
      <c r="C7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6" t="str">
        <f ca="1">IF(dict_zuord_Meth_Pos[[#This Row],[kval_active]],dict_zuord_Meth_Pos[[#This Row],[ID_Positions]],"")</f>
        <v/>
      </c>
    </row>
    <row r="707" spans="1:4" x14ac:dyDescent="0.45">
      <c r="A707">
        <f ca="1">dict_zul_Var_Meth[ID_Methods]</f>
        <v>591</v>
      </c>
      <c r="B707">
        <f ca="1">dict_zul_Var_Meth[ID_Variables]</f>
        <v>188</v>
      </c>
      <c r="C7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7" t="str">
        <f ca="1">IF(dict_zuord_Meth_Pos[[#This Row],[kval_active]],dict_zuord_Meth_Pos[[#This Row],[ID_Positions]],"")</f>
        <v/>
      </c>
    </row>
    <row r="708" spans="1:4" x14ac:dyDescent="0.45">
      <c r="A708">
        <f ca="1">dict_zul_Var_Meth[ID_Methods]</f>
        <v>147</v>
      </c>
      <c r="B708">
        <f ca="1">dict_zul_Var_Meth[ID_Variables]</f>
        <v>189</v>
      </c>
      <c r="C7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8" t="str">
        <f ca="1">IF(dict_zuord_Meth_Pos[[#This Row],[kval_active]],dict_zuord_Meth_Pos[[#This Row],[ID_Positions]],"")</f>
        <v/>
      </c>
    </row>
    <row r="709" spans="1:4" x14ac:dyDescent="0.45">
      <c r="A709">
        <f ca="1">dict_zul_Var_Meth[ID_Methods]</f>
        <v>150</v>
      </c>
      <c r="B709">
        <f ca="1">dict_zul_Var_Meth[ID_Variables]</f>
        <v>189</v>
      </c>
      <c r="C7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9" t="str">
        <f ca="1">IF(dict_zuord_Meth_Pos[[#This Row],[kval_active]],dict_zuord_Meth_Pos[[#This Row],[ID_Positions]],"")</f>
        <v/>
      </c>
    </row>
    <row r="710" spans="1:4" x14ac:dyDescent="0.45">
      <c r="A710">
        <f ca="1">dict_zul_Var_Meth[ID_Methods]</f>
        <v>268</v>
      </c>
      <c r="B710">
        <f ca="1">dict_zul_Var_Meth[ID_Variables]</f>
        <v>189</v>
      </c>
      <c r="C7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0" t="str">
        <f ca="1">IF(dict_zuord_Meth_Pos[[#This Row],[kval_active]],dict_zuord_Meth_Pos[[#This Row],[ID_Positions]],"")</f>
        <v/>
      </c>
    </row>
    <row r="711" spans="1:4" x14ac:dyDescent="0.45">
      <c r="A711">
        <f ca="1">dict_zul_Var_Meth[ID_Methods]</f>
        <v>431</v>
      </c>
      <c r="B711">
        <f ca="1">dict_zul_Var_Meth[ID_Variables]</f>
        <v>189</v>
      </c>
      <c r="C7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1" t="str">
        <f ca="1">IF(dict_zuord_Meth_Pos[[#This Row],[kval_active]],dict_zuord_Meth_Pos[[#This Row],[ID_Positions]],"")</f>
        <v/>
      </c>
    </row>
    <row r="712" spans="1:4" x14ac:dyDescent="0.45">
      <c r="A712">
        <f ca="1">dict_zul_Var_Meth[ID_Methods]</f>
        <v>444</v>
      </c>
      <c r="B712">
        <f ca="1">dict_zul_Var_Meth[ID_Variables]</f>
        <v>189</v>
      </c>
      <c r="C7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2" t="str">
        <f ca="1">IF(dict_zuord_Meth_Pos[[#This Row],[kval_active]],dict_zuord_Meth_Pos[[#This Row],[ID_Positions]],"")</f>
        <v/>
      </c>
    </row>
    <row r="713" spans="1:4" x14ac:dyDescent="0.45">
      <c r="A713">
        <f ca="1">dict_zul_Var_Meth[ID_Methods]</f>
        <v>41</v>
      </c>
      <c r="B713">
        <f ca="1">dict_zul_Var_Meth[ID_Variables]</f>
        <v>190</v>
      </c>
      <c r="C7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3" t="str">
        <f ca="1">IF(dict_zuord_Meth_Pos[[#This Row],[kval_active]],dict_zuord_Meth_Pos[[#This Row],[ID_Positions]],"")</f>
        <v/>
      </c>
    </row>
    <row r="714" spans="1:4" x14ac:dyDescent="0.45">
      <c r="A714">
        <f ca="1">dict_zul_Var_Meth[ID_Methods]</f>
        <v>136</v>
      </c>
      <c r="B714">
        <f ca="1">dict_zul_Var_Meth[ID_Variables]</f>
        <v>190</v>
      </c>
      <c r="C7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4" t="str">
        <f ca="1">IF(dict_zuord_Meth_Pos[[#This Row],[kval_active]],dict_zuord_Meth_Pos[[#This Row],[ID_Positions]],"")</f>
        <v/>
      </c>
    </row>
    <row r="715" spans="1:4" x14ac:dyDescent="0.45">
      <c r="A715">
        <f ca="1">dict_zul_Var_Meth[ID_Methods]</f>
        <v>303</v>
      </c>
      <c r="B715">
        <f ca="1">dict_zul_Var_Meth[ID_Variables]</f>
        <v>190</v>
      </c>
      <c r="C7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5" t="str">
        <f ca="1">IF(dict_zuord_Meth_Pos[[#This Row],[kval_active]],dict_zuord_Meth_Pos[[#This Row],[ID_Positions]],"")</f>
        <v/>
      </c>
    </row>
    <row r="716" spans="1:4" x14ac:dyDescent="0.45">
      <c r="A716">
        <f ca="1">dict_zul_Var_Meth[ID_Methods]</f>
        <v>595</v>
      </c>
      <c r="B716">
        <f ca="1">dict_zul_Var_Meth[ID_Variables]</f>
        <v>190</v>
      </c>
      <c r="C7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6" t="str">
        <f ca="1">IF(dict_zuord_Meth_Pos[[#This Row],[kval_active]],dict_zuord_Meth_Pos[[#This Row],[ID_Positions]],"")</f>
        <v/>
      </c>
    </row>
    <row r="717" spans="1:4" x14ac:dyDescent="0.45">
      <c r="A717">
        <f ca="1">dict_zul_Var_Meth[ID_Methods]</f>
        <v>201</v>
      </c>
      <c r="B717">
        <f ca="1">dict_zul_Var_Meth[ID_Variables]</f>
        <v>191</v>
      </c>
      <c r="C7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7" t="str">
        <f ca="1">IF(dict_zuord_Meth_Pos[[#This Row],[kval_active]],dict_zuord_Meth_Pos[[#This Row],[ID_Positions]],"")</f>
        <v/>
      </c>
    </row>
    <row r="718" spans="1:4" x14ac:dyDescent="0.45">
      <c r="A718">
        <f ca="1">dict_zul_Var_Meth[ID_Methods]</f>
        <v>531</v>
      </c>
      <c r="B718">
        <f ca="1">dict_zul_Var_Meth[ID_Variables]</f>
        <v>191</v>
      </c>
      <c r="C7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8" t="str">
        <f ca="1">IF(dict_zuord_Meth_Pos[[#This Row],[kval_active]],dict_zuord_Meth_Pos[[#This Row],[ID_Positions]],"")</f>
        <v/>
      </c>
    </row>
    <row r="719" spans="1:4" x14ac:dyDescent="0.45">
      <c r="A719">
        <f ca="1">dict_zul_Var_Meth[ID_Methods]</f>
        <v>81</v>
      </c>
      <c r="B719">
        <f ca="1">dict_zul_Var_Meth[ID_Variables]</f>
        <v>192</v>
      </c>
      <c r="C7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9" t="str">
        <f ca="1">IF(dict_zuord_Meth_Pos[[#This Row],[kval_active]],dict_zuord_Meth_Pos[[#This Row],[ID_Positions]],"")</f>
        <v/>
      </c>
    </row>
    <row r="720" spans="1:4" x14ac:dyDescent="0.45">
      <c r="A720">
        <f ca="1">dict_zul_Var_Meth[ID_Methods]</f>
        <v>196</v>
      </c>
      <c r="B720">
        <f ca="1">dict_zul_Var_Meth[ID_Variables]</f>
        <v>192</v>
      </c>
      <c r="C7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0" t="str">
        <f ca="1">IF(dict_zuord_Meth_Pos[[#This Row],[kval_active]],dict_zuord_Meth_Pos[[#This Row],[ID_Positions]],"")</f>
        <v/>
      </c>
    </row>
    <row r="721" spans="1:4" x14ac:dyDescent="0.45">
      <c r="A721">
        <f ca="1">dict_zul_Var_Meth[ID_Methods]</f>
        <v>369</v>
      </c>
      <c r="B721">
        <f ca="1">dict_zul_Var_Meth[ID_Variables]</f>
        <v>192</v>
      </c>
      <c r="C7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1" t="str">
        <f ca="1">IF(dict_zuord_Meth_Pos[[#This Row],[kval_active]],dict_zuord_Meth_Pos[[#This Row],[ID_Positions]],"")</f>
        <v/>
      </c>
    </row>
    <row r="722" spans="1:4" x14ac:dyDescent="0.45">
      <c r="A722">
        <f ca="1">dict_zul_Var_Meth[ID_Methods]</f>
        <v>351</v>
      </c>
      <c r="B722">
        <f ca="1">dict_zul_Var_Meth[ID_Variables]</f>
        <v>193</v>
      </c>
      <c r="C7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2" t="str">
        <f ca="1">IF(dict_zuord_Meth_Pos[[#This Row],[kval_active]],dict_zuord_Meth_Pos[[#This Row],[ID_Positions]],"")</f>
        <v/>
      </c>
    </row>
    <row r="723" spans="1:4" x14ac:dyDescent="0.45">
      <c r="A723">
        <f ca="1">dict_zul_Var_Meth[ID_Methods]</f>
        <v>390</v>
      </c>
      <c r="B723">
        <f ca="1">dict_zul_Var_Meth[ID_Variables]</f>
        <v>193</v>
      </c>
      <c r="C7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3" t="str">
        <f ca="1">IF(dict_zuord_Meth_Pos[[#This Row],[kval_active]],dict_zuord_Meth_Pos[[#This Row],[ID_Positions]],"")</f>
        <v/>
      </c>
    </row>
    <row r="724" spans="1:4" x14ac:dyDescent="0.45">
      <c r="A724">
        <f ca="1">dict_zul_Var_Meth[ID_Methods]</f>
        <v>405</v>
      </c>
      <c r="B724">
        <f ca="1">dict_zul_Var_Meth[ID_Variables]</f>
        <v>193</v>
      </c>
      <c r="C7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4" t="str">
        <f ca="1">IF(dict_zuord_Meth_Pos[[#This Row],[kval_active]],dict_zuord_Meth_Pos[[#This Row],[ID_Positions]],"")</f>
        <v/>
      </c>
    </row>
    <row r="725" spans="1:4" x14ac:dyDescent="0.45">
      <c r="A725">
        <f ca="1">dict_zul_Var_Meth[ID_Methods]</f>
        <v>618</v>
      </c>
      <c r="B725">
        <f ca="1">dict_zul_Var_Meth[ID_Variables]</f>
        <v>193</v>
      </c>
      <c r="C7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5" t="str">
        <f ca="1">IF(dict_zuord_Meth_Pos[[#This Row],[kval_active]],dict_zuord_Meth_Pos[[#This Row],[ID_Positions]],"")</f>
        <v/>
      </c>
    </row>
    <row r="726" spans="1:4" x14ac:dyDescent="0.45">
      <c r="A726">
        <f ca="1">dict_zul_Var_Meth[ID_Methods]</f>
        <v>655</v>
      </c>
      <c r="B726">
        <f ca="1">dict_zul_Var_Meth[ID_Variables]</f>
        <v>193</v>
      </c>
      <c r="C7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6" t="str">
        <f ca="1">IF(dict_zuord_Meth_Pos[[#This Row],[kval_active]],dict_zuord_Meth_Pos[[#This Row],[ID_Positions]],"")</f>
        <v/>
      </c>
    </row>
    <row r="727" spans="1:4" x14ac:dyDescent="0.45">
      <c r="A727">
        <f ca="1">dict_zul_Var_Meth[ID_Methods]</f>
        <v>32</v>
      </c>
      <c r="B727">
        <f ca="1">dict_zul_Var_Meth[ID_Variables]</f>
        <v>194</v>
      </c>
      <c r="C7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7" t="str">
        <f ca="1">IF(dict_zuord_Meth_Pos[[#This Row],[kval_active]],dict_zuord_Meth_Pos[[#This Row],[ID_Positions]],"")</f>
        <v/>
      </c>
    </row>
    <row r="728" spans="1:4" x14ac:dyDescent="0.45">
      <c r="A728">
        <f ca="1">dict_zul_Var_Meth[ID_Methods]</f>
        <v>35</v>
      </c>
      <c r="B728">
        <f ca="1">dict_zul_Var_Meth[ID_Variables]</f>
        <v>194</v>
      </c>
      <c r="C7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8" t="str">
        <f ca="1">IF(dict_zuord_Meth_Pos[[#This Row],[kval_active]],dict_zuord_Meth_Pos[[#This Row],[ID_Positions]],"")</f>
        <v/>
      </c>
    </row>
    <row r="729" spans="1:4" x14ac:dyDescent="0.45">
      <c r="A729">
        <f ca="1">dict_zul_Var_Meth[ID_Methods]</f>
        <v>402</v>
      </c>
      <c r="B729">
        <f ca="1">dict_zul_Var_Meth[ID_Variables]</f>
        <v>194</v>
      </c>
      <c r="C7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9" t="str">
        <f ca="1">IF(dict_zuord_Meth_Pos[[#This Row],[kval_active]],dict_zuord_Meth_Pos[[#This Row],[ID_Positions]],"")</f>
        <v/>
      </c>
    </row>
    <row r="730" spans="1:4" x14ac:dyDescent="0.45">
      <c r="A730">
        <f ca="1">dict_zul_Var_Meth[ID_Methods]</f>
        <v>512</v>
      </c>
      <c r="B730">
        <f ca="1">dict_zul_Var_Meth[ID_Variables]</f>
        <v>194</v>
      </c>
      <c r="C7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0" t="str">
        <f ca="1">IF(dict_zuord_Meth_Pos[[#This Row],[kval_active]],dict_zuord_Meth_Pos[[#This Row],[ID_Positions]],"")</f>
        <v/>
      </c>
    </row>
    <row r="731" spans="1:4" x14ac:dyDescent="0.45">
      <c r="A731">
        <f ca="1">dict_zul_Var_Meth[ID_Methods]</f>
        <v>103</v>
      </c>
      <c r="B731">
        <f ca="1">dict_zul_Var_Meth[ID_Variables]</f>
        <v>195</v>
      </c>
      <c r="C7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1" t="str">
        <f ca="1">IF(dict_zuord_Meth_Pos[[#This Row],[kval_active]],dict_zuord_Meth_Pos[[#This Row],[ID_Positions]],"")</f>
        <v/>
      </c>
    </row>
    <row r="732" spans="1:4" x14ac:dyDescent="0.45">
      <c r="A732">
        <f ca="1">dict_zul_Var_Meth[ID_Methods]</f>
        <v>162</v>
      </c>
      <c r="B732">
        <f ca="1">dict_zul_Var_Meth[ID_Variables]</f>
        <v>195</v>
      </c>
      <c r="C7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2" t="str">
        <f ca="1">IF(dict_zuord_Meth_Pos[[#This Row],[kval_active]],dict_zuord_Meth_Pos[[#This Row],[ID_Positions]],"")</f>
        <v/>
      </c>
    </row>
    <row r="733" spans="1:4" x14ac:dyDescent="0.45">
      <c r="A733">
        <f ca="1">dict_zul_Var_Meth[ID_Methods]</f>
        <v>414</v>
      </c>
      <c r="B733">
        <f ca="1">dict_zul_Var_Meth[ID_Variables]</f>
        <v>195</v>
      </c>
      <c r="C7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3" t="str">
        <f ca="1">IF(dict_zuord_Meth_Pos[[#This Row],[kval_active]],dict_zuord_Meth_Pos[[#This Row],[ID_Positions]],"")</f>
        <v/>
      </c>
    </row>
    <row r="734" spans="1:4" x14ac:dyDescent="0.45">
      <c r="A734">
        <f ca="1">dict_zul_Var_Meth[ID_Methods]</f>
        <v>576</v>
      </c>
      <c r="B734">
        <f ca="1">dict_zul_Var_Meth[ID_Variables]</f>
        <v>195</v>
      </c>
      <c r="C7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4" t="str">
        <f ca="1">IF(dict_zuord_Meth_Pos[[#This Row],[kval_active]],dict_zuord_Meth_Pos[[#This Row],[ID_Positions]],"")</f>
        <v/>
      </c>
    </row>
    <row r="735" spans="1:4" x14ac:dyDescent="0.45">
      <c r="A735">
        <f ca="1">dict_zul_Var_Meth[ID_Methods]</f>
        <v>76</v>
      </c>
      <c r="B735">
        <f ca="1">dict_zul_Var_Meth[ID_Variables]</f>
        <v>196</v>
      </c>
      <c r="C7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5" t="str">
        <f ca="1">IF(dict_zuord_Meth_Pos[[#This Row],[kval_active]],dict_zuord_Meth_Pos[[#This Row],[ID_Positions]],"")</f>
        <v/>
      </c>
    </row>
    <row r="736" spans="1:4" x14ac:dyDescent="0.45">
      <c r="A736">
        <f ca="1">dict_zul_Var_Meth[ID_Methods]</f>
        <v>126</v>
      </c>
      <c r="B736">
        <f ca="1">dict_zul_Var_Meth[ID_Variables]</f>
        <v>196</v>
      </c>
      <c r="C7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6" t="str">
        <f ca="1">IF(dict_zuord_Meth_Pos[[#This Row],[kval_active]],dict_zuord_Meth_Pos[[#This Row],[ID_Positions]],"")</f>
        <v/>
      </c>
    </row>
    <row r="737" spans="1:4" x14ac:dyDescent="0.45">
      <c r="A737">
        <f ca="1">dict_zul_Var_Meth[ID_Methods]</f>
        <v>638</v>
      </c>
      <c r="B737">
        <f ca="1">dict_zul_Var_Meth[ID_Variables]</f>
        <v>196</v>
      </c>
      <c r="C7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7" t="str">
        <f ca="1">IF(dict_zuord_Meth_Pos[[#This Row],[kval_active]],dict_zuord_Meth_Pos[[#This Row],[ID_Positions]],"")</f>
        <v/>
      </c>
    </row>
    <row r="738" spans="1:4" x14ac:dyDescent="0.45">
      <c r="A738">
        <f ca="1">dict_zul_Var_Meth[ID_Methods]</f>
        <v>54</v>
      </c>
      <c r="B738">
        <f ca="1">dict_zul_Var_Meth[ID_Variables]</f>
        <v>197</v>
      </c>
      <c r="C7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8" t="str">
        <f ca="1">IF(dict_zuord_Meth_Pos[[#This Row],[kval_active]],dict_zuord_Meth_Pos[[#This Row],[ID_Positions]],"")</f>
        <v/>
      </c>
    </row>
    <row r="739" spans="1:4" x14ac:dyDescent="0.45">
      <c r="A739">
        <f ca="1">dict_zul_Var_Meth[ID_Methods]</f>
        <v>158</v>
      </c>
      <c r="B739">
        <f ca="1">dict_zul_Var_Meth[ID_Variables]</f>
        <v>197</v>
      </c>
      <c r="C7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9" t="str">
        <f ca="1">IF(dict_zuord_Meth_Pos[[#This Row],[kval_active]],dict_zuord_Meth_Pos[[#This Row],[ID_Positions]],"")</f>
        <v/>
      </c>
    </row>
    <row r="740" spans="1:4" x14ac:dyDescent="0.45">
      <c r="A740">
        <f ca="1">dict_zul_Var_Meth[ID_Methods]</f>
        <v>441</v>
      </c>
      <c r="B740">
        <f ca="1">dict_zul_Var_Meth[ID_Variables]</f>
        <v>197</v>
      </c>
      <c r="C7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0" t="str">
        <f ca="1">IF(dict_zuord_Meth_Pos[[#This Row],[kval_active]],dict_zuord_Meth_Pos[[#This Row],[ID_Positions]],"")</f>
        <v/>
      </c>
    </row>
    <row r="741" spans="1:4" x14ac:dyDescent="0.45">
      <c r="A741">
        <f ca="1">dict_zul_Var_Meth[ID_Methods]</f>
        <v>534</v>
      </c>
      <c r="B741">
        <f ca="1">dict_zul_Var_Meth[ID_Variables]</f>
        <v>197</v>
      </c>
      <c r="C7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1" t="str">
        <f ca="1">IF(dict_zuord_Meth_Pos[[#This Row],[kval_active]],dict_zuord_Meth_Pos[[#This Row],[ID_Positions]],"")</f>
        <v/>
      </c>
    </row>
    <row r="742" spans="1:4" x14ac:dyDescent="0.45">
      <c r="A742">
        <f ca="1">dict_zul_Var_Meth[ID_Methods]</f>
        <v>659</v>
      </c>
      <c r="B742">
        <f ca="1">dict_zul_Var_Meth[ID_Variables]</f>
        <v>197</v>
      </c>
      <c r="C7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2" t="str">
        <f ca="1">IF(dict_zuord_Meth_Pos[[#This Row],[kval_active]],dict_zuord_Meth_Pos[[#This Row],[ID_Positions]],"")</f>
        <v/>
      </c>
    </row>
    <row r="743" spans="1:4" x14ac:dyDescent="0.45">
      <c r="A743">
        <f ca="1">dict_zul_Var_Meth[ID_Methods]</f>
        <v>41</v>
      </c>
      <c r="B743">
        <f ca="1">dict_zul_Var_Meth[ID_Variables]</f>
        <v>198</v>
      </c>
      <c r="C7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3" t="str">
        <f ca="1">IF(dict_zuord_Meth_Pos[[#This Row],[kval_active]],dict_zuord_Meth_Pos[[#This Row],[ID_Positions]],"")</f>
        <v/>
      </c>
    </row>
    <row r="744" spans="1:4" x14ac:dyDescent="0.45">
      <c r="A744">
        <f ca="1">dict_zul_Var_Meth[ID_Methods]</f>
        <v>540</v>
      </c>
      <c r="B744">
        <f ca="1">dict_zul_Var_Meth[ID_Variables]</f>
        <v>198</v>
      </c>
      <c r="C7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4" t="str">
        <f ca="1">IF(dict_zuord_Meth_Pos[[#This Row],[kval_active]],dict_zuord_Meth_Pos[[#This Row],[ID_Positions]],"")</f>
        <v/>
      </c>
    </row>
    <row r="745" spans="1:4" x14ac:dyDescent="0.45">
      <c r="A745">
        <f ca="1">dict_zul_Var_Meth[ID_Methods]</f>
        <v>263</v>
      </c>
      <c r="B745">
        <f ca="1">dict_zul_Var_Meth[ID_Variables]</f>
        <v>199</v>
      </c>
      <c r="C7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5" t="str">
        <f ca="1">IF(dict_zuord_Meth_Pos[[#This Row],[kval_active]],dict_zuord_Meth_Pos[[#This Row],[ID_Positions]],"")</f>
        <v/>
      </c>
    </row>
    <row r="746" spans="1:4" x14ac:dyDescent="0.45">
      <c r="A746">
        <f ca="1">dict_zul_Var_Meth[ID_Methods]</f>
        <v>352</v>
      </c>
      <c r="B746">
        <f ca="1">dict_zul_Var_Meth[ID_Variables]</f>
        <v>199</v>
      </c>
      <c r="C7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6" t="str">
        <f ca="1">IF(dict_zuord_Meth_Pos[[#This Row],[kval_active]],dict_zuord_Meth_Pos[[#This Row],[ID_Positions]],"")</f>
        <v/>
      </c>
    </row>
    <row r="747" spans="1:4" x14ac:dyDescent="0.45">
      <c r="A747">
        <f ca="1">dict_zul_Var_Meth[ID_Methods]</f>
        <v>357</v>
      </c>
      <c r="B747">
        <f ca="1">dict_zul_Var_Meth[ID_Variables]</f>
        <v>199</v>
      </c>
      <c r="C7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7" t="str">
        <f ca="1">IF(dict_zuord_Meth_Pos[[#This Row],[kval_active]],dict_zuord_Meth_Pos[[#This Row],[ID_Positions]],"")</f>
        <v/>
      </c>
    </row>
    <row r="748" spans="1:4" x14ac:dyDescent="0.45">
      <c r="A748">
        <f ca="1">dict_zul_Var_Meth[ID_Methods]</f>
        <v>375</v>
      </c>
      <c r="B748">
        <f ca="1">dict_zul_Var_Meth[ID_Variables]</f>
        <v>199</v>
      </c>
      <c r="C7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8" t="str">
        <f ca="1">IF(dict_zuord_Meth_Pos[[#This Row],[kval_active]],dict_zuord_Meth_Pos[[#This Row],[ID_Positions]],"")</f>
        <v/>
      </c>
    </row>
    <row r="749" spans="1:4" x14ac:dyDescent="0.45">
      <c r="A749">
        <f ca="1">dict_zul_Var_Meth[ID_Methods]</f>
        <v>12</v>
      </c>
      <c r="B749">
        <f ca="1">dict_zul_Var_Meth[ID_Variables]</f>
        <v>200</v>
      </c>
      <c r="C7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9" t="str">
        <f ca="1">IF(dict_zuord_Meth_Pos[[#This Row],[kval_active]],dict_zuord_Meth_Pos[[#This Row],[ID_Positions]],"")</f>
        <v/>
      </c>
    </row>
    <row r="750" spans="1:4" x14ac:dyDescent="0.45">
      <c r="A750">
        <f ca="1">dict_zul_Var_Meth[ID_Methods]</f>
        <v>99</v>
      </c>
      <c r="B750">
        <f ca="1">dict_zul_Var_Meth[ID_Variables]</f>
        <v>200</v>
      </c>
      <c r="C7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0" t="str">
        <f ca="1">IF(dict_zuord_Meth_Pos[[#This Row],[kval_active]],dict_zuord_Meth_Pos[[#This Row],[ID_Positions]],"")</f>
        <v/>
      </c>
    </row>
    <row r="751" spans="1:4" x14ac:dyDescent="0.45">
      <c r="A751">
        <f ca="1">dict_zul_Var_Meth[ID_Methods]</f>
        <v>120</v>
      </c>
      <c r="B751">
        <f ca="1">dict_zul_Var_Meth[ID_Variables]</f>
        <v>200</v>
      </c>
      <c r="C7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1" t="str">
        <f ca="1">IF(dict_zuord_Meth_Pos[[#This Row],[kval_active]],dict_zuord_Meth_Pos[[#This Row],[ID_Positions]],"")</f>
        <v/>
      </c>
    </row>
    <row r="752" spans="1:4" x14ac:dyDescent="0.45">
      <c r="A752">
        <f ca="1">dict_zul_Var_Meth[ID_Methods]</f>
        <v>218</v>
      </c>
      <c r="B752">
        <f ca="1">dict_zul_Var_Meth[ID_Variables]</f>
        <v>200</v>
      </c>
      <c r="C7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2" t="str">
        <f ca="1">IF(dict_zuord_Meth_Pos[[#This Row],[kval_active]],dict_zuord_Meth_Pos[[#This Row],[ID_Positions]],"")</f>
        <v/>
      </c>
    </row>
    <row r="753" spans="1:4" x14ac:dyDescent="0.45">
      <c r="A753">
        <f ca="1">dict_zul_Var_Meth[ID_Methods]</f>
        <v>236</v>
      </c>
      <c r="B753">
        <f ca="1">dict_zul_Var_Meth[ID_Variables]</f>
        <v>200</v>
      </c>
      <c r="C7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3" t="str">
        <f ca="1">IF(dict_zuord_Meth_Pos[[#This Row],[kval_active]],dict_zuord_Meth_Pos[[#This Row],[ID_Positions]],"")</f>
        <v/>
      </c>
    </row>
    <row r="754" spans="1:4" x14ac:dyDescent="0.45">
      <c r="A754">
        <f ca="1">dict_zul_Var_Meth[ID_Methods]</f>
        <v>318</v>
      </c>
      <c r="B754">
        <f ca="1">dict_zul_Var_Meth[ID_Variables]</f>
        <v>200</v>
      </c>
      <c r="C7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4" t="str">
        <f ca="1">IF(dict_zuord_Meth_Pos[[#This Row],[kval_active]],dict_zuord_Meth_Pos[[#This Row],[ID_Positions]],"")</f>
        <v/>
      </c>
    </row>
    <row r="755" spans="1:4" x14ac:dyDescent="0.45">
      <c r="A755">
        <f ca="1">dict_zul_Var_Meth[ID_Methods]</f>
        <v>338</v>
      </c>
      <c r="B755">
        <f ca="1">dict_zul_Var_Meth[ID_Variables]</f>
        <v>200</v>
      </c>
      <c r="C7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5" t="str">
        <f ca="1">IF(dict_zuord_Meth_Pos[[#This Row],[kval_active]],dict_zuord_Meth_Pos[[#This Row],[ID_Positions]],"")</f>
        <v/>
      </c>
    </row>
    <row r="756" spans="1:4" x14ac:dyDescent="0.45">
      <c r="A756">
        <f ca="1">dict_zul_Var_Meth[ID_Methods]</f>
        <v>395</v>
      </c>
      <c r="B756">
        <f ca="1">dict_zul_Var_Meth[ID_Variables]</f>
        <v>200</v>
      </c>
      <c r="C7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6" t="str">
        <f ca="1">IF(dict_zuord_Meth_Pos[[#This Row],[kval_active]],dict_zuord_Meth_Pos[[#This Row],[ID_Positions]],"")</f>
        <v/>
      </c>
    </row>
    <row r="757" spans="1:4" x14ac:dyDescent="0.45">
      <c r="A757">
        <f ca="1">dict_zul_Var_Meth[ID_Methods]</f>
        <v>485</v>
      </c>
      <c r="B757">
        <f ca="1">dict_zul_Var_Meth[ID_Variables]</f>
        <v>200</v>
      </c>
      <c r="C7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7" t="str">
        <f ca="1">IF(dict_zuord_Meth_Pos[[#This Row],[kval_active]],dict_zuord_Meth_Pos[[#This Row],[ID_Positions]],"")</f>
        <v/>
      </c>
    </row>
    <row r="758" spans="1:4" x14ac:dyDescent="0.45">
      <c r="A758">
        <f ca="1">dict_zul_Var_Meth[ID_Methods]</f>
        <v>510</v>
      </c>
      <c r="B758">
        <f ca="1">dict_zul_Var_Meth[ID_Variables]</f>
        <v>200</v>
      </c>
      <c r="C7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8" t="str">
        <f ca="1">IF(dict_zuord_Meth_Pos[[#This Row],[kval_active]],dict_zuord_Meth_Pos[[#This Row],[ID_Positions]],"")</f>
        <v/>
      </c>
    </row>
    <row r="759" spans="1:4" x14ac:dyDescent="0.45">
      <c r="A759">
        <f ca="1">dict_zul_Var_Meth[ID_Methods]</f>
        <v>527</v>
      </c>
      <c r="B759">
        <f ca="1">dict_zul_Var_Meth[ID_Variables]</f>
        <v>200</v>
      </c>
      <c r="C7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9" t="str">
        <f ca="1">IF(dict_zuord_Meth_Pos[[#This Row],[kval_active]],dict_zuord_Meth_Pos[[#This Row],[ID_Positions]],"")</f>
        <v/>
      </c>
    </row>
    <row r="760" spans="1:4" x14ac:dyDescent="0.45">
      <c r="A760">
        <f ca="1">dict_zul_Var_Meth[ID_Methods]</f>
        <v>651</v>
      </c>
      <c r="B760">
        <f ca="1">dict_zul_Var_Meth[ID_Variables]</f>
        <v>200</v>
      </c>
      <c r="C7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0" t="str">
        <f ca="1">IF(dict_zuord_Meth_Pos[[#This Row],[kval_active]],dict_zuord_Meth_Pos[[#This Row],[ID_Positions]],"")</f>
        <v/>
      </c>
    </row>
    <row r="761" spans="1:4" x14ac:dyDescent="0.45">
      <c r="A761">
        <f ca="1">dict_zul_Var_Meth[ID_Methods]</f>
        <v>672</v>
      </c>
      <c r="B761">
        <f ca="1">dict_zul_Var_Meth[ID_Variables]</f>
        <v>200</v>
      </c>
      <c r="C7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1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D4207"/>
  <sheetViews>
    <sheetView topLeftCell="A43" workbookViewId="0">
      <selection activeCell="C2077" sqref="C2077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RANDBETWEEN(0,200)</f>
        <v>152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" t="str">
        <f ca="1">IF(dict_zuord_Meth_Transfers[[#This Row],[kval_active]],dict_zuord_Meth_Transfers[[#This Row],[ID_Transfers]],"")</f>
        <v/>
      </c>
    </row>
    <row r="3" spans="1:4" x14ac:dyDescent="0.45">
      <c r="A3">
        <v>0</v>
      </c>
      <c r="B3">
        <f t="shared" ca="1" si="0"/>
        <v>82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" t="str">
        <f ca="1">IF(dict_zuord_Meth_Transfers[[#This Row],[kval_active]],dict_zuord_Meth_Transfers[[#This Row],[ID_Transfers]],"")</f>
        <v/>
      </c>
    </row>
    <row r="4" spans="1:4" x14ac:dyDescent="0.45">
      <c r="A4">
        <v>0</v>
      </c>
      <c r="B4" s="3">
        <f t="shared" ca="1" si="0"/>
        <v>153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" t="str">
        <f ca="1">IF(dict_zuord_Meth_Transfers[[#This Row],[kval_active]],dict_zuord_Meth_Transfers[[#This Row],[ID_Transfers]],"")</f>
        <v/>
      </c>
    </row>
    <row r="5" spans="1:4" x14ac:dyDescent="0.45">
      <c r="A5">
        <v>0</v>
      </c>
      <c r="B5">
        <f t="shared" ca="1" si="0"/>
        <v>108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" t="str">
        <f ca="1">IF(dict_zuord_Meth_Transfers[[#This Row],[kval_active]],dict_zuord_Meth_Transfers[[#This Row],[ID_Transfers]],"")</f>
        <v/>
      </c>
    </row>
    <row r="6" spans="1:4" x14ac:dyDescent="0.45">
      <c r="A6">
        <v>0</v>
      </c>
      <c r="B6" s="3">
        <f t="shared" ca="1" si="0"/>
        <v>35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" t="str">
        <f ca="1">IF(dict_zuord_Meth_Transfers[[#This Row],[kval_active]],dict_zuord_Meth_Transfers[[#This Row],[ID_Transfers]],"")</f>
        <v/>
      </c>
    </row>
    <row r="7" spans="1:4" x14ac:dyDescent="0.45">
      <c r="A7">
        <v>0</v>
      </c>
      <c r="B7" s="3">
        <f t="shared" ca="1" si="0"/>
        <v>25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" t="str">
        <f ca="1">IF(dict_zuord_Meth_Transfers[[#This Row],[kval_active]],dict_zuord_Meth_Transfers[[#This Row],[ID_Transfers]],"")</f>
        <v/>
      </c>
    </row>
    <row r="8" spans="1:4" x14ac:dyDescent="0.45">
      <c r="A8">
        <v>1</v>
      </c>
      <c r="B8">
        <f t="shared" ca="1" si="0"/>
        <v>70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" t="str">
        <f ca="1">IF(dict_zuord_Meth_Transfers[[#This Row],[kval_active]],dict_zuord_Meth_Transfers[[#This Row],[ID_Transfers]],"")</f>
        <v/>
      </c>
    </row>
    <row r="9" spans="1:4" x14ac:dyDescent="0.45">
      <c r="A9">
        <v>1</v>
      </c>
      <c r="B9">
        <f t="shared" ca="1" si="0"/>
        <v>53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" t="str">
        <f ca="1">IF(dict_zuord_Meth_Transfers[[#This Row],[kval_active]],dict_zuord_Meth_Transfers[[#This Row],[ID_Transfers]],"")</f>
        <v/>
      </c>
    </row>
    <row r="10" spans="1:4" x14ac:dyDescent="0.45">
      <c r="A10">
        <v>1</v>
      </c>
      <c r="B10" s="3">
        <f t="shared" ca="1" si="0"/>
        <v>150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" t="str">
        <f ca="1">IF(dict_zuord_Meth_Transfers[[#This Row],[kval_active]],dict_zuord_Meth_Transfers[[#This Row],[ID_Transfers]],"")</f>
        <v/>
      </c>
    </row>
    <row r="11" spans="1:4" x14ac:dyDescent="0.45">
      <c r="A11">
        <v>1</v>
      </c>
      <c r="B11">
        <f t="shared" ca="1" si="0"/>
        <v>137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" t="str">
        <f ca="1">IF(dict_zuord_Meth_Transfers[[#This Row],[kval_active]],dict_zuord_Meth_Transfers[[#This Row],[ID_Transfers]],"")</f>
        <v/>
      </c>
    </row>
    <row r="12" spans="1:4" x14ac:dyDescent="0.45">
      <c r="A12">
        <v>1</v>
      </c>
      <c r="B12" s="3">
        <f t="shared" ca="1" si="0"/>
        <v>183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" t="str">
        <f ca="1">IF(dict_zuord_Meth_Transfers[[#This Row],[kval_active]],dict_zuord_Meth_Transfers[[#This Row],[ID_Transfers]],"")</f>
        <v/>
      </c>
    </row>
    <row r="13" spans="1:4" x14ac:dyDescent="0.45">
      <c r="A13">
        <v>1</v>
      </c>
      <c r="B13" s="3">
        <f t="shared" ca="1" si="0"/>
        <v>51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" t="str">
        <f ca="1">IF(dict_zuord_Meth_Transfers[[#This Row],[kval_active]],dict_zuord_Meth_Transfers[[#This Row],[ID_Transfers]],"")</f>
        <v/>
      </c>
    </row>
    <row r="14" spans="1:4" x14ac:dyDescent="0.45">
      <c r="A14">
        <v>2</v>
      </c>
      <c r="B14">
        <f t="shared" ca="1" si="0"/>
        <v>27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" t="str">
        <f ca="1">IF(dict_zuord_Meth_Transfers[[#This Row],[kval_active]],dict_zuord_Meth_Transfers[[#This Row],[ID_Transfers]],"")</f>
        <v/>
      </c>
    </row>
    <row r="15" spans="1:4" x14ac:dyDescent="0.45">
      <c r="A15">
        <v>2</v>
      </c>
      <c r="B15" s="3">
        <f t="shared" ca="1" si="0"/>
        <v>30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" t="str">
        <f ca="1">IF(dict_zuord_Meth_Transfers[[#This Row],[kval_active]],dict_zuord_Meth_Transfers[[#This Row],[ID_Transfers]],"")</f>
        <v/>
      </c>
    </row>
    <row r="16" spans="1:4" x14ac:dyDescent="0.45">
      <c r="A16">
        <v>2</v>
      </c>
      <c r="B16" s="3">
        <f t="shared" ca="1" si="0"/>
        <v>95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" t="str">
        <f ca="1">IF(dict_zuord_Meth_Transfers[[#This Row],[kval_active]],dict_zuord_Meth_Transfers[[#This Row],[ID_Transfers]],"")</f>
        <v/>
      </c>
    </row>
    <row r="17" spans="1:4" x14ac:dyDescent="0.45">
      <c r="A17">
        <v>2</v>
      </c>
      <c r="B17" s="3">
        <f t="shared" ca="1" si="0"/>
        <v>162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" t="str">
        <f ca="1">IF(dict_zuord_Meth_Transfers[[#This Row],[kval_active]],dict_zuord_Meth_Transfers[[#This Row],[ID_Transfers]],"")</f>
        <v/>
      </c>
    </row>
    <row r="18" spans="1:4" x14ac:dyDescent="0.45">
      <c r="A18">
        <v>2</v>
      </c>
      <c r="B18">
        <f t="shared" ca="1" si="0"/>
        <v>159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" t="str">
        <f ca="1">IF(dict_zuord_Meth_Transfers[[#This Row],[kval_active]],dict_zuord_Meth_Transfers[[#This Row],[ID_Transfers]],"")</f>
        <v/>
      </c>
    </row>
    <row r="19" spans="1:4" x14ac:dyDescent="0.45">
      <c r="A19">
        <v>2</v>
      </c>
      <c r="B19">
        <f t="shared" ca="1" si="0"/>
        <v>122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" t="str">
        <f ca="1">IF(dict_zuord_Meth_Transfers[[#This Row],[kval_active]],dict_zuord_Meth_Transfers[[#This Row],[ID_Transfers]],"")</f>
        <v/>
      </c>
    </row>
    <row r="20" spans="1:4" x14ac:dyDescent="0.45">
      <c r="A20">
        <v>3</v>
      </c>
      <c r="B20" s="3">
        <f t="shared" ca="1" si="0"/>
        <v>199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" t="str">
        <f ca="1">IF(dict_zuord_Meth_Transfers[[#This Row],[kval_active]],dict_zuord_Meth_Transfers[[#This Row],[ID_Transfers]],"")</f>
        <v/>
      </c>
    </row>
    <row r="21" spans="1:4" x14ac:dyDescent="0.45">
      <c r="A21">
        <v>3</v>
      </c>
      <c r="B21">
        <f t="shared" ca="1" si="0"/>
        <v>138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" t="str">
        <f ca="1">IF(dict_zuord_Meth_Transfers[[#This Row],[kval_active]],dict_zuord_Meth_Transfers[[#This Row],[ID_Transfers]],"")</f>
        <v/>
      </c>
    </row>
    <row r="22" spans="1:4" x14ac:dyDescent="0.45">
      <c r="A22">
        <v>3</v>
      </c>
      <c r="B22" s="3">
        <f t="shared" ca="1" si="0"/>
        <v>52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" t="str">
        <f ca="1">IF(dict_zuord_Meth_Transfers[[#This Row],[kval_active]],dict_zuord_Meth_Transfers[[#This Row],[ID_Transfers]],"")</f>
        <v/>
      </c>
    </row>
    <row r="23" spans="1:4" x14ac:dyDescent="0.45">
      <c r="A23">
        <v>3</v>
      </c>
      <c r="B23">
        <f t="shared" ca="1" si="0"/>
        <v>197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" t="str">
        <f ca="1">IF(dict_zuord_Meth_Transfers[[#This Row],[kval_active]],dict_zuord_Meth_Transfers[[#This Row],[ID_Transfers]],"")</f>
        <v/>
      </c>
    </row>
    <row r="24" spans="1:4" x14ac:dyDescent="0.45">
      <c r="A24">
        <v>3</v>
      </c>
      <c r="B24">
        <f t="shared" ca="1" si="0"/>
        <v>40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" t="str">
        <f ca="1">IF(dict_zuord_Meth_Transfers[[#This Row],[kval_active]],dict_zuord_Meth_Transfers[[#This Row],[ID_Transfers]],"")</f>
        <v/>
      </c>
    </row>
    <row r="25" spans="1:4" x14ac:dyDescent="0.45">
      <c r="A25">
        <v>3</v>
      </c>
      <c r="B25" s="3">
        <f t="shared" ca="1" si="0"/>
        <v>184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" t="str">
        <f ca="1">IF(dict_zuord_Meth_Transfers[[#This Row],[kval_active]],dict_zuord_Meth_Transfers[[#This Row],[ID_Transfers]],"")</f>
        <v/>
      </c>
    </row>
    <row r="26" spans="1:4" x14ac:dyDescent="0.45">
      <c r="A26">
        <v>4</v>
      </c>
      <c r="B26">
        <f t="shared" ca="1" si="0"/>
        <v>113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">
        <f ca="1">IF(dict_zuord_Meth_Transfers[[#This Row],[kval_active]],dict_zuord_Meth_Transfers[[#This Row],[ID_Transfers]],"")</f>
        <v>113</v>
      </c>
    </row>
    <row r="27" spans="1:4" x14ac:dyDescent="0.45">
      <c r="A27">
        <v>4</v>
      </c>
      <c r="B27">
        <f t="shared" ca="1" si="0"/>
        <v>146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">
        <f ca="1">IF(dict_zuord_Meth_Transfers[[#This Row],[kval_active]],dict_zuord_Meth_Transfers[[#This Row],[ID_Transfers]],"")</f>
        <v>146</v>
      </c>
    </row>
    <row r="28" spans="1:4" x14ac:dyDescent="0.45">
      <c r="A28">
        <v>4</v>
      </c>
      <c r="B28">
        <f t="shared" ca="1" si="0"/>
        <v>114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">
        <f ca="1">IF(dict_zuord_Meth_Transfers[[#This Row],[kval_active]],dict_zuord_Meth_Transfers[[#This Row],[ID_Transfers]],"")</f>
        <v>114</v>
      </c>
    </row>
    <row r="29" spans="1:4" x14ac:dyDescent="0.45">
      <c r="A29">
        <v>4</v>
      </c>
      <c r="B29" s="3">
        <f t="shared" ca="1" si="0"/>
        <v>177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">
        <f ca="1">IF(dict_zuord_Meth_Transfers[[#This Row],[kval_active]],dict_zuord_Meth_Transfers[[#This Row],[ID_Transfers]],"")</f>
        <v>177</v>
      </c>
    </row>
    <row r="30" spans="1:4" x14ac:dyDescent="0.45">
      <c r="A30">
        <v>4</v>
      </c>
      <c r="B30" s="3">
        <f t="shared" ca="1" si="0"/>
        <v>98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">
        <f ca="1">IF(dict_zuord_Meth_Transfers[[#This Row],[kval_active]],dict_zuord_Meth_Transfers[[#This Row],[ID_Transfers]],"")</f>
        <v>98</v>
      </c>
    </row>
    <row r="31" spans="1:4" x14ac:dyDescent="0.45">
      <c r="A31">
        <v>4</v>
      </c>
      <c r="B31" s="3">
        <f t="shared" ca="1" si="0"/>
        <v>83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">
        <f ca="1">IF(dict_zuord_Meth_Transfers[[#This Row],[kval_active]],dict_zuord_Meth_Transfers[[#This Row],[ID_Transfers]],"")</f>
        <v>83</v>
      </c>
    </row>
    <row r="32" spans="1:4" x14ac:dyDescent="0.45">
      <c r="A32">
        <v>5</v>
      </c>
      <c r="B32" s="3">
        <f t="shared" ca="1" si="0"/>
        <v>6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" t="str">
        <f ca="1">IF(dict_zuord_Meth_Transfers[[#This Row],[kval_active]],dict_zuord_Meth_Transfers[[#This Row],[ID_Transfers]],"")</f>
        <v/>
      </c>
    </row>
    <row r="33" spans="1:4" x14ac:dyDescent="0.45">
      <c r="A33">
        <v>5</v>
      </c>
      <c r="B33">
        <f t="shared" ca="1" si="0"/>
        <v>50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" t="str">
        <f ca="1">IF(dict_zuord_Meth_Transfers[[#This Row],[kval_active]],dict_zuord_Meth_Transfers[[#This Row],[ID_Transfers]],"")</f>
        <v/>
      </c>
    </row>
    <row r="34" spans="1:4" x14ac:dyDescent="0.45">
      <c r="A34">
        <v>5</v>
      </c>
      <c r="B34">
        <f t="shared" ca="1" si="0"/>
        <v>153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" t="str">
        <f ca="1">IF(dict_zuord_Meth_Transfers[[#This Row],[kval_active]],dict_zuord_Meth_Transfers[[#This Row],[ID_Transfers]],"")</f>
        <v/>
      </c>
    </row>
    <row r="35" spans="1:4" x14ac:dyDescent="0.45">
      <c r="A35">
        <v>5</v>
      </c>
      <c r="B35" s="3">
        <f t="shared" ca="1" si="0"/>
        <v>108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" t="str">
        <f ca="1">IF(dict_zuord_Meth_Transfers[[#This Row],[kval_active]],dict_zuord_Meth_Transfers[[#This Row],[ID_Transfers]],"")</f>
        <v/>
      </c>
    </row>
    <row r="36" spans="1:4" x14ac:dyDescent="0.45">
      <c r="A36">
        <v>5</v>
      </c>
      <c r="B36" s="3">
        <f t="shared" ca="1" si="0"/>
        <v>101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" t="str">
        <f ca="1">IF(dict_zuord_Meth_Transfers[[#This Row],[kval_active]],dict_zuord_Meth_Transfers[[#This Row],[ID_Transfers]],"")</f>
        <v/>
      </c>
    </row>
    <row r="37" spans="1:4" x14ac:dyDescent="0.45">
      <c r="A37">
        <v>5</v>
      </c>
      <c r="B37">
        <f t="shared" ca="1" si="0"/>
        <v>90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" t="str">
        <f ca="1">IF(dict_zuord_Meth_Transfers[[#This Row],[kval_active]],dict_zuord_Meth_Transfers[[#This Row],[ID_Transfers]],"")</f>
        <v/>
      </c>
    </row>
    <row r="38" spans="1:4" x14ac:dyDescent="0.45">
      <c r="A38">
        <v>6</v>
      </c>
      <c r="B38">
        <f t="shared" ca="1" si="0"/>
        <v>2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" t="str">
        <f ca="1">IF(dict_zuord_Meth_Transfers[[#This Row],[kval_active]],dict_zuord_Meth_Transfers[[#This Row],[ID_Transfers]],"")</f>
        <v/>
      </c>
    </row>
    <row r="39" spans="1:4" x14ac:dyDescent="0.45">
      <c r="A39">
        <v>6</v>
      </c>
      <c r="B39">
        <f t="shared" ca="1" si="0"/>
        <v>58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" t="str">
        <f ca="1">IF(dict_zuord_Meth_Transfers[[#This Row],[kval_active]],dict_zuord_Meth_Transfers[[#This Row],[ID_Transfers]],"")</f>
        <v/>
      </c>
    </row>
    <row r="40" spans="1:4" x14ac:dyDescent="0.45">
      <c r="A40">
        <v>6</v>
      </c>
      <c r="B40" s="3">
        <f t="shared" ca="1" si="0"/>
        <v>182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" t="str">
        <f ca="1">IF(dict_zuord_Meth_Transfers[[#This Row],[kval_active]],dict_zuord_Meth_Transfers[[#This Row],[ID_Transfers]],"")</f>
        <v/>
      </c>
    </row>
    <row r="41" spans="1:4" x14ac:dyDescent="0.45">
      <c r="A41">
        <v>6</v>
      </c>
      <c r="B41">
        <f t="shared" ca="1" si="0"/>
        <v>199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" t="str">
        <f ca="1">IF(dict_zuord_Meth_Transfers[[#This Row],[kval_active]],dict_zuord_Meth_Transfers[[#This Row],[ID_Transfers]],"")</f>
        <v/>
      </c>
    </row>
    <row r="42" spans="1:4" x14ac:dyDescent="0.45">
      <c r="A42">
        <v>6</v>
      </c>
      <c r="B42" s="3">
        <f t="shared" ca="1" si="0"/>
        <v>112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" t="str">
        <f ca="1">IF(dict_zuord_Meth_Transfers[[#This Row],[kval_active]],dict_zuord_Meth_Transfers[[#This Row],[ID_Transfers]],"")</f>
        <v/>
      </c>
    </row>
    <row r="43" spans="1:4" x14ac:dyDescent="0.45">
      <c r="A43">
        <v>6</v>
      </c>
      <c r="B43" s="3">
        <f t="shared" ca="1" si="0"/>
        <v>107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" t="str">
        <f ca="1">IF(dict_zuord_Meth_Transfers[[#This Row],[kval_active]],dict_zuord_Meth_Transfers[[#This Row],[ID_Transfers]],"")</f>
        <v/>
      </c>
    </row>
    <row r="44" spans="1:4" x14ac:dyDescent="0.45">
      <c r="A44">
        <v>7</v>
      </c>
      <c r="B44">
        <f t="shared" ca="1" si="0"/>
        <v>36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" t="str">
        <f ca="1">IF(dict_zuord_Meth_Transfers[[#This Row],[kval_active]],dict_zuord_Meth_Transfers[[#This Row],[ID_Transfers]],"")</f>
        <v/>
      </c>
    </row>
    <row r="45" spans="1:4" x14ac:dyDescent="0.45">
      <c r="A45">
        <v>7</v>
      </c>
      <c r="B45" s="3">
        <f t="shared" ca="1" si="0"/>
        <v>14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" t="str">
        <f ca="1">IF(dict_zuord_Meth_Transfers[[#This Row],[kval_active]],dict_zuord_Meth_Transfers[[#This Row],[ID_Transfers]],"")</f>
        <v/>
      </c>
    </row>
    <row r="46" spans="1:4" x14ac:dyDescent="0.45">
      <c r="A46">
        <v>7</v>
      </c>
      <c r="B46">
        <f t="shared" ca="1" si="0"/>
        <v>18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" t="str">
        <f ca="1">IF(dict_zuord_Meth_Transfers[[#This Row],[kval_active]],dict_zuord_Meth_Transfers[[#This Row],[ID_Transfers]],"")</f>
        <v/>
      </c>
    </row>
    <row r="47" spans="1:4" x14ac:dyDescent="0.45">
      <c r="A47">
        <v>7</v>
      </c>
      <c r="B47" s="3">
        <f t="shared" ca="1" si="0"/>
        <v>40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" t="str">
        <f ca="1">IF(dict_zuord_Meth_Transfers[[#This Row],[kval_active]],dict_zuord_Meth_Transfers[[#This Row],[ID_Transfers]],"")</f>
        <v/>
      </c>
    </row>
    <row r="48" spans="1:4" x14ac:dyDescent="0.45">
      <c r="A48">
        <v>7</v>
      </c>
      <c r="B48">
        <f t="shared" ca="1" si="0"/>
        <v>20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" t="str">
        <f ca="1">IF(dict_zuord_Meth_Transfers[[#This Row],[kval_active]],dict_zuord_Meth_Transfers[[#This Row],[ID_Transfers]],"")</f>
        <v/>
      </c>
    </row>
    <row r="49" spans="1:4" x14ac:dyDescent="0.45">
      <c r="A49">
        <v>7</v>
      </c>
      <c r="B49" s="3">
        <f t="shared" ca="1" si="0"/>
        <v>161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" t="str">
        <f ca="1">IF(dict_zuord_Meth_Transfers[[#This Row],[kval_active]],dict_zuord_Meth_Transfers[[#This Row],[ID_Transfers]],"")</f>
        <v/>
      </c>
    </row>
    <row r="50" spans="1:4" x14ac:dyDescent="0.45">
      <c r="A50">
        <v>8</v>
      </c>
      <c r="B50" s="3">
        <f t="shared" ca="1" si="0"/>
        <v>132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" t="str">
        <f ca="1">IF(dict_zuord_Meth_Transfers[[#This Row],[kval_active]],dict_zuord_Meth_Transfers[[#This Row],[ID_Transfers]],"")</f>
        <v/>
      </c>
    </row>
    <row r="51" spans="1:4" x14ac:dyDescent="0.45">
      <c r="A51">
        <v>8</v>
      </c>
      <c r="B51" s="3">
        <f t="shared" ca="1" si="0"/>
        <v>8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" t="str">
        <f ca="1">IF(dict_zuord_Meth_Transfers[[#This Row],[kval_active]],dict_zuord_Meth_Transfers[[#This Row],[ID_Transfers]],"")</f>
        <v/>
      </c>
    </row>
    <row r="52" spans="1:4" x14ac:dyDescent="0.45">
      <c r="A52">
        <v>8</v>
      </c>
      <c r="B52" s="3">
        <f t="shared" ca="1" si="0"/>
        <v>21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" t="str">
        <f ca="1">IF(dict_zuord_Meth_Transfers[[#This Row],[kval_active]],dict_zuord_Meth_Transfers[[#This Row],[ID_Transfers]],"")</f>
        <v/>
      </c>
    </row>
    <row r="53" spans="1:4" x14ac:dyDescent="0.45">
      <c r="A53">
        <v>8</v>
      </c>
      <c r="B53">
        <f t="shared" ca="1" si="0"/>
        <v>146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" t="str">
        <f ca="1">IF(dict_zuord_Meth_Transfers[[#This Row],[kval_active]],dict_zuord_Meth_Transfers[[#This Row],[ID_Transfers]],"")</f>
        <v/>
      </c>
    </row>
    <row r="54" spans="1:4" x14ac:dyDescent="0.45">
      <c r="A54">
        <v>8</v>
      </c>
      <c r="B54">
        <f t="shared" ca="1" si="0"/>
        <v>173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" t="str">
        <f ca="1">IF(dict_zuord_Meth_Transfers[[#This Row],[kval_active]],dict_zuord_Meth_Transfers[[#This Row],[ID_Transfers]],"")</f>
        <v/>
      </c>
    </row>
    <row r="55" spans="1:4" x14ac:dyDescent="0.45">
      <c r="A55">
        <v>8</v>
      </c>
      <c r="B55">
        <f t="shared" ca="1" si="0"/>
        <v>189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" t="str">
        <f ca="1">IF(dict_zuord_Meth_Transfers[[#This Row],[kval_active]],dict_zuord_Meth_Transfers[[#This Row],[ID_Transfers]],"")</f>
        <v/>
      </c>
    </row>
    <row r="56" spans="1:4" x14ac:dyDescent="0.45">
      <c r="A56">
        <v>9</v>
      </c>
      <c r="B56">
        <f t="shared" ca="1" si="0"/>
        <v>68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" t="str">
        <f ca="1">IF(dict_zuord_Meth_Transfers[[#This Row],[kval_active]],dict_zuord_Meth_Transfers[[#This Row],[ID_Transfers]],"")</f>
        <v/>
      </c>
    </row>
    <row r="57" spans="1:4" x14ac:dyDescent="0.45">
      <c r="A57">
        <v>9</v>
      </c>
      <c r="B57" s="3">
        <f t="shared" ca="1" si="0"/>
        <v>12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" t="str">
        <f ca="1">IF(dict_zuord_Meth_Transfers[[#This Row],[kval_active]],dict_zuord_Meth_Transfers[[#This Row],[ID_Transfers]],"")</f>
        <v/>
      </c>
    </row>
    <row r="58" spans="1:4" x14ac:dyDescent="0.45">
      <c r="A58">
        <v>9</v>
      </c>
      <c r="B58">
        <f t="shared" ca="1" si="0"/>
        <v>124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" t="str">
        <f ca="1">IF(dict_zuord_Meth_Transfers[[#This Row],[kval_active]],dict_zuord_Meth_Transfers[[#This Row],[ID_Transfers]],"")</f>
        <v/>
      </c>
    </row>
    <row r="59" spans="1:4" x14ac:dyDescent="0.45">
      <c r="A59">
        <v>9</v>
      </c>
      <c r="B59" s="3">
        <f t="shared" ca="1" si="0"/>
        <v>184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" t="str">
        <f ca="1">IF(dict_zuord_Meth_Transfers[[#This Row],[kval_active]],dict_zuord_Meth_Transfers[[#This Row],[ID_Transfers]],"")</f>
        <v/>
      </c>
    </row>
    <row r="60" spans="1:4" x14ac:dyDescent="0.45">
      <c r="A60">
        <v>9</v>
      </c>
      <c r="B60">
        <f t="shared" ca="1" si="0"/>
        <v>80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" t="str">
        <f ca="1">IF(dict_zuord_Meth_Transfers[[#This Row],[kval_active]],dict_zuord_Meth_Transfers[[#This Row],[ID_Transfers]],"")</f>
        <v/>
      </c>
    </row>
    <row r="61" spans="1:4" x14ac:dyDescent="0.45">
      <c r="A61">
        <v>9</v>
      </c>
      <c r="B61" s="3">
        <f t="shared" ca="1" si="0"/>
        <v>20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" t="str">
        <f ca="1">IF(dict_zuord_Meth_Transfers[[#This Row],[kval_active]],dict_zuord_Meth_Transfers[[#This Row],[ID_Transfers]],"")</f>
        <v/>
      </c>
    </row>
    <row r="62" spans="1:4" x14ac:dyDescent="0.45">
      <c r="A62">
        <v>10</v>
      </c>
      <c r="B62" s="3">
        <f t="shared" ca="1" si="0"/>
        <v>123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" t="str">
        <f ca="1">IF(dict_zuord_Meth_Transfers[[#This Row],[kval_active]],dict_zuord_Meth_Transfers[[#This Row],[ID_Transfers]],"")</f>
        <v/>
      </c>
    </row>
    <row r="63" spans="1:4" x14ac:dyDescent="0.45">
      <c r="A63">
        <v>10</v>
      </c>
      <c r="B63">
        <f t="shared" ca="1" si="0"/>
        <v>20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" t="str">
        <f ca="1">IF(dict_zuord_Meth_Transfers[[#This Row],[kval_active]],dict_zuord_Meth_Transfers[[#This Row],[ID_Transfers]],"")</f>
        <v/>
      </c>
    </row>
    <row r="64" spans="1:4" x14ac:dyDescent="0.45">
      <c r="A64">
        <v>10</v>
      </c>
      <c r="B64">
        <f t="shared" ca="1" si="0"/>
        <v>38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" t="str">
        <f ca="1">IF(dict_zuord_Meth_Transfers[[#This Row],[kval_active]],dict_zuord_Meth_Transfers[[#This Row],[ID_Transfers]],"")</f>
        <v/>
      </c>
    </row>
    <row r="65" spans="1:4" x14ac:dyDescent="0.45">
      <c r="A65">
        <v>10</v>
      </c>
      <c r="B65" s="3">
        <f t="shared" ca="1" si="0"/>
        <v>21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" t="str">
        <f ca="1">IF(dict_zuord_Meth_Transfers[[#This Row],[kval_active]],dict_zuord_Meth_Transfers[[#This Row],[ID_Transfers]],"")</f>
        <v/>
      </c>
    </row>
    <row r="66" spans="1:4" x14ac:dyDescent="0.45">
      <c r="A66">
        <v>10</v>
      </c>
      <c r="B66" s="3">
        <f t="shared" ref="B66:B129" ca="1" si="1">RANDBETWEEN(0,200)</f>
        <v>191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" t="str">
        <f ca="1">IF(dict_zuord_Meth_Transfers[[#This Row],[kval_active]],dict_zuord_Meth_Transfers[[#This Row],[ID_Transfers]],"")</f>
        <v/>
      </c>
    </row>
    <row r="67" spans="1:4" x14ac:dyDescent="0.45">
      <c r="A67">
        <v>10</v>
      </c>
      <c r="B67">
        <f t="shared" ca="1" si="1"/>
        <v>56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" t="str">
        <f ca="1">IF(dict_zuord_Meth_Transfers[[#This Row],[kval_active]],dict_zuord_Meth_Transfers[[#This Row],[ID_Transfers]],"")</f>
        <v/>
      </c>
    </row>
    <row r="68" spans="1:4" x14ac:dyDescent="0.45">
      <c r="A68">
        <v>11</v>
      </c>
      <c r="B68">
        <f t="shared" ca="1" si="1"/>
        <v>50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" t="str">
        <f ca="1">IF(dict_zuord_Meth_Transfers[[#This Row],[kval_active]],dict_zuord_Meth_Transfers[[#This Row],[ID_Transfers]],"")</f>
        <v/>
      </c>
    </row>
    <row r="69" spans="1:4" x14ac:dyDescent="0.45">
      <c r="A69">
        <v>11</v>
      </c>
      <c r="B69" s="3">
        <f t="shared" ca="1" si="1"/>
        <v>61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" t="str">
        <f ca="1">IF(dict_zuord_Meth_Transfers[[#This Row],[kval_active]],dict_zuord_Meth_Transfers[[#This Row],[ID_Transfers]],"")</f>
        <v/>
      </c>
    </row>
    <row r="70" spans="1:4" x14ac:dyDescent="0.45">
      <c r="A70">
        <v>11</v>
      </c>
      <c r="B70" s="3">
        <f t="shared" ca="1" si="1"/>
        <v>57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" t="str">
        <f ca="1">IF(dict_zuord_Meth_Transfers[[#This Row],[kval_active]],dict_zuord_Meth_Transfers[[#This Row],[ID_Transfers]],"")</f>
        <v/>
      </c>
    </row>
    <row r="71" spans="1:4" x14ac:dyDescent="0.45">
      <c r="A71">
        <v>11</v>
      </c>
      <c r="B71" s="3">
        <f t="shared" ca="1" si="1"/>
        <v>177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" t="str">
        <f ca="1">IF(dict_zuord_Meth_Transfers[[#This Row],[kval_active]],dict_zuord_Meth_Transfers[[#This Row],[ID_Transfers]],"")</f>
        <v/>
      </c>
    </row>
    <row r="72" spans="1:4" x14ac:dyDescent="0.45">
      <c r="A72">
        <v>11</v>
      </c>
      <c r="B72">
        <f t="shared" ca="1" si="1"/>
        <v>82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" t="str">
        <f ca="1">IF(dict_zuord_Meth_Transfers[[#This Row],[kval_active]],dict_zuord_Meth_Transfers[[#This Row],[ID_Transfers]],"")</f>
        <v/>
      </c>
    </row>
    <row r="73" spans="1:4" x14ac:dyDescent="0.45">
      <c r="A73">
        <v>11</v>
      </c>
      <c r="B73">
        <f t="shared" ca="1" si="1"/>
        <v>70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" t="str">
        <f ca="1">IF(dict_zuord_Meth_Transfers[[#This Row],[kval_active]],dict_zuord_Meth_Transfers[[#This Row],[ID_Transfers]],"")</f>
        <v/>
      </c>
    </row>
    <row r="74" spans="1:4" x14ac:dyDescent="0.45">
      <c r="A74">
        <v>12</v>
      </c>
      <c r="B74">
        <f t="shared" ca="1" si="1"/>
        <v>50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" t="str">
        <f ca="1">IF(dict_zuord_Meth_Transfers[[#This Row],[kval_active]],dict_zuord_Meth_Transfers[[#This Row],[ID_Transfers]],"")</f>
        <v/>
      </c>
    </row>
    <row r="75" spans="1:4" x14ac:dyDescent="0.45">
      <c r="A75">
        <v>12</v>
      </c>
      <c r="B75" s="3">
        <f t="shared" ca="1" si="1"/>
        <v>166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" t="str">
        <f ca="1">IF(dict_zuord_Meth_Transfers[[#This Row],[kval_active]],dict_zuord_Meth_Transfers[[#This Row],[ID_Transfers]],"")</f>
        <v/>
      </c>
    </row>
    <row r="76" spans="1:4" x14ac:dyDescent="0.45">
      <c r="A76">
        <v>12</v>
      </c>
      <c r="B76" s="3">
        <f t="shared" ca="1" si="1"/>
        <v>3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" t="str">
        <f ca="1">IF(dict_zuord_Meth_Transfers[[#This Row],[kval_active]],dict_zuord_Meth_Transfers[[#This Row],[ID_Transfers]],"")</f>
        <v/>
      </c>
    </row>
    <row r="77" spans="1:4" x14ac:dyDescent="0.45">
      <c r="A77">
        <v>12</v>
      </c>
      <c r="B77">
        <f t="shared" ca="1" si="1"/>
        <v>101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" t="str">
        <f ca="1">IF(dict_zuord_Meth_Transfers[[#This Row],[kval_active]],dict_zuord_Meth_Transfers[[#This Row],[ID_Transfers]],"")</f>
        <v/>
      </c>
    </row>
    <row r="78" spans="1:4" x14ac:dyDescent="0.45">
      <c r="A78">
        <v>12</v>
      </c>
      <c r="B78" s="3">
        <f t="shared" ca="1" si="1"/>
        <v>194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" t="str">
        <f ca="1">IF(dict_zuord_Meth_Transfers[[#This Row],[kval_active]],dict_zuord_Meth_Transfers[[#This Row],[ID_Transfers]],"")</f>
        <v/>
      </c>
    </row>
    <row r="79" spans="1:4" x14ac:dyDescent="0.45">
      <c r="A79">
        <v>12</v>
      </c>
      <c r="B79">
        <f t="shared" ca="1" si="1"/>
        <v>108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" t="str">
        <f ca="1">IF(dict_zuord_Meth_Transfers[[#This Row],[kval_active]],dict_zuord_Meth_Transfers[[#This Row],[ID_Transfers]],"")</f>
        <v/>
      </c>
    </row>
    <row r="80" spans="1:4" x14ac:dyDescent="0.45">
      <c r="A80">
        <v>13</v>
      </c>
      <c r="B80">
        <f t="shared" ca="1" si="1"/>
        <v>191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" t="str">
        <f ca="1">IF(dict_zuord_Meth_Transfers[[#This Row],[kval_active]],dict_zuord_Meth_Transfers[[#This Row],[ID_Transfers]],"")</f>
        <v/>
      </c>
    </row>
    <row r="81" spans="1:4" x14ac:dyDescent="0.45">
      <c r="A81">
        <v>13</v>
      </c>
      <c r="B81" s="3">
        <f t="shared" ca="1" si="1"/>
        <v>46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" t="str">
        <f ca="1">IF(dict_zuord_Meth_Transfers[[#This Row],[kval_active]],dict_zuord_Meth_Transfers[[#This Row],[ID_Transfers]],"")</f>
        <v/>
      </c>
    </row>
    <row r="82" spans="1:4" x14ac:dyDescent="0.45">
      <c r="A82">
        <v>13</v>
      </c>
      <c r="B82">
        <f t="shared" ca="1" si="1"/>
        <v>88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" t="str">
        <f ca="1">IF(dict_zuord_Meth_Transfers[[#This Row],[kval_active]],dict_zuord_Meth_Transfers[[#This Row],[ID_Transfers]],"")</f>
        <v/>
      </c>
    </row>
    <row r="83" spans="1:4" x14ac:dyDescent="0.45">
      <c r="A83">
        <v>13</v>
      </c>
      <c r="B83">
        <f t="shared" ca="1" si="1"/>
        <v>194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" t="str">
        <f ca="1">IF(dict_zuord_Meth_Transfers[[#This Row],[kval_active]],dict_zuord_Meth_Transfers[[#This Row],[ID_Transfers]],"")</f>
        <v/>
      </c>
    </row>
    <row r="84" spans="1:4" x14ac:dyDescent="0.45">
      <c r="A84">
        <v>13</v>
      </c>
      <c r="B84" s="3">
        <f t="shared" ca="1" si="1"/>
        <v>108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" t="str">
        <f ca="1">IF(dict_zuord_Meth_Transfers[[#This Row],[kval_active]],dict_zuord_Meth_Transfers[[#This Row],[ID_Transfers]],"")</f>
        <v/>
      </c>
    </row>
    <row r="85" spans="1:4" x14ac:dyDescent="0.45">
      <c r="A85">
        <v>13</v>
      </c>
      <c r="B85" s="3">
        <f t="shared" ca="1" si="1"/>
        <v>155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" t="str">
        <f ca="1">IF(dict_zuord_Meth_Transfers[[#This Row],[kval_active]],dict_zuord_Meth_Transfers[[#This Row],[ID_Transfers]],"")</f>
        <v/>
      </c>
    </row>
    <row r="86" spans="1:4" x14ac:dyDescent="0.45">
      <c r="A86">
        <v>14</v>
      </c>
      <c r="B86" s="3">
        <f t="shared" ca="1" si="1"/>
        <v>130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" t="str">
        <f ca="1">IF(dict_zuord_Meth_Transfers[[#This Row],[kval_active]],dict_zuord_Meth_Transfers[[#This Row],[ID_Transfers]],"")</f>
        <v/>
      </c>
    </row>
    <row r="87" spans="1:4" x14ac:dyDescent="0.45">
      <c r="A87">
        <v>14</v>
      </c>
      <c r="B87" s="3">
        <f t="shared" ca="1" si="1"/>
        <v>130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" t="str">
        <f ca="1">IF(dict_zuord_Meth_Transfers[[#This Row],[kval_active]],dict_zuord_Meth_Transfers[[#This Row],[ID_Transfers]],"")</f>
        <v/>
      </c>
    </row>
    <row r="88" spans="1:4" x14ac:dyDescent="0.45">
      <c r="A88">
        <v>14</v>
      </c>
      <c r="B88" s="3">
        <f t="shared" ca="1" si="1"/>
        <v>87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" t="str">
        <f ca="1">IF(dict_zuord_Meth_Transfers[[#This Row],[kval_active]],dict_zuord_Meth_Transfers[[#This Row],[ID_Transfers]],"")</f>
        <v/>
      </c>
    </row>
    <row r="89" spans="1:4" x14ac:dyDescent="0.45">
      <c r="A89">
        <v>14</v>
      </c>
      <c r="B89">
        <f t="shared" ca="1" si="1"/>
        <v>161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" t="str">
        <f ca="1">IF(dict_zuord_Meth_Transfers[[#This Row],[kval_active]],dict_zuord_Meth_Transfers[[#This Row],[ID_Transfers]],"")</f>
        <v/>
      </c>
    </row>
    <row r="90" spans="1:4" x14ac:dyDescent="0.45">
      <c r="A90">
        <v>14</v>
      </c>
      <c r="B90">
        <f t="shared" ca="1" si="1"/>
        <v>150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" t="str">
        <f ca="1">IF(dict_zuord_Meth_Transfers[[#This Row],[kval_active]],dict_zuord_Meth_Transfers[[#This Row],[ID_Transfers]],"")</f>
        <v/>
      </c>
    </row>
    <row r="91" spans="1:4" x14ac:dyDescent="0.45">
      <c r="A91">
        <v>14</v>
      </c>
      <c r="B91">
        <f t="shared" ca="1" si="1"/>
        <v>109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" t="str">
        <f ca="1">IF(dict_zuord_Meth_Transfers[[#This Row],[kval_active]],dict_zuord_Meth_Transfers[[#This Row],[ID_Transfers]],"")</f>
        <v/>
      </c>
    </row>
    <row r="92" spans="1:4" x14ac:dyDescent="0.45">
      <c r="A92">
        <v>15</v>
      </c>
      <c r="B92" s="3">
        <f t="shared" ca="1" si="1"/>
        <v>93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" t="str">
        <f ca="1">IF(dict_zuord_Meth_Transfers[[#This Row],[kval_active]],dict_zuord_Meth_Transfers[[#This Row],[ID_Transfers]],"")</f>
        <v/>
      </c>
    </row>
    <row r="93" spans="1:4" x14ac:dyDescent="0.45">
      <c r="A93">
        <v>15</v>
      </c>
      <c r="B93">
        <f t="shared" ca="1" si="1"/>
        <v>31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" t="str">
        <f ca="1">IF(dict_zuord_Meth_Transfers[[#This Row],[kval_active]],dict_zuord_Meth_Transfers[[#This Row],[ID_Transfers]],"")</f>
        <v/>
      </c>
    </row>
    <row r="94" spans="1:4" x14ac:dyDescent="0.45">
      <c r="A94">
        <v>15</v>
      </c>
      <c r="B94" s="3">
        <f t="shared" ca="1" si="1"/>
        <v>147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" t="str">
        <f ca="1">IF(dict_zuord_Meth_Transfers[[#This Row],[kval_active]],dict_zuord_Meth_Transfers[[#This Row],[ID_Transfers]],"")</f>
        <v/>
      </c>
    </row>
    <row r="95" spans="1:4" x14ac:dyDescent="0.45">
      <c r="A95">
        <v>15</v>
      </c>
      <c r="B95" s="3">
        <f t="shared" ca="1" si="1"/>
        <v>30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" t="str">
        <f ca="1">IF(dict_zuord_Meth_Transfers[[#This Row],[kval_active]],dict_zuord_Meth_Transfers[[#This Row],[ID_Transfers]],"")</f>
        <v/>
      </c>
    </row>
    <row r="96" spans="1:4" x14ac:dyDescent="0.45">
      <c r="A96">
        <v>15</v>
      </c>
      <c r="B96">
        <f t="shared" ca="1" si="1"/>
        <v>5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" t="str">
        <f ca="1">IF(dict_zuord_Meth_Transfers[[#This Row],[kval_active]],dict_zuord_Meth_Transfers[[#This Row],[ID_Transfers]],"")</f>
        <v/>
      </c>
    </row>
    <row r="97" spans="1:4" x14ac:dyDescent="0.45">
      <c r="A97">
        <v>15</v>
      </c>
      <c r="B97">
        <f t="shared" ca="1" si="1"/>
        <v>90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" t="str">
        <f ca="1">IF(dict_zuord_Meth_Transfers[[#This Row],[kval_active]],dict_zuord_Meth_Transfers[[#This Row],[ID_Transfers]],"")</f>
        <v/>
      </c>
    </row>
    <row r="98" spans="1:4" x14ac:dyDescent="0.45">
      <c r="A98">
        <v>16</v>
      </c>
      <c r="B98" s="3">
        <f t="shared" ca="1" si="1"/>
        <v>107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" t="str">
        <f ca="1">IF(dict_zuord_Meth_Transfers[[#This Row],[kval_active]],dict_zuord_Meth_Transfers[[#This Row],[ID_Transfers]],"")</f>
        <v/>
      </c>
    </row>
    <row r="99" spans="1:4" x14ac:dyDescent="0.45">
      <c r="A99">
        <v>16</v>
      </c>
      <c r="B99">
        <f t="shared" ca="1" si="1"/>
        <v>107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" t="str">
        <f ca="1">IF(dict_zuord_Meth_Transfers[[#This Row],[kval_active]],dict_zuord_Meth_Transfers[[#This Row],[ID_Transfers]],"")</f>
        <v/>
      </c>
    </row>
    <row r="100" spans="1:4" x14ac:dyDescent="0.45">
      <c r="A100">
        <v>16</v>
      </c>
      <c r="B100" s="3">
        <f t="shared" ca="1" si="1"/>
        <v>182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" t="str">
        <f ca="1">IF(dict_zuord_Meth_Transfers[[#This Row],[kval_active]],dict_zuord_Meth_Transfers[[#This Row],[ID_Transfers]],"")</f>
        <v/>
      </c>
    </row>
    <row r="101" spans="1:4" x14ac:dyDescent="0.45">
      <c r="A101">
        <v>16</v>
      </c>
      <c r="B101">
        <f t="shared" ca="1" si="1"/>
        <v>151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" t="str">
        <f ca="1">IF(dict_zuord_Meth_Transfers[[#This Row],[kval_active]],dict_zuord_Meth_Transfers[[#This Row],[ID_Transfers]],"")</f>
        <v/>
      </c>
    </row>
    <row r="102" spans="1:4" x14ac:dyDescent="0.45">
      <c r="A102">
        <v>16</v>
      </c>
      <c r="B102" s="3">
        <f t="shared" ca="1" si="1"/>
        <v>150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" t="str">
        <f ca="1">IF(dict_zuord_Meth_Transfers[[#This Row],[kval_active]],dict_zuord_Meth_Transfers[[#This Row],[ID_Transfers]],"")</f>
        <v/>
      </c>
    </row>
    <row r="103" spans="1:4" x14ac:dyDescent="0.45">
      <c r="A103">
        <v>16</v>
      </c>
      <c r="B103">
        <f t="shared" ca="1" si="1"/>
        <v>10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" t="str">
        <f ca="1">IF(dict_zuord_Meth_Transfers[[#This Row],[kval_active]],dict_zuord_Meth_Transfers[[#This Row],[ID_Transfers]],"")</f>
        <v/>
      </c>
    </row>
    <row r="104" spans="1:4" x14ac:dyDescent="0.45">
      <c r="A104">
        <v>17</v>
      </c>
      <c r="B104">
        <f t="shared" ca="1" si="1"/>
        <v>124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" t="str">
        <f ca="1">IF(dict_zuord_Meth_Transfers[[#This Row],[kval_active]],dict_zuord_Meth_Transfers[[#This Row],[ID_Transfers]],"")</f>
        <v/>
      </c>
    </row>
    <row r="105" spans="1:4" x14ac:dyDescent="0.45">
      <c r="A105">
        <v>17</v>
      </c>
      <c r="B105" s="3">
        <f t="shared" ca="1" si="1"/>
        <v>180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" t="str">
        <f ca="1">IF(dict_zuord_Meth_Transfers[[#This Row],[kval_active]],dict_zuord_Meth_Transfers[[#This Row],[ID_Transfers]],"")</f>
        <v/>
      </c>
    </row>
    <row r="106" spans="1:4" x14ac:dyDescent="0.45">
      <c r="A106">
        <v>17</v>
      </c>
      <c r="B106" s="3">
        <f t="shared" ca="1" si="1"/>
        <v>76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" t="str">
        <f ca="1">IF(dict_zuord_Meth_Transfers[[#This Row],[kval_active]],dict_zuord_Meth_Transfers[[#This Row],[ID_Transfers]],"")</f>
        <v/>
      </c>
    </row>
    <row r="107" spans="1:4" x14ac:dyDescent="0.45">
      <c r="A107">
        <v>17</v>
      </c>
      <c r="B107">
        <f t="shared" ca="1" si="1"/>
        <v>114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" t="str">
        <f ca="1">IF(dict_zuord_Meth_Transfers[[#This Row],[kval_active]],dict_zuord_Meth_Transfers[[#This Row],[ID_Transfers]],"")</f>
        <v/>
      </c>
    </row>
    <row r="108" spans="1:4" x14ac:dyDescent="0.45">
      <c r="A108">
        <v>17</v>
      </c>
      <c r="B108">
        <f t="shared" ca="1" si="1"/>
        <v>89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" t="str">
        <f ca="1">IF(dict_zuord_Meth_Transfers[[#This Row],[kval_active]],dict_zuord_Meth_Transfers[[#This Row],[ID_Transfers]],"")</f>
        <v/>
      </c>
    </row>
    <row r="109" spans="1:4" x14ac:dyDescent="0.45">
      <c r="A109">
        <v>17</v>
      </c>
      <c r="B109" s="3">
        <f t="shared" ca="1" si="1"/>
        <v>183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" t="str">
        <f ca="1">IF(dict_zuord_Meth_Transfers[[#This Row],[kval_active]],dict_zuord_Meth_Transfers[[#This Row],[ID_Transfers]],"")</f>
        <v/>
      </c>
    </row>
    <row r="110" spans="1:4" x14ac:dyDescent="0.45">
      <c r="A110">
        <v>18</v>
      </c>
      <c r="B110" s="3">
        <f t="shared" ca="1" si="1"/>
        <v>68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" t="str">
        <f ca="1">IF(dict_zuord_Meth_Transfers[[#This Row],[kval_active]],dict_zuord_Meth_Transfers[[#This Row],[ID_Transfers]],"")</f>
        <v/>
      </c>
    </row>
    <row r="111" spans="1:4" x14ac:dyDescent="0.45">
      <c r="A111">
        <v>18</v>
      </c>
      <c r="B111">
        <f t="shared" ca="1" si="1"/>
        <v>124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" t="str">
        <f ca="1">IF(dict_zuord_Meth_Transfers[[#This Row],[kval_active]],dict_zuord_Meth_Transfers[[#This Row],[ID_Transfers]],"")</f>
        <v/>
      </c>
    </row>
    <row r="112" spans="1:4" x14ac:dyDescent="0.45">
      <c r="A112">
        <v>18</v>
      </c>
      <c r="B112" s="3">
        <f t="shared" ca="1" si="1"/>
        <v>118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" t="str">
        <f ca="1">IF(dict_zuord_Meth_Transfers[[#This Row],[kval_active]],dict_zuord_Meth_Transfers[[#This Row],[ID_Transfers]],"")</f>
        <v/>
      </c>
    </row>
    <row r="113" spans="1:4" x14ac:dyDescent="0.45">
      <c r="A113">
        <v>18</v>
      </c>
      <c r="B113" s="3">
        <f t="shared" ca="1" si="1"/>
        <v>149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" t="str">
        <f ca="1">IF(dict_zuord_Meth_Transfers[[#This Row],[kval_active]],dict_zuord_Meth_Transfers[[#This Row],[ID_Transfers]],"")</f>
        <v/>
      </c>
    </row>
    <row r="114" spans="1:4" x14ac:dyDescent="0.45">
      <c r="A114">
        <v>18</v>
      </c>
      <c r="B114">
        <f t="shared" ca="1" si="1"/>
        <v>113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" t="str">
        <f ca="1">IF(dict_zuord_Meth_Transfers[[#This Row],[kval_active]],dict_zuord_Meth_Transfers[[#This Row],[ID_Transfers]],"")</f>
        <v/>
      </c>
    </row>
    <row r="115" spans="1:4" x14ac:dyDescent="0.45">
      <c r="A115">
        <v>18</v>
      </c>
      <c r="B115">
        <f t="shared" ca="1" si="1"/>
        <v>127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" t="str">
        <f ca="1">IF(dict_zuord_Meth_Transfers[[#This Row],[kval_active]],dict_zuord_Meth_Transfers[[#This Row],[ID_Transfers]],"")</f>
        <v/>
      </c>
    </row>
    <row r="116" spans="1:4" x14ac:dyDescent="0.45">
      <c r="A116">
        <v>19</v>
      </c>
      <c r="B116" s="3">
        <f t="shared" ca="1" si="1"/>
        <v>121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" t="str">
        <f ca="1">IF(dict_zuord_Meth_Transfers[[#This Row],[kval_active]],dict_zuord_Meth_Transfers[[#This Row],[ID_Transfers]],"")</f>
        <v/>
      </c>
    </row>
    <row r="117" spans="1:4" x14ac:dyDescent="0.45">
      <c r="A117">
        <v>19</v>
      </c>
      <c r="B117">
        <f t="shared" ca="1" si="1"/>
        <v>25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" t="str">
        <f ca="1">IF(dict_zuord_Meth_Transfers[[#This Row],[kval_active]],dict_zuord_Meth_Transfers[[#This Row],[ID_Transfers]],"")</f>
        <v/>
      </c>
    </row>
    <row r="118" spans="1:4" x14ac:dyDescent="0.45">
      <c r="A118">
        <v>19</v>
      </c>
      <c r="B118">
        <f t="shared" ca="1" si="1"/>
        <v>155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" t="str">
        <f ca="1">IF(dict_zuord_Meth_Transfers[[#This Row],[kval_active]],dict_zuord_Meth_Transfers[[#This Row],[ID_Transfers]],"")</f>
        <v/>
      </c>
    </row>
    <row r="119" spans="1:4" x14ac:dyDescent="0.45">
      <c r="A119">
        <v>19</v>
      </c>
      <c r="B119">
        <f t="shared" ca="1" si="1"/>
        <v>110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" t="str">
        <f ca="1">IF(dict_zuord_Meth_Transfers[[#This Row],[kval_active]],dict_zuord_Meth_Transfers[[#This Row],[ID_Transfers]],"")</f>
        <v/>
      </c>
    </row>
    <row r="120" spans="1:4" x14ac:dyDescent="0.45">
      <c r="A120">
        <v>19</v>
      </c>
      <c r="B120" s="3">
        <f t="shared" ca="1" si="1"/>
        <v>122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" t="str">
        <f ca="1">IF(dict_zuord_Meth_Transfers[[#This Row],[kval_active]],dict_zuord_Meth_Transfers[[#This Row],[ID_Transfers]],"")</f>
        <v/>
      </c>
    </row>
    <row r="121" spans="1:4" x14ac:dyDescent="0.45">
      <c r="A121">
        <v>19</v>
      </c>
      <c r="B121" s="3">
        <f t="shared" ca="1" si="1"/>
        <v>174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" t="str">
        <f ca="1">IF(dict_zuord_Meth_Transfers[[#This Row],[kval_active]],dict_zuord_Meth_Transfers[[#This Row],[ID_Transfers]],"")</f>
        <v/>
      </c>
    </row>
    <row r="122" spans="1:4" x14ac:dyDescent="0.45">
      <c r="A122">
        <v>20</v>
      </c>
      <c r="B122">
        <f t="shared" ca="1" si="1"/>
        <v>176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">
        <f ca="1">IF(dict_zuord_Meth_Transfers[[#This Row],[kval_active]],dict_zuord_Meth_Transfers[[#This Row],[ID_Transfers]],"")</f>
        <v>176</v>
      </c>
    </row>
    <row r="123" spans="1:4" x14ac:dyDescent="0.45">
      <c r="A123">
        <v>20</v>
      </c>
      <c r="B123" s="3">
        <f t="shared" ca="1" si="1"/>
        <v>156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">
        <f ca="1">IF(dict_zuord_Meth_Transfers[[#This Row],[kval_active]],dict_zuord_Meth_Transfers[[#This Row],[ID_Transfers]],"")</f>
        <v>156</v>
      </c>
    </row>
    <row r="124" spans="1:4" x14ac:dyDescent="0.45">
      <c r="A124">
        <v>20</v>
      </c>
      <c r="B124" s="3">
        <f t="shared" ca="1" si="1"/>
        <v>98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">
        <f ca="1">IF(dict_zuord_Meth_Transfers[[#This Row],[kval_active]],dict_zuord_Meth_Transfers[[#This Row],[ID_Transfers]],"")</f>
        <v>98</v>
      </c>
    </row>
    <row r="125" spans="1:4" x14ac:dyDescent="0.45">
      <c r="A125">
        <v>20</v>
      </c>
      <c r="B125">
        <f t="shared" ca="1" si="1"/>
        <v>102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">
        <f ca="1">IF(dict_zuord_Meth_Transfers[[#This Row],[kval_active]],dict_zuord_Meth_Transfers[[#This Row],[ID_Transfers]],"")</f>
        <v>102</v>
      </c>
    </row>
    <row r="126" spans="1:4" x14ac:dyDescent="0.45">
      <c r="A126">
        <v>20</v>
      </c>
      <c r="B126">
        <f t="shared" ca="1" si="1"/>
        <v>77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">
        <f ca="1">IF(dict_zuord_Meth_Transfers[[#This Row],[kval_active]],dict_zuord_Meth_Transfers[[#This Row],[ID_Transfers]],"")</f>
        <v>77</v>
      </c>
    </row>
    <row r="127" spans="1:4" x14ac:dyDescent="0.45">
      <c r="A127">
        <v>20</v>
      </c>
      <c r="B127" s="3">
        <f t="shared" ca="1" si="1"/>
        <v>105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">
        <f ca="1">IF(dict_zuord_Meth_Transfers[[#This Row],[kval_active]],dict_zuord_Meth_Transfers[[#This Row],[ID_Transfers]],"")</f>
        <v>105</v>
      </c>
    </row>
    <row r="128" spans="1:4" x14ac:dyDescent="0.45">
      <c r="A128">
        <v>21</v>
      </c>
      <c r="B128">
        <f t="shared" ca="1" si="1"/>
        <v>106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" t="str">
        <f ca="1">IF(dict_zuord_Meth_Transfers[[#This Row],[kval_active]],dict_zuord_Meth_Transfers[[#This Row],[ID_Transfers]],"")</f>
        <v/>
      </c>
    </row>
    <row r="129" spans="1:4" x14ac:dyDescent="0.45">
      <c r="A129">
        <v>21</v>
      </c>
      <c r="B129">
        <f t="shared" ca="1" si="1"/>
        <v>66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" t="str">
        <f ca="1">IF(dict_zuord_Meth_Transfers[[#This Row],[kval_active]],dict_zuord_Meth_Transfers[[#This Row],[ID_Transfers]],"")</f>
        <v/>
      </c>
    </row>
    <row r="130" spans="1:4" x14ac:dyDescent="0.45">
      <c r="A130">
        <v>21</v>
      </c>
      <c r="B130">
        <f t="shared" ref="B130:B193" ca="1" si="2">RANDBETWEEN(0,200)</f>
        <v>23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" t="str">
        <f ca="1">IF(dict_zuord_Meth_Transfers[[#This Row],[kval_active]],dict_zuord_Meth_Transfers[[#This Row],[ID_Transfers]],"")</f>
        <v/>
      </c>
    </row>
    <row r="131" spans="1:4" x14ac:dyDescent="0.45">
      <c r="A131">
        <v>21</v>
      </c>
      <c r="B131" s="3">
        <f t="shared" ca="1" si="2"/>
        <v>117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" t="str">
        <f ca="1">IF(dict_zuord_Meth_Transfers[[#This Row],[kval_active]],dict_zuord_Meth_Transfers[[#This Row],[ID_Transfers]],"")</f>
        <v/>
      </c>
    </row>
    <row r="132" spans="1:4" x14ac:dyDescent="0.45">
      <c r="A132">
        <v>21</v>
      </c>
      <c r="B132" s="3">
        <f t="shared" ca="1" si="2"/>
        <v>187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" t="str">
        <f ca="1">IF(dict_zuord_Meth_Transfers[[#This Row],[kval_active]],dict_zuord_Meth_Transfers[[#This Row],[ID_Transfers]],"")</f>
        <v/>
      </c>
    </row>
    <row r="133" spans="1:4" x14ac:dyDescent="0.45">
      <c r="A133">
        <v>21</v>
      </c>
      <c r="B133" s="3">
        <f t="shared" ca="1" si="2"/>
        <v>98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" t="str">
        <f ca="1">IF(dict_zuord_Meth_Transfers[[#This Row],[kval_active]],dict_zuord_Meth_Transfers[[#This Row],[ID_Transfers]],"")</f>
        <v/>
      </c>
    </row>
    <row r="134" spans="1:4" x14ac:dyDescent="0.45">
      <c r="A134">
        <v>22</v>
      </c>
      <c r="B134">
        <f t="shared" ca="1" si="2"/>
        <v>72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">
        <f ca="1">IF(dict_zuord_Meth_Transfers[[#This Row],[kval_active]],dict_zuord_Meth_Transfers[[#This Row],[ID_Transfers]],"")</f>
        <v>72</v>
      </c>
    </row>
    <row r="135" spans="1:4" x14ac:dyDescent="0.45">
      <c r="A135">
        <v>22</v>
      </c>
      <c r="B135">
        <f t="shared" ca="1" si="2"/>
        <v>36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">
        <f ca="1">IF(dict_zuord_Meth_Transfers[[#This Row],[kval_active]],dict_zuord_Meth_Transfers[[#This Row],[ID_Transfers]],"")</f>
        <v>36</v>
      </c>
    </row>
    <row r="136" spans="1:4" x14ac:dyDescent="0.45">
      <c r="A136">
        <v>22</v>
      </c>
      <c r="B136" s="3">
        <f t="shared" ca="1" si="2"/>
        <v>39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">
        <f ca="1">IF(dict_zuord_Meth_Transfers[[#This Row],[kval_active]],dict_zuord_Meth_Transfers[[#This Row],[ID_Transfers]],"")</f>
        <v>39</v>
      </c>
    </row>
    <row r="137" spans="1:4" x14ac:dyDescent="0.45">
      <c r="A137">
        <v>22</v>
      </c>
      <c r="B137" s="3">
        <f t="shared" ca="1" si="2"/>
        <v>103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">
        <f ca="1">IF(dict_zuord_Meth_Transfers[[#This Row],[kval_active]],dict_zuord_Meth_Transfers[[#This Row],[ID_Transfers]],"")</f>
        <v>103</v>
      </c>
    </row>
    <row r="138" spans="1:4" x14ac:dyDescent="0.45">
      <c r="A138">
        <v>22</v>
      </c>
      <c r="B138" s="3">
        <f t="shared" ca="1" si="2"/>
        <v>20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">
        <f ca="1">IF(dict_zuord_Meth_Transfers[[#This Row],[kval_active]],dict_zuord_Meth_Transfers[[#This Row],[ID_Transfers]],"")</f>
        <v>20</v>
      </c>
    </row>
    <row r="139" spans="1:4" x14ac:dyDescent="0.45">
      <c r="A139">
        <v>22</v>
      </c>
      <c r="B139">
        <f t="shared" ca="1" si="2"/>
        <v>91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">
        <f ca="1">IF(dict_zuord_Meth_Transfers[[#This Row],[kval_active]],dict_zuord_Meth_Transfers[[#This Row],[ID_Transfers]],"")</f>
        <v>91</v>
      </c>
    </row>
    <row r="140" spans="1:4" x14ac:dyDescent="0.45">
      <c r="A140">
        <v>23</v>
      </c>
      <c r="B140" s="3">
        <f t="shared" ca="1" si="2"/>
        <v>44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" t="str">
        <f ca="1">IF(dict_zuord_Meth_Transfers[[#This Row],[kval_active]],dict_zuord_Meth_Transfers[[#This Row],[ID_Transfers]],"")</f>
        <v/>
      </c>
    </row>
    <row r="141" spans="1:4" x14ac:dyDescent="0.45">
      <c r="A141">
        <v>23</v>
      </c>
      <c r="B141">
        <f t="shared" ca="1" si="2"/>
        <v>133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" t="str">
        <f ca="1">IF(dict_zuord_Meth_Transfers[[#This Row],[kval_active]],dict_zuord_Meth_Transfers[[#This Row],[ID_Transfers]],"")</f>
        <v/>
      </c>
    </row>
    <row r="142" spans="1:4" x14ac:dyDescent="0.45">
      <c r="A142">
        <v>23</v>
      </c>
      <c r="B142">
        <f t="shared" ca="1" si="2"/>
        <v>144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" t="str">
        <f ca="1">IF(dict_zuord_Meth_Transfers[[#This Row],[kval_active]],dict_zuord_Meth_Transfers[[#This Row],[ID_Transfers]],"")</f>
        <v/>
      </c>
    </row>
    <row r="143" spans="1:4" x14ac:dyDescent="0.45">
      <c r="A143">
        <v>23</v>
      </c>
      <c r="B143">
        <f t="shared" ca="1" si="2"/>
        <v>165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" t="str">
        <f ca="1">IF(dict_zuord_Meth_Transfers[[#This Row],[kval_active]],dict_zuord_Meth_Transfers[[#This Row],[ID_Transfers]],"")</f>
        <v/>
      </c>
    </row>
    <row r="144" spans="1:4" x14ac:dyDescent="0.45">
      <c r="A144">
        <v>23</v>
      </c>
      <c r="B144" s="3">
        <f t="shared" ca="1" si="2"/>
        <v>147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" t="str">
        <f ca="1">IF(dict_zuord_Meth_Transfers[[#This Row],[kval_active]],dict_zuord_Meth_Transfers[[#This Row],[ID_Transfers]],"")</f>
        <v/>
      </c>
    </row>
    <row r="145" spans="1:4" x14ac:dyDescent="0.45">
      <c r="A145">
        <v>23</v>
      </c>
      <c r="B145" s="3">
        <f t="shared" ca="1" si="2"/>
        <v>36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" t="str">
        <f ca="1">IF(dict_zuord_Meth_Transfers[[#This Row],[kval_active]],dict_zuord_Meth_Transfers[[#This Row],[ID_Transfers]],"")</f>
        <v/>
      </c>
    </row>
    <row r="146" spans="1:4" x14ac:dyDescent="0.45">
      <c r="A146">
        <v>24</v>
      </c>
      <c r="B146">
        <f t="shared" ca="1" si="2"/>
        <v>9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">
        <f ca="1">IF(dict_zuord_Meth_Transfers[[#This Row],[kval_active]],dict_zuord_Meth_Transfers[[#This Row],[ID_Transfers]],"")</f>
        <v>9</v>
      </c>
    </row>
    <row r="147" spans="1:4" x14ac:dyDescent="0.45">
      <c r="A147">
        <v>24</v>
      </c>
      <c r="B147">
        <f t="shared" ca="1" si="2"/>
        <v>26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">
        <f ca="1">IF(dict_zuord_Meth_Transfers[[#This Row],[kval_active]],dict_zuord_Meth_Transfers[[#This Row],[ID_Transfers]],"")</f>
        <v>26</v>
      </c>
    </row>
    <row r="148" spans="1:4" x14ac:dyDescent="0.45">
      <c r="A148">
        <v>24</v>
      </c>
      <c r="B148" s="3">
        <f t="shared" ca="1" si="2"/>
        <v>107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">
        <f ca="1">IF(dict_zuord_Meth_Transfers[[#This Row],[kval_active]],dict_zuord_Meth_Transfers[[#This Row],[ID_Transfers]],"")</f>
        <v>107</v>
      </c>
    </row>
    <row r="149" spans="1:4" x14ac:dyDescent="0.45">
      <c r="A149">
        <v>24</v>
      </c>
      <c r="B149" s="3">
        <f t="shared" ca="1" si="2"/>
        <v>63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">
        <f ca="1">IF(dict_zuord_Meth_Transfers[[#This Row],[kval_active]],dict_zuord_Meth_Transfers[[#This Row],[ID_Transfers]],"")</f>
        <v>63</v>
      </c>
    </row>
    <row r="150" spans="1:4" x14ac:dyDescent="0.45">
      <c r="A150">
        <v>24</v>
      </c>
      <c r="B150">
        <f t="shared" ca="1" si="2"/>
        <v>185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">
        <f ca="1">IF(dict_zuord_Meth_Transfers[[#This Row],[kval_active]],dict_zuord_Meth_Transfers[[#This Row],[ID_Transfers]],"")</f>
        <v>185</v>
      </c>
    </row>
    <row r="151" spans="1:4" x14ac:dyDescent="0.45">
      <c r="A151">
        <v>24</v>
      </c>
      <c r="B151" s="3">
        <f t="shared" ca="1" si="2"/>
        <v>130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">
        <f ca="1">IF(dict_zuord_Meth_Transfers[[#This Row],[kval_active]],dict_zuord_Meth_Transfers[[#This Row],[ID_Transfers]],"")</f>
        <v>130</v>
      </c>
    </row>
    <row r="152" spans="1:4" x14ac:dyDescent="0.45">
      <c r="A152">
        <v>25</v>
      </c>
      <c r="B152" s="3">
        <f t="shared" ca="1" si="2"/>
        <v>121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" t="str">
        <f ca="1">IF(dict_zuord_Meth_Transfers[[#This Row],[kval_active]],dict_zuord_Meth_Transfers[[#This Row],[ID_Transfers]],"")</f>
        <v/>
      </c>
    </row>
    <row r="153" spans="1:4" x14ac:dyDescent="0.45">
      <c r="A153">
        <v>25</v>
      </c>
      <c r="B153">
        <f t="shared" ca="1" si="2"/>
        <v>63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" t="str">
        <f ca="1">IF(dict_zuord_Meth_Transfers[[#This Row],[kval_active]],dict_zuord_Meth_Transfers[[#This Row],[ID_Transfers]],"")</f>
        <v/>
      </c>
    </row>
    <row r="154" spans="1:4" x14ac:dyDescent="0.45">
      <c r="A154">
        <v>25</v>
      </c>
      <c r="B154" s="3">
        <f t="shared" ca="1" si="2"/>
        <v>188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" t="str">
        <f ca="1">IF(dict_zuord_Meth_Transfers[[#This Row],[kval_active]],dict_zuord_Meth_Transfers[[#This Row],[ID_Transfers]],"")</f>
        <v/>
      </c>
    </row>
    <row r="155" spans="1:4" x14ac:dyDescent="0.45">
      <c r="A155">
        <v>25</v>
      </c>
      <c r="B155" s="3">
        <f t="shared" ca="1" si="2"/>
        <v>22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" t="str">
        <f ca="1">IF(dict_zuord_Meth_Transfers[[#This Row],[kval_active]],dict_zuord_Meth_Transfers[[#This Row],[ID_Transfers]],"")</f>
        <v/>
      </c>
    </row>
    <row r="156" spans="1:4" x14ac:dyDescent="0.45">
      <c r="A156">
        <v>25</v>
      </c>
      <c r="B156">
        <f t="shared" ca="1" si="2"/>
        <v>72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" t="str">
        <f ca="1">IF(dict_zuord_Meth_Transfers[[#This Row],[kval_active]],dict_zuord_Meth_Transfers[[#This Row],[ID_Transfers]],"")</f>
        <v/>
      </c>
    </row>
    <row r="157" spans="1:4" x14ac:dyDescent="0.45">
      <c r="A157">
        <v>25</v>
      </c>
      <c r="B157">
        <f t="shared" ca="1" si="2"/>
        <v>76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" t="str">
        <f ca="1">IF(dict_zuord_Meth_Transfers[[#This Row],[kval_active]],dict_zuord_Meth_Transfers[[#This Row],[ID_Transfers]],"")</f>
        <v/>
      </c>
    </row>
    <row r="158" spans="1:4" x14ac:dyDescent="0.45">
      <c r="A158">
        <v>26</v>
      </c>
      <c r="B158" s="3">
        <f t="shared" ca="1" si="2"/>
        <v>49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" t="str">
        <f ca="1">IF(dict_zuord_Meth_Transfers[[#This Row],[kval_active]],dict_zuord_Meth_Transfers[[#This Row],[ID_Transfers]],"")</f>
        <v/>
      </c>
    </row>
    <row r="159" spans="1:4" x14ac:dyDescent="0.45">
      <c r="A159">
        <v>26</v>
      </c>
      <c r="B159">
        <f t="shared" ca="1" si="2"/>
        <v>158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" t="str">
        <f ca="1">IF(dict_zuord_Meth_Transfers[[#This Row],[kval_active]],dict_zuord_Meth_Transfers[[#This Row],[ID_Transfers]],"")</f>
        <v/>
      </c>
    </row>
    <row r="160" spans="1:4" x14ac:dyDescent="0.45">
      <c r="A160">
        <v>26</v>
      </c>
      <c r="B160" s="3">
        <f t="shared" ca="1" si="2"/>
        <v>164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" t="str">
        <f ca="1">IF(dict_zuord_Meth_Transfers[[#This Row],[kval_active]],dict_zuord_Meth_Transfers[[#This Row],[ID_Transfers]],"")</f>
        <v/>
      </c>
    </row>
    <row r="161" spans="1:4" x14ac:dyDescent="0.45">
      <c r="A161">
        <v>26</v>
      </c>
      <c r="B161" s="3">
        <f t="shared" ca="1" si="2"/>
        <v>16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" t="str">
        <f ca="1">IF(dict_zuord_Meth_Transfers[[#This Row],[kval_active]],dict_zuord_Meth_Transfers[[#This Row],[ID_Transfers]],"")</f>
        <v/>
      </c>
    </row>
    <row r="162" spans="1:4" x14ac:dyDescent="0.45">
      <c r="A162">
        <v>26</v>
      </c>
      <c r="B162">
        <f t="shared" ca="1" si="2"/>
        <v>18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" t="str">
        <f ca="1">IF(dict_zuord_Meth_Transfers[[#This Row],[kval_active]],dict_zuord_Meth_Transfers[[#This Row],[ID_Transfers]],"")</f>
        <v/>
      </c>
    </row>
    <row r="163" spans="1:4" x14ac:dyDescent="0.45">
      <c r="A163">
        <v>26</v>
      </c>
      <c r="B163">
        <f t="shared" ca="1" si="2"/>
        <v>14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" t="str">
        <f ca="1">IF(dict_zuord_Meth_Transfers[[#This Row],[kval_active]],dict_zuord_Meth_Transfers[[#This Row],[ID_Transfers]],"")</f>
        <v/>
      </c>
    </row>
    <row r="164" spans="1:4" x14ac:dyDescent="0.45">
      <c r="A164">
        <v>27</v>
      </c>
      <c r="B164" s="3">
        <f t="shared" ca="1" si="2"/>
        <v>102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">
        <f ca="1">IF(dict_zuord_Meth_Transfers[[#This Row],[kval_active]],dict_zuord_Meth_Transfers[[#This Row],[ID_Transfers]],"")</f>
        <v>102</v>
      </c>
    </row>
    <row r="165" spans="1:4" x14ac:dyDescent="0.45">
      <c r="A165">
        <v>27</v>
      </c>
      <c r="B165">
        <f t="shared" ca="1" si="2"/>
        <v>120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">
        <f ca="1">IF(dict_zuord_Meth_Transfers[[#This Row],[kval_active]],dict_zuord_Meth_Transfers[[#This Row],[ID_Transfers]],"")</f>
        <v>120</v>
      </c>
    </row>
    <row r="166" spans="1:4" x14ac:dyDescent="0.45">
      <c r="A166">
        <v>27</v>
      </c>
      <c r="B166" s="3">
        <f t="shared" ca="1" si="2"/>
        <v>187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">
        <f ca="1">IF(dict_zuord_Meth_Transfers[[#This Row],[kval_active]],dict_zuord_Meth_Transfers[[#This Row],[ID_Transfers]],"")</f>
        <v>187</v>
      </c>
    </row>
    <row r="167" spans="1:4" x14ac:dyDescent="0.45">
      <c r="A167">
        <v>27</v>
      </c>
      <c r="B167">
        <f t="shared" ca="1" si="2"/>
        <v>190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">
        <f ca="1">IF(dict_zuord_Meth_Transfers[[#This Row],[kval_active]],dict_zuord_Meth_Transfers[[#This Row],[ID_Transfers]],"")</f>
        <v>190</v>
      </c>
    </row>
    <row r="168" spans="1:4" x14ac:dyDescent="0.45">
      <c r="A168">
        <v>27</v>
      </c>
      <c r="B168">
        <f t="shared" ca="1" si="2"/>
        <v>187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">
        <f ca="1">IF(dict_zuord_Meth_Transfers[[#This Row],[kval_active]],dict_zuord_Meth_Transfers[[#This Row],[ID_Transfers]],"")</f>
        <v>187</v>
      </c>
    </row>
    <row r="169" spans="1:4" x14ac:dyDescent="0.45">
      <c r="A169">
        <v>27</v>
      </c>
      <c r="B169" s="3">
        <f t="shared" ca="1" si="2"/>
        <v>121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">
        <f ca="1">IF(dict_zuord_Meth_Transfers[[#This Row],[kval_active]],dict_zuord_Meth_Transfers[[#This Row],[ID_Transfers]],"")</f>
        <v>121</v>
      </c>
    </row>
    <row r="170" spans="1:4" x14ac:dyDescent="0.45">
      <c r="A170">
        <v>28</v>
      </c>
      <c r="B170">
        <f t="shared" ca="1" si="2"/>
        <v>197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" t="str">
        <f ca="1">IF(dict_zuord_Meth_Transfers[[#This Row],[kval_active]],dict_zuord_Meth_Transfers[[#This Row],[ID_Transfers]],"")</f>
        <v/>
      </c>
    </row>
    <row r="171" spans="1:4" x14ac:dyDescent="0.45">
      <c r="A171">
        <v>28</v>
      </c>
      <c r="B171">
        <f t="shared" ca="1" si="2"/>
        <v>16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" t="str">
        <f ca="1">IF(dict_zuord_Meth_Transfers[[#This Row],[kval_active]],dict_zuord_Meth_Transfers[[#This Row],[ID_Transfers]],"")</f>
        <v/>
      </c>
    </row>
    <row r="172" spans="1:4" x14ac:dyDescent="0.45">
      <c r="A172">
        <v>28</v>
      </c>
      <c r="B172" s="3">
        <f t="shared" ca="1" si="2"/>
        <v>140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" t="str">
        <f ca="1">IF(dict_zuord_Meth_Transfers[[#This Row],[kval_active]],dict_zuord_Meth_Transfers[[#This Row],[ID_Transfers]],"")</f>
        <v/>
      </c>
    </row>
    <row r="173" spans="1:4" x14ac:dyDescent="0.45">
      <c r="A173">
        <v>28</v>
      </c>
      <c r="B173" s="3">
        <f t="shared" ca="1" si="2"/>
        <v>181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" t="str">
        <f ca="1">IF(dict_zuord_Meth_Transfers[[#This Row],[kval_active]],dict_zuord_Meth_Transfers[[#This Row],[ID_Transfers]],"")</f>
        <v/>
      </c>
    </row>
    <row r="174" spans="1:4" x14ac:dyDescent="0.45">
      <c r="A174">
        <v>28</v>
      </c>
      <c r="B174">
        <f t="shared" ca="1" si="2"/>
        <v>127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" t="str">
        <f ca="1">IF(dict_zuord_Meth_Transfers[[#This Row],[kval_active]],dict_zuord_Meth_Transfers[[#This Row],[ID_Transfers]],"")</f>
        <v/>
      </c>
    </row>
    <row r="175" spans="1:4" x14ac:dyDescent="0.45">
      <c r="A175">
        <v>28</v>
      </c>
      <c r="B175" s="3">
        <f t="shared" ca="1" si="2"/>
        <v>38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" t="str">
        <f ca="1">IF(dict_zuord_Meth_Transfers[[#This Row],[kval_active]],dict_zuord_Meth_Transfers[[#This Row],[ID_Transfers]],"")</f>
        <v/>
      </c>
    </row>
    <row r="176" spans="1:4" x14ac:dyDescent="0.45">
      <c r="A176">
        <v>29</v>
      </c>
      <c r="B176">
        <f t="shared" ca="1" si="2"/>
        <v>147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" t="str">
        <f ca="1">IF(dict_zuord_Meth_Transfers[[#This Row],[kval_active]],dict_zuord_Meth_Transfers[[#This Row],[ID_Transfers]],"")</f>
        <v/>
      </c>
    </row>
    <row r="177" spans="1:4" x14ac:dyDescent="0.45">
      <c r="A177">
        <v>29</v>
      </c>
      <c r="B177" s="3">
        <f t="shared" ca="1" si="2"/>
        <v>53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" t="str">
        <f ca="1">IF(dict_zuord_Meth_Transfers[[#This Row],[kval_active]],dict_zuord_Meth_Transfers[[#This Row],[ID_Transfers]],"")</f>
        <v/>
      </c>
    </row>
    <row r="178" spans="1:4" x14ac:dyDescent="0.45">
      <c r="A178">
        <v>29</v>
      </c>
      <c r="B178" s="3">
        <f t="shared" ca="1" si="2"/>
        <v>31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" t="str">
        <f ca="1">IF(dict_zuord_Meth_Transfers[[#This Row],[kval_active]],dict_zuord_Meth_Transfers[[#This Row],[ID_Transfers]],"")</f>
        <v/>
      </c>
    </row>
    <row r="179" spans="1:4" x14ac:dyDescent="0.45">
      <c r="A179">
        <v>29</v>
      </c>
      <c r="B179" s="3">
        <f t="shared" ca="1" si="2"/>
        <v>123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" t="str">
        <f ca="1">IF(dict_zuord_Meth_Transfers[[#This Row],[kval_active]],dict_zuord_Meth_Transfers[[#This Row],[ID_Transfers]],"")</f>
        <v/>
      </c>
    </row>
    <row r="180" spans="1:4" x14ac:dyDescent="0.45">
      <c r="A180">
        <v>29</v>
      </c>
      <c r="B180">
        <f t="shared" ca="1" si="2"/>
        <v>190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" t="str">
        <f ca="1">IF(dict_zuord_Meth_Transfers[[#This Row],[kval_active]],dict_zuord_Meth_Transfers[[#This Row],[ID_Transfers]],"")</f>
        <v/>
      </c>
    </row>
    <row r="181" spans="1:4" x14ac:dyDescent="0.45">
      <c r="A181">
        <v>29</v>
      </c>
      <c r="B181">
        <f t="shared" ca="1" si="2"/>
        <v>33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" t="str">
        <f ca="1">IF(dict_zuord_Meth_Transfers[[#This Row],[kval_active]],dict_zuord_Meth_Transfers[[#This Row],[ID_Transfers]],"")</f>
        <v/>
      </c>
    </row>
    <row r="182" spans="1:4" x14ac:dyDescent="0.45">
      <c r="A182">
        <v>30</v>
      </c>
      <c r="B182">
        <f t="shared" ca="1" si="2"/>
        <v>116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" t="str">
        <f ca="1">IF(dict_zuord_Meth_Transfers[[#This Row],[kval_active]],dict_zuord_Meth_Transfers[[#This Row],[ID_Transfers]],"")</f>
        <v/>
      </c>
    </row>
    <row r="183" spans="1:4" x14ac:dyDescent="0.45">
      <c r="A183">
        <v>30</v>
      </c>
      <c r="B183">
        <f t="shared" ca="1" si="2"/>
        <v>106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" t="str">
        <f ca="1">IF(dict_zuord_Meth_Transfers[[#This Row],[kval_active]],dict_zuord_Meth_Transfers[[#This Row],[ID_Transfers]],"")</f>
        <v/>
      </c>
    </row>
    <row r="184" spans="1:4" x14ac:dyDescent="0.45">
      <c r="A184">
        <v>30</v>
      </c>
      <c r="B184" s="3">
        <f t="shared" ca="1" si="2"/>
        <v>177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" t="str">
        <f ca="1">IF(dict_zuord_Meth_Transfers[[#This Row],[kval_active]],dict_zuord_Meth_Transfers[[#This Row],[ID_Transfers]],"")</f>
        <v/>
      </c>
    </row>
    <row r="185" spans="1:4" x14ac:dyDescent="0.45">
      <c r="A185">
        <v>30</v>
      </c>
      <c r="B185" s="3">
        <f t="shared" ca="1" si="2"/>
        <v>154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" t="str">
        <f ca="1">IF(dict_zuord_Meth_Transfers[[#This Row],[kval_active]],dict_zuord_Meth_Transfers[[#This Row],[ID_Transfers]],"")</f>
        <v/>
      </c>
    </row>
    <row r="186" spans="1:4" x14ac:dyDescent="0.45">
      <c r="A186">
        <v>30</v>
      </c>
      <c r="B186" s="3">
        <f t="shared" ca="1" si="2"/>
        <v>194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" t="str">
        <f ca="1">IF(dict_zuord_Meth_Transfers[[#This Row],[kval_active]],dict_zuord_Meth_Transfers[[#This Row],[ID_Transfers]],"")</f>
        <v/>
      </c>
    </row>
    <row r="187" spans="1:4" x14ac:dyDescent="0.45">
      <c r="A187">
        <v>30</v>
      </c>
      <c r="B187">
        <f t="shared" ca="1" si="2"/>
        <v>62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" t="str">
        <f ca="1">IF(dict_zuord_Meth_Transfers[[#This Row],[kval_active]],dict_zuord_Meth_Transfers[[#This Row],[ID_Transfers]],"")</f>
        <v/>
      </c>
    </row>
    <row r="188" spans="1:4" x14ac:dyDescent="0.45">
      <c r="A188">
        <v>31</v>
      </c>
      <c r="B188" s="3">
        <f t="shared" ca="1" si="2"/>
        <v>192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" t="str">
        <f ca="1">IF(dict_zuord_Meth_Transfers[[#This Row],[kval_active]],dict_zuord_Meth_Transfers[[#This Row],[ID_Transfers]],"")</f>
        <v/>
      </c>
    </row>
    <row r="189" spans="1:4" x14ac:dyDescent="0.45">
      <c r="A189">
        <v>31</v>
      </c>
      <c r="B189">
        <f t="shared" ca="1" si="2"/>
        <v>60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" t="str">
        <f ca="1">IF(dict_zuord_Meth_Transfers[[#This Row],[kval_active]],dict_zuord_Meth_Transfers[[#This Row],[ID_Transfers]],"")</f>
        <v/>
      </c>
    </row>
    <row r="190" spans="1:4" x14ac:dyDescent="0.45">
      <c r="A190">
        <v>31</v>
      </c>
      <c r="B190">
        <f t="shared" ca="1" si="2"/>
        <v>135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" t="str">
        <f ca="1">IF(dict_zuord_Meth_Transfers[[#This Row],[kval_active]],dict_zuord_Meth_Transfers[[#This Row],[ID_Transfers]],"")</f>
        <v/>
      </c>
    </row>
    <row r="191" spans="1:4" x14ac:dyDescent="0.45">
      <c r="A191">
        <v>31</v>
      </c>
      <c r="B191" s="3">
        <f t="shared" ca="1" si="2"/>
        <v>116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" t="str">
        <f ca="1">IF(dict_zuord_Meth_Transfers[[#This Row],[kval_active]],dict_zuord_Meth_Transfers[[#This Row],[ID_Transfers]],"")</f>
        <v/>
      </c>
    </row>
    <row r="192" spans="1:4" x14ac:dyDescent="0.45">
      <c r="A192">
        <v>31</v>
      </c>
      <c r="B192" s="3">
        <f t="shared" ca="1" si="2"/>
        <v>188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" t="str">
        <f ca="1">IF(dict_zuord_Meth_Transfers[[#This Row],[kval_active]],dict_zuord_Meth_Transfers[[#This Row],[ID_Transfers]],"")</f>
        <v/>
      </c>
    </row>
    <row r="193" spans="1:4" x14ac:dyDescent="0.45">
      <c r="A193">
        <v>31</v>
      </c>
      <c r="B193">
        <f t="shared" ca="1" si="2"/>
        <v>49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" t="str">
        <f ca="1">IF(dict_zuord_Meth_Transfers[[#This Row],[kval_active]],dict_zuord_Meth_Transfers[[#This Row],[ID_Transfers]],"")</f>
        <v/>
      </c>
    </row>
    <row r="194" spans="1:4" x14ac:dyDescent="0.45">
      <c r="A194">
        <v>32</v>
      </c>
      <c r="B194" s="3">
        <f t="shared" ref="B194:B257" ca="1" si="3">RANDBETWEEN(0,200)</f>
        <v>72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" t="str">
        <f ca="1">IF(dict_zuord_Meth_Transfers[[#This Row],[kval_active]],dict_zuord_Meth_Transfers[[#This Row],[ID_Transfers]],"")</f>
        <v/>
      </c>
    </row>
    <row r="195" spans="1:4" x14ac:dyDescent="0.45">
      <c r="A195">
        <v>32</v>
      </c>
      <c r="B195">
        <f t="shared" ca="1" si="3"/>
        <v>171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" t="str">
        <f ca="1">IF(dict_zuord_Meth_Transfers[[#This Row],[kval_active]],dict_zuord_Meth_Transfers[[#This Row],[ID_Transfers]],"")</f>
        <v/>
      </c>
    </row>
    <row r="196" spans="1:4" x14ac:dyDescent="0.45">
      <c r="A196">
        <v>32</v>
      </c>
      <c r="B196" s="3">
        <f t="shared" ca="1" si="3"/>
        <v>108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" t="str">
        <f ca="1">IF(dict_zuord_Meth_Transfers[[#This Row],[kval_active]],dict_zuord_Meth_Transfers[[#This Row],[ID_Transfers]],"")</f>
        <v/>
      </c>
    </row>
    <row r="197" spans="1:4" x14ac:dyDescent="0.45">
      <c r="A197">
        <v>32</v>
      </c>
      <c r="B197" s="3">
        <f t="shared" ca="1" si="3"/>
        <v>74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" t="str">
        <f ca="1">IF(dict_zuord_Meth_Transfers[[#This Row],[kval_active]],dict_zuord_Meth_Transfers[[#This Row],[ID_Transfers]],"")</f>
        <v/>
      </c>
    </row>
    <row r="198" spans="1:4" x14ac:dyDescent="0.45">
      <c r="A198">
        <v>32</v>
      </c>
      <c r="B198">
        <f t="shared" ca="1" si="3"/>
        <v>192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" t="str">
        <f ca="1">IF(dict_zuord_Meth_Transfers[[#This Row],[kval_active]],dict_zuord_Meth_Transfers[[#This Row],[ID_Transfers]],"")</f>
        <v/>
      </c>
    </row>
    <row r="199" spans="1:4" x14ac:dyDescent="0.45">
      <c r="A199">
        <v>32</v>
      </c>
      <c r="B199">
        <f t="shared" ca="1" si="3"/>
        <v>110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" t="str">
        <f ca="1">IF(dict_zuord_Meth_Transfers[[#This Row],[kval_active]],dict_zuord_Meth_Transfers[[#This Row],[ID_Transfers]],"")</f>
        <v/>
      </c>
    </row>
    <row r="200" spans="1:4" x14ac:dyDescent="0.45">
      <c r="A200">
        <v>33</v>
      </c>
      <c r="B200">
        <f t="shared" ca="1" si="3"/>
        <v>62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" t="str">
        <f ca="1">IF(dict_zuord_Meth_Transfers[[#This Row],[kval_active]],dict_zuord_Meth_Transfers[[#This Row],[ID_Transfers]],"")</f>
        <v/>
      </c>
    </row>
    <row r="201" spans="1:4" x14ac:dyDescent="0.45">
      <c r="A201">
        <v>33</v>
      </c>
      <c r="B201" s="3">
        <f t="shared" ca="1" si="3"/>
        <v>164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" t="str">
        <f ca="1">IF(dict_zuord_Meth_Transfers[[#This Row],[kval_active]],dict_zuord_Meth_Transfers[[#This Row],[ID_Transfers]],"")</f>
        <v/>
      </c>
    </row>
    <row r="202" spans="1:4" x14ac:dyDescent="0.45">
      <c r="A202">
        <v>33</v>
      </c>
      <c r="B202" s="3">
        <f t="shared" ca="1" si="3"/>
        <v>135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" t="str">
        <f ca="1">IF(dict_zuord_Meth_Transfers[[#This Row],[kval_active]],dict_zuord_Meth_Transfers[[#This Row],[ID_Transfers]],"")</f>
        <v/>
      </c>
    </row>
    <row r="203" spans="1:4" x14ac:dyDescent="0.45">
      <c r="A203">
        <v>33</v>
      </c>
      <c r="B203" s="3">
        <f t="shared" ca="1" si="3"/>
        <v>196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" t="str">
        <f ca="1">IF(dict_zuord_Meth_Transfers[[#This Row],[kval_active]],dict_zuord_Meth_Transfers[[#This Row],[ID_Transfers]],"")</f>
        <v/>
      </c>
    </row>
    <row r="204" spans="1:4" x14ac:dyDescent="0.45">
      <c r="A204">
        <v>33</v>
      </c>
      <c r="B204">
        <f t="shared" ca="1" si="3"/>
        <v>108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" t="str">
        <f ca="1">IF(dict_zuord_Meth_Transfers[[#This Row],[kval_active]],dict_zuord_Meth_Transfers[[#This Row],[ID_Transfers]],"")</f>
        <v/>
      </c>
    </row>
    <row r="205" spans="1:4" x14ac:dyDescent="0.45">
      <c r="A205">
        <v>33</v>
      </c>
      <c r="B205">
        <f t="shared" ca="1" si="3"/>
        <v>25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" t="str">
        <f ca="1">IF(dict_zuord_Meth_Transfers[[#This Row],[kval_active]],dict_zuord_Meth_Transfers[[#This Row],[ID_Transfers]],"")</f>
        <v/>
      </c>
    </row>
    <row r="206" spans="1:4" x14ac:dyDescent="0.45">
      <c r="A206">
        <v>34</v>
      </c>
      <c r="B206" s="3">
        <f t="shared" ca="1" si="3"/>
        <v>128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" t="str">
        <f ca="1">IF(dict_zuord_Meth_Transfers[[#This Row],[kval_active]],dict_zuord_Meth_Transfers[[#This Row],[ID_Transfers]],"")</f>
        <v/>
      </c>
    </row>
    <row r="207" spans="1:4" x14ac:dyDescent="0.45">
      <c r="A207">
        <v>34</v>
      </c>
      <c r="B207">
        <f t="shared" ca="1" si="3"/>
        <v>133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" t="str">
        <f ca="1">IF(dict_zuord_Meth_Transfers[[#This Row],[kval_active]],dict_zuord_Meth_Transfers[[#This Row],[ID_Transfers]],"")</f>
        <v/>
      </c>
    </row>
    <row r="208" spans="1:4" x14ac:dyDescent="0.45">
      <c r="A208">
        <v>34</v>
      </c>
      <c r="B208">
        <f t="shared" ca="1" si="3"/>
        <v>19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" t="str">
        <f ca="1">IF(dict_zuord_Meth_Transfers[[#This Row],[kval_active]],dict_zuord_Meth_Transfers[[#This Row],[ID_Transfers]],"")</f>
        <v/>
      </c>
    </row>
    <row r="209" spans="1:4" x14ac:dyDescent="0.45">
      <c r="A209">
        <v>34</v>
      </c>
      <c r="B209">
        <f t="shared" ca="1" si="3"/>
        <v>30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" t="str">
        <f ca="1">IF(dict_zuord_Meth_Transfers[[#This Row],[kval_active]],dict_zuord_Meth_Transfers[[#This Row],[ID_Transfers]],"")</f>
        <v/>
      </c>
    </row>
    <row r="210" spans="1:4" x14ac:dyDescent="0.45">
      <c r="A210">
        <v>34</v>
      </c>
      <c r="B210" s="3">
        <f t="shared" ca="1" si="3"/>
        <v>19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" t="str">
        <f ca="1">IF(dict_zuord_Meth_Transfers[[#This Row],[kval_active]],dict_zuord_Meth_Transfers[[#This Row],[ID_Transfers]],"")</f>
        <v/>
      </c>
    </row>
    <row r="211" spans="1:4" x14ac:dyDescent="0.45">
      <c r="A211">
        <v>34</v>
      </c>
      <c r="B211" s="3">
        <f t="shared" ca="1" si="3"/>
        <v>40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" t="str">
        <f ca="1">IF(dict_zuord_Meth_Transfers[[#This Row],[kval_active]],dict_zuord_Meth_Transfers[[#This Row],[ID_Transfers]],"")</f>
        <v/>
      </c>
    </row>
    <row r="212" spans="1:4" x14ac:dyDescent="0.45">
      <c r="A212">
        <v>35</v>
      </c>
      <c r="B212" s="3">
        <f t="shared" ca="1" si="3"/>
        <v>107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" t="str">
        <f ca="1">IF(dict_zuord_Meth_Transfers[[#This Row],[kval_active]],dict_zuord_Meth_Transfers[[#This Row],[ID_Transfers]],"")</f>
        <v/>
      </c>
    </row>
    <row r="213" spans="1:4" x14ac:dyDescent="0.45">
      <c r="A213">
        <v>35</v>
      </c>
      <c r="B213">
        <f t="shared" ca="1" si="3"/>
        <v>124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" t="str">
        <f ca="1">IF(dict_zuord_Meth_Transfers[[#This Row],[kval_active]],dict_zuord_Meth_Transfers[[#This Row],[ID_Transfers]],"")</f>
        <v/>
      </c>
    </row>
    <row r="214" spans="1:4" x14ac:dyDescent="0.45">
      <c r="A214">
        <v>35</v>
      </c>
      <c r="B214">
        <f t="shared" ca="1" si="3"/>
        <v>21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" t="str">
        <f ca="1">IF(dict_zuord_Meth_Transfers[[#This Row],[kval_active]],dict_zuord_Meth_Transfers[[#This Row],[ID_Transfers]],"")</f>
        <v/>
      </c>
    </row>
    <row r="215" spans="1:4" x14ac:dyDescent="0.45">
      <c r="A215">
        <v>35</v>
      </c>
      <c r="B215" s="3">
        <f t="shared" ca="1" si="3"/>
        <v>171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" t="str">
        <f ca="1">IF(dict_zuord_Meth_Transfers[[#This Row],[kval_active]],dict_zuord_Meth_Transfers[[#This Row],[ID_Transfers]],"")</f>
        <v/>
      </c>
    </row>
    <row r="216" spans="1:4" x14ac:dyDescent="0.45">
      <c r="A216">
        <v>35</v>
      </c>
      <c r="B216">
        <f t="shared" ca="1" si="3"/>
        <v>135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" t="str">
        <f ca="1">IF(dict_zuord_Meth_Transfers[[#This Row],[kval_active]],dict_zuord_Meth_Transfers[[#This Row],[ID_Transfers]],"")</f>
        <v/>
      </c>
    </row>
    <row r="217" spans="1:4" x14ac:dyDescent="0.45">
      <c r="A217">
        <v>35</v>
      </c>
      <c r="B217" s="3">
        <f t="shared" ca="1" si="3"/>
        <v>138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" t="str">
        <f ca="1">IF(dict_zuord_Meth_Transfers[[#This Row],[kval_active]],dict_zuord_Meth_Transfers[[#This Row],[ID_Transfers]],"")</f>
        <v/>
      </c>
    </row>
    <row r="218" spans="1:4" x14ac:dyDescent="0.45">
      <c r="A218">
        <v>36</v>
      </c>
      <c r="B218" s="3">
        <f t="shared" ca="1" si="3"/>
        <v>29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" t="str">
        <f ca="1">IF(dict_zuord_Meth_Transfers[[#This Row],[kval_active]],dict_zuord_Meth_Transfers[[#This Row],[ID_Transfers]],"")</f>
        <v/>
      </c>
    </row>
    <row r="219" spans="1:4" x14ac:dyDescent="0.45">
      <c r="A219">
        <v>36</v>
      </c>
      <c r="B219">
        <f t="shared" ca="1" si="3"/>
        <v>111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" t="str">
        <f ca="1">IF(dict_zuord_Meth_Transfers[[#This Row],[kval_active]],dict_zuord_Meth_Transfers[[#This Row],[ID_Transfers]],"")</f>
        <v/>
      </c>
    </row>
    <row r="220" spans="1:4" x14ac:dyDescent="0.45">
      <c r="A220">
        <v>36</v>
      </c>
      <c r="B220" s="3">
        <f t="shared" ca="1" si="3"/>
        <v>19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" t="str">
        <f ca="1">IF(dict_zuord_Meth_Transfers[[#This Row],[kval_active]],dict_zuord_Meth_Transfers[[#This Row],[ID_Transfers]],"")</f>
        <v/>
      </c>
    </row>
    <row r="221" spans="1:4" x14ac:dyDescent="0.45">
      <c r="A221">
        <v>36</v>
      </c>
      <c r="B221">
        <f t="shared" ca="1" si="3"/>
        <v>89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" t="str">
        <f ca="1">IF(dict_zuord_Meth_Transfers[[#This Row],[kval_active]],dict_zuord_Meth_Transfers[[#This Row],[ID_Transfers]],"")</f>
        <v/>
      </c>
    </row>
    <row r="222" spans="1:4" x14ac:dyDescent="0.45">
      <c r="A222">
        <v>36</v>
      </c>
      <c r="B222" s="3">
        <f t="shared" ca="1" si="3"/>
        <v>171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" t="str">
        <f ca="1">IF(dict_zuord_Meth_Transfers[[#This Row],[kval_active]],dict_zuord_Meth_Transfers[[#This Row],[ID_Transfers]],"")</f>
        <v/>
      </c>
    </row>
    <row r="223" spans="1:4" x14ac:dyDescent="0.45">
      <c r="A223">
        <v>36</v>
      </c>
      <c r="B223">
        <f t="shared" ca="1" si="3"/>
        <v>58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" t="str">
        <f ca="1">IF(dict_zuord_Meth_Transfers[[#This Row],[kval_active]],dict_zuord_Meth_Transfers[[#This Row],[ID_Transfers]],"")</f>
        <v/>
      </c>
    </row>
    <row r="224" spans="1:4" x14ac:dyDescent="0.45">
      <c r="A224">
        <v>37</v>
      </c>
      <c r="B224">
        <f t="shared" ca="1" si="3"/>
        <v>39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" t="str">
        <f ca="1">IF(dict_zuord_Meth_Transfers[[#This Row],[kval_active]],dict_zuord_Meth_Transfers[[#This Row],[ID_Transfers]],"")</f>
        <v/>
      </c>
    </row>
    <row r="225" spans="1:4" x14ac:dyDescent="0.45">
      <c r="A225">
        <v>37</v>
      </c>
      <c r="B225" s="3">
        <f t="shared" ca="1" si="3"/>
        <v>63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" t="str">
        <f ca="1">IF(dict_zuord_Meth_Transfers[[#This Row],[kval_active]],dict_zuord_Meth_Transfers[[#This Row],[ID_Transfers]],"")</f>
        <v/>
      </c>
    </row>
    <row r="226" spans="1:4" x14ac:dyDescent="0.45">
      <c r="A226">
        <v>37</v>
      </c>
      <c r="B226" s="3">
        <f t="shared" ca="1" si="3"/>
        <v>156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" t="str">
        <f ca="1">IF(dict_zuord_Meth_Transfers[[#This Row],[kval_active]],dict_zuord_Meth_Transfers[[#This Row],[ID_Transfers]],"")</f>
        <v/>
      </c>
    </row>
    <row r="227" spans="1:4" x14ac:dyDescent="0.45">
      <c r="A227">
        <v>37</v>
      </c>
      <c r="B227">
        <f t="shared" ca="1" si="3"/>
        <v>12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" t="str">
        <f ca="1">IF(dict_zuord_Meth_Transfers[[#This Row],[kval_active]],dict_zuord_Meth_Transfers[[#This Row],[ID_Transfers]],"")</f>
        <v/>
      </c>
    </row>
    <row r="228" spans="1:4" x14ac:dyDescent="0.45">
      <c r="A228">
        <v>37</v>
      </c>
      <c r="B228">
        <f t="shared" ca="1" si="3"/>
        <v>106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" t="str">
        <f ca="1">IF(dict_zuord_Meth_Transfers[[#This Row],[kval_active]],dict_zuord_Meth_Transfers[[#This Row],[ID_Transfers]],"")</f>
        <v/>
      </c>
    </row>
    <row r="229" spans="1:4" x14ac:dyDescent="0.45">
      <c r="A229">
        <v>37</v>
      </c>
      <c r="B229" s="3">
        <f t="shared" ca="1" si="3"/>
        <v>111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" t="str">
        <f ca="1">IF(dict_zuord_Meth_Transfers[[#This Row],[kval_active]],dict_zuord_Meth_Transfers[[#This Row],[ID_Transfers]],"")</f>
        <v/>
      </c>
    </row>
    <row r="230" spans="1:4" x14ac:dyDescent="0.45">
      <c r="A230">
        <v>38</v>
      </c>
      <c r="B230" s="3">
        <f t="shared" ca="1" si="3"/>
        <v>41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" t="str">
        <f ca="1">IF(dict_zuord_Meth_Transfers[[#This Row],[kval_active]],dict_zuord_Meth_Transfers[[#This Row],[ID_Transfers]],"")</f>
        <v/>
      </c>
    </row>
    <row r="231" spans="1:4" x14ac:dyDescent="0.45">
      <c r="A231">
        <v>38</v>
      </c>
      <c r="B231">
        <f t="shared" ca="1" si="3"/>
        <v>158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" t="str">
        <f ca="1">IF(dict_zuord_Meth_Transfers[[#This Row],[kval_active]],dict_zuord_Meth_Transfers[[#This Row],[ID_Transfers]],"")</f>
        <v/>
      </c>
    </row>
    <row r="232" spans="1:4" x14ac:dyDescent="0.45">
      <c r="A232">
        <v>38</v>
      </c>
      <c r="B232" s="3">
        <f t="shared" ca="1" si="3"/>
        <v>74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" t="str">
        <f ca="1">IF(dict_zuord_Meth_Transfers[[#This Row],[kval_active]],dict_zuord_Meth_Transfers[[#This Row],[ID_Transfers]],"")</f>
        <v/>
      </c>
    </row>
    <row r="233" spans="1:4" x14ac:dyDescent="0.45">
      <c r="A233">
        <v>38</v>
      </c>
      <c r="B233">
        <f t="shared" ca="1" si="3"/>
        <v>105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" t="str">
        <f ca="1">IF(dict_zuord_Meth_Transfers[[#This Row],[kval_active]],dict_zuord_Meth_Transfers[[#This Row],[ID_Transfers]],"")</f>
        <v/>
      </c>
    </row>
    <row r="234" spans="1:4" x14ac:dyDescent="0.45">
      <c r="A234">
        <v>38</v>
      </c>
      <c r="B234">
        <f t="shared" ca="1" si="3"/>
        <v>97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" t="str">
        <f ca="1">IF(dict_zuord_Meth_Transfers[[#This Row],[kval_active]],dict_zuord_Meth_Transfers[[#This Row],[ID_Transfers]],"")</f>
        <v/>
      </c>
    </row>
    <row r="235" spans="1:4" x14ac:dyDescent="0.45">
      <c r="A235">
        <v>38</v>
      </c>
      <c r="B235" s="3">
        <f t="shared" ca="1" si="3"/>
        <v>115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" t="str">
        <f ca="1">IF(dict_zuord_Meth_Transfers[[#This Row],[kval_active]],dict_zuord_Meth_Transfers[[#This Row],[ID_Transfers]],"")</f>
        <v/>
      </c>
    </row>
    <row r="236" spans="1:4" x14ac:dyDescent="0.45">
      <c r="A236">
        <v>39</v>
      </c>
      <c r="B236" s="3">
        <f t="shared" ca="1" si="3"/>
        <v>197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">
        <f ca="1">IF(dict_zuord_Meth_Transfers[[#This Row],[kval_active]],dict_zuord_Meth_Transfers[[#This Row],[ID_Transfers]],"")</f>
        <v>197</v>
      </c>
    </row>
    <row r="237" spans="1:4" x14ac:dyDescent="0.45">
      <c r="A237">
        <v>39</v>
      </c>
      <c r="B237" s="3">
        <f t="shared" ca="1" si="3"/>
        <v>176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">
        <f ca="1">IF(dict_zuord_Meth_Transfers[[#This Row],[kval_active]],dict_zuord_Meth_Transfers[[#This Row],[ID_Transfers]],"")</f>
        <v>176</v>
      </c>
    </row>
    <row r="238" spans="1:4" x14ac:dyDescent="0.45">
      <c r="A238">
        <v>39</v>
      </c>
      <c r="B238" s="3">
        <f t="shared" ca="1" si="3"/>
        <v>58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">
        <f ca="1">IF(dict_zuord_Meth_Transfers[[#This Row],[kval_active]],dict_zuord_Meth_Transfers[[#This Row],[ID_Transfers]],"")</f>
        <v>58</v>
      </c>
    </row>
    <row r="239" spans="1:4" x14ac:dyDescent="0.45">
      <c r="A239">
        <v>39</v>
      </c>
      <c r="B239">
        <f t="shared" ca="1" si="3"/>
        <v>85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">
        <f ca="1">IF(dict_zuord_Meth_Transfers[[#This Row],[kval_active]],dict_zuord_Meth_Transfers[[#This Row],[ID_Transfers]],"")</f>
        <v>85</v>
      </c>
    </row>
    <row r="240" spans="1:4" x14ac:dyDescent="0.45">
      <c r="A240">
        <v>39</v>
      </c>
      <c r="B240">
        <f t="shared" ca="1" si="3"/>
        <v>67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">
        <f ca="1">IF(dict_zuord_Meth_Transfers[[#This Row],[kval_active]],dict_zuord_Meth_Transfers[[#This Row],[ID_Transfers]],"")</f>
        <v>67</v>
      </c>
    </row>
    <row r="241" spans="1:4" x14ac:dyDescent="0.45">
      <c r="A241">
        <v>39</v>
      </c>
      <c r="B241">
        <f t="shared" ca="1" si="3"/>
        <v>9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">
        <f ca="1">IF(dict_zuord_Meth_Transfers[[#This Row],[kval_active]],dict_zuord_Meth_Transfers[[#This Row],[ID_Transfers]],"")</f>
        <v>9</v>
      </c>
    </row>
    <row r="242" spans="1:4" x14ac:dyDescent="0.45">
      <c r="A242">
        <v>40</v>
      </c>
      <c r="B242" s="3">
        <f t="shared" ca="1" si="3"/>
        <v>41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" t="str">
        <f ca="1">IF(dict_zuord_Meth_Transfers[[#This Row],[kval_active]],dict_zuord_Meth_Transfers[[#This Row],[ID_Transfers]],"")</f>
        <v/>
      </c>
    </row>
    <row r="243" spans="1:4" x14ac:dyDescent="0.45">
      <c r="A243">
        <v>40</v>
      </c>
      <c r="B243" s="3">
        <f t="shared" ca="1" si="3"/>
        <v>170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" t="str">
        <f ca="1">IF(dict_zuord_Meth_Transfers[[#This Row],[kval_active]],dict_zuord_Meth_Transfers[[#This Row],[ID_Transfers]],"")</f>
        <v/>
      </c>
    </row>
    <row r="244" spans="1:4" x14ac:dyDescent="0.45">
      <c r="A244">
        <v>40</v>
      </c>
      <c r="B244">
        <f t="shared" ca="1" si="3"/>
        <v>138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" t="str">
        <f ca="1">IF(dict_zuord_Meth_Transfers[[#This Row],[kval_active]],dict_zuord_Meth_Transfers[[#This Row],[ID_Transfers]],"")</f>
        <v/>
      </c>
    </row>
    <row r="245" spans="1:4" x14ac:dyDescent="0.45">
      <c r="A245">
        <v>40</v>
      </c>
      <c r="B245" s="3">
        <f t="shared" ca="1" si="3"/>
        <v>159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" t="str">
        <f ca="1">IF(dict_zuord_Meth_Transfers[[#This Row],[kval_active]],dict_zuord_Meth_Transfers[[#This Row],[ID_Transfers]],"")</f>
        <v/>
      </c>
    </row>
    <row r="246" spans="1:4" x14ac:dyDescent="0.45">
      <c r="A246">
        <v>40</v>
      </c>
      <c r="B246">
        <f t="shared" ca="1" si="3"/>
        <v>63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" t="str">
        <f ca="1">IF(dict_zuord_Meth_Transfers[[#This Row],[kval_active]],dict_zuord_Meth_Transfers[[#This Row],[ID_Transfers]],"")</f>
        <v/>
      </c>
    </row>
    <row r="247" spans="1:4" x14ac:dyDescent="0.45">
      <c r="A247">
        <v>40</v>
      </c>
      <c r="B247">
        <f t="shared" ca="1" si="3"/>
        <v>102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" t="str">
        <f ca="1">IF(dict_zuord_Meth_Transfers[[#This Row],[kval_active]],dict_zuord_Meth_Transfers[[#This Row],[ID_Transfers]],"")</f>
        <v/>
      </c>
    </row>
    <row r="248" spans="1:4" x14ac:dyDescent="0.45">
      <c r="A248">
        <v>41</v>
      </c>
      <c r="B248">
        <f t="shared" ca="1" si="3"/>
        <v>77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" t="str">
        <f ca="1">IF(dict_zuord_Meth_Transfers[[#This Row],[kval_active]],dict_zuord_Meth_Transfers[[#This Row],[ID_Transfers]],"")</f>
        <v/>
      </c>
    </row>
    <row r="249" spans="1:4" x14ac:dyDescent="0.45">
      <c r="A249">
        <v>41</v>
      </c>
      <c r="B249">
        <f t="shared" ca="1" si="3"/>
        <v>143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" t="str">
        <f ca="1">IF(dict_zuord_Meth_Transfers[[#This Row],[kval_active]],dict_zuord_Meth_Transfers[[#This Row],[ID_Transfers]],"")</f>
        <v/>
      </c>
    </row>
    <row r="250" spans="1:4" x14ac:dyDescent="0.45">
      <c r="A250">
        <v>41</v>
      </c>
      <c r="B250">
        <f t="shared" ca="1" si="3"/>
        <v>185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" t="str">
        <f ca="1">IF(dict_zuord_Meth_Transfers[[#This Row],[kval_active]],dict_zuord_Meth_Transfers[[#This Row],[ID_Transfers]],"")</f>
        <v/>
      </c>
    </row>
    <row r="251" spans="1:4" x14ac:dyDescent="0.45">
      <c r="A251">
        <v>41</v>
      </c>
      <c r="B251" s="3">
        <f t="shared" ca="1" si="3"/>
        <v>140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" t="str">
        <f ca="1">IF(dict_zuord_Meth_Transfers[[#This Row],[kval_active]],dict_zuord_Meth_Transfers[[#This Row],[ID_Transfers]],"")</f>
        <v/>
      </c>
    </row>
    <row r="252" spans="1:4" x14ac:dyDescent="0.45">
      <c r="A252">
        <v>41</v>
      </c>
      <c r="B252" s="3">
        <f t="shared" ca="1" si="3"/>
        <v>108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" t="str">
        <f ca="1">IF(dict_zuord_Meth_Transfers[[#This Row],[kval_active]],dict_zuord_Meth_Transfers[[#This Row],[ID_Transfers]],"")</f>
        <v/>
      </c>
    </row>
    <row r="253" spans="1:4" x14ac:dyDescent="0.45">
      <c r="A253">
        <v>41</v>
      </c>
      <c r="B253" s="3">
        <f t="shared" ca="1" si="3"/>
        <v>75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" t="str">
        <f ca="1">IF(dict_zuord_Meth_Transfers[[#This Row],[kval_active]],dict_zuord_Meth_Transfers[[#This Row],[ID_Transfers]],"")</f>
        <v/>
      </c>
    </row>
    <row r="254" spans="1:4" x14ac:dyDescent="0.45">
      <c r="A254">
        <v>42</v>
      </c>
      <c r="B254" s="3">
        <f t="shared" ca="1" si="3"/>
        <v>198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" t="str">
        <f ca="1">IF(dict_zuord_Meth_Transfers[[#This Row],[kval_active]],dict_zuord_Meth_Transfers[[#This Row],[ID_Transfers]],"")</f>
        <v/>
      </c>
    </row>
    <row r="255" spans="1:4" x14ac:dyDescent="0.45">
      <c r="A255">
        <v>42</v>
      </c>
      <c r="B255">
        <f t="shared" ca="1" si="3"/>
        <v>74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" t="str">
        <f ca="1">IF(dict_zuord_Meth_Transfers[[#This Row],[kval_active]],dict_zuord_Meth_Transfers[[#This Row],[ID_Transfers]],"")</f>
        <v/>
      </c>
    </row>
    <row r="256" spans="1:4" x14ac:dyDescent="0.45">
      <c r="A256">
        <v>42</v>
      </c>
      <c r="B256" s="3">
        <f t="shared" ca="1" si="3"/>
        <v>156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" t="str">
        <f ca="1">IF(dict_zuord_Meth_Transfers[[#This Row],[kval_active]],dict_zuord_Meth_Transfers[[#This Row],[ID_Transfers]],"")</f>
        <v/>
      </c>
    </row>
    <row r="257" spans="1:4" x14ac:dyDescent="0.45">
      <c r="A257">
        <v>42</v>
      </c>
      <c r="B257">
        <f t="shared" ca="1" si="3"/>
        <v>190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" t="str">
        <f ca="1">IF(dict_zuord_Meth_Transfers[[#This Row],[kval_active]],dict_zuord_Meth_Transfers[[#This Row],[ID_Transfers]],"")</f>
        <v/>
      </c>
    </row>
    <row r="258" spans="1:4" x14ac:dyDescent="0.45">
      <c r="A258">
        <v>42</v>
      </c>
      <c r="B258" s="3">
        <f t="shared" ref="B258:B321" ca="1" si="4">RANDBETWEEN(0,200)</f>
        <v>191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" t="str">
        <f ca="1">IF(dict_zuord_Meth_Transfers[[#This Row],[kval_active]],dict_zuord_Meth_Transfers[[#This Row],[ID_Transfers]],"")</f>
        <v/>
      </c>
    </row>
    <row r="259" spans="1:4" x14ac:dyDescent="0.45">
      <c r="A259">
        <v>42</v>
      </c>
      <c r="B259">
        <f t="shared" ca="1" si="4"/>
        <v>62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" t="str">
        <f ca="1">IF(dict_zuord_Meth_Transfers[[#This Row],[kval_active]],dict_zuord_Meth_Transfers[[#This Row],[ID_Transfers]],"")</f>
        <v/>
      </c>
    </row>
    <row r="260" spans="1:4" x14ac:dyDescent="0.45">
      <c r="A260">
        <v>43</v>
      </c>
      <c r="B260" s="3">
        <f t="shared" ca="1" si="4"/>
        <v>102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" t="str">
        <f ca="1">IF(dict_zuord_Meth_Transfers[[#This Row],[kval_active]],dict_zuord_Meth_Transfers[[#This Row],[ID_Transfers]],"")</f>
        <v/>
      </c>
    </row>
    <row r="261" spans="1:4" x14ac:dyDescent="0.45">
      <c r="A261">
        <v>43</v>
      </c>
      <c r="B261" s="3">
        <f t="shared" ca="1" si="4"/>
        <v>137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" t="str">
        <f ca="1">IF(dict_zuord_Meth_Transfers[[#This Row],[kval_active]],dict_zuord_Meth_Transfers[[#This Row],[ID_Transfers]],"")</f>
        <v/>
      </c>
    </row>
    <row r="262" spans="1:4" x14ac:dyDescent="0.45">
      <c r="A262">
        <v>43</v>
      </c>
      <c r="B262">
        <f t="shared" ca="1" si="4"/>
        <v>14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" t="str">
        <f ca="1">IF(dict_zuord_Meth_Transfers[[#This Row],[kval_active]],dict_zuord_Meth_Transfers[[#This Row],[ID_Transfers]],"")</f>
        <v/>
      </c>
    </row>
    <row r="263" spans="1:4" x14ac:dyDescent="0.45">
      <c r="A263">
        <v>43</v>
      </c>
      <c r="B263">
        <f t="shared" ca="1" si="4"/>
        <v>108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" t="str">
        <f ca="1">IF(dict_zuord_Meth_Transfers[[#This Row],[kval_active]],dict_zuord_Meth_Transfers[[#This Row],[ID_Transfers]],"")</f>
        <v/>
      </c>
    </row>
    <row r="264" spans="1:4" x14ac:dyDescent="0.45">
      <c r="A264">
        <v>43</v>
      </c>
      <c r="B264" s="3">
        <f t="shared" ca="1" si="4"/>
        <v>197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" t="str">
        <f ca="1">IF(dict_zuord_Meth_Transfers[[#This Row],[kval_active]],dict_zuord_Meth_Transfers[[#This Row],[ID_Transfers]],"")</f>
        <v/>
      </c>
    </row>
    <row r="265" spans="1:4" x14ac:dyDescent="0.45">
      <c r="A265">
        <v>43</v>
      </c>
      <c r="B265">
        <f t="shared" ca="1" si="4"/>
        <v>60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" t="str">
        <f ca="1">IF(dict_zuord_Meth_Transfers[[#This Row],[kval_active]],dict_zuord_Meth_Transfers[[#This Row],[ID_Transfers]],"")</f>
        <v/>
      </c>
    </row>
    <row r="266" spans="1:4" x14ac:dyDescent="0.45">
      <c r="A266">
        <v>44</v>
      </c>
      <c r="B266">
        <f t="shared" ca="1" si="4"/>
        <v>200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" t="str">
        <f ca="1">IF(dict_zuord_Meth_Transfers[[#This Row],[kval_active]],dict_zuord_Meth_Transfers[[#This Row],[ID_Transfers]],"")</f>
        <v/>
      </c>
    </row>
    <row r="267" spans="1:4" x14ac:dyDescent="0.45">
      <c r="A267">
        <v>44</v>
      </c>
      <c r="B267" s="3">
        <f t="shared" ca="1" si="4"/>
        <v>151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" t="str">
        <f ca="1">IF(dict_zuord_Meth_Transfers[[#This Row],[kval_active]],dict_zuord_Meth_Transfers[[#This Row],[ID_Transfers]],"")</f>
        <v/>
      </c>
    </row>
    <row r="268" spans="1:4" x14ac:dyDescent="0.45">
      <c r="A268">
        <v>44</v>
      </c>
      <c r="B268" s="3">
        <f t="shared" ca="1" si="4"/>
        <v>52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" t="str">
        <f ca="1">IF(dict_zuord_Meth_Transfers[[#This Row],[kval_active]],dict_zuord_Meth_Transfers[[#This Row],[ID_Transfers]],"")</f>
        <v/>
      </c>
    </row>
    <row r="269" spans="1:4" x14ac:dyDescent="0.45">
      <c r="A269">
        <v>44</v>
      </c>
      <c r="B269">
        <f t="shared" ca="1" si="4"/>
        <v>107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" t="str">
        <f ca="1">IF(dict_zuord_Meth_Transfers[[#This Row],[kval_active]],dict_zuord_Meth_Transfers[[#This Row],[ID_Transfers]],"")</f>
        <v/>
      </c>
    </row>
    <row r="270" spans="1:4" x14ac:dyDescent="0.45">
      <c r="A270">
        <v>44</v>
      </c>
      <c r="B270">
        <f t="shared" ca="1" si="4"/>
        <v>44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" t="str">
        <f ca="1">IF(dict_zuord_Meth_Transfers[[#This Row],[kval_active]],dict_zuord_Meth_Transfers[[#This Row],[ID_Transfers]],"")</f>
        <v/>
      </c>
    </row>
    <row r="271" spans="1:4" x14ac:dyDescent="0.45">
      <c r="A271">
        <v>44</v>
      </c>
      <c r="B271" s="3">
        <f t="shared" ca="1" si="4"/>
        <v>153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" t="str">
        <f ca="1">IF(dict_zuord_Meth_Transfers[[#This Row],[kval_active]],dict_zuord_Meth_Transfers[[#This Row],[ID_Transfers]],"")</f>
        <v/>
      </c>
    </row>
    <row r="272" spans="1:4" x14ac:dyDescent="0.45">
      <c r="A272">
        <v>45</v>
      </c>
      <c r="B272" s="3">
        <f t="shared" ca="1" si="4"/>
        <v>27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" t="str">
        <f ca="1">IF(dict_zuord_Meth_Transfers[[#This Row],[kval_active]],dict_zuord_Meth_Transfers[[#This Row],[ID_Transfers]],"")</f>
        <v/>
      </c>
    </row>
    <row r="273" spans="1:4" x14ac:dyDescent="0.45">
      <c r="A273">
        <v>45</v>
      </c>
      <c r="B273" s="3">
        <f t="shared" ca="1" si="4"/>
        <v>9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" t="str">
        <f ca="1">IF(dict_zuord_Meth_Transfers[[#This Row],[kval_active]],dict_zuord_Meth_Transfers[[#This Row],[ID_Transfers]],"")</f>
        <v/>
      </c>
    </row>
    <row r="274" spans="1:4" x14ac:dyDescent="0.45">
      <c r="A274">
        <v>45</v>
      </c>
      <c r="B274">
        <f t="shared" ca="1" si="4"/>
        <v>105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" t="str">
        <f ca="1">IF(dict_zuord_Meth_Transfers[[#This Row],[kval_active]],dict_zuord_Meth_Transfers[[#This Row],[ID_Transfers]],"")</f>
        <v/>
      </c>
    </row>
    <row r="275" spans="1:4" x14ac:dyDescent="0.45">
      <c r="A275">
        <v>45</v>
      </c>
      <c r="B275" s="3">
        <f t="shared" ca="1" si="4"/>
        <v>159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" t="str">
        <f ca="1">IF(dict_zuord_Meth_Transfers[[#This Row],[kval_active]],dict_zuord_Meth_Transfers[[#This Row],[ID_Transfers]],"")</f>
        <v/>
      </c>
    </row>
    <row r="276" spans="1:4" x14ac:dyDescent="0.45">
      <c r="A276">
        <v>45</v>
      </c>
      <c r="B276">
        <f t="shared" ca="1" si="4"/>
        <v>149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" t="str">
        <f ca="1">IF(dict_zuord_Meth_Transfers[[#This Row],[kval_active]],dict_zuord_Meth_Transfers[[#This Row],[ID_Transfers]],"")</f>
        <v/>
      </c>
    </row>
    <row r="277" spans="1:4" x14ac:dyDescent="0.45">
      <c r="A277">
        <v>45</v>
      </c>
      <c r="B277">
        <f t="shared" ca="1" si="4"/>
        <v>118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" t="str">
        <f ca="1">IF(dict_zuord_Meth_Transfers[[#This Row],[kval_active]],dict_zuord_Meth_Transfers[[#This Row],[ID_Transfers]],"")</f>
        <v/>
      </c>
    </row>
    <row r="278" spans="1:4" x14ac:dyDescent="0.45">
      <c r="A278">
        <v>46</v>
      </c>
      <c r="B278">
        <f t="shared" ca="1" si="4"/>
        <v>59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" t="str">
        <f ca="1">IF(dict_zuord_Meth_Transfers[[#This Row],[kval_active]],dict_zuord_Meth_Transfers[[#This Row],[ID_Transfers]],"")</f>
        <v/>
      </c>
    </row>
    <row r="279" spans="1:4" x14ac:dyDescent="0.45">
      <c r="A279">
        <v>46</v>
      </c>
      <c r="B279" s="3">
        <f t="shared" ca="1" si="4"/>
        <v>79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" t="str">
        <f ca="1">IF(dict_zuord_Meth_Transfers[[#This Row],[kval_active]],dict_zuord_Meth_Transfers[[#This Row],[ID_Transfers]],"")</f>
        <v/>
      </c>
    </row>
    <row r="280" spans="1:4" x14ac:dyDescent="0.45">
      <c r="A280">
        <v>46</v>
      </c>
      <c r="B280">
        <f t="shared" ca="1" si="4"/>
        <v>161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" t="str">
        <f ca="1">IF(dict_zuord_Meth_Transfers[[#This Row],[kval_active]],dict_zuord_Meth_Transfers[[#This Row],[ID_Transfers]],"")</f>
        <v/>
      </c>
    </row>
    <row r="281" spans="1:4" x14ac:dyDescent="0.45">
      <c r="A281">
        <v>46</v>
      </c>
      <c r="B281" s="3">
        <f t="shared" ca="1" si="4"/>
        <v>32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" t="str">
        <f ca="1">IF(dict_zuord_Meth_Transfers[[#This Row],[kval_active]],dict_zuord_Meth_Transfers[[#This Row],[ID_Transfers]],"")</f>
        <v/>
      </c>
    </row>
    <row r="282" spans="1:4" x14ac:dyDescent="0.45">
      <c r="A282">
        <v>46</v>
      </c>
      <c r="B282" s="3">
        <f t="shared" ca="1" si="4"/>
        <v>53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" t="str">
        <f ca="1">IF(dict_zuord_Meth_Transfers[[#This Row],[kval_active]],dict_zuord_Meth_Transfers[[#This Row],[ID_Transfers]],"")</f>
        <v/>
      </c>
    </row>
    <row r="283" spans="1:4" x14ac:dyDescent="0.45">
      <c r="A283">
        <v>46</v>
      </c>
      <c r="B283">
        <f t="shared" ca="1" si="4"/>
        <v>160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" t="str">
        <f ca="1">IF(dict_zuord_Meth_Transfers[[#This Row],[kval_active]],dict_zuord_Meth_Transfers[[#This Row],[ID_Transfers]],"")</f>
        <v/>
      </c>
    </row>
    <row r="284" spans="1:4" x14ac:dyDescent="0.45">
      <c r="A284">
        <v>47</v>
      </c>
      <c r="B284">
        <f t="shared" ca="1" si="4"/>
        <v>85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" t="str">
        <f ca="1">IF(dict_zuord_Meth_Transfers[[#This Row],[kval_active]],dict_zuord_Meth_Transfers[[#This Row],[ID_Transfers]],"")</f>
        <v/>
      </c>
    </row>
    <row r="285" spans="1:4" x14ac:dyDescent="0.45">
      <c r="A285">
        <v>47</v>
      </c>
      <c r="B285" s="3">
        <f t="shared" ca="1" si="4"/>
        <v>9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" t="str">
        <f ca="1">IF(dict_zuord_Meth_Transfers[[#This Row],[kval_active]],dict_zuord_Meth_Transfers[[#This Row],[ID_Transfers]],"")</f>
        <v/>
      </c>
    </row>
    <row r="286" spans="1:4" x14ac:dyDescent="0.45">
      <c r="A286">
        <v>47</v>
      </c>
      <c r="B286">
        <f t="shared" ca="1" si="4"/>
        <v>162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" t="str">
        <f ca="1">IF(dict_zuord_Meth_Transfers[[#This Row],[kval_active]],dict_zuord_Meth_Transfers[[#This Row],[ID_Transfers]],"")</f>
        <v/>
      </c>
    </row>
    <row r="287" spans="1:4" x14ac:dyDescent="0.45">
      <c r="A287">
        <v>47</v>
      </c>
      <c r="B287" s="3">
        <f t="shared" ca="1" si="4"/>
        <v>118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" t="str">
        <f ca="1">IF(dict_zuord_Meth_Transfers[[#This Row],[kval_active]],dict_zuord_Meth_Transfers[[#This Row],[ID_Transfers]],"")</f>
        <v/>
      </c>
    </row>
    <row r="288" spans="1:4" x14ac:dyDescent="0.45">
      <c r="A288">
        <v>47</v>
      </c>
      <c r="B288" s="3">
        <f t="shared" ca="1" si="4"/>
        <v>143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" t="str">
        <f ca="1">IF(dict_zuord_Meth_Transfers[[#This Row],[kval_active]],dict_zuord_Meth_Transfers[[#This Row],[ID_Transfers]],"")</f>
        <v/>
      </c>
    </row>
    <row r="289" spans="1:4" x14ac:dyDescent="0.45">
      <c r="A289">
        <v>47</v>
      </c>
      <c r="B289">
        <f t="shared" ca="1" si="4"/>
        <v>40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" t="str">
        <f ca="1">IF(dict_zuord_Meth_Transfers[[#This Row],[kval_active]],dict_zuord_Meth_Transfers[[#This Row],[ID_Transfers]],"")</f>
        <v/>
      </c>
    </row>
    <row r="290" spans="1:4" x14ac:dyDescent="0.45">
      <c r="A290">
        <v>48</v>
      </c>
      <c r="B290">
        <f t="shared" ca="1" si="4"/>
        <v>37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" t="str">
        <f ca="1">IF(dict_zuord_Meth_Transfers[[#This Row],[kval_active]],dict_zuord_Meth_Transfers[[#This Row],[ID_Transfers]],"")</f>
        <v/>
      </c>
    </row>
    <row r="291" spans="1:4" x14ac:dyDescent="0.45">
      <c r="A291">
        <v>48</v>
      </c>
      <c r="B291">
        <f t="shared" ca="1" si="4"/>
        <v>104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" t="str">
        <f ca="1">IF(dict_zuord_Meth_Transfers[[#This Row],[kval_active]],dict_zuord_Meth_Transfers[[#This Row],[ID_Transfers]],"")</f>
        <v/>
      </c>
    </row>
    <row r="292" spans="1:4" x14ac:dyDescent="0.45">
      <c r="A292">
        <v>48</v>
      </c>
      <c r="B292" s="3">
        <f t="shared" ca="1" si="4"/>
        <v>177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" t="str">
        <f ca="1">IF(dict_zuord_Meth_Transfers[[#This Row],[kval_active]],dict_zuord_Meth_Transfers[[#This Row],[ID_Transfers]],"")</f>
        <v/>
      </c>
    </row>
    <row r="293" spans="1:4" x14ac:dyDescent="0.45">
      <c r="A293">
        <v>48</v>
      </c>
      <c r="B293" s="3">
        <f t="shared" ca="1" si="4"/>
        <v>192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" t="str">
        <f ca="1">IF(dict_zuord_Meth_Transfers[[#This Row],[kval_active]],dict_zuord_Meth_Transfers[[#This Row],[ID_Transfers]],"")</f>
        <v/>
      </c>
    </row>
    <row r="294" spans="1:4" x14ac:dyDescent="0.45">
      <c r="A294">
        <v>48</v>
      </c>
      <c r="B294" s="3">
        <f t="shared" ca="1" si="4"/>
        <v>182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" t="str">
        <f ca="1">IF(dict_zuord_Meth_Transfers[[#This Row],[kval_active]],dict_zuord_Meth_Transfers[[#This Row],[ID_Transfers]],"")</f>
        <v/>
      </c>
    </row>
    <row r="295" spans="1:4" x14ac:dyDescent="0.45">
      <c r="A295">
        <v>48</v>
      </c>
      <c r="B295">
        <f t="shared" ca="1" si="4"/>
        <v>133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" t="str">
        <f ca="1">IF(dict_zuord_Meth_Transfers[[#This Row],[kval_active]],dict_zuord_Meth_Transfers[[#This Row],[ID_Transfers]],"")</f>
        <v/>
      </c>
    </row>
    <row r="296" spans="1:4" x14ac:dyDescent="0.45">
      <c r="A296">
        <v>49</v>
      </c>
      <c r="B296">
        <f t="shared" ca="1" si="4"/>
        <v>84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" t="str">
        <f ca="1">IF(dict_zuord_Meth_Transfers[[#This Row],[kval_active]],dict_zuord_Meth_Transfers[[#This Row],[ID_Transfers]],"")</f>
        <v/>
      </c>
    </row>
    <row r="297" spans="1:4" x14ac:dyDescent="0.45">
      <c r="A297">
        <v>49</v>
      </c>
      <c r="B297">
        <f t="shared" ca="1" si="4"/>
        <v>85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" t="str">
        <f ca="1">IF(dict_zuord_Meth_Transfers[[#This Row],[kval_active]],dict_zuord_Meth_Transfers[[#This Row],[ID_Transfers]],"")</f>
        <v/>
      </c>
    </row>
    <row r="298" spans="1:4" x14ac:dyDescent="0.45">
      <c r="A298">
        <v>49</v>
      </c>
      <c r="B298" s="3">
        <f t="shared" ca="1" si="4"/>
        <v>40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" t="str">
        <f ca="1">IF(dict_zuord_Meth_Transfers[[#This Row],[kval_active]],dict_zuord_Meth_Transfers[[#This Row],[ID_Transfers]],"")</f>
        <v/>
      </c>
    </row>
    <row r="299" spans="1:4" x14ac:dyDescent="0.45">
      <c r="A299">
        <v>49</v>
      </c>
      <c r="B299" s="3">
        <f t="shared" ca="1" si="4"/>
        <v>27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" t="str">
        <f ca="1">IF(dict_zuord_Meth_Transfers[[#This Row],[kval_active]],dict_zuord_Meth_Transfers[[#This Row],[ID_Transfers]],"")</f>
        <v/>
      </c>
    </row>
    <row r="300" spans="1:4" x14ac:dyDescent="0.45">
      <c r="A300">
        <v>49</v>
      </c>
      <c r="B300" s="3">
        <f t="shared" ca="1" si="4"/>
        <v>124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" t="str">
        <f ca="1">IF(dict_zuord_Meth_Transfers[[#This Row],[kval_active]],dict_zuord_Meth_Transfers[[#This Row],[ID_Transfers]],"")</f>
        <v/>
      </c>
    </row>
    <row r="301" spans="1:4" x14ac:dyDescent="0.45">
      <c r="A301">
        <v>49</v>
      </c>
      <c r="B301">
        <f t="shared" ca="1" si="4"/>
        <v>98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" t="str">
        <f ca="1">IF(dict_zuord_Meth_Transfers[[#This Row],[kval_active]],dict_zuord_Meth_Transfers[[#This Row],[ID_Transfers]],"")</f>
        <v/>
      </c>
    </row>
    <row r="302" spans="1:4" x14ac:dyDescent="0.45">
      <c r="A302">
        <v>50</v>
      </c>
      <c r="B302" s="3">
        <f t="shared" ca="1" si="4"/>
        <v>37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">
        <f ca="1">IF(dict_zuord_Meth_Transfers[[#This Row],[kval_active]],dict_zuord_Meth_Transfers[[#This Row],[ID_Transfers]],"")</f>
        <v>37</v>
      </c>
    </row>
    <row r="303" spans="1:4" x14ac:dyDescent="0.45">
      <c r="A303">
        <v>50</v>
      </c>
      <c r="B303">
        <f t="shared" ca="1" si="4"/>
        <v>48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">
        <f ca="1">IF(dict_zuord_Meth_Transfers[[#This Row],[kval_active]],dict_zuord_Meth_Transfers[[#This Row],[ID_Transfers]],"")</f>
        <v>48</v>
      </c>
    </row>
    <row r="304" spans="1:4" x14ac:dyDescent="0.45">
      <c r="A304">
        <v>50</v>
      </c>
      <c r="B304" s="3">
        <f t="shared" ca="1" si="4"/>
        <v>80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">
        <f ca="1">IF(dict_zuord_Meth_Transfers[[#This Row],[kval_active]],dict_zuord_Meth_Transfers[[#This Row],[ID_Transfers]],"")</f>
        <v>80</v>
      </c>
    </row>
    <row r="305" spans="1:4" x14ac:dyDescent="0.45">
      <c r="A305">
        <v>50</v>
      </c>
      <c r="B305">
        <f t="shared" ca="1" si="4"/>
        <v>168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">
        <f ca="1">IF(dict_zuord_Meth_Transfers[[#This Row],[kval_active]],dict_zuord_Meth_Transfers[[#This Row],[ID_Transfers]],"")</f>
        <v>168</v>
      </c>
    </row>
    <row r="306" spans="1:4" x14ac:dyDescent="0.45">
      <c r="A306">
        <v>50</v>
      </c>
      <c r="B306">
        <f t="shared" ca="1" si="4"/>
        <v>71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">
        <f ca="1">IF(dict_zuord_Meth_Transfers[[#This Row],[kval_active]],dict_zuord_Meth_Transfers[[#This Row],[ID_Transfers]],"")</f>
        <v>71</v>
      </c>
    </row>
    <row r="307" spans="1:4" x14ac:dyDescent="0.45">
      <c r="A307">
        <v>50</v>
      </c>
      <c r="B307" s="3">
        <f t="shared" ca="1" si="4"/>
        <v>193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">
        <f ca="1">IF(dict_zuord_Meth_Transfers[[#This Row],[kval_active]],dict_zuord_Meth_Transfers[[#This Row],[ID_Transfers]],"")</f>
        <v>193</v>
      </c>
    </row>
    <row r="308" spans="1:4" x14ac:dyDescent="0.45">
      <c r="A308">
        <v>51</v>
      </c>
      <c r="B308" s="3">
        <f t="shared" ca="1" si="4"/>
        <v>76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">
        <f ca="1">IF(dict_zuord_Meth_Transfers[[#This Row],[kval_active]],dict_zuord_Meth_Transfers[[#This Row],[ID_Transfers]],"")</f>
        <v>76</v>
      </c>
    </row>
    <row r="309" spans="1:4" x14ac:dyDescent="0.45">
      <c r="A309">
        <v>51</v>
      </c>
      <c r="B309" s="3">
        <f t="shared" ca="1" si="4"/>
        <v>44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">
        <f ca="1">IF(dict_zuord_Meth_Transfers[[#This Row],[kval_active]],dict_zuord_Meth_Transfers[[#This Row],[ID_Transfers]],"")</f>
        <v>44</v>
      </c>
    </row>
    <row r="310" spans="1:4" x14ac:dyDescent="0.45">
      <c r="A310">
        <v>51</v>
      </c>
      <c r="B310">
        <f t="shared" ca="1" si="4"/>
        <v>118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">
        <f ca="1">IF(dict_zuord_Meth_Transfers[[#This Row],[kval_active]],dict_zuord_Meth_Transfers[[#This Row],[ID_Transfers]],"")</f>
        <v>118</v>
      </c>
    </row>
    <row r="311" spans="1:4" x14ac:dyDescent="0.45">
      <c r="A311">
        <v>51</v>
      </c>
      <c r="B311">
        <f t="shared" ca="1" si="4"/>
        <v>83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">
        <f ca="1">IF(dict_zuord_Meth_Transfers[[#This Row],[kval_active]],dict_zuord_Meth_Transfers[[#This Row],[ID_Transfers]],"")</f>
        <v>83</v>
      </c>
    </row>
    <row r="312" spans="1:4" x14ac:dyDescent="0.45">
      <c r="A312">
        <v>51</v>
      </c>
      <c r="B312" s="3">
        <f t="shared" ca="1" si="4"/>
        <v>135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">
        <f ca="1">IF(dict_zuord_Meth_Transfers[[#This Row],[kval_active]],dict_zuord_Meth_Transfers[[#This Row],[ID_Transfers]],"")</f>
        <v>135</v>
      </c>
    </row>
    <row r="313" spans="1:4" x14ac:dyDescent="0.45">
      <c r="A313">
        <v>51</v>
      </c>
      <c r="B313">
        <f t="shared" ca="1" si="4"/>
        <v>151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">
        <f ca="1">IF(dict_zuord_Meth_Transfers[[#This Row],[kval_active]],dict_zuord_Meth_Transfers[[#This Row],[ID_Transfers]],"")</f>
        <v>151</v>
      </c>
    </row>
    <row r="314" spans="1:4" x14ac:dyDescent="0.45">
      <c r="A314">
        <v>52</v>
      </c>
      <c r="B314" s="3">
        <f t="shared" ca="1" si="4"/>
        <v>138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" t="str">
        <f ca="1">IF(dict_zuord_Meth_Transfers[[#This Row],[kval_active]],dict_zuord_Meth_Transfers[[#This Row],[ID_Transfers]],"")</f>
        <v/>
      </c>
    </row>
    <row r="315" spans="1:4" x14ac:dyDescent="0.45">
      <c r="A315">
        <v>52</v>
      </c>
      <c r="B315" s="3">
        <f t="shared" ca="1" si="4"/>
        <v>33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" t="str">
        <f ca="1">IF(dict_zuord_Meth_Transfers[[#This Row],[kval_active]],dict_zuord_Meth_Transfers[[#This Row],[ID_Transfers]],"")</f>
        <v/>
      </c>
    </row>
    <row r="316" spans="1:4" x14ac:dyDescent="0.45">
      <c r="A316">
        <v>52</v>
      </c>
      <c r="B316" s="3">
        <f t="shared" ca="1" si="4"/>
        <v>122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" t="str">
        <f ca="1">IF(dict_zuord_Meth_Transfers[[#This Row],[kval_active]],dict_zuord_Meth_Transfers[[#This Row],[ID_Transfers]],"")</f>
        <v/>
      </c>
    </row>
    <row r="317" spans="1:4" x14ac:dyDescent="0.45">
      <c r="A317">
        <v>52</v>
      </c>
      <c r="B317">
        <f t="shared" ca="1" si="4"/>
        <v>149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" t="str">
        <f ca="1">IF(dict_zuord_Meth_Transfers[[#This Row],[kval_active]],dict_zuord_Meth_Transfers[[#This Row],[ID_Transfers]],"")</f>
        <v/>
      </c>
    </row>
    <row r="318" spans="1:4" x14ac:dyDescent="0.45">
      <c r="A318">
        <v>52</v>
      </c>
      <c r="B318">
        <f t="shared" ca="1" si="4"/>
        <v>21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" t="str">
        <f ca="1">IF(dict_zuord_Meth_Transfers[[#This Row],[kval_active]],dict_zuord_Meth_Transfers[[#This Row],[ID_Transfers]],"")</f>
        <v/>
      </c>
    </row>
    <row r="319" spans="1:4" x14ac:dyDescent="0.45">
      <c r="A319">
        <v>52</v>
      </c>
      <c r="B319">
        <f t="shared" ca="1" si="4"/>
        <v>123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" t="str">
        <f ca="1">IF(dict_zuord_Meth_Transfers[[#This Row],[kval_active]],dict_zuord_Meth_Transfers[[#This Row],[ID_Transfers]],"")</f>
        <v/>
      </c>
    </row>
    <row r="320" spans="1:4" x14ac:dyDescent="0.45">
      <c r="A320">
        <v>53</v>
      </c>
      <c r="B320" s="3">
        <f t="shared" ca="1" si="4"/>
        <v>177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" t="str">
        <f ca="1">IF(dict_zuord_Meth_Transfers[[#This Row],[kval_active]],dict_zuord_Meth_Transfers[[#This Row],[ID_Transfers]],"")</f>
        <v/>
      </c>
    </row>
    <row r="321" spans="1:4" x14ac:dyDescent="0.45">
      <c r="A321">
        <v>53</v>
      </c>
      <c r="B321" s="3">
        <f t="shared" ca="1" si="4"/>
        <v>61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" t="str">
        <f ca="1">IF(dict_zuord_Meth_Transfers[[#This Row],[kval_active]],dict_zuord_Meth_Transfers[[#This Row],[ID_Transfers]],"")</f>
        <v/>
      </c>
    </row>
    <row r="322" spans="1:4" x14ac:dyDescent="0.45">
      <c r="A322">
        <v>53</v>
      </c>
      <c r="B322" s="3">
        <f t="shared" ref="B322:B385" ca="1" si="5">RANDBETWEEN(0,200)</f>
        <v>5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" t="str">
        <f ca="1">IF(dict_zuord_Meth_Transfers[[#This Row],[kval_active]],dict_zuord_Meth_Transfers[[#This Row],[ID_Transfers]],"")</f>
        <v/>
      </c>
    </row>
    <row r="323" spans="1:4" x14ac:dyDescent="0.45">
      <c r="A323">
        <v>53</v>
      </c>
      <c r="B323">
        <f t="shared" ca="1" si="5"/>
        <v>8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" t="str">
        <f ca="1">IF(dict_zuord_Meth_Transfers[[#This Row],[kval_active]],dict_zuord_Meth_Transfers[[#This Row],[ID_Transfers]],"")</f>
        <v/>
      </c>
    </row>
    <row r="324" spans="1:4" x14ac:dyDescent="0.45">
      <c r="A324">
        <v>53</v>
      </c>
      <c r="B324">
        <f t="shared" ca="1" si="5"/>
        <v>83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" t="str">
        <f ca="1">IF(dict_zuord_Meth_Transfers[[#This Row],[kval_active]],dict_zuord_Meth_Transfers[[#This Row],[ID_Transfers]],"")</f>
        <v/>
      </c>
    </row>
    <row r="325" spans="1:4" x14ac:dyDescent="0.45">
      <c r="A325">
        <v>53</v>
      </c>
      <c r="B325">
        <f t="shared" ca="1" si="5"/>
        <v>187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" t="str">
        <f ca="1">IF(dict_zuord_Meth_Transfers[[#This Row],[kval_active]],dict_zuord_Meth_Transfers[[#This Row],[ID_Transfers]],"")</f>
        <v/>
      </c>
    </row>
    <row r="326" spans="1:4" x14ac:dyDescent="0.45">
      <c r="A326">
        <v>54</v>
      </c>
      <c r="B326" s="3">
        <f t="shared" ca="1" si="5"/>
        <v>139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" t="str">
        <f ca="1">IF(dict_zuord_Meth_Transfers[[#This Row],[kval_active]],dict_zuord_Meth_Transfers[[#This Row],[ID_Transfers]],"")</f>
        <v/>
      </c>
    </row>
    <row r="327" spans="1:4" x14ac:dyDescent="0.45">
      <c r="A327">
        <v>54</v>
      </c>
      <c r="B327">
        <f t="shared" ca="1" si="5"/>
        <v>106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" t="str">
        <f ca="1">IF(dict_zuord_Meth_Transfers[[#This Row],[kval_active]],dict_zuord_Meth_Transfers[[#This Row],[ID_Transfers]],"")</f>
        <v/>
      </c>
    </row>
    <row r="328" spans="1:4" x14ac:dyDescent="0.45">
      <c r="A328">
        <v>54</v>
      </c>
      <c r="B328" s="3">
        <f t="shared" ca="1" si="5"/>
        <v>149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" t="str">
        <f ca="1">IF(dict_zuord_Meth_Transfers[[#This Row],[kval_active]],dict_zuord_Meth_Transfers[[#This Row],[ID_Transfers]],"")</f>
        <v/>
      </c>
    </row>
    <row r="329" spans="1:4" x14ac:dyDescent="0.45">
      <c r="A329">
        <v>54</v>
      </c>
      <c r="B329" s="3">
        <f t="shared" ca="1" si="5"/>
        <v>107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" t="str">
        <f ca="1">IF(dict_zuord_Meth_Transfers[[#This Row],[kval_active]],dict_zuord_Meth_Transfers[[#This Row],[ID_Transfers]],"")</f>
        <v/>
      </c>
    </row>
    <row r="330" spans="1:4" x14ac:dyDescent="0.45">
      <c r="A330">
        <v>54</v>
      </c>
      <c r="B330">
        <f t="shared" ca="1" si="5"/>
        <v>149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" t="str">
        <f ca="1">IF(dict_zuord_Meth_Transfers[[#This Row],[kval_active]],dict_zuord_Meth_Transfers[[#This Row],[ID_Transfers]],"")</f>
        <v/>
      </c>
    </row>
    <row r="331" spans="1:4" x14ac:dyDescent="0.45">
      <c r="A331">
        <v>54</v>
      </c>
      <c r="B331">
        <f t="shared" ca="1" si="5"/>
        <v>95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" t="str">
        <f ca="1">IF(dict_zuord_Meth_Transfers[[#This Row],[kval_active]],dict_zuord_Meth_Transfers[[#This Row],[ID_Transfers]],"")</f>
        <v/>
      </c>
    </row>
    <row r="332" spans="1:4" x14ac:dyDescent="0.45">
      <c r="A332">
        <v>55</v>
      </c>
      <c r="B332" s="3">
        <f t="shared" ca="1" si="5"/>
        <v>59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" t="str">
        <f ca="1">IF(dict_zuord_Meth_Transfers[[#This Row],[kval_active]],dict_zuord_Meth_Transfers[[#This Row],[ID_Transfers]],"")</f>
        <v/>
      </c>
    </row>
    <row r="333" spans="1:4" x14ac:dyDescent="0.45">
      <c r="A333">
        <v>55</v>
      </c>
      <c r="B333">
        <f t="shared" ca="1" si="5"/>
        <v>71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" t="str">
        <f ca="1">IF(dict_zuord_Meth_Transfers[[#This Row],[kval_active]],dict_zuord_Meth_Transfers[[#This Row],[ID_Transfers]],"")</f>
        <v/>
      </c>
    </row>
    <row r="334" spans="1:4" x14ac:dyDescent="0.45">
      <c r="A334">
        <v>55</v>
      </c>
      <c r="B334">
        <f t="shared" ca="1" si="5"/>
        <v>74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" t="str">
        <f ca="1">IF(dict_zuord_Meth_Transfers[[#This Row],[kval_active]],dict_zuord_Meth_Transfers[[#This Row],[ID_Transfers]],"")</f>
        <v/>
      </c>
    </row>
    <row r="335" spans="1:4" x14ac:dyDescent="0.45">
      <c r="A335">
        <v>55</v>
      </c>
      <c r="B335">
        <f t="shared" ca="1" si="5"/>
        <v>113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" t="str">
        <f ca="1">IF(dict_zuord_Meth_Transfers[[#This Row],[kval_active]],dict_zuord_Meth_Transfers[[#This Row],[ID_Transfers]],"")</f>
        <v/>
      </c>
    </row>
    <row r="336" spans="1:4" x14ac:dyDescent="0.45">
      <c r="A336">
        <v>55</v>
      </c>
      <c r="B336" s="3">
        <f t="shared" ca="1" si="5"/>
        <v>32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" t="str">
        <f ca="1">IF(dict_zuord_Meth_Transfers[[#This Row],[kval_active]],dict_zuord_Meth_Transfers[[#This Row],[ID_Transfers]],"")</f>
        <v/>
      </c>
    </row>
    <row r="337" spans="1:4" x14ac:dyDescent="0.45">
      <c r="A337">
        <v>55</v>
      </c>
      <c r="B337" s="3">
        <f t="shared" ca="1" si="5"/>
        <v>181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" t="str">
        <f ca="1">IF(dict_zuord_Meth_Transfers[[#This Row],[kval_active]],dict_zuord_Meth_Transfers[[#This Row],[ID_Transfers]],"")</f>
        <v/>
      </c>
    </row>
    <row r="338" spans="1:4" x14ac:dyDescent="0.45">
      <c r="A338">
        <v>56</v>
      </c>
      <c r="B338" s="3">
        <f t="shared" ca="1" si="5"/>
        <v>39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" t="str">
        <f ca="1">IF(dict_zuord_Meth_Transfers[[#This Row],[kval_active]],dict_zuord_Meth_Transfers[[#This Row],[ID_Transfers]],"")</f>
        <v/>
      </c>
    </row>
    <row r="339" spans="1:4" x14ac:dyDescent="0.45">
      <c r="A339">
        <v>56</v>
      </c>
      <c r="B339">
        <f t="shared" ca="1" si="5"/>
        <v>175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" t="str">
        <f ca="1">IF(dict_zuord_Meth_Transfers[[#This Row],[kval_active]],dict_zuord_Meth_Transfers[[#This Row],[ID_Transfers]],"")</f>
        <v/>
      </c>
    </row>
    <row r="340" spans="1:4" x14ac:dyDescent="0.45">
      <c r="A340">
        <v>56</v>
      </c>
      <c r="B340">
        <f t="shared" ca="1" si="5"/>
        <v>47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" t="str">
        <f ca="1">IF(dict_zuord_Meth_Transfers[[#This Row],[kval_active]],dict_zuord_Meth_Transfers[[#This Row],[ID_Transfers]],"")</f>
        <v/>
      </c>
    </row>
    <row r="341" spans="1:4" x14ac:dyDescent="0.45">
      <c r="A341">
        <v>56</v>
      </c>
      <c r="B341" s="3">
        <f t="shared" ca="1" si="5"/>
        <v>74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" t="str">
        <f ca="1">IF(dict_zuord_Meth_Transfers[[#This Row],[kval_active]],dict_zuord_Meth_Transfers[[#This Row],[ID_Transfers]],"")</f>
        <v/>
      </c>
    </row>
    <row r="342" spans="1:4" x14ac:dyDescent="0.45">
      <c r="A342">
        <v>56</v>
      </c>
      <c r="B342">
        <f t="shared" ca="1" si="5"/>
        <v>103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" t="str">
        <f ca="1">IF(dict_zuord_Meth_Transfers[[#This Row],[kval_active]],dict_zuord_Meth_Transfers[[#This Row],[ID_Transfers]],"")</f>
        <v/>
      </c>
    </row>
    <row r="343" spans="1:4" x14ac:dyDescent="0.45">
      <c r="A343">
        <v>56</v>
      </c>
      <c r="B343" s="3">
        <f t="shared" ca="1" si="5"/>
        <v>104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" t="str">
        <f ca="1">IF(dict_zuord_Meth_Transfers[[#This Row],[kval_active]],dict_zuord_Meth_Transfers[[#This Row],[ID_Transfers]],"")</f>
        <v/>
      </c>
    </row>
    <row r="344" spans="1:4" x14ac:dyDescent="0.45">
      <c r="A344">
        <v>57</v>
      </c>
      <c r="B344">
        <f t="shared" ca="1" si="5"/>
        <v>99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" t="str">
        <f ca="1">IF(dict_zuord_Meth_Transfers[[#This Row],[kval_active]],dict_zuord_Meth_Transfers[[#This Row],[ID_Transfers]],"")</f>
        <v/>
      </c>
    </row>
    <row r="345" spans="1:4" x14ac:dyDescent="0.45">
      <c r="A345">
        <v>57</v>
      </c>
      <c r="B345" s="3">
        <f t="shared" ca="1" si="5"/>
        <v>103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" t="str">
        <f ca="1">IF(dict_zuord_Meth_Transfers[[#This Row],[kval_active]],dict_zuord_Meth_Transfers[[#This Row],[ID_Transfers]],"")</f>
        <v/>
      </c>
    </row>
    <row r="346" spans="1:4" x14ac:dyDescent="0.45">
      <c r="A346">
        <v>57</v>
      </c>
      <c r="B346">
        <f t="shared" ca="1" si="5"/>
        <v>109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" t="str">
        <f ca="1">IF(dict_zuord_Meth_Transfers[[#This Row],[kval_active]],dict_zuord_Meth_Transfers[[#This Row],[ID_Transfers]],"")</f>
        <v/>
      </c>
    </row>
    <row r="347" spans="1:4" x14ac:dyDescent="0.45">
      <c r="A347">
        <v>57</v>
      </c>
      <c r="B347" s="3">
        <f t="shared" ca="1" si="5"/>
        <v>3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" t="str">
        <f ca="1">IF(dict_zuord_Meth_Transfers[[#This Row],[kval_active]],dict_zuord_Meth_Transfers[[#This Row],[ID_Transfers]],"")</f>
        <v/>
      </c>
    </row>
    <row r="348" spans="1:4" x14ac:dyDescent="0.45">
      <c r="A348">
        <v>57</v>
      </c>
      <c r="B348" s="3">
        <f t="shared" ca="1" si="5"/>
        <v>126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" t="str">
        <f ca="1">IF(dict_zuord_Meth_Transfers[[#This Row],[kval_active]],dict_zuord_Meth_Transfers[[#This Row],[ID_Transfers]],"")</f>
        <v/>
      </c>
    </row>
    <row r="349" spans="1:4" x14ac:dyDescent="0.45">
      <c r="A349">
        <v>57</v>
      </c>
      <c r="B349">
        <f t="shared" ca="1" si="5"/>
        <v>116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" t="str">
        <f ca="1">IF(dict_zuord_Meth_Transfers[[#This Row],[kval_active]],dict_zuord_Meth_Transfers[[#This Row],[ID_Transfers]],"")</f>
        <v/>
      </c>
    </row>
    <row r="350" spans="1:4" x14ac:dyDescent="0.45">
      <c r="A350">
        <v>58</v>
      </c>
      <c r="B350">
        <f t="shared" ca="1" si="5"/>
        <v>110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" t="str">
        <f ca="1">IF(dict_zuord_Meth_Transfers[[#This Row],[kval_active]],dict_zuord_Meth_Transfers[[#This Row],[ID_Transfers]],"")</f>
        <v/>
      </c>
    </row>
    <row r="351" spans="1:4" x14ac:dyDescent="0.45">
      <c r="A351">
        <v>58</v>
      </c>
      <c r="B351" s="3">
        <f t="shared" ca="1" si="5"/>
        <v>53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" t="str">
        <f ca="1">IF(dict_zuord_Meth_Transfers[[#This Row],[kval_active]],dict_zuord_Meth_Transfers[[#This Row],[ID_Transfers]],"")</f>
        <v/>
      </c>
    </row>
    <row r="352" spans="1:4" x14ac:dyDescent="0.45">
      <c r="A352">
        <v>58</v>
      </c>
      <c r="B352" s="3">
        <f t="shared" ca="1" si="5"/>
        <v>64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" t="str">
        <f ca="1">IF(dict_zuord_Meth_Transfers[[#This Row],[kval_active]],dict_zuord_Meth_Transfers[[#This Row],[ID_Transfers]],"")</f>
        <v/>
      </c>
    </row>
    <row r="353" spans="1:4" x14ac:dyDescent="0.45">
      <c r="A353">
        <v>58</v>
      </c>
      <c r="B353">
        <f t="shared" ca="1" si="5"/>
        <v>123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" t="str">
        <f ca="1">IF(dict_zuord_Meth_Transfers[[#This Row],[kval_active]],dict_zuord_Meth_Transfers[[#This Row],[ID_Transfers]],"")</f>
        <v/>
      </c>
    </row>
    <row r="354" spans="1:4" x14ac:dyDescent="0.45">
      <c r="A354">
        <v>58</v>
      </c>
      <c r="B354">
        <f t="shared" ca="1" si="5"/>
        <v>31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" t="str">
        <f ca="1">IF(dict_zuord_Meth_Transfers[[#This Row],[kval_active]],dict_zuord_Meth_Transfers[[#This Row],[ID_Transfers]],"")</f>
        <v/>
      </c>
    </row>
    <row r="355" spans="1:4" x14ac:dyDescent="0.45">
      <c r="A355">
        <v>58</v>
      </c>
      <c r="B355" s="3">
        <f t="shared" ca="1" si="5"/>
        <v>11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" t="str">
        <f ca="1">IF(dict_zuord_Meth_Transfers[[#This Row],[kval_active]],dict_zuord_Meth_Transfers[[#This Row],[ID_Transfers]],"")</f>
        <v/>
      </c>
    </row>
    <row r="356" spans="1:4" x14ac:dyDescent="0.45">
      <c r="A356">
        <v>59</v>
      </c>
      <c r="B356">
        <f t="shared" ca="1" si="5"/>
        <v>137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" t="str">
        <f ca="1">IF(dict_zuord_Meth_Transfers[[#This Row],[kval_active]],dict_zuord_Meth_Transfers[[#This Row],[ID_Transfers]],"")</f>
        <v/>
      </c>
    </row>
    <row r="357" spans="1:4" x14ac:dyDescent="0.45">
      <c r="A357">
        <v>59</v>
      </c>
      <c r="B357" s="3">
        <f t="shared" ca="1" si="5"/>
        <v>177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" t="str">
        <f ca="1">IF(dict_zuord_Meth_Transfers[[#This Row],[kval_active]],dict_zuord_Meth_Transfers[[#This Row],[ID_Transfers]],"")</f>
        <v/>
      </c>
    </row>
    <row r="358" spans="1:4" x14ac:dyDescent="0.45">
      <c r="A358">
        <v>59</v>
      </c>
      <c r="B358" s="3">
        <f t="shared" ca="1" si="5"/>
        <v>123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" t="str">
        <f ca="1">IF(dict_zuord_Meth_Transfers[[#This Row],[kval_active]],dict_zuord_Meth_Transfers[[#This Row],[ID_Transfers]],"")</f>
        <v/>
      </c>
    </row>
    <row r="359" spans="1:4" x14ac:dyDescent="0.45">
      <c r="A359">
        <v>59</v>
      </c>
      <c r="B359">
        <f t="shared" ca="1" si="5"/>
        <v>180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" t="str">
        <f ca="1">IF(dict_zuord_Meth_Transfers[[#This Row],[kval_active]],dict_zuord_Meth_Transfers[[#This Row],[ID_Transfers]],"")</f>
        <v/>
      </c>
    </row>
    <row r="360" spans="1:4" x14ac:dyDescent="0.45">
      <c r="A360">
        <v>59</v>
      </c>
      <c r="B360" s="3">
        <f t="shared" ca="1" si="5"/>
        <v>149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" t="str">
        <f ca="1">IF(dict_zuord_Meth_Transfers[[#This Row],[kval_active]],dict_zuord_Meth_Transfers[[#This Row],[ID_Transfers]],"")</f>
        <v/>
      </c>
    </row>
    <row r="361" spans="1:4" x14ac:dyDescent="0.45">
      <c r="A361">
        <v>59</v>
      </c>
      <c r="B361">
        <f t="shared" ca="1" si="5"/>
        <v>93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" t="str">
        <f ca="1">IF(dict_zuord_Meth_Transfers[[#This Row],[kval_active]],dict_zuord_Meth_Transfers[[#This Row],[ID_Transfers]],"")</f>
        <v/>
      </c>
    </row>
    <row r="362" spans="1:4" x14ac:dyDescent="0.45">
      <c r="A362">
        <v>60</v>
      </c>
      <c r="B362">
        <f t="shared" ca="1" si="5"/>
        <v>125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" t="str">
        <f ca="1">IF(dict_zuord_Meth_Transfers[[#This Row],[kval_active]],dict_zuord_Meth_Transfers[[#This Row],[ID_Transfers]],"")</f>
        <v/>
      </c>
    </row>
    <row r="363" spans="1:4" x14ac:dyDescent="0.45">
      <c r="A363">
        <v>60</v>
      </c>
      <c r="B363">
        <f t="shared" ca="1" si="5"/>
        <v>77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" t="str">
        <f ca="1">IF(dict_zuord_Meth_Transfers[[#This Row],[kval_active]],dict_zuord_Meth_Transfers[[#This Row],[ID_Transfers]],"")</f>
        <v/>
      </c>
    </row>
    <row r="364" spans="1:4" x14ac:dyDescent="0.45">
      <c r="A364">
        <v>60</v>
      </c>
      <c r="B364" s="3">
        <f t="shared" ca="1" si="5"/>
        <v>105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" t="str">
        <f ca="1">IF(dict_zuord_Meth_Transfers[[#This Row],[kval_active]],dict_zuord_Meth_Transfers[[#This Row],[ID_Transfers]],"")</f>
        <v/>
      </c>
    </row>
    <row r="365" spans="1:4" x14ac:dyDescent="0.45">
      <c r="A365">
        <v>60</v>
      </c>
      <c r="B365">
        <f t="shared" ca="1" si="5"/>
        <v>95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" t="str">
        <f ca="1">IF(dict_zuord_Meth_Transfers[[#This Row],[kval_active]],dict_zuord_Meth_Transfers[[#This Row],[ID_Transfers]],"")</f>
        <v/>
      </c>
    </row>
    <row r="366" spans="1:4" x14ac:dyDescent="0.45">
      <c r="A366">
        <v>60</v>
      </c>
      <c r="B366" s="3">
        <f t="shared" ca="1" si="5"/>
        <v>98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" t="str">
        <f ca="1">IF(dict_zuord_Meth_Transfers[[#This Row],[kval_active]],dict_zuord_Meth_Transfers[[#This Row],[ID_Transfers]],"")</f>
        <v/>
      </c>
    </row>
    <row r="367" spans="1:4" x14ac:dyDescent="0.45">
      <c r="A367">
        <v>60</v>
      </c>
      <c r="B367" s="3">
        <f t="shared" ca="1" si="5"/>
        <v>32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" t="str">
        <f ca="1">IF(dict_zuord_Meth_Transfers[[#This Row],[kval_active]],dict_zuord_Meth_Transfers[[#This Row],[ID_Transfers]],"")</f>
        <v/>
      </c>
    </row>
    <row r="368" spans="1:4" x14ac:dyDescent="0.45">
      <c r="A368">
        <v>61</v>
      </c>
      <c r="B368" s="3">
        <f t="shared" ca="1" si="5"/>
        <v>90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" t="str">
        <f ca="1">IF(dict_zuord_Meth_Transfers[[#This Row],[kval_active]],dict_zuord_Meth_Transfers[[#This Row],[ID_Transfers]],"")</f>
        <v/>
      </c>
    </row>
    <row r="369" spans="1:4" x14ac:dyDescent="0.45">
      <c r="A369">
        <v>61</v>
      </c>
      <c r="B369" s="3">
        <f t="shared" ca="1" si="5"/>
        <v>109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" t="str">
        <f ca="1">IF(dict_zuord_Meth_Transfers[[#This Row],[kval_active]],dict_zuord_Meth_Transfers[[#This Row],[ID_Transfers]],"")</f>
        <v/>
      </c>
    </row>
    <row r="370" spans="1:4" x14ac:dyDescent="0.45">
      <c r="A370">
        <v>61</v>
      </c>
      <c r="B370">
        <f t="shared" ca="1" si="5"/>
        <v>59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" t="str">
        <f ca="1">IF(dict_zuord_Meth_Transfers[[#This Row],[kval_active]],dict_zuord_Meth_Transfers[[#This Row],[ID_Transfers]],"")</f>
        <v/>
      </c>
    </row>
    <row r="371" spans="1:4" x14ac:dyDescent="0.45">
      <c r="A371">
        <v>61</v>
      </c>
      <c r="B371">
        <f t="shared" ca="1" si="5"/>
        <v>132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" t="str">
        <f ca="1">IF(dict_zuord_Meth_Transfers[[#This Row],[kval_active]],dict_zuord_Meth_Transfers[[#This Row],[ID_Transfers]],"")</f>
        <v/>
      </c>
    </row>
    <row r="372" spans="1:4" x14ac:dyDescent="0.45">
      <c r="A372">
        <v>61</v>
      </c>
      <c r="B372" s="3">
        <f t="shared" ca="1" si="5"/>
        <v>62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" t="str">
        <f ca="1">IF(dict_zuord_Meth_Transfers[[#This Row],[kval_active]],dict_zuord_Meth_Transfers[[#This Row],[ID_Transfers]],"")</f>
        <v/>
      </c>
    </row>
    <row r="373" spans="1:4" x14ac:dyDescent="0.45">
      <c r="A373">
        <v>61</v>
      </c>
      <c r="B373">
        <f t="shared" ca="1" si="5"/>
        <v>0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" t="str">
        <f ca="1">IF(dict_zuord_Meth_Transfers[[#This Row],[kval_active]],dict_zuord_Meth_Transfers[[#This Row],[ID_Transfers]],"")</f>
        <v/>
      </c>
    </row>
    <row r="374" spans="1:4" x14ac:dyDescent="0.45">
      <c r="A374">
        <v>62</v>
      </c>
      <c r="B374" s="3">
        <f t="shared" ca="1" si="5"/>
        <v>29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" t="str">
        <f ca="1">IF(dict_zuord_Meth_Transfers[[#This Row],[kval_active]],dict_zuord_Meth_Transfers[[#This Row],[ID_Transfers]],"")</f>
        <v/>
      </c>
    </row>
    <row r="375" spans="1:4" x14ac:dyDescent="0.45">
      <c r="A375">
        <v>62</v>
      </c>
      <c r="B375">
        <f t="shared" ca="1" si="5"/>
        <v>167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" t="str">
        <f ca="1">IF(dict_zuord_Meth_Transfers[[#This Row],[kval_active]],dict_zuord_Meth_Transfers[[#This Row],[ID_Transfers]],"")</f>
        <v/>
      </c>
    </row>
    <row r="376" spans="1:4" x14ac:dyDescent="0.45">
      <c r="A376">
        <v>62</v>
      </c>
      <c r="B376">
        <f t="shared" ca="1" si="5"/>
        <v>175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" t="str">
        <f ca="1">IF(dict_zuord_Meth_Transfers[[#This Row],[kval_active]],dict_zuord_Meth_Transfers[[#This Row],[ID_Transfers]],"")</f>
        <v/>
      </c>
    </row>
    <row r="377" spans="1:4" x14ac:dyDescent="0.45">
      <c r="A377">
        <v>62</v>
      </c>
      <c r="B377">
        <f t="shared" ca="1" si="5"/>
        <v>170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" t="str">
        <f ca="1">IF(dict_zuord_Meth_Transfers[[#This Row],[kval_active]],dict_zuord_Meth_Transfers[[#This Row],[ID_Transfers]],"")</f>
        <v/>
      </c>
    </row>
    <row r="378" spans="1:4" x14ac:dyDescent="0.45">
      <c r="A378">
        <v>62</v>
      </c>
      <c r="B378" s="3">
        <f t="shared" ca="1" si="5"/>
        <v>165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" t="str">
        <f ca="1">IF(dict_zuord_Meth_Transfers[[#This Row],[kval_active]],dict_zuord_Meth_Transfers[[#This Row],[ID_Transfers]],"")</f>
        <v/>
      </c>
    </row>
    <row r="379" spans="1:4" x14ac:dyDescent="0.45">
      <c r="A379">
        <v>62</v>
      </c>
      <c r="B379" s="3">
        <f t="shared" ca="1" si="5"/>
        <v>190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" t="str">
        <f ca="1">IF(dict_zuord_Meth_Transfers[[#This Row],[kval_active]],dict_zuord_Meth_Transfers[[#This Row],[ID_Transfers]],"")</f>
        <v/>
      </c>
    </row>
    <row r="380" spans="1:4" x14ac:dyDescent="0.45">
      <c r="A380">
        <v>63</v>
      </c>
      <c r="B380" s="3">
        <f t="shared" ca="1" si="5"/>
        <v>7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" t="str">
        <f ca="1">IF(dict_zuord_Meth_Transfers[[#This Row],[kval_active]],dict_zuord_Meth_Transfers[[#This Row],[ID_Transfers]],"")</f>
        <v/>
      </c>
    </row>
    <row r="381" spans="1:4" x14ac:dyDescent="0.45">
      <c r="A381">
        <v>63</v>
      </c>
      <c r="B381">
        <f t="shared" ca="1" si="5"/>
        <v>11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" t="str">
        <f ca="1">IF(dict_zuord_Meth_Transfers[[#This Row],[kval_active]],dict_zuord_Meth_Transfers[[#This Row],[ID_Transfers]],"")</f>
        <v/>
      </c>
    </row>
    <row r="382" spans="1:4" x14ac:dyDescent="0.45">
      <c r="A382">
        <v>63</v>
      </c>
      <c r="B382" s="3">
        <f t="shared" ca="1" si="5"/>
        <v>50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" t="str">
        <f ca="1">IF(dict_zuord_Meth_Transfers[[#This Row],[kval_active]],dict_zuord_Meth_Transfers[[#This Row],[ID_Transfers]],"")</f>
        <v/>
      </c>
    </row>
    <row r="383" spans="1:4" x14ac:dyDescent="0.45">
      <c r="A383">
        <v>63</v>
      </c>
      <c r="B383">
        <f t="shared" ca="1" si="5"/>
        <v>190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" t="str">
        <f ca="1">IF(dict_zuord_Meth_Transfers[[#This Row],[kval_active]],dict_zuord_Meth_Transfers[[#This Row],[ID_Transfers]],"")</f>
        <v/>
      </c>
    </row>
    <row r="384" spans="1:4" x14ac:dyDescent="0.45">
      <c r="A384">
        <v>63</v>
      </c>
      <c r="B384">
        <f t="shared" ca="1" si="5"/>
        <v>182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" t="str">
        <f ca="1">IF(dict_zuord_Meth_Transfers[[#This Row],[kval_active]],dict_zuord_Meth_Transfers[[#This Row],[ID_Transfers]],"")</f>
        <v/>
      </c>
    </row>
    <row r="385" spans="1:4" x14ac:dyDescent="0.45">
      <c r="A385">
        <v>63</v>
      </c>
      <c r="B385" s="3">
        <f t="shared" ca="1" si="5"/>
        <v>186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" t="str">
        <f ca="1">IF(dict_zuord_Meth_Transfers[[#This Row],[kval_active]],dict_zuord_Meth_Transfers[[#This Row],[ID_Transfers]],"")</f>
        <v/>
      </c>
    </row>
    <row r="386" spans="1:4" x14ac:dyDescent="0.45">
      <c r="A386">
        <v>64</v>
      </c>
      <c r="B386">
        <f t="shared" ref="B386:B449" ca="1" si="6">RANDBETWEEN(0,200)</f>
        <v>157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" t="str">
        <f ca="1">IF(dict_zuord_Meth_Transfers[[#This Row],[kval_active]],dict_zuord_Meth_Transfers[[#This Row],[ID_Transfers]],"")</f>
        <v/>
      </c>
    </row>
    <row r="387" spans="1:4" x14ac:dyDescent="0.45">
      <c r="A387">
        <v>64</v>
      </c>
      <c r="B387" s="3">
        <f t="shared" ca="1" si="6"/>
        <v>58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" t="str">
        <f ca="1">IF(dict_zuord_Meth_Transfers[[#This Row],[kval_active]],dict_zuord_Meth_Transfers[[#This Row],[ID_Transfers]],"")</f>
        <v/>
      </c>
    </row>
    <row r="388" spans="1:4" x14ac:dyDescent="0.45">
      <c r="A388">
        <v>64</v>
      </c>
      <c r="B388">
        <f t="shared" ca="1" si="6"/>
        <v>183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" t="str">
        <f ca="1">IF(dict_zuord_Meth_Transfers[[#This Row],[kval_active]],dict_zuord_Meth_Transfers[[#This Row],[ID_Transfers]],"")</f>
        <v/>
      </c>
    </row>
    <row r="389" spans="1:4" x14ac:dyDescent="0.45">
      <c r="A389">
        <v>64</v>
      </c>
      <c r="B389" s="3">
        <f t="shared" ca="1" si="6"/>
        <v>61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" t="str">
        <f ca="1">IF(dict_zuord_Meth_Transfers[[#This Row],[kval_active]],dict_zuord_Meth_Transfers[[#This Row],[ID_Transfers]],"")</f>
        <v/>
      </c>
    </row>
    <row r="390" spans="1:4" x14ac:dyDescent="0.45">
      <c r="A390">
        <v>64</v>
      </c>
      <c r="B390" s="3">
        <f t="shared" ca="1" si="6"/>
        <v>195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" t="str">
        <f ca="1">IF(dict_zuord_Meth_Transfers[[#This Row],[kval_active]],dict_zuord_Meth_Transfers[[#This Row],[ID_Transfers]],"")</f>
        <v/>
      </c>
    </row>
    <row r="391" spans="1:4" x14ac:dyDescent="0.45">
      <c r="A391">
        <v>64</v>
      </c>
      <c r="B391">
        <f t="shared" ca="1" si="6"/>
        <v>48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" t="str">
        <f ca="1">IF(dict_zuord_Meth_Transfers[[#This Row],[kval_active]],dict_zuord_Meth_Transfers[[#This Row],[ID_Transfers]],"")</f>
        <v/>
      </c>
    </row>
    <row r="392" spans="1:4" x14ac:dyDescent="0.45">
      <c r="A392">
        <v>65</v>
      </c>
      <c r="B392">
        <f t="shared" ca="1" si="6"/>
        <v>76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" t="str">
        <f ca="1">IF(dict_zuord_Meth_Transfers[[#This Row],[kval_active]],dict_zuord_Meth_Transfers[[#This Row],[ID_Transfers]],"")</f>
        <v/>
      </c>
    </row>
    <row r="393" spans="1:4" x14ac:dyDescent="0.45">
      <c r="A393">
        <v>65</v>
      </c>
      <c r="B393" s="3">
        <f t="shared" ca="1" si="6"/>
        <v>186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" t="str">
        <f ca="1">IF(dict_zuord_Meth_Transfers[[#This Row],[kval_active]],dict_zuord_Meth_Transfers[[#This Row],[ID_Transfers]],"")</f>
        <v/>
      </c>
    </row>
    <row r="394" spans="1:4" x14ac:dyDescent="0.45">
      <c r="A394">
        <v>65</v>
      </c>
      <c r="B394">
        <f t="shared" ca="1" si="6"/>
        <v>101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" t="str">
        <f ca="1">IF(dict_zuord_Meth_Transfers[[#This Row],[kval_active]],dict_zuord_Meth_Transfers[[#This Row],[ID_Transfers]],"")</f>
        <v/>
      </c>
    </row>
    <row r="395" spans="1:4" x14ac:dyDescent="0.45">
      <c r="A395">
        <v>65</v>
      </c>
      <c r="B395">
        <f t="shared" ca="1" si="6"/>
        <v>138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" t="str">
        <f ca="1">IF(dict_zuord_Meth_Transfers[[#This Row],[kval_active]],dict_zuord_Meth_Transfers[[#This Row],[ID_Transfers]],"")</f>
        <v/>
      </c>
    </row>
    <row r="396" spans="1:4" x14ac:dyDescent="0.45">
      <c r="A396">
        <v>65</v>
      </c>
      <c r="B396" s="3">
        <f t="shared" ca="1" si="6"/>
        <v>124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" t="str">
        <f ca="1">IF(dict_zuord_Meth_Transfers[[#This Row],[kval_active]],dict_zuord_Meth_Transfers[[#This Row],[ID_Transfers]],"")</f>
        <v/>
      </c>
    </row>
    <row r="397" spans="1:4" x14ac:dyDescent="0.45">
      <c r="A397">
        <v>65</v>
      </c>
      <c r="B397" s="3">
        <f t="shared" ca="1" si="6"/>
        <v>78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" t="str">
        <f ca="1">IF(dict_zuord_Meth_Transfers[[#This Row],[kval_active]],dict_zuord_Meth_Transfers[[#This Row],[ID_Transfers]],"")</f>
        <v/>
      </c>
    </row>
    <row r="398" spans="1:4" x14ac:dyDescent="0.45">
      <c r="A398">
        <v>66</v>
      </c>
      <c r="B398" s="3">
        <f t="shared" ca="1" si="6"/>
        <v>126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" t="str">
        <f ca="1">IF(dict_zuord_Meth_Transfers[[#This Row],[kval_active]],dict_zuord_Meth_Transfers[[#This Row],[ID_Transfers]],"")</f>
        <v/>
      </c>
    </row>
    <row r="399" spans="1:4" x14ac:dyDescent="0.45">
      <c r="A399">
        <v>66</v>
      </c>
      <c r="B399">
        <f t="shared" ca="1" si="6"/>
        <v>81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" t="str">
        <f ca="1">IF(dict_zuord_Meth_Transfers[[#This Row],[kval_active]],dict_zuord_Meth_Transfers[[#This Row],[ID_Transfers]],"")</f>
        <v/>
      </c>
    </row>
    <row r="400" spans="1:4" x14ac:dyDescent="0.45">
      <c r="A400">
        <v>66</v>
      </c>
      <c r="B400" s="3">
        <f t="shared" ca="1" si="6"/>
        <v>58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" t="str">
        <f ca="1">IF(dict_zuord_Meth_Transfers[[#This Row],[kval_active]],dict_zuord_Meth_Transfers[[#This Row],[ID_Transfers]],"")</f>
        <v/>
      </c>
    </row>
    <row r="401" spans="1:4" x14ac:dyDescent="0.45">
      <c r="A401">
        <v>66</v>
      </c>
      <c r="B401">
        <f t="shared" ca="1" si="6"/>
        <v>67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" t="str">
        <f ca="1">IF(dict_zuord_Meth_Transfers[[#This Row],[kval_active]],dict_zuord_Meth_Transfers[[#This Row],[ID_Transfers]],"")</f>
        <v/>
      </c>
    </row>
    <row r="402" spans="1:4" x14ac:dyDescent="0.45">
      <c r="A402">
        <v>66</v>
      </c>
      <c r="B402">
        <f t="shared" ca="1" si="6"/>
        <v>56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" t="str">
        <f ca="1">IF(dict_zuord_Meth_Transfers[[#This Row],[kval_active]],dict_zuord_Meth_Transfers[[#This Row],[ID_Transfers]],"")</f>
        <v/>
      </c>
    </row>
    <row r="403" spans="1:4" x14ac:dyDescent="0.45">
      <c r="A403">
        <v>66</v>
      </c>
      <c r="B403" s="3">
        <f t="shared" ca="1" si="6"/>
        <v>88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" t="str">
        <f ca="1">IF(dict_zuord_Meth_Transfers[[#This Row],[kval_active]],dict_zuord_Meth_Transfers[[#This Row],[ID_Transfers]],"")</f>
        <v/>
      </c>
    </row>
    <row r="404" spans="1:4" x14ac:dyDescent="0.45">
      <c r="A404">
        <v>67</v>
      </c>
      <c r="B404">
        <f t="shared" ca="1" si="6"/>
        <v>44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" t="str">
        <f ca="1">IF(dict_zuord_Meth_Transfers[[#This Row],[kval_active]],dict_zuord_Meth_Transfers[[#This Row],[ID_Transfers]],"")</f>
        <v/>
      </c>
    </row>
    <row r="405" spans="1:4" x14ac:dyDescent="0.45">
      <c r="A405">
        <v>67</v>
      </c>
      <c r="B405" s="3">
        <f t="shared" ca="1" si="6"/>
        <v>177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" t="str">
        <f ca="1">IF(dict_zuord_Meth_Transfers[[#This Row],[kval_active]],dict_zuord_Meth_Transfers[[#This Row],[ID_Transfers]],"")</f>
        <v/>
      </c>
    </row>
    <row r="406" spans="1:4" x14ac:dyDescent="0.45">
      <c r="A406">
        <v>67</v>
      </c>
      <c r="B406">
        <f t="shared" ca="1" si="6"/>
        <v>65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" t="str">
        <f ca="1">IF(dict_zuord_Meth_Transfers[[#This Row],[kval_active]],dict_zuord_Meth_Transfers[[#This Row],[ID_Transfers]],"")</f>
        <v/>
      </c>
    </row>
    <row r="407" spans="1:4" x14ac:dyDescent="0.45">
      <c r="A407">
        <v>67</v>
      </c>
      <c r="B407">
        <f t="shared" ca="1" si="6"/>
        <v>117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" t="str">
        <f ca="1">IF(dict_zuord_Meth_Transfers[[#This Row],[kval_active]],dict_zuord_Meth_Transfers[[#This Row],[ID_Transfers]],"")</f>
        <v/>
      </c>
    </row>
    <row r="408" spans="1:4" x14ac:dyDescent="0.45">
      <c r="A408">
        <v>67</v>
      </c>
      <c r="B408" s="3">
        <f t="shared" ca="1" si="6"/>
        <v>19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" t="str">
        <f ca="1">IF(dict_zuord_Meth_Transfers[[#This Row],[kval_active]],dict_zuord_Meth_Transfers[[#This Row],[ID_Transfers]],"")</f>
        <v/>
      </c>
    </row>
    <row r="409" spans="1:4" x14ac:dyDescent="0.45">
      <c r="A409">
        <v>67</v>
      </c>
      <c r="B409" s="3">
        <f t="shared" ca="1" si="6"/>
        <v>95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" t="str">
        <f ca="1">IF(dict_zuord_Meth_Transfers[[#This Row],[kval_active]],dict_zuord_Meth_Transfers[[#This Row],[ID_Transfers]],"")</f>
        <v/>
      </c>
    </row>
    <row r="410" spans="1:4" x14ac:dyDescent="0.45">
      <c r="A410">
        <v>68</v>
      </c>
      <c r="B410" s="3">
        <f t="shared" ca="1" si="6"/>
        <v>51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" t="str">
        <f ca="1">IF(dict_zuord_Meth_Transfers[[#This Row],[kval_active]],dict_zuord_Meth_Transfers[[#This Row],[ID_Transfers]],"")</f>
        <v/>
      </c>
    </row>
    <row r="411" spans="1:4" x14ac:dyDescent="0.45">
      <c r="A411">
        <v>68</v>
      </c>
      <c r="B411">
        <f t="shared" ca="1" si="6"/>
        <v>2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" t="str">
        <f ca="1">IF(dict_zuord_Meth_Transfers[[#This Row],[kval_active]],dict_zuord_Meth_Transfers[[#This Row],[ID_Transfers]],"")</f>
        <v/>
      </c>
    </row>
    <row r="412" spans="1:4" x14ac:dyDescent="0.45">
      <c r="A412">
        <v>68</v>
      </c>
      <c r="B412" s="3">
        <f t="shared" ca="1" si="6"/>
        <v>131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" t="str">
        <f ca="1">IF(dict_zuord_Meth_Transfers[[#This Row],[kval_active]],dict_zuord_Meth_Transfers[[#This Row],[ID_Transfers]],"")</f>
        <v/>
      </c>
    </row>
    <row r="413" spans="1:4" x14ac:dyDescent="0.45">
      <c r="A413">
        <v>68</v>
      </c>
      <c r="B413">
        <f t="shared" ca="1" si="6"/>
        <v>133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" t="str">
        <f ca="1">IF(dict_zuord_Meth_Transfers[[#This Row],[kval_active]],dict_zuord_Meth_Transfers[[#This Row],[ID_Transfers]],"")</f>
        <v/>
      </c>
    </row>
    <row r="414" spans="1:4" x14ac:dyDescent="0.45">
      <c r="A414">
        <v>68</v>
      </c>
      <c r="B414">
        <f t="shared" ca="1" si="6"/>
        <v>79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" t="str">
        <f ca="1">IF(dict_zuord_Meth_Transfers[[#This Row],[kval_active]],dict_zuord_Meth_Transfers[[#This Row],[ID_Transfers]],"")</f>
        <v/>
      </c>
    </row>
    <row r="415" spans="1:4" x14ac:dyDescent="0.45">
      <c r="A415">
        <v>68</v>
      </c>
      <c r="B415" s="3">
        <f t="shared" ca="1" si="6"/>
        <v>66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" t="str">
        <f ca="1">IF(dict_zuord_Meth_Transfers[[#This Row],[kval_active]],dict_zuord_Meth_Transfers[[#This Row],[ID_Transfers]],"")</f>
        <v/>
      </c>
    </row>
    <row r="416" spans="1:4" x14ac:dyDescent="0.45">
      <c r="A416">
        <v>69</v>
      </c>
      <c r="B416" s="3">
        <f t="shared" ca="1" si="6"/>
        <v>107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" t="str">
        <f ca="1">IF(dict_zuord_Meth_Transfers[[#This Row],[kval_active]],dict_zuord_Meth_Transfers[[#This Row],[ID_Transfers]],"")</f>
        <v/>
      </c>
    </row>
    <row r="417" spans="1:4" x14ac:dyDescent="0.45">
      <c r="A417">
        <v>69</v>
      </c>
      <c r="B417" s="3">
        <f t="shared" ca="1" si="6"/>
        <v>105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" t="str">
        <f ca="1">IF(dict_zuord_Meth_Transfers[[#This Row],[kval_active]],dict_zuord_Meth_Transfers[[#This Row],[ID_Transfers]],"")</f>
        <v/>
      </c>
    </row>
    <row r="418" spans="1:4" x14ac:dyDescent="0.45">
      <c r="A418">
        <v>69</v>
      </c>
      <c r="B418">
        <f t="shared" ca="1" si="6"/>
        <v>9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" t="str">
        <f ca="1">IF(dict_zuord_Meth_Transfers[[#This Row],[kval_active]],dict_zuord_Meth_Transfers[[#This Row],[ID_Transfers]],"")</f>
        <v/>
      </c>
    </row>
    <row r="419" spans="1:4" x14ac:dyDescent="0.45">
      <c r="A419">
        <v>69</v>
      </c>
      <c r="B419">
        <f t="shared" ca="1" si="6"/>
        <v>111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" t="str">
        <f ca="1">IF(dict_zuord_Meth_Transfers[[#This Row],[kval_active]],dict_zuord_Meth_Transfers[[#This Row],[ID_Transfers]],"")</f>
        <v/>
      </c>
    </row>
    <row r="420" spans="1:4" x14ac:dyDescent="0.45">
      <c r="A420">
        <v>69</v>
      </c>
      <c r="B420">
        <f t="shared" ca="1" si="6"/>
        <v>9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" t="str">
        <f ca="1">IF(dict_zuord_Meth_Transfers[[#This Row],[kval_active]],dict_zuord_Meth_Transfers[[#This Row],[ID_Transfers]],"")</f>
        <v/>
      </c>
    </row>
    <row r="421" spans="1:4" x14ac:dyDescent="0.45">
      <c r="A421">
        <v>69</v>
      </c>
      <c r="B421" s="3">
        <f t="shared" ca="1" si="6"/>
        <v>64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1" t="str">
        <f ca="1">IF(dict_zuord_Meth_Transfers[[#This Row],[kval_active]],dict_zuord_Meth_Transfers[[#This Row],[ID_Transfers]],"")</f>
        <v/>
      </c>
    </row>
    <row r="422" spans="1:4" x14ac:dyDescent="0.45">
      <c r="A422">
        <v>70</v>
      </c>
      <c r="B422" s="3">
        <f t="shared" ca="1" si="6"/>
        <v>10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2" t="str">
        <f ca="1">IF(dict_zuord_Meth_Transfers[[#This Row],[kval_active]],dict_zuord_Meth_Transfers[[#This Row],[ID_Transfers]],"")</f>
        <v/>
      </c>
    </row>
    <row r="423" spans="1:4" x14ac:dyDescent="0.45">
      <c r="A423">
        <v>70</v>
      </c>
      <c r="B423" s="3">
        <f t="shared" ca="1" si="6"/>
        <v>84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3" t="str">
        <f ca="1">IF(dict_zuord_Meth_Transfers[[#This Row],[kval_active]],dict_zuord_Meth_Transfers[[#This Row],[ID_Transfers]],"")</f>
        <v/>
      </c>
    </row>
    <row r="424" spans="1:4" x14ac:dyDescent="0.45">
      <c r="A424">
        <v>70</v>
      </c>
      <c r="B424">
        <f t="shared" ca="1" si="6"/>
        <v>19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4" t="str">
        <f ca="1">IF(dict_zuord_Meth_Transfers[[#This Row],[kval_active]],dict_zuord_Meth_Transfers[[#This Row],[ID_Transfers]],"")</f>
        <v/>
      </c>
    </row>
    <row r="425" spans="1:4" x14ac:dyDescent="0.45">
      <c r="A425">
        <v>70</v>
      </c>
      <c r="B425">
        <f t="shared" ca="1" si="6"/>
        <v>117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5" t="str">
        <f ca="1">IF(dict_zuord_Meth_Transfers[[#This Row],[kval_active]],dict_zuord_Meth_Transfers[[#This Row],[ID_Transfers]],"")</f>
        <v/>
      </c>
    </row>
    <row r="426" spans="1:4" x14ac:dyDescent="0.45">
      <c r="A426">
        <v>70</v>
      </c>
      <c r="B426">
        <f t="shared" ca="1" si="6"/>
        <v>171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6" t="str">
        <f ca="1">IF(dict_zuord_Meth_Transfers[[#This Row],[kval_active]],dict_zuord_Meth_Transfers[[#This Row],[ID_Transfers]],"")</f>
        <v/>
      </c>
    </row>
    <row r="427" spans="1:4" x14ac:dyDescent="0.45">
      <c r="A427">
        <v>70</v>
      </c>
      <c r="B427" s="3">
        <f t="shared" ca="1" si="6"/>
        <v>49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7" t="str">
        <f ca="1">IF(dict_zuord_Meth_Transfers[[#This Row],[kval_active]],dict_zuord_Meth_Transfers[[#This Row],[ID_Transfers]],"")</f>
        <v/>
      </c>
    </row>
    <row r="428" spans="1:4" x14ac:dyDescent="0.45">
      <c r="A428">
        <v>71</v>
      </c>
      <c r="B428">
        <f t="shared" ca="1" si="6"/>
        <v>68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8" t="str">
        <f ca="1">IF(dict_zuord_Meth_Transfers[[#This Row],[kval_active]],dict_zuord_Meth_Transfers[[#This Row],[ID_Transfers]],"")</f>
        <v/>
      </c>
    </row>
    <row r="429" spans="1:4" x14ac:dyDescent="0.45">
      <c r="A429">
        <v>71</v>
      </c>
      <c r="B429">
        <f t="shared" ca="1" si="6"/>
        <v>15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9" t="str">
        <f ca="1">IF(dict_zuord_Meth_Transfers[[#This Row],[kval_active]],dict_zuord_Meth_Transfers[[#This Row],[ID_Transfers]],"")</f>
        <v/>
      </c>
    </row>
    <row r="430" spans="1:4" x14ac:dyDescent="0.45">
      <c r="A430">
        <v>71</v>
      </c>
      <c r="B430" s="3">
        <f t="shared" ca="1" si="6"/>
        <v>195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0" t="str">
        <f ca="1">IF(dict_zuord_Meth_Transfers[[#This Row],[kval_active]],dict_zuord_Meth_Transfers[[#This Row],[ID_Transfers]],"")</f>
        <v/>
      </c>
    </row>
    <row r="431" spans="1:4" x14ac:dyDescent="0.45">
      <c r="A431">
        <v>71</v>
      </c>
      <c r="B431" s="3">
        <f t="shared" ca="1" si="6"/>
        <v>82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1" t="str">
        <f ca="1">IF(dict_zuord_Meth_Transfers[[#This Row],[kval_active]],dict_zuord_Meth_Transfers[[#This Row],[ID_Transfers]],"")</f>
        <v/>
      </c>
    </row>
    <row r="432" spans="1:4" x14ac:dyDescent="0.45">
      <c r="A432">
        <v>71</v>
      </c>
      <c r="B432" s="3">
        <f t="shared" ca="1" si="6"/>
        <v>111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2" t="str">
        <f ca="1">IF(dict_zuord_Meth_Transfers[[#This Row],[kval_active]],dict_zuord_Meth_Transfers[[#This Row],[ID_Transfers]],"")</f>
        <v/>
      </c>
    </row>
    <row r="433" spans="1:4" x14ac:dyDescent="0.45">
      <c r="A433">
        <v>71</v>
      </c>
      <c r="B433">
        <f t="shared" ca="1" si="6"/>
        <v>55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3" t="str">
        <f ca="1">IF(dict_zuord_Meth_Transfers[[#This Row],[kval_active]],dict_zuord_Meth_Transfers[[#This Row],[ID_Transfers]],"")</f>
        <v/>
      </c>
    </row>
    <row r="434" spans="1:4" x14ac:dyDescent="0.45">
      <c r="A434">
        <v>72</v>
      </c>
      <c r="B434">
        <f t="shared" ca="1" si="6"/>
        <v>143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4" t="str">
        <f ca="1">IF(dict_zuord_Meth_Transfers[[#This Row],[kval_active]],dict_zuord_Meth_Transfers[[#This Row],[ID_Transfers]],"")</f>
        <v/>
      </c>
    </row>
    <row r="435" spans="1:4" x14ac:dyDescent="0.45">
      <c r="A435">
        <v>72</v>
      </c>
      <c r="B435" s="3">
        <f t="shared" ca="1" si="6"/>
        <v>56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5" t="str">
        <f ca="1">IF(dict_zuord_Meth_Transfers[[#This Row],[kval_active]],dict_zuord_Meth_Transfers[[#This Row],[ID_Transfers]],"")</f>
        <v/>
      </c>
    </row>
    <row r="436" spans="1:4" x14ac:dyDescent="0.45">
      <c r="A436">
        <v>72</v>
      </c>
      <c r="B436">
        <f t="shared" ca="1" si="6"/>
        <v>148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6" t="str">
        <f ca="1">IF(dict_zuord_Meth_Transfers[[#This Row],[kval_active]],dict_zuord_Meth_Transfers[[#This Row],[ID_Transfers]],"")</f>
        <v/>
      </c>
    </row>
    <row r="437" spans="1:4" x14ac:dyDescent="0.45">
      <c r="A437">
        <v>72</v>
      </c>
      <c r="B437">
        <f t="shared" ca="1" si="6"/>
        <v>125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7" t="str">
        <f ca="1">IF(dict_zuord_Meth_Transfers[[#This Row],[kval_active]],dict_zuord_Meth_Transfers[[#This Row],[ID_Transfers]],"")</f>
        <v/>
      </c>
    </row>
    <row r="438" spans="1:4" x14ac:dyDescent="0.45">
      <c r="A438">
        <v>72</v>
      </c>
      <c r="B438" s="3">
        <f t="shared" ca="1" si="6"/>
        <v>30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8" t="str">
        <f ca="1">IF(dict_zuord_Meth_Transfers[[#This Row],[kval_active]],dict_zuord_Meth_Transfers[[#This Row],[ID_Transfers]],"")</f>
        <v/>
      </c>
    </row>
    <row r="439" spans="1:4" x14ac:dyDescent="0.45">
      <c r="A439">
        <v>72</v>
      </c>
      <c r="B439" s="3">
        <f t="shared" ca="1" si="6"/>
        <v>154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9" t="str">
        <f ca="1">IF(dict_zuord_Meth_Transfers[[#This Row],[kval_active]],dict_zuord_Meth_Transfers[[#This Row],[ID_Transfers]],"")</f>
        <v/>
      </c>
    </row>
    <row r="440" spans="1:4" x14ac:dyDescent="0.45">
      <c r="A440">
        <v>73</v>
      </c>
      <c r="B440" s="3">
        <f t="shared" ca="1" si="6"/>
        <v>2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0" t="str">
        <f ca="1">IF(dict_zuord_Meth_Transfers[[#This Row],[kval_active]],dict_zuord_Meth_Transfers[[#This Row],[ID_Transfers]],"")</f>
        <v/>
      </c>
    </row>
    <row r="441" spans="1:4" x14ac:dyDescent="0.45">
      <c r="A441">
        <v>73</v>
      </c>
      <c r="B441">
        <f t="shared" ca="1" si="6"/>
        <v>82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1" t="str">
        <f ca="1">IF(dict_zuord_Meth_Transfers[[#This Row],[kval_active]],dict_zuord_Meth_Transfers[[#This Row],[ID_Transfers]],"")</f>
        <v/>
      </c>
    </row>
    <row r="442" spans="1:4" x14ac:dyDescent="0.45">
      <c r="A442">
        <v>73</v>
      </c>
      <c r="B442" s="3">
        <f t="shared" ca="1" si="6"/>
        <v>110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2" t="str">
        <f ca="1">IF(dict_zuord_Meth_Transfers[[#This Row],[kval_active]],dict_zuord_Meth_Transfers[[#This Row],[ID_Transfers]],"")</f>
        <v/>
      </c>
    </row>
    <row r="443" spans="1:4" x14ac:dyDescent="0.45">
      <c r="A443">
        <v>73</v>
      </c>
      <c r="B443">
        <f t="shared" ca="1" si="6"/>
        <v>8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3" t="str">
        <f ca="1">IF(dict_zuord_Meth_Transfers[[#This Row],[kval_active]],dict_zuord_Meth_Transfers[[#This Row],[ID_Transfers]],"")</f>
        <v/>
      </c>
    </row>
    <row r="444" spans="1:4" x14ac:dyDescent="0.45">
      <c r="A444">
        <v>73</v>
      </c>
      <c r="B444">
        <f t="shared" ca="1" si="6"/>
        <v>158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4" t="str">
        <f ca="1">IF(dict_zuord_Meth_Transfers[[#This Row],[kval_active]],dict_zuord_Meth_Transfers[[#This Row],[ID_Transfers]],"")</f>
        <v/>
      </c>
    </row>
    <row r="445" spans="1:4" x14ac:dyDescent="0.45">
      <c r="A445">
        <v>73</v>
      </c>
      <c r="B445" s="3">
        <f t="shared" ca="1" si="6"/>
        <v>129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5" t="str">
        <f ca="1">IF(dict_zuord_Meth_Transfers[[#This Row],[kval_active]],dict_zuord_Meth_Transfers[[#This Row],[ID_Transfers]],"")</f>
        <v/>
      </c>
    </row>
    <row r="446" spans="1:4" x14ac:dyDescent="0.45">
      <c r="A446">
        <v>74</v>
      </c>
      <c r="B446" s="3">
        <f t="shared" ca="1" si="6"/>
        <v>163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6" t="str">
        <f ca="1">IF(dict_zuord_Meth_Transfers[[#This Row],[kval_active]],dict_zuord_Meth_Transfers[[#This Row],[ID_Transfers]],"")</f>
        <v/>
      </c>
    </row>
    <row r="447" spans="1:4" x14ac:dyDescent="0.45">
      <c r="A447">
        <v>74</v>
      </c>
      <c r="B447">
        <f t="shared" ca="1" si="6"/>
        <v>80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7" t="str">
        <f ca="1">IF(dict_zuord_Meth_Transfers[[#This Row],[kval_active]],dict_zuord_Meth_Transfers[[#This Row],[ID_Transfers]],"")</f>
        <v/>
      </c>
    </row>
    <row r="448" spans="1:4" x14ac:dyDescent="0.45">
      <c r="A448">
        <v>74</v>
      </c>
      <c r="B448" s="3">
        <f t="shared" ca="1" si="6"/>
        <v>136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8" t="str">
        <f ca="1">IF(dict_zuord_Meth_Transfers[[#This Row],[kval_active]],dict_zuord_Meth_Transfers[[#This Row],[ID_Transfers]],"")</f>
        <v/>
      </c>
    </row>
    <row r="449" spans="1:4" x14ac:dyDescent="0.45">
      <c r="A449">
        <v>74</v>
      </c>
      <c r="B449">
        <f t="shared" ca="1" si="6"/>
        <v>43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9" t="str">
        <f ca="1">IF(dict_zuord_Meth_Transfers[[#This Row],[kval_active]],dict_zuord_Meth_Transfers[[#This Row],[ID_Transfers]],"")</f>
        <v/>
      </c>
    </row>
    <row r="450" spans="1:4" x14ac:dyDescent="0.45">
      <c r="A450">
        <v>74</v>
      </c>
      <c r="B450">
        <f t="shared" ref="B450:B513" ca="1" si="7">RANDBETWEEN(0,200)</f>
        <v>23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0" t="str">
        <f ca="1">IF(dict_zuord_Meth_Transfers[[#This Row],[kval_active]],dict_zuord_Meth_Transfers[[#This Row],[ID_Transfers]],"")</f>
        <v/>
      </c>
    </row>
    <row r="451" spans="1:4" x14ac:dyDescent="0.45">
      <c r="A451">
        <v>74</v>
      </c>
      <c r="B451" s="3">
        <f t="shared" ca="1" si="7"/>
        <v>20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1" t="str">
        <f ca="1">IF(dict_zuord_Meth_Transfers[[#This Row],[kval_active]],dict_zuord_Meth_Transfers[[#This Row],[ID_Transfers]],"")</f>
        <v/>
      </c>
    </row>
    <row r="452" spans="1:4" x14ac:dyDescent="0.45">
      <c r="A452">
        <v>75</v>
      </c>
      <c r="B452">
        <f t="shared" ca="1" si="7"/>
        <v>197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2" t="str">
        <f ca="1">IF(dict_zuord_Meth_Transfers[[#This Row],[kval_active]],dict_zuord_Meth_Transfers[[#This Row],[ID_Transfers]],"")</f>
        <v/>
      </c>
    </row>
    <row r="453" spans="1:4" x14ac:dyDescent="0.45">
      <c r="A453">
        <v>75</v>
      </c>
      <c r="B453" s="3">
        <f t="shared" ca="1" si="7"/>
        <v>77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3" t="str">
        <f ca="1">IF(dict_zuord_Meth_Transfers[[#This Row],[kval_active]],dict_zuord_Meth_Transfers[[#This Row],[ID_Transfers]],"")</f>
        <v/>
      </c>
    </row>
    <row r="454" spans="1:4" x14ac:dyDescent="0.45">
      <c r="A454">
        <v>75</v>
      </c>
      <c r="B454">
        <f t="shared" ca="1" si="7"/>
        <v>161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4" t="str">
        <f ca="1">IF(dict_zuord_Meth_Transfers[[#This Row],[kval_active]],dict_zuord_Meth_Transfers[[#This Row],[ID_Transfers]],"")</f>
        <v/>
      </c>
    </row>
    <row r="455" spans="1:4" x14ac:dyDescent="0.45">
      <c r="A455">
        <v>75</v>
      </c>
      <c r="B455" s="3">
        <f t="shared" ca="1" si="7"/>
        <v>9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5" t="str">
        <f ca="1">IF(dict_zuord_Meth_Transfers[[#This Row],[kval_active]],dict_zuord_Meth_Transfers[[#This Row],[ID_Transfers]],"")</f>
        <v/>
      </c>
    </row>
    <row r="456" spans="1:4" x14ac:dyDescent="0.45">
      <c r="A456">
        <v>75</v>
      </c>
      <c r="B456">
        <f t="shared" ca="1" si="7"/>
        <v>28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6" t="str">
        <f ca="1">IF(dict_zuord_Meth_Transfers[[#This Row],[kval_active]],dict_zuord_Meth_Transfers[[#This Row],[ID_Transfers]],"")</f>
        <v/>
      </c>
    </row>
    <row r="457" spans="1:4" x14ac:dyDescent="0.45">
      <c r="A457">
        <v>75</v>
      </c>
      <c r="B457" s="3">
        <f t="shared" ca="1" si="7"/>
        <v>103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7" t="str">
        <f ca="1">IF(dict_zuord_Meth_Transfers[[#This Row],[kval_active]],dict_zuord_Meth_Transfers[[#This Row],[ID_Transfers]],"")</f>
        <v/>
      </c>
    </row>
    <row r="458" spans="1:4" x14ac:dyDescent="0.45">
      <c r="A458">
        <v>76</v>
      </c>
      <c r="B458">
        <f t="shared" ca="1" si="7"/>
        <v>152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8" t="str">
        <f ca="1">IF(dict_zuord_Meth_Transfers[[#This Row],[kval_active]],dict_zuord_Meth_Transfers[[#This Row],[ID_Transfers]],"")</f>
        <v/>
      </c>
    </row>
    <row r="459" spans="1:4" x14ac:dyDescent="0.45">
      <c r="A459">
        <v>76</v>
      </c>
      <c r="B459" s="3">
        <f t="shared" ca="1" si="7"/>
        <v>4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9" t="str">
        <f ca="1">IF(dict_zuord_Meth_Transfers[[#This Row],[kval_active]],dict_zuord_Meth_Transfers[[#This Row],[ID_Transfers]],"")</f>
        <v/>
      </c>
    </row>
    <row r="460" spans="1:4" x14ac:dyDescent="0.45">
      <c r="A460">
        <v>76</v>
      </c>
      <c r="B460" s="3">
        <f t="shared" ca="1" si="7"/>
        <v>67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0" t="str">
        <f ca="1">IF(dict_zuord_Meth_Transfers[[#This Row],[kval_active]],dict_zuord_Meth_Transfers[[#This Row],[ID_Transfers]],"")</f>
        <v/>
      </c>
    </row>
    <row r="461" spans="1:4" x14ac:dyDescent="0.45">
      <c r="A461">
        <v>76</v>
      </c>
      <c r="B461" s="3">
        <f t="shared" ca="1" si="7"/>
        <v>175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1" t="str">
        <f ca="1">IF(dict_zuord_Meth_Transfers[[#This Row],[kval_active]],dict_zuord_Meth_Transfers[[#This Row],[ID_Transfers]],"")</f>
        <v/>
      </c>
    </row>
    <row r="462" spans="1:4" x14ac:dyDescent="0.45">
      <c r="A462">
        <v>76</v>
      </c>
      <c r="B462">
        <f t="shared" ca="1" si="7"/>
        <v>159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2" t="str">
        <f ca="1">IF(dict_zuord_Meth_Transfers[[#This Row],[kval_active]],dict_zuord_Meth_Transfers[[#This Row],[ID_Transfers]],"")</f>
        <v/>
      </c>
    </row>
    <row r="463" spans="1:4" x14ac:dyDescent="0.45">
      <c r="A463">
        <v>76</v>
      </c>
      <c r="B463">
        <f t="shared" ca="1" si="7"/>
        <v>179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3" t="str">
        <f ca="1">IF(dict_zuord_Meth_Transfers[[#This Row],[kval_active]],dict_zuord_Meth_Transfers[[#This Row],[ID_Transfers]],"")</f>
        <v/>
      </c>
    </row>
    <row r="464" spans="1:4" x14ac:dyDescent="0.45">
      <c r="A464">
        <v>77</v>
      </c>
      <c r="B464">
        <f t="shared" ca="1" si="7"/>
        <v>187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4" t="str">
        <f ca="1">IF(dict_zuord_Meth_Transfers[[#This Row],[kval_active]],dict_zuord_Meth_Transfers[[#This Row],[ID_Transfers]],"")</f>
        <v/>
      </c>
    </row>
    <row r="465" spans="1:4" x14ac:dyDescent="0.45">
      <c r="A465">
        <v>77</v>
      </c>
      <c r="B465" s="3">
        <f t="shared" ca="1" si="7"/>
        <v>103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5" t="str">
        <f ca="1">IF(dict_zuord_Meth_Transfers[[#This Row],[kval_active]],dict_zuord_Meth_Transfers[[#This Row],[ID_Transfers]],"")</f>
        <v/>
      </c>
    </row>
    <row r="466" spans="1:4" x14ac:dyDescent="0.45">
      <c r="A466">
        <v>77</v>
      </c>
      <c r="B466" s="3">
        <f t="shared" ca="1" si="7"/>
        <v>197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6" t="str">
        <f ca="1">IF(dict_zuord_Meth_Transfers[[#This Row],[kval_active]],dict_zuord_Meth_Transfers[[#This Row],[ID_Transfers]],"")</f>
        <v/>
      </c>
    </row>
    <row r="467" spans="1:4" x14ac:dyDescent="0.45">
      <c r="A467">
        <v>77</v>
      </c>
      <c r="B467" s="3">
        <f t="shared" ca="1" si="7"/>
        <v>46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7" t="str">
        <f ca="1">IF(dict_zuord_Meth_Transfers[[#This Row],[kval_active]],dict_zuord_Meth_Transfers[[#This Row],[ID_Transfers]],"")</f>
        <v/>
      </c>
    </row>
    <row r="468" spans="1:4" x14ac:dyDescent="0.45">
      <c r="A468">
        <v>77</v>
      </c>
      <c r="B468">
        <f t="shared" ca="1" si="7"/>
        <v>74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8" t="str">
        <f ca="1">IF(dict_zuord_Meth_Transfers[[#This Row],[kval_active]],dict_zuord_Meth_Transfers[[#This Row],[ID_Transfers]],"")</f>
        <v/>
      </c>
    </row>
    <row r="469" spans="1:4" x14ac:dyDescent="0.45">
      <c r="A469">
        <v>77</v>
      </c>
      <c r="B469">
        <f t="shared" ca="1" si="7"/>
        <v>125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9" t="str">
        <f ca="1">IF(dict_zuord_Meth_Transfers[[#This Row],[kval_active]],dict_zuord_Meth_Transfers[[#This Row],[ID_Transfers]],"")</f>
        <v/>
      </c>
    </row>
    <row r="470" spans="1:4" x14ac:dyDescent="0.45">
      <c r="A470">
        <v>78</v>
      </c>
      <c r="B470" s="3">
        <f t="shared" ca="1" si="7"/>
        <v>43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0" t="str">
        <f ca="1">IF(dict_zuord_Meth_Transfers[[#This Row],[kval_active]],dict_zuord_Meth_Transfers[[#This Row],[ID_Transfers]],"")</f>
        <v/>
      </c>
    </row>
    <row r="471" spans="1:4" x14ac:dyDescent="0.45">
      <c r="A471">
        <v>78</v>
      </c>
      <c r="B471">
        <f t="shared" ca="1" si="7"/>
        <v>87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1" t="str">
        <f ca="1">IF(dict_zuord_Meth_Transfers[[#This Row],[kval_active]],dict_zuord_Meth_Transfers[[#This Row],[ID_Transfers]],"")</f>
        <v/>
      </c>
    </row>
    <row r="472" spans="1:4" x14ac:dyDescent="0.45">
      <c r="A472">
        <v>78</v>
      </c>
      <c r="B472">
        <f t="shared" ca="1" si="7"/>
        <v>177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2" t="str">
        <f ca="1">IF(dict_zuord_Meth_Transfers[[#This Row],[kval_active]],dict_zuord_Meth_Transfers[[#This Row],[ID_Transfers]],"")</f>
        <v/>
      </c>
    </row>
    <row r="473" spans="1:4" x14ac:dyDescent="0.45">
      <c r="A473">
        <v>78</v>
      </c>
      <c r="B473" s="3">
        <f t="shared" ca="1" si="7"/>
        <v>33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3" t="str">
        <f ca="1">IF(dict_zuord_Meth_Transfers[[#This Row],[kval_active]],dict_zuord_Meth_Transfers[[#This Row],[ID_Transfers]],"")</f>
        <v/>
      </c>
    </row>
    <row r="474" spans="1:4" x14ac:dyDescent="0.45">
      <c r="A474">
        <v>78</v>
      </c>
      <c r="B474">
        <f t="shared" ca="1" si="7"/>
        <v>5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4" t="str">
        <f ca="1">IF(dict_zuord_Meth_Transfers[[#This Row],[kval_active]],dict_zuord_Meth_Transfers[[#This Row],[ID_Transfers]],"")</f>
        <v/>
      </c>
    </row>
    <row r="475" spans="1:4" x14ac:dyDescent="0.45">
      <c r="A475">
        <v>78</v>
      </c>
      <c r="B475" s="3">
        <f t="shared" ca="1" si="7"/>
        <v>117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5" t="str">
        <f ca="1">IF(dict_zuord_Meth_Transfers[[#This Row],[kval_active]],dict_zuord_Meth_Transfers[[#This Row],[ID_Transfers]],"")</f>
        <v/>
      </c>
    </row>
    <row r="476" spans="1:4" x14ac:dyDescent="0.45">
      <c r="A476">
        <v>79</v>
      </c>
      <c r="B476">
        <f t="shared" ca="1" si="7"/>
        <v>169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6" t="str">
        <f ca="1">IF(dict_zuord_Meth_Transfers[[#This Row],[kval_active]],dict_zuord_Meth_Transfers[[#This Row],[ID_Transfers]],"")</f>
        <v/>
      </c>
    </row>
    <row r="477" spans="1:4" x14ac:dyDescent="0.45">
      <c r="A477">
        <v>79</v>
      </c>
      <c r="B477" s="3">
        <f t="shared" ca="1" si="7"/>
        <v>152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7" t="str">
        <f ca="1">IF(dict_zuord_Meth_Transfers[[#This Row],[kval_active]],dict_zuord_Meth_Transfers[[#This Row],[ID_Transfers]],"")</f>
        <v/>
      </c>
    </row>
    <row r="478" spans="1:4" x14ac:dyDescent="0.45">
      <c r="A478">
        <v>79</v>
      </c>
      <c r="B478">
        <f t="shared" ca="1" si="7"/>
        <v>152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8" t="str">
        <f ca="1">IF(dict_zuord_Meth_Transfers[[#This Row],[kval_active]],dict_zuord_Meth_Transfers[[#This Row],[ID_Transfers]],"")</f>
        <v/>
      </c>
    </row>
    <row r="479" spans="1:4" x14ac:dyDescent="0.45">
      <c r="A479">
        <v>79</v>
      </c>
      <c r="B479" s="3">
        <f t="shared" ca="1" si="7"/>
        <v>22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9" t="str">
        <f ca="1">IF(dict_zuord_Meth_Transfers[[#This Row],[kval_active]],dict_zuord_Meth_Transfers[[#This Row],[ID_Transfers]],"")</f>
        <v/>
      </c>
    </row>
    <row r="480" spans="1:4" x14ac:dyDescent="0.45">
      <c r="A480">
        <v>79</v>
      </c>
      <c r="B480" s="3">
        <f t="shared" ca="1" si="7"/>
        <v>118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0" t="str">
        <f ca="1">IF(dict_zuord_Meth_Transfers[[#This Row],[kval_active]],dict_zuord_Meth_Transfers[[#This Row],[ID_Transfers]],"")</f>
        <v/>
      </c>
    </row>
    <row r="481" spans="1:4" x14ac:dyDescent="0.45">
      <c r="A481">
        <v>79</v>
      </c>
      <c r="B481">
        <f t="shared" ca="1" si="7"/>
        <v>106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1" t="str">
        <f ca="1">IF(dict_zuord_Meth_Transfers[[#This Row],[kval_active]],dict_zuord_Meth_Transfers[[#This Row],[ID_Transfers]],"")</f>
        <v/>
      </c>
    </row>
    <row r="482" spans="1:4" x14ac:dyDescent="0.45">
      <c r="A482">
        <v>80</v>
      </c>
      <c r="B482">
        <f t="shared" ca="1" si="7"/>
        <v>73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2" t="str">
        <f ca="1">IF(dict_zuord_Meth_Transfers[[#This Row],[kval_active]],dict_zuord_Meth_Transfers[[#This Row],[ID_Transfers]],"")</f>
        <v/>
      </c>
    </row>
    <row r="483" spans="1:4" x14ac:dyDescent="0.45">
      <c r="A483">
        <v>80</v>
      </c>
      <c r="B483" s="3">
        <f t="shared" ca="1" si="7"/>
        <v>111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3" t="str">
        <f ca="1">IF(dict_zuord_Meth_Transfers[[#This Row],[kval_active]],dict_zuord_Meth_Transfers[[#This Row],[ID_Transfers]],"")</f>
        <v/>
      </c>
    </row>
    <row r="484" spans="1:4" x14ac:dyDescent="0.45">
      <c r="A484">
        <v>80</v>
      </c>
      <c r="B484">
        <f t="shared" ca="1" si="7"/>
        <v>183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4" t="str">
        <f ca="1">IF(dict_zuord_Meth_Transfers[[#This Row],[kval_active]],dict_zuord_Meth_Transfers[[#This Row],[ID_Transfers]],"")</f>
        <v/>
      </c>
    </row>
    <row r="485" spans="1:4" x14ac:dyDescent="0.45">
      <c r="A485">
        <v>80</v>
      </c>
      <c r="B485" s="3">
        <f t="shared" ca="1" si="7"/>
        <v>175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5" t="str">
        <f ca="1">IF(dict_zuord_Meth_Transfers[[#This Row],[kval_active]],dict_zuord_Meth_Transfers[[#This Row],[ID_Transfers]],"")</f>
        <v/>
      </c>
    </row>
    <row r="486" spans="1:4" x14ac:dyDescent="0.45">
      <c r="A486">
        <v>80</v>
      </c>
      <c r="B486" s="3">
        <f t="shared" ca="1" si="7"/>
        <v>200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6" t="str">
        <f ca="1">IF(dict_zuord_Meth_Transfers[[#This Row],[kval_active]],dict_zuord_Meth_Transfers[[#This Row],[ID_Transfers]],"")</f>
        <v/>
      </c>
    </row>
    <row r="487" spans="1:4" x14ac:dyDescent="0.45">
      <c r="A487">
        <v>80</v>
      </c>
      <c r="B487">
        <f t="shared" ca="1" si="7"/>
        <v>126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7" t="str">
        <f ca="1">IF(dict_zuord_Meth_Transfers[[#This Row],[kval_active]],dict_zuord_Meth_Transfers[[#This Row],[ID_Transfers]],"")</f>
        <v/>
      </c>
    </row>
    <row r="488" spans="1:4" x14ac:dyDescent="0.45">
      <c r="A488">
        <v>81</v>
      </c>
      <c r="B488" s="3">
        <f t="shared" ca="1" si="7"/>
        <v>104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8" t="str">
        <f ca="1">IF(dict_zuord_Meth_Transfers[[#This Row],[kval_active]],dict_zuord_Meth_Transfers[[#This Row],[ID_Transfers]],"")</f>
        <v/>
      </c>
    </row>
    <row r="489" spans="1:4" x14ac:dyDescent="0.45">
      <c r="A489">
        <v>81</v>
      </c>
      <c r="B489">
        <f t="shared" ca="1" si="7"/>
        <v>151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9" t="str">
        <f ca="1">IF(dict_zuord_Meth_Transfers[[#This Row],[kval_active]],dict_zuord_Meth_Transfers[[#This Row],[ID_Transfers]],"")</f>
        <v/>
      </c>
    </row>
    <row r="490" spans="1:4" x14ac:dyDescent="0.45">
      <c r="A490">
        <v>81</v>
      </c>
      <c r="B490" s="3">
        <f t="shared" ca="1" si="7"/>
        <v>54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0" t="str">
        <f ca="1">IF(dict_zuord_Meth_Transfers[[#This Row],[kval_active]],dict_zuord_Meth_Transfers[[#This Row],[ID_Transfers]],"")</f>
        <v/>
      </c>
    </row>
    <row r="491" spans="1:4" x14ac:dyDescent="0.45">
      <c r="A491">
        <v>81</v>
      </c>
      <c r="B491">
        <f t="shared" ca="1" si="7"/>
        <v>100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1" t="str">
        <f ca="1">IF(dict_zuord_Meth_Transfers[[#This Row],[kval_active]],dict_zuord_Meth_Transfers[[#This Row],[ID_Transfers]],"")</f>
        <v/>
      </c>
    </row>
    <row r="492" spans="1:4" x14ac:dyDescent="0.45">
      <c r="A492">
        <v>81</v>
      </c>
      <c r="B492">
        <f t="shared" ca="1" si="7"/>
        <v>0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2" t="str">
        <f ca="1">IF(dict_zuord_Meth_Transfers[[#This Row],[kval_active]],dict_zuord_Meth_Transfers[[#This Row],[ID_Transfers]],"")</f>
        <v/>
      </c>
    </row>
    <row r="493" spans="1:4" x14ac:dyDescent="0.45">
      <c r="A493">
        <v>81</v>
      </c>
      <c r="B493" s="3">
        <f t="shared" ca="1" si="7"/>
        <v>111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3" t="str">
        <f ca="1">IF(dict_zuord_Meth_Transfers[[#This Row],[kval_active]],dict_zuord_Meth_Transfers[[#This Row],[ID_Transfers]],"")</f>
        <v/>
      </c>
    </row>
    <row r="494" spans="1:4" x14ac:dyDescent="0.45">
      <c r="A494">
        <v>82</v>
      </c>
      <c r="B494" s="3">
        <f t="shared" ca="1" si="7"/>
        <v>161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4" t="str">
        <f ca="1">IF(dict_zuord_Meth_Transfers[[#This Row],[kval_active]],dict_zuord_Meth_Transfers[[#This Row],[ID_Transfers]],"")</f>
        <v/>
      </c>
    </row>
    <row r="495" spans="1:4" x14ac:dyDescent="0.45">
      <c r="A495">
        <v>82</v>
      </c>
      <c r="B495">
        <f t="shared" ca="1" si="7"/>
        <v>57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5" t="str">
        <f ca="1">IF(dict_zuord_Meth_Transfers[[#This Row],[kval_active]],dict_zuord_Meth_Transfers[[#This Row],[ID_Transfers]],"")</f>
        <v/>
      </c>
    </row>
    <row r="496" spans="1:4" x14ac:dyDescent="0.45">
      <c r="A496">
        <v>82</v>
      </c>
      <c r="B496" s="3">
        <f t="shared" ca="1" si="7"/>
        <v>183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6" t="str">
        <f ca="1">IF(dict_zuord_Meth_Transfers[[#This Row],[kval_active]],dict_zuord_Meth_Transfers[[#This Row],[ID_Transfers]],"")</f>
        <v/>
      </c>
    </row>
    <row r="497" spans="1:4" x14ac:dyDescent="0.45">
      <c r="A497">
        <v>82</v>
      </c>
      <c r="B497">
        <f t="shared" ca="1" si="7"/>
        <v>153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7" t="str">
        <f ca="1">IF(dict_zuord_Meth_Transfers[[#This Row],[kval_active]],dict_zuord_Meth_Transfers[[#This Row],[ID_Transfers]],"")</f>
        <v/>
      </c>
    </row>
    <row r="498" spans="1:4" x14ac:dyDescent="0.45">
      <c r="A498">
        <v>82</v>
      </c>
      <c r="B498" s="3">
        <f t="shared" ca="1" si="7"/>
        <v>11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8" t="str">
        <f ca="1">IF(dict_zuord_Meth_Transfers[[#This Row],[kval_active]],dict_zuord_Meth_Transfers[[#This Row],[ID_Transfers]],"")</f>
        <v/>
      </c>
    </row>
    <row r="499" spans="1:4" x14ac:dyDescent="0.45">
      <c r="A499">
        <v>82</v>
      </c>
      <c r="B499">
        <f t="shared" ca="1" si="7"/>
        <v>180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9" t="str">
        <f ca="1">IF(dict_zuord_Meth_Transfers[[#This Row],[kval_active]],dict_zuord_Meth_Transfers[[#This Row],[ID_Transfers]],"")</f>
        <v/>
      </c>
    </row>
    <row r="500" spans="1:4" x14ac:dyDescent="0.45">
      <c r="A500">
        <v>83</v>
      </c>
      <c r="B500">
        <f t="shared" ca="1" si="7"/>
        <v>16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0" t="str">
        <f ca="1">IF(dict_zuord_Meth_Transfers[[#This Row],[kval_active]],dict_zuord_Meth_Transfers[[#This Row],[ID_Transfers]],"")</f>
        <v/>
      </c>
    </row>
    <row r="501" spans="1:4" x14ac:dyDescent="0.45">
      <c r="A501">
        <v>83</v>
      </c>
      <c r="B501" s="3">
        <f t="shared" ca="1" si="7"/>
        <v>94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1" t="str">
        <f ca="1">IF(dict_zuord_Meth_Transfers[[#This Row],[kval_active]],dict_zuord_Meth_Transfers[[#This Row],[ID_Transfers]],"")</f>
        <v/>
      </c>
    </row>
    <row r="502" spans="1:4" x14ac:dyDescent="0.45">
      <c r="A502">
        <v>83</v>
      </c>
      <c r="B502">
        <f t="shared" ca="1" si="7"/>
        <v>110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2" t="str">
        <f ca="1">IF(dict_zuord_Meth_Transfers[[#This Row],[kval_active]],dict_zuord_Meth_Transfers[[#This Row],[ID_Transfers]],"")</f>
        <v/>
      </c>
    </row>
    <row r="503" spans="1:4" x14ac:dyDescent="0.45">
      <c r="A503">
        <v>83</v>
      </c>
      <c r="B503" s="3">
        <f t="shared" ca="1" si="7"/>
        <v>87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3" t="str">
        <f ca="1">IF(dict_zuord_Meth_Transfers[[#This Row],[kval_active]],dict_zuord_Meth_Transfers[[#This Row],[ID_Transfers]],"")</f>
        <v/>
      </c>
    </row>
    <row r="504" spans="1:4" x14ac:dyDescent="0.45">
      <c r="A504">
        <v>83</v>
      </c>
      <c r="B504">
        <f t="shared" ca="1" si="7"/>
        <v>152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4" t="str">
        <f ca="1">IF(dict_zuord_Meth_Transfers[[#This Row],[kval_active]],dict_zuord_Meth_Transfers[[#This Row],[ID_Transfers]],"")</f>
        <v/>
      </c>
    </row>
    <row r="505" spans="1:4" x14ac:dyDescent="0.45">
      <c r="A505">
        <v>83</v>
      </c>
      <c r="B505" s="3">
        <f t="shared" ca="1" si="7"/>
        <v>130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5" t="str">
        <f ca="1">IF(dict_zuord_Meth_Transfers[[#This Row],[kval_active]],dict_zuord_Meth_Transfers[[#This Row],[ID_Transfers]],"")</f>
        <v/>
      </c>
    </row>
    <row r="506" spans="1:4" x14ac:dyDescent="0.45">
      <c r="A506">
        <v>84</v>
      </c>
      <c r="B506">
        <f t="shared" ca="1" si="7"/>
        <v>121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6" t="str">
        <f ca="1">IF(dict_zuord_Meth_Transfers[[#This Row],[kval_active]],dict_zuord_Meth_Transfers[[#This Row],[ID_Transfers]],"")</f>
        <v/>
      </c>
    </row>
    <row r="507" spans="1:4" x14ac:dyDescent="0.45">
      <c r="A507">
        <v>84</v>
      </c>
      <c r="B507" s="3">
        <f t="shared" ca="1" si="7"/>
        <v>31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7" t="str">
        <f ca="1">IF(dict_zuord_Meth_Transfers[[#This Row],[kval_active]],dict_zuord_Meth_Transfers[[#This Row],[ID_Transfers]],"")</f>
        <v/>
      </c>
    </row>
    <row r="508" spans="1:4" x14ac:dyDescent="0.45">
      <c r="A508">
        <v>84</v>
      </c>
      <c r="B508">
        <f t="shared" ca="1" si="7"/>
        <v>192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8" t="str">
        <f ca="1">IF(dict_zuord_Meth_Transfers[[#This Row],[kval_active]],dict_zuord_Meth_Transfers[[#This Row],[ID_Transfers]],"")</f>
        <v/>
      </c>
    </row>
    <row r="509" spans="1:4" x14ac:dyDescent="0.45">
      <c r="A509">
        <v>84</v>
      </c>
      <c r="B509">
        <f t="shared" ca="1" si="7"/>
        <v>84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9" t="str">
        <f ca="1">IF(dict_zuord_Meth_Transfers[[#This Row],[kval_active]],dict_zuord_Meth_Transfers[[#This Row],[ID_Transfers]],"")</f>
        <v/>
      </c>
    </row>
    <row r="510" spans="1:4" x14ac:dyDescent="0.45">
      <c r="A510">
        <v>84</v>
      </c>
      <c r="B510" s="3">
        <f t="shared" ca="1" si="7"/>
        <v>97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0" t="str">
        <f ca="1">IF(dict_zuord_Meth_Transfers[[#This Row],[kval_active]],dict_zuord_Meth_Transfers[[#This Row],[ID_Transfers]],"")</f>
        <v/>
      </c>
    </row>
    <row r="511" spans="1:4" x14ac:dyDescent="0.45">
      <c r="A511">
        <v>84</v>
      </c>
      <c r="B511" s="3">
        <f t="shared" ca="1" si="7"/>
        <v>52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1" t="str">
        <f ca="1">IF(dict_zuord_Meth_Transfers[[#This Row],[kval_active]],dict_zuord_Meth_Transfers[[#This Row],[ID_Transfers]],"")</f>
        <v/>
      </c>
    </row>
    <row r="512" spans="1:4" x14ac:dyDescent="0.45">
      <c r="A512">
        <v>85</v>
      </c>
      <c r="B512">
        <f t="shared" ca="1" si="7"/>
        <v>119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2" t="str">
        <f ca="1">IF(dict_zuord_Meth_Transfers[[#This Row],[kval_active]],dict_zuord_Meth_Transfers[[#This Row],[ID_Transfers]],"")</f>
        <v/>
      </c>
    </row>
    <row r="513" spans="1:4" x14ac:dyDescent="0.45">
      <c r="A513">
        <v>85</v>
      </c>
      <c r="B513" s="3">
        <f t="shared" ca="1" si="7"/>
        <v>34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3" t="str">
        <f ca="1">IF(dict_zuord_Meth_Transfers[[#This Row],[kval_active]],dict_zuord_Meth_Transfers[[#This Row],[ID_Transfers]],"")</f>
        <v/>
      </c>
    </row>
    <row r="514" spans="1:4" x14ac:dyDescent="0.45">
      <c r="A514">
        <v>85</v>
      </c>
      <c r="B514">
        <f t="shared" ref="B514:B577" ca="1" si="8">RANDBETWEEN(0,200)</f>
        <v>134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4" t="str">
        <f ca="1">IF(dict_zuord_Meth_Transfers[[#This Row],[kval_active]],dict_zuord_Meth_Transfers[[#This Row],[ID_Transfers]],"")</f>
        <v/>
      </c>
    </row>
    <row r="515" spans="1:4" x14ac:dyDescent="0.45">
      <c r="A515">
        <v>85</v>
      </c>
      <c r="B515">
        <f t="shared" ca="1" si="8"/>
        <v>124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5" t="str">
        <f ca="1">IF(dict_zuord_Meth_Transfers[[#This Row],[kval_active]],dict_zuord_Meth_Transfers[[#This Row],[ID_Transfers]],"")</f>
        <v/>
      </c>
    </row>
    <row r="516" spans="1:4" x14ac:dyDescent="0.45">
      <c r="A516">
        <v>85</v>
      </c>
      <c r="B516" s="3">
        <f t="shared" ca="1" si="8"/>
        <v>98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6" t="str">
        <f ca="1">IF(dict_zuord_Meth_Transfers[[#This Row],[kval_active]],dict_zuord_Meth_Transfers[[#This Row],[ID_Transfers]],"")</f>
        <v/>
      </c>
    </row>
    <row r="517" spans="1:4" x14ac:dyDescent="0.45">
      <c r="A517">
        <v>85</v>
      </c>
      <c r="B517" s="3">
        <f t="shared" ca="1" si="8"/>
        <v>22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7" t="str">
        <f ca="1">IF(dict_zuord_Meth_Transfers[[#This Row],[kval_active]],dict_zuord_Meth_Transfers[[#This Row],[ID_Transfers]],"")</f>
        <v/>
      </c>
    </row>
    <row r="518" spans="1:4" x14ac:dyDescent="0.45">
      <c r="A518">
        <v>86</v>
      </c>
      <c r="B518">
        <f t="shared" ca="1" si="8"/>
        <v>64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8" t="str">
        <f ca="1">IF(dict_zuord_Meth_Transfers[[#This Row],[kval_active]],dict_zuord_Meth_Transfers[[#This Row],[ID_Transfers]],"")</f>
        <v/>
      </c>
    </row>
    <row r="519" spans="1:4" x14ac:dyDescent="0.45">
      <c r="A519">
        <v>86</v>
      </c>
      <c r="B519" s="3">
        <f t="shared" ca="1" si="8"/>
        <v>4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9" t="str">
        <f ca="1">IF(dict_zuord_Meth_Transfers[[#This Row],[kval_active]],dict_zuord_Meth_Transfers[[#This Row],[ID_Transfers]],"")</f>
        <v/>
      </c>
    </row>
    <row r="520" spans="1:4" x14ac:dyDescent="0.45">
      <c r="A520">
        <v>86</v>
      </c>
      <c r="B520" s="3">
        <f t="shared" ca="1" si="8"/>
        <v>8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0" t="str">
        <f ca="1">IF(dict_zuord_Meth_Transfers[[#This Row],[kval_active]],dict_zuord_Meth_Transfers[[#This Row],[ID_Transfers]],"")</f>
        <v/>
      </c>
    </row>
    <row r="521" spans="1:4" x14ac:dyDescent="0.45">
      <c r="A521">
        <v>86</v>
      </c>
      <c r="B521">
        <f t="shared" ca="1" si="8"/>
        <v>87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1" t="str">
        <f ca="1">IF(dict_zuord_Meth_Transfers[[#This Row],[kval_active]],dict_zuord_Meth_Transfers[[#This Row],[ID_Transfers]],"")</f>
        <v/>
      </c>
    </row>
    <row r="522" spans="1:4" x14ac:dyDescent="0.45">
      <c r="A522">
        <v>86</v>
      </c>
      <c r="B522">
        <f t="shared" ca="1" si="8"/>
        <v>159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2" t="str">
        <f ca="1">IF(dict_zuord_Meth_Transfers[[#This Row],[kval_active]],dict_zuord_Meth_Transfers[[#This Row],[ID_Transfers]],"")</f>
        <v/>
      </c>
    </row>
    <row r="523" spans="1:4" x14ac:dyDescent="0.45">
      <c r="A523">
        <v>86</v>
      </c>
      <c r="B523" s="3">
        <f t="shared" ca="1" si="8"/>
        <v>5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3" t="str">
        <f ca="1">IF(dict_zuord_Meth_Transfers[[#This Row],[kval_active]],dict_zuord_Meth_Transfers[[#This Row],[ID_Transfers]],"")</f>
        <v/>
      </c>
    </row>
    <row r="524" spans="1:4" x14ac:dyDescent="0.45">
      <c r="A524">
        <v>87</v>
      </c>
      <c r="B524" s="3">
        <f t="shared" ca="1" si="8"/>
        <v>141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4" t="str">
        <f ca="1">IF(dict_zuord_Meth_Transfers[[#This Row],[kval_active]],dict_zuord_Meth_Transfers[[#This Row],[ID_Transfers]],"")</f>
        <v/>
      </c>
    </row>
    <row r="525" spans="1:4" x14ac:dyDescent="0.45">
      <c r="A525">
        <v>87</v>
      </c>
      <c r="B525">
        <f t="shared" ca="1" si="8"/>
        <v>194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5" t="str">
        <f ca="1">IF(dict_zuord_Meth_Transfers[[#This Row],[kval_active]],dict_zuord_Meth_Transfers[[#This Row],[ID_Transfers]],"")</f>
        <v/>
      </c>
    </row>
    <row r="526" spans="1:4" x14ac:dyDescent="0.45">
      <c r="A526">
        <v>87</v>
      </c>
      <c r="B526" s="3">
        <f t="shared" ca="1" si="8"/>
        <v>96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6" t="str">
        <f ca="1">IF(dict_zuord_Meth_Transfers[[#This Row],[kval_active]],dict_zuord_Meth_Transfers[[#This Row],[ID_Transfers]],"")</f>
        <v/>
      </c>
    </row>
    <row r="527" spans="1:4" x14ac:dyDescent="0.45">
      <c r="A527">
        <v>87</v>
      </c>
      <c r="B527" s="3">
        <f t="shared" ca="1" si="8"/>
        <v>63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7" t="str">
        <f ca="1">IF(dict_zuord_Meth_Transfers[[#This Row],[kval_active]],dict_zuord_Meth_Transfers[[#This Row],[ID_Transfers]],"")</f>
        <v/>
      </c>
    </row>
    <row r="528" spans="1:4" x14ac:dyDescent="0.45">
      <c r="A528">
        <v>87</v>
      </c>
      <c r="B528">
        <f t="shared" ca="1" si="8"/>
        <v>99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8" t="str">
        <f ca="1">IF(dict_zuord_Meth_Transfers[[#This Row],[kval_active]],dict_zuord_Meth_Transfers[[#This Row],[ID_Transfers]],"")</f>
        <v/>
      </c>
    </row>
    <row r="529" spans="1:4" x14ac:dyDescent="0.45">
      <c r="A529">
        <v>87</v>
      </c>
      <c r="B529">
        <f t="shared" ca="1" si="8"/>
        <v>111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9" t="str">
        <f ca="1">IF(dict_zuord_Meth_Transfers[[#This Row],[kval_active]],dict_zuord_Meth_Transfers[[#This Row],[ID_Transfers]],"")</f>
        <v/>
      </c>
    </row>
    <row r="530" spans="1:4" x14ac:dyDescent="0.45">
      <c r="A530">
        <v>88</v>
      </c>
      <c r="B530">
        <f t="shared" ca="1" si="8"/>
        <v>23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0" t="str">
        <f ca="1">IF(dict_zuord_Meth_Transfers[[#This Row],[kval_active]],dict_zuord_Meth_Transfers[[#This Row],[ID_Transfers]],"")</f>
        <v/>
      </c>
    </row>
    <row r="531" spans="1:4" x14ac:dyDescent="0.45">
      <c r="A531">
        <v>88</v>
      </c>
      <c r="B531" s="3">
        <f t="shared" ca="1" si="8"/>
        <v>182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1" t="str">
        <f ca="1">IF(dict_zuord_Meth_Transfers[[#This Row],[kval_active]],dict_zuord_Meth_Transfers[[#This Row],[ID_Transfers]],"")</f>
        <v/>
      </c>
    </row>
    <row r="532" spans="1:4" x14ac:dyDescent="0.45">
      <c r="A532">
        <v>88</v>
      </c>
      <c r="B532">
        <f t="shared" ca="1" si="8"/>
        <v>168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2" t="str">
        <f ca="1">IF(dict_zuord_Meth_Transfers[[#This Row],[kval_active]],dict_zuord_Meth_Transfers[[#This Row],[ID_Transfers]],"")</f>
        <v/>
      </c>
    </row>
    <row r="533" spans="1:4" x14ac:dyDescent="0.45">
      <c r="A533">
        <v>88</v>
      </c>
      <c r="B533">
        <f t="shared" ca="1" si="8"/>
        <v>41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3" t="str">
        <f ca="1">IF(dict_zuord_Meth_Transfers[[#This Row],[kval_active]],dict_zuord_Meth_Transfers[[#This Row],[ID_Transfers]],"")</f>
        <v/>
      </c>
    </row>
    <row r="534" spans="1:4" x14ac:dyDescent="0.45">
      <c r="A534">
        <v>88</v>
      </c>
      <c r="B534" s="3">
        <f t="shared" ca="1" si="8"/>
        <v>162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4" t="str">
        <f ca="1">IF(dict_zuord_Meth_Transfers[[#This Row],[kval_active]],dict_zuord_Meth_Transfers[[#This Row],[ID_Transfers]],"")</f>
        <v/>
      </c>
    </row>
    <row r="535" spans="1:4" x14ac:dyDescent="0.45">
      <c r="A535">
        <v>88</v>
      </c>
      <c r="B535" s="3">
        <f t="shared" ca="1" si="8"/>
        <v>130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5" t="str">
        <f ca="1">IF(dict_zuord_Meth_Transfers[[#This Row],[kval_active]],dict_zuord_Meth_Transfers[[#This Row],[ID_Transfers]],"")</f>
        <v/>
      </c>
    </row>
    <row r="536" spans="1:4" x14ac:dyDescent="0.45">
      <c r="A536">
        <v>89</v>
      </c>
      <c r="B536" s="3">
        <f t="shared" ca="1" si="8"/>
        <v>149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6" t="str">
        <f ca="1">IF(dict_zuord_Meth_Transfers[[#This Row],[kval_active]],dict_zuord_Meth_Transfers[[#This Row],[ID_Transfers]],"")</f>
        <v/>
      </c>
    </row>
    <row r="537" spans="1:4" x14ac:dyDescent="0.45">
      <c r="A537">
        <v>89</v>
      </c>
      <c r="B537" s="3">
        <f t="shared" ca="1" si="8"/>
        <v>64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7" t="str">
        <f ca="1">IF(dict_zuord_Meth_Transfers[[#This Row],[kval_active]],dict_zuord_Meth_Transfers[[#This Row],[ID_Transfers]],"")</f>
        <v/>
      </c>
    </row>
    <row r="538" spans="1:4" x14ac:dyDescent="0.45">
      <c r="A538">
        <v>89</v>
      </c>
      <c r="B538">
        <f t="shared" ca="1" si="8"/>
        <v>51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8" t="str">
        <f ca="1">IF(dict_zuord_Meth_Transfers[[#This Row],[kval_active]],dict_zuord_Meth_Transfers[[#This Row],[ID_Transfers]],"")</f>
        <v/>
      </c>
    </row>
    <row r="539" spans="1:4" x14ac:dyDescent="0.45">
      <c r="A539">
        <v>89</v>
      </c>
      <c r="B539">
        <f t="shared" ca="1" si="8"/>
        <v>32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9" t="str">
        <f ca="1">IF(dict_zuord_Meth_Transfers[[#This Row],[kval_active]],dict_zuord_Meth_Transfers[[#This Row],[ID_Transfers]],"")</f>
        <v/>
      </c>
    </row>
    <row r="540" spans="1:4" x14ac:dyDescent="0.45">
      <c r="A540">
        <v>89</v>
      </c>
      <c r="B540">
        <f t="shared" ca="1" si="8"/>
        <v>6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0" t="str">
        <f ca="1">IF(dict_zuord_Meth_Transfers[[#This Row],[kval_active]],dict_zuord_Meth_Transfers[[#This Row],[ID_Transfers]],"")</f>
        <v/>
      </c>
    </row>
    <row r="541" spans="1:4" x14ac:dyDescent="0.45">
      <c r="A541">
        <v>89</v>
      </c>
      <c r="B541" s="3">
        <f t="shared" ca="1" si="8"/>
        <v>93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1" t="str">
        <f ca="1">IF(dict_zuord_Meth_Transfers[[#This Row],[kval_active]],dict_zuord_Meth_Transfers[[#This Row],[ID_Transfers]],"")</f>
        <v/>
      </c>
    </row>
    <row r="542" spans="1:4" x14ac:dyDescent="0.45">
      <c r="A542">
        <v>90</v>
      </c>
      <c r="B542">
        <f t="shared" ca="1" si="8"/>
        <v>112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2" t="str">
        <f ca="1">IF(dict_zuord_Meth_Transfers[[#This Row],[kval_active]],dict_zuord_Meth_Transfers[[#This Row],[ID_Transfers]],"")</f>
        <v/>
      </c>
    </row>
    <row r="543" spans="1:4" x14ac:dyDescent="0.45">
      <c r="A543">
        <v>90</v>
      </c>
      <c r="B543" s="3">
        <f t="shared" ca="1" si="8"/>
        <v>98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3" t="str">
        <f ca="1">IF(dict_zuord_Meth_Transfers[[#This Row],[kval_active]],dict_zuord_Meth_Transfers[[#This Row],[ID_Transfers]],"")</f>
        <v/>
      </c>
    </row>
    <row r="544" spans="1:4" x14ac:dyDescent="0.45">
      <c r="A544">
        <v>90</v>
      </c>
      <c r="B544">
        <f t="shared" ca="1" si="8"/>
        <v>62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4" t="str">
        <f ca="1">IF(dict_zuord_Meth_Transfers[[#This Row],[kval_active]],dict_zuord_Meth_Transfers[[#This Row],[ID_Transfers]],"")</f>
        <v/>
      </c>
    </row>
    <row r="545" spans="1:4" x14ac:dyDescent="0.45">
      <c r="A545">
        <v>90</v>
      </c>
      <c r="B545" s="3">
        <f t="shared" ca="1" si="8"/>
        <v>170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5" t="str">
        <f ca="1">IF(dict_zuord_Meth_Transfers[[#This Row],[kval_active]],dict_zuord_Meth_Transfers[[#This Row],[ID_Transfers]],"")</f>
        <v/>
      </c>
    </row>
    <row r="546" spans="1:4" x14ac:dyDescent="0.45">
      <c r="A546">
        <v>90</v>
      </c>
      <c r="B546" s="3">
        <f t="shared" ca="1" si="8"/>
        <v>47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6" t="str">
        <f ca="1">IF(dict_zuord_Meth_Transfers[[#This Row],[kval_active]],dict_zuord_Meth_Transfers[[#This Row],[ID_Transfers]],"")</f>
        <v/>
      </c>
    </row>
    <row r="547" spans="1:4" x14ac:dyDescent="0.45">
      <c r="A547">
        <v>90</v>
      </c>
      <c r="B547">
        <f t="shared" ca="1" si="8"/>
        <v>8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7" t="str">
        <f ca="1">IF(dict_zuord_Meth_Transfers[[#This Row],[kval_active]],dict_zuord_Meth_Transfers[[#This Row],[ID_Transfers]],"")</f>
        <v/>
      </c>
    </row>
    <row r="548" spans="1:4" x14ac:dyDescent="0.45">
      <c r="A548">
        <v>91</v>
      </c>
      <c r="B548">
        <f t="shared" ca="1" si="8"/>
        <v>157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8" t="str">
        <f ca="1">IF(dict_zuord_Meth_Transfers[[#This Row],[kval_active]],dict_zuord_Meth_Transfers[[#This Row],[ID_Transfers]],"")</f>
        <v/>
      </c>
    </row>
    <row r="549" spans="1:4" x14ac:dyDescent="0.45">
      <c r="A549">
        <v>91</v>
      </c>
      <c r="B549" s="3">
        <f t="shared" ca="1" si="8"/>
        <v>19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9" t="str">
        <f ca="1">IF(dict_zuord_Meth_Transfers[[#This Row],[kval_active]],dict_zuord_Meth_Transfers[[#This Row],[ID_Transfers]],"")</f>
        <v/>
      </c>
    </row>
    <row r="550" spans="1:4" x14ac:dyDescent="0.45">
      <c r="A550">
        <v>91</v>
      </c>
      <c r="B550" s="3">
        <f t="shared" ca="1" si="8"/>
        <v>86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0" t="str">
        <f ca="1">IF(dict_zuord_Meth_Transfers[[#This Row],[kval_active]],dict_zuord_Meth_Transfers[[#This Row],[ID_Transfers]],"")</f>
        <v/>
      </c>
    </row>
    <row r="551" spans="1:4" x14ac:dyDescent="0.45">
      <c r="A551">
        <v>91</v>
      </c>
      <c r="B551">
        <f t="shared" ca="1" si="8"/>
        <v>19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1" t="str">
        <f ca="1">IF(dict_zuord_Meth_Transfers[[#This Row],[kval_active]],dict_zuord_Meth_Transfers[[#This Row],[ID_Transfers]],"")</f>
        <v/>
      </c>
    </row>
    <row r="552" spans="1:4" x14ac:dyDescent="0.45">
      <c r="A552">
        <v>91</v>
      </c>
      <c r="B552">
        <f t="shared" ca="1" si="8"/>
        <v>30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2" t="str">
        <f ca="1">IF(dict_zuord_Meth_Transfers[[#This Row],[kval_active]],dict_zuord_Meth_Transfers[[#This Row],[ID_Transfers]],"")</f>
        <v/>
      </c>
    </row>
    <row r="553" spans="1:4" x14ac:dyDescent="0.45">
      <c r="A553">
        <v>91</v>
      </c>
      <c r="B553" s="3">
        <f t="shared" ca="1" si="8"/>
        <v>185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3" t="str">
        <f ca="1">IF(dict_zuord_Meth_Transfers[[#This Row],[kval_active]],dict_zuord_Meth_Transfers[[#This Row],[ID_Transfers]],"")</f>
        <v/>
      </c>
    </row>
    <row r="554" spans="1:4" x14ac:dyDescent="0.45">
      <c r="A554">
        <v>92</v>
      </c>
      <c r="B554">
        <f t="shared" ca="1" si="8"/>
        <v>152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4" t="str">
        <f ca="1">IF(dict_zuord_Meth_Transfers[[#This Row],[kval_active]],dict_zuord_Meth_Transfers[[#This Row],[ID_Transfers]],"")</f>
        <v/>
      </c>
    </row>
    <row r="555" spans="1:4" x14ac:dyDescent="0.45">
      <c r="A555">
        <v>92</v>
      </c>
      <c r="B555">
        <f t="shared" ca="1" si="8"/>
        <v>44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5" t="str">
        <f ca="1">IF(dict_zuord_Meth_Transfers[[#This Row],[kval_active]],dict_zuord_Meth_Transfers[[#This Row],[ID_Transfers]],"")</f>
        <v/>
      </c>
    </row>
    <row r="556" spans="1:4" x14ac:dyDescent="0.45">
      <c r="A556">
        <v>92</v>
      </c>
      <c r="B556" s="3">
        <f t="shared" ca="1" si="8"/>
        <v>107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6" t="str">
        <f ca="1">IF(dict_zuord_Meth_Transfers[[#This Row],[kval_active]],dict_zuord_Meth_Transfers[[#This Row],[ID_Transfers]],"")</f>
        <v/>
      </c>
    </row>
    <row r="557" spans="1:4" x14ac:dyDescent="0.45">
      <c r="A557">
        <v>92</v>
      </c>
      <c r="B557" s="3">
        <f t="shared" ca="1" si="8"/>
        <v>10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7" t="str">
        <f ca="1">IF(dict_zuord_Meth_Transfers[[#This Row],[kval_active]],dict_zuord_Meth_Transfers[[#This Row],[ID_Transfers]],"")</f>
        <v/>
      </c>
    </row>
    <row r="558" spans="1:4" x14ac:dyDescent="0.45">
      <c r="A558">
        <v>92</v>
      </c>
      <c r="B558" s="3">
        <f t="shared" ca="1" si="8"/>
        <v>59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8" t="str">
        <f ca="1">IF(dict_zuord_Meth_Transfers[[#This Row],[kval_active]],dict_zuord_Meth_Transfers[[#This Row],[ID_Transfers]],"")</f>
        <v/>
      </c>
    </row>
    <row r="559" spans="1:4" x14ac:dyDescent="0.45">
      <c r="A559">
        <v>92</v>
      </c>
      <c r="B559">
        <f t="shared" ca="1" si="8"/>
        <v>194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9" t="str">
        <f ca="1">IF(dict_zuord_Meth_Transfers[[#This Row],[kval_active]],dict_zuord_Meth_Transfers[[#This Row],[ID_Transfers]],"")</f>
        <v/>
      </c>
    </row>
    <row r="560" spans="1:4" x14ac:dyDescent="0.45">
      <c r="A560">
        <v>93</v>
      </c>
      <c r="B560">
        <f t="shared" ca="1" si="8"/>
        <v>154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0" t="str">
        <f ca="1">IF(dict_zuord_Meth_Transfers[[#This Row],[kval_active]],dict_zuord_Meth_Transfers[[#This Row],[ID_Transfers]],"")</f>
        <v/>
      </c>
    </row>
    <row r="561" spans="1:4" x14ac:dyDescent="0.45">
      <c r="A561">
        <v>93</v>
      </c>
      <c r="B561">
        <f t="shared" ca="1" si="8"/>
        <v>6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1" t="str">
        <f ca="1">IF(dict_zuord_Meth_Transfers[[#This Row],[kval_active]],dict_zuord_Meth_Transfers[[#This Row],[ID_Transfers]],"")</f>
        <v/>
      </c>
    </row>
    <row r="562" spans="1:4" x14ac:dyDescent="0.45">
      <c r="A562">
        <v>93</v>
      </c>
      <c r="B562" s="3">
        <f t="shared" ca="1" si="8"/>
        <v>150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2" t="str">
        <f ca="1">IF(dict_zuord_Meth_Transfers[[#This Row],[kval_active]],dict_zuord_Meth_Transfers[[#This Row],[ID_Transfers]],"")</f>
        <v/>
      </c>
    </row>
    <row r="563" spans="1:4" x14ac:dyDescent="0.45">
      <c r="A563">
        <v>93</v>
      </c>
      <c r="B563">
        <f t="shared" ca="1" si="8"/>
        <v>133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3" t="str">
        <f ca="1">IF(dict_zuord_Meth_Transfers[[#This Row],[kval_active]],dict_zuord_Meth_Transfers[[#This Row],[ID_Transfers]],"")</f>
        <v/>
      </c>
    </row>
    <row r="564" spans="1:4" x14ac:dyDescent="0.45">
      <c r="A564">
        <v>93</v>
      </c>
      <c r="B564" s="3">
        <f t="shared" ca="1" si="8"/>
        <v>38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4" t="str">
        <f ca="1">IF(dict_zuord_Meth_Transfers[[#This Row],[kval_active]],dict_zuord_Meth_Transfers[[#This Row],[ID_Transfers]],"")</f>
        <v/>
      </c>
    </row>
    <row r="565" spans="1:4" x14ac:dyDescent="0.45">
      <c r="A565">
        <v>93</v>
      </c>
      <c r="B565" s="3">
        <f t="shared" ca="1" si="8"/>
        <v>134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5" t="str">
        <f ca="1">IF(dict_zuord_Meth_Transfers[[#This Row],[kval_active]],dict_zuord_Meth_Transfers[[#This Row],[ID_Transfers]],"")</f>
        <v/>
      </c>
    </row>
    <row r="566" spans="1:4" x14ac:dyDescent="0.45">
      <c r="A566">
        <v>94</v>
      </c>
      <c r="B566">
        <f t="shared" ca="1" si="8"/>
        <v>139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6" t="str">
        <f ca="1">IF(dict_zuord_Meth_Transfers[[#This Row],[kval_active]],dict_zuord_Meth_Transfers[[#This Row],[ID_Transfers]],"")</f>
        <v/>
      </c>
    </row>
    <row r="567" spans="1:4" x14ac:dyDescent="0.45">
      <c r="A567">
        <v>94</v>
      </c>
      <c r="B567" s="3">
        <f t="shared" ca="1" si="8"/>
        <v>52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7" t="str">
        <f ca="1">IF(dict_zuord_Meth_Transfers[[#This Row],[kval_active]],dict_zuord_Meth_Transfers[[#This Row],[ID_Transfers]],"")</f>
        <v/>
      </c>
    </row>
    <row r="568" spans="1:4" x14ac:dyDescent="0.45">
      <c r="A568">
        <v>94</v>
      </c>
      <c r="B568" s="3">
        <f t="shared" ca="1" si="8"/>
        <v>101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8" t="str">
        <f ca="1">IF(dict_zuord_Meth_Transfers[[#This Row],[kval_active]],dict_zuord_Meth_Transfers[[#This Row],[ID_Transfers]],"")</f>
        <v/>
      </c>
    </row>
    <row r="569" spans="1:4" x14ac:dyDescent="0.45">
      <c r="A569">
        <v>94</v>
      </c>
      <c r="B569">
        <f t="shared" ca="1" si="8"/>
        <v>195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9" t="str">
        <f ca="1">IF(dict_zuord_Meth_Transfers[[#This Row],[kval_active]],dict_zuord_Meth_Transfers[[#This Row],[ID_Transfers]],"")</f>
        <v/>
      </c>
    </row>
    <row r="570" spans="1:4" x14ac:dyDescent="0.45">
      <c r="A570">
        <v>94</v>
      </c>
      <c r="B570">
        <f t="shared" ca="1" si="8"/>
        <v>11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0" t="str">
        <f ca="1">IF(dict_zuord_Meth_Transfers[[#This Row],[kval_active]],dict_zuord_Meth_Transfers[[#This Row],[ID_Transfers]],"")</f>
        <v/>
      </c>
    </row>
    <row r="571" spans="1:4" x14ac:dyDescent="0.45">
      <c r="A571">
        <v>94</v>
      </c>
      <c r="B571" s="3">
        <f t="shared" ca="1" si="8"/>
        <v>181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1" t="str">
        <f ca="1">IF(dict_zuord_Meth_Transfers[[#This Row],[kval_active]],dict_zuord_Meth_Transfers[[#This Row],[ID_Transfers]],"")</f>
        <v/>
      </c>
    </row>
    <row r="572" spans="1:4" x14ac:dyDescent="0.45">
      <c r="A572">
        <v>95</v>
      </c>
      <c r="B572">
        <f t="shared" ca="1" si="8"/>
        <v>44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2" t="str">
        <f ca="1">IF(dict_zuord_Meth_Transfers[[#This Row],[kval_active]],dict_zuord_Meth_Transfers[[#This Row],[ID_Transfers]],"")</f>
        <v/>
      </c>
    </row>
    <row r="573" spans="1:4" x14ac:dyDescent="0.45">
      <c r="A573">
        <v>95</v>
      </c>
      <c r="B573">
        <f t="shared" ca="1" si="8"/>
        <v>105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3" t="str">
        <f ca="1">IF(dict_zuord_Meth_Transfers[[#This Row],[kval_active]],dict_zuord_Meth_Transfers[[#This Row],[ID_Transfers]],"")</f>
        <v/>
      </c>
    </row>
    <row r="574" spans="1:4" x14ac:dyDescent="0.45">
      <c r="A574">
        <v>95</v>
      </c>
      <c r="B574">
        <f t="shared" ca="1" si="8"/>
        <v>61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4" t="str">
        <f ca="1">IF(dict_zuord_Meth_Transfers[[#This Row],[kval_active]],dict_zuord_Meth_Transfers[[#This Row],[ID_Transfers]],"")</f>
        <v/>
      </c>
    </row>
    <row r="575" spans="1:4" x14ac:dyDescent="0.45">
      <c r="A575">
        <v>95</v>
      </c>
      <c r="B575" s="3">
        <f t="shared" ca="1" si="8"/>
        <v>126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5" t="str">
        <f ca="1">IF(dict_zuord_Meth_Transfers[[#This Row],[kval_active]],dict_zuord_Meth_Transfers[[#This Row],[ID_Transfers]],"")</f>
        <v/>
      </c>
    </row>
    <row r="576" spans="1:4" x14ac:dyDescent="0.45">
      <c r="A576">
        <v>95</v>
      </c>
      <c r="B576" s="3">
        <f t="shared" ca="1" si="8"/>
        <v>56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6" t="str">
        <f ca="1">IF(dict_zuord_Meth_Transfers[[#This Row],[kval_active]],dict_zuord_Meth_Transfers[[#This Row],[ID_Transfers]],"")</f>
        <v/>
      </c>
    </row>
    <row r="577" spans="1:4" x14ac:dyDescent="0.45">
      <c r="A577">
        <v>95</v>
      </c>
      <c r="B577" s="3">
        <f t="shared" ca="1" si="8"/>
        <v>175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7" t="str">
        <f ca="1">IF(dict_zuord_Meth_Transfers[[#This Row],[kval_active]],dict_zuord_Meth_Transfers[[#This Row],[ID_Transfers]],"")</f>
        <v/>
      </c>
    </row>
    <row r="578" spans="1:4" x14ac:dyDescent="0.45">
      <c r="A578">
        <v>96</v>
      </c>
      <c r="B578" s="3">
        <f t="shared" ref="B578:B641" ca="1" si="9">RANDBETWEEN(0,200)</f>
        <v>126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8" t="str">
        <f ca="1">IF(dict_zuord_Meth_Transfers[[#This Row],[kval_active]],dict_zuord_Meth_Transfers[[#This Row],[ID_Transfers]],"")</f>
        <v/>
      </c>
    </row>
    <row r="579" spans="1:4" x14ac:dyDescent="0.45">
      <c r="A579">
        <v>96</v>
      </c>
      <c r="B579">
        <f t="shared" ca="1" si="9"/>
        <v>144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9" t="str">
        <f ca="1">IF(dict_zuord_Meth_Transfers[[#This Row],[kval_active]],dict_zuord_Meth_Transfers[[#This Row],[ID_Transfers]],"")</f>
        <v/>
      </c>
    </row>
    <row r="580" spans="1:4" x14ac:dyDescent="0.45">
      <c r="A580">
        <v>96</v>
      </c>
      <c r="B580" s="3">
        <f t="shared" ca="1" si="9"/>
        <v>50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0" t="str">
        <f ca="1">IF(dict_zuord_Meth_Transfers[[#This Row],[kval_active]],dict_zuord_Meth_Transfers[[#This Row],[ID_Transfers]],"")</f>
        <v/>
      </c>
    </row>
    <row r="581" spans="1:4" x14ac:dyDescent="0.45">
      <c r="A581">
        <v>96</v>
      </c>
      <c r="B581" s="3">
        <f t="shared" ca="1" si="9"/>
        <v>173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1" t="str">
        <f ca="1">IF(dict_zuord_Meth_Transfers[[#This Row],[kval_active]],dict_zuord_Meth_Transfers[[#This Row],[ID_Transfers]],"")</f>
        <v/>
      </c>
    </row>
    <row r="582" spans="1:4" x14ac:dyDescent="0.45">
      <c r="A582">
        <v>96</v>
      </c>
      <c r="B582">
        <f t="shared" ca="1" si="9"/>
        <v>122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2" t="str">
        <f ca="1">IF(dict_zuord_Meth_Transfers[[#This Row],[kval_active]],dict_zuord_Meth_Transfers[[#This Row],[ID_Transfers]],"")</f>
        <v/>
      </c>
    </row>
    <row r="583" spans="1:4" x14ac:dyDescent="0.45">
      <c r="A583">
        <v>96</v>
      </c>
      <c r="B583">
        <f t="shared" ca="1" si="9"/>
        <v>49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3" t="str">
        <f ca="1">IF(dict_zuord_Meth_Transfers[[#This Row],[kval_active]],dict_zuord_Meth_Transfers[[#This Row],[ID_Transfers]],"")</f>
        <v/>
      </c>
    </row>
    <row r="584" spans="1:4" x14ac:dyDescent="0.45">
      <c r="A584">
        <v>97</v>
      </c>
      <c r="B584">
        <f t="shared" ca="1" si="9"/>
        <v>118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4" t="str">
        <f ca="1">IF(dict_zuord_Meth_Transfers[[#This Row],[kval_active]],dict_zuord_Meth_Transfers[[#This Row],[ID_Transfers]],"")</f>
        <v/>
      </c>
    </row>
    <row r="585" spans="1:4" x14ac:dyDescent="0.45">
      <c r="A585">
        <v>97</v>
      </c>
      <c r="B585" s="3">
        <f t="shared" ca="1" si="9"/>
        <v>113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5" t="str">
        <f ca="1">IF(dict_zuord_Meth_Transfers[[#This Row],[kval_active]],dict_zuord_Meth_Transfers[[#This Row],[ID_Transfers]],"")</f>
        <v/>
      </c>
    </row>
    <row r="586" spans="1:4" x14ac:dyDescent="0.45">
      <c r="A586">
        <v>97</v>
      </c>
      <c r="B586">
        <f t="shared" ca="1" si="9"/>
        <v>87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6" t="str">
        <f ca="1">IF(dict_zuord_Meth_Transfers[[#This Row],[kval_active]],dict_zuord_Meth_Transfers[[#This Row],[ID_Transfers]],"")</f>
        <v/>
      </c>
    </row>
    <row r="587" spans="1:4" x14ac:dyDescent="0.45">
      <c r="A587">
        <v>97</v>
      </c>
      <c r="B587">
        <f t="shared" ca="1" si="9"/>
        <v>106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7" t="str">
        <f ca="1">IF(dict_zuord_Meth_Transfers[[#This Row],[kval_active]],dict_zuord_Meth_Transfers[[#This Row],[ID_Transfers]],"")</f>
        <v/>
      </c>
    </row>
    <row r="588" spans="1:4" x14ac:dyDescent="0.45">
      <c r="A588">
        <v>97</v>
      </c>
      <c r="B588" s="3">
        <f t="shared" ca="1" si="9"/>
        <v>125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8" t="str">
        <f ca="1">IF(dict_zuord_Meth_Transfers[[#This Row],[kval_active]],dict_zuord_Meth_Transfers[[#This Row],[ID_Transfers]],"")</f>
        <v/>
      </c>
    </row>
    <row r="589" spans="1:4" x14ac:dyDescent="0.45">
      <c r="A589">
        <v>97</v>
      </c>
      <c r="B589" s="3">
        <f t="shared" ca="1" si="9"/>
        <v>72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9" t="str">
        <f ca="1">IF(dict_zuord_Meth_Transfers[[#This Row],[kval_active]],dict_zuord_Meth_Transfers[[#This Row],[ID_Transfers]],"")</f>
        <v/>
      </c>
    </row>
    <row r="590" spans="1:4" x14ac:dyDescent="0.45">
      <c r="A590">
        <v>98</v>
      </c>
      <c r="B590">
        <f t="shared" ca="1" si="9"/>
        <v>189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0" t="str">
        <f ca="1">IF(dict_zuord_Meth_Transfers[[#This Row],[kval_active]],dict_zuord_Meth_Transfers[[#This Row],[ID_Transfers]],"")</f>
        <v/>
      </c>
    </row>
    <row r="591" spans="1:4" x14ac:dyDescent="0.45">
      <c r="A591">
        <v>98</v>
      </c>
      <c r="B591" s="3">
        <f t="shared" ca="1" si="9"/>
        <v>130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1" t="str">
        <f ca="1">IF(dict_zuord_Meth_Transfers[[#This Row],[kval_active]],dict_zuord_Meth_Transfers[[#This Row],[ID_Transfers]],"")</f>
        <v/>
      </c>
    </row>
    <row r="592" spans="1:4" x14ac:dyDescent="0.45">
      <c r="A592">
        <v>98</v>
      </c>
      <c r="B592" s="3">
        <f t="shared" ca="1" si="9"/>
        <v>2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2" t="str">
        <f ca="1">IF(dict_zuord_Meth_Transfers[[#This Row],[kval_active]],dict_zuord_Meth_Transfers[[#This Row],[ID_Transfers]],"")</f>
        <v/>
      </c>
    </row>
    <row r="593" spans="1:4" x14ac:dyDescent="0.45">
      <c r="A593">
        <v>98</v>
      </c>
      <c r="B593" s="3">
        <f t="shared" ca="1" si="9"/>
        <v>165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3" t="str">
        <f ca="1">IF(dict_zuord_Meth_Transfers[[#This Row],[kval_active]],dict_zuord_Meth_Transfers[[#This Row],[ID_Transfers]],"")</f>
        <v/>
      </c>
    </row>
    <row r="594" spans="1:4" x14ac:dyDescent="0.45">
      <c r="A594">
        <v>98</v>
      </c>
      <c r="B594">
        <f t="shared" ca="1" si="9"/>
        <v>34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4" t="str">
        <f ca="1">IF(dict_zuord_Meth_Transfers[[#This Row],[kval_active]],dict_zuord_Meth_Transfers[[#This Row],[ID_Transfers]],"")</f>
        <v/>
      </c>
    </row>
    <row r="595" spans="1:4" x14ac:dyDescent="0.45">
      <c r="A595">
        <v>98</v>
      </c>
      <c r="B595">
        <f t="shared" ca="1" si="9"/>
        <v>10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5" t="str">
        <f ca="1">IF(dict_zuord_Meth_Transfers[[#This Row],[kval_active]],dict_zuord_Meth_Transfers[[#This Row],[ID_Transfers]],"")</f>
        <v/>
      </c>
    </row>
    <row r="596" spans="1:4" x14ac:dyDescent="0.45">
      <c r="A596">
        <v>99</v>
      </c>
      <c r="B596">
        <f t="shared" ca="1" si="9"/>
        <v>10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6" t="str">
        <f ca="1">IF(dict_zuord_Meth_Transfers[[#This Row],[kval_active]],dict_zuord_Meth_Transfers[[#This Row],[ID_Transfers]],"")</f>
        <v/>
      </c>
    </row>
    <row r="597" spans="1:4" x14ac:dyDescent="0.45">
      <c r="A597">
        <v>99</v>
      </c>
      <c r="B597">
        <f t="shared" ca="1" si="9"/>
        <v>54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7" t="str">
        <f ca="1">IF(dict_zuord_Meth_Transfers[[#This Row],[kval_active]],dict_zuord_Meth_Transfers[[#This Row],[ID_Transfers]],"")</f>
        <v/>
      </c>
    </row>
    <row r="598" spans="1:4" x14ac:dyDescent="0.45">
      <c r="A598">
        <v>99</v>
      </c>
      <c r="B598" s="3">
        <f t="shared" ca="1" si="9"/>
        <v>39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8" t="str">
        <f ca="1">IF(dict_zuord_Meth_Transfers[[#This Row],[kval_active]],dict_zuord_Meth_Transfers[[#This Row],[ID_Transfers]],"")</f>
        <v/>
      </c>
    </row>
    <row r="599" spans="1:4" x14ac:dyDescent="0.45">
      <c r="A599">
        <v>99</v>
      </c>
      <c r="B599" s="3">
        <f t="shared" ca="1" si="9"/>
        <v>14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9" t="str">
        <f ca="1">IF(dict_zuord_Meth_Transfers[[#This Row],[kval_active]],dict_zuord_Meth_Transfers[[#This Row],[ID_Transfers]],"")</f>
        <v/>
      </c>
    </row>
    <row r="600" spans="1:4" x14ac:dyDescent="0.45">
      <c r="A600">
        <v>99</v>
      </c>
      <c r="B600" s="3">
        <f t="shared" ca="1" si="9"/>
        <v>165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0" t="str">
        <f ca="1">IF(dict_zuord_Meth_Transfers[[#This Row],[kval_active]],dict_zuord_Meth_Transfers[[#This Row],[ID_Transfers]],"")</f>
        <v/>
      </c>
    </row>
    <row r="601" spans="1:4" x14ac:dyDescent="0.45">
      <c r="A601">
        <v>99</v>
      </c>
      <c r="B601">
        <f t="shared" ca="1" si="9"/>
        <v>189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1" t="str">
        <f ca="1">IF(dict_zuord_Meth_Transfers[[#This Row],[kval_active]],dict_zuord_Meth_Transfers[[#This Row],[ID_Transfers]],"")</f>
        <v/>
      </c>
    </row>
    <row r="602" spans="1:4" x14ac:dyDescent="0.45">
      <c r="A602">
        <v>100</v>
      </c>
      <c r="B602" s="3">
        <f t="shared" ca="1" si="9"/>
        <v>168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2">
        <f ca="1">IF(dict_zuord_Meth_Transfers[[#This Row],[kval_active]],dict_zuord_Meth_Transfers[[#This Row],[ID_Transfers]],"")</f>
        <v>168</v>
      </c>
    </row>
    <row r="603" spans="1:4" x14ac:dyDescent="0.45">
      <c r="A603">
        <v>100</v>
      </c>
      <c r="B603" s="3">
        <f t="shared" ca="1" si="9"/>
        <v>178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3">
        <f ca="1">IF(dict_zuord_Meth_Transfers[[#This Row],[kval_active]],dict_zuord_Meth_Transfers[[#This Row],[ID_Transfers]],"")</f>
        <v>178</v>
      </c>
    </row>
    <row r="604" spans="1:4" x14ac:dyDescent="0.45">
      <c r="A604">
        <v>100</v>
      </c>
      <c r="B604">
        <f t="shared" ca="1" si="9"/>
        <v>34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4">
        <f ca="1">IF(dict_zuord_Meth_Transfers[[#This Row],[kval_active]],dict_zuord_Meth_Transfers[[#This Row],[ID_Transfers]],"")</f>
        <v>34</v>
      </c>
    </row>
    <row r="605" spans="1:4" x14ac:dyDescent="0.45">
      <c r="A605">
        <v>100</v>
      </c>
      <c r="B605">
        <f t="shared" ca="1" si="9"/>
        <v>132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5">
        <f ca="1">IF(dict_zuord_Meth_Transfers[[#This Row],[kval_active]],dict_zuord_Meth_Transfers[[#This Row],[ID_Transfers]],"")</f>
        <v>132</v>
      </c>
    </row>
    <row r="606" spans="1:4" x14ac:dyDescent="0.45">
      <c r="A606">
        <v>100</v>
      </c>
      <c r="B606">
        <f t="shared" ca="1" si="9"/>
        <v>113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6">
        <f ca="1">IF(dict_zuord_Meth_Transfers[[#This Row],[kval_active]],dict_zuord_Meth_Transfers[[#This Row],[ID_Transfers]],"")</f>
        <v>113</v>
      </c>
    </row>
    <row r="607" spans="1:4" x14ac:dyDescent="0.45">
      <c r="A607">
        <v>100</v>
      </c>
      <c r="B607" s="3">
        <f t="shared" ca="1" si="9"/>
        <v>25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7">
        <f ca="1">IF(dict_zuord_Meth_Transfers[[#This Row],[kval_active]],dict_zuord_Meth_Transfers[[#This Row],[ID_Transfers]],"")</f>
        <v>25</v>
      </c>
    </row>
    <row r="608" spans="1:4" x14ac:dyDescent="0.45">
      <c r="A608">
        <v>101</v>
      </c>
      <c r="B608" s="3">
        <f t="shared" ca="1" si="9"/>
        <v>25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8" t="str">
        <f ca="1">IF(dict_zuord_Meth_Transfers[[#This Row],[kval_active]],dict_zuord_Meth_Transfers[[#This Row],[ID_Transfers]],"")</f>
        <v/>
      </c>
    </row>
    <row r="609" spans="1:4" x14ac:dyDescent="0.45">
      <c r="A609">
        <v>101</v>
      </c>
      <c r="B609" s="3">
        <f t="shared" ca="1" si="9"/>
        <v>161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9" t="str">
        <f ca="1">IF(dict_zuord_Meth_Transfers[[#This Row],[kval_active]],dict_zuord_Meth_Transfers[[#This Row],[ID_Transfers]],"")</f>
        <v/>
      </c>
    </row>
    <row r="610" spans="1:4" x14ac:dyDescent="0.45">
      <c r="A610">
        <v>101</v>
      </c>
      <c r="B610">
        <f t="shared" ca="1" si="9"/>
        <v>120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0" t="str">
        <f ca="1">IF(dict_zuord_Meth_Transfers[[#This Row],[kval_active]],dict_zuord_Meth_Transfers[[#This Row],[ID_Transfers]],"")</f>
        <v/>
      </c>
    </row>
    <row r="611" spans="1:4" x14ac:dyDescent="0.45">
      <c r="A611">
        <v>101</v>
      </c>
      <c r="B611">
        <f t="shared" ca="1" si="9"/>
        <v>138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1" t="str">
        <f ca="1">IF(dict_zuord_Meth_Transfers[[#This Row],[kval_active]],dict_zuord_Meth_Transfers[[#This Row],[ID_Transfers]],"")</f>
        <v/>
      </c>
    </row>
    <row r="612" spans="1:4" x14ac:dyDescent="0.45">
      <c r="A612">
        <v>101</v>
      </c>
      <c r="B612" s="3">
        <f t="shared" ca="1" si="9"/>
        <v>140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2" t="str">
        <f ca="1">IF(dict_zuord_Meth_Transfers[[#This Row],[kval_active]],dict_zuord_Meth_Transfers[[#This Row],[ID_Transfers]],"")</f>
        <v/>
      </c>
    </row>
    <row r="613" spans="1:4" x14ac:dyDescent="0.45">
      <c r="A613">
        <v>101</v>
      </c>
      <c r="B613">
        <f t="shared" ca="1" si="9"/>
        <v>118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3" t="str">
        <f ca="1">IF(dict_zuord_Meth_Transfers[[#This Row],[kval_active]],dict_zuord_Meth_Transfers[[#This Row],[ID_Transfers]],"")</f>
        <v/>
      </c>
    </row>
    <row r="614" spans="1:4" x14ac:dyDescent="0.45">
      <c r="A614">
        <v>102</v>
      </c>
      <c r="B614">
        <f t="shared" ca="1" si="9"/>
        <v>121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4" t="str">
        <f ca="1">IF(dict_zuord_Meth_Transfers[[#This Row],[kval_active]],dict_zuord_Meth_Transfers[[#This Row],[ID_Transfers]],"")</f>
        <v/>
      </c>
    </row>
    <row r="615" spans="1:4" x14ac:dyDescent="0.45">
      <c r="A615">
        <v>102</v>
      </c>
      <c r="B615" s="3">
        <f t="shared" ca="1" si="9"/>
        <v>30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5" t="str">
        <f ca="1">IF(dict_zuord_Meth_Transfers[[#This Row],[kval_active]],dict_zuord_Meth_Transfers[[#This Row],[ID_Transfers]],"")</f>
        <v/>
      </c>
    </row>
    <row r="616" spans="1:4" x14ac:dyDescent="0.45">
      <c r="A616">
        <v>102</v>
      </c>
      <c r="B616">
        <f t="shared" ca="1" si="9"/>
        <v>5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6" t="str">
        <f ca="1">IF(dict_zuord_Meth_Transfers[[#This Row],[kval_active]],dict_zuord_Meth_Transfers[[#This Row],[ID_Transfers]],"")</f>
        <v/>
      </c>
    </row>
    <row r="617" spans="1:4" x14ac:dyDescent="0.45">
      <c r="A617">
        <v>102</v>
      </c>
      <c r="B617" s="3">
        <f t="shared" ca="1" si="9"/>
        <v>57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7" t="str">
        <f ca="1">IF(dict_zuord_Meth_Transfers[[#This Row],[kval_active]],dict_zuord_Meth_Transfers[[#This Row],[ID_Transfers]],"")</f>
        <v/>
      </c>
    </row>
    <row r="618" spans="1:4" x14ac:dyDescent="0.45">
      <c r="A618">
        <v>102</v>
      </c>
      <c r="B618">
        <f t="shared" ca="1" si="9"/>
        <v>192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8" t="str">
        <f ca="1">IF(dict_zuord_Meth_Transfers[[#This Row],[kval_active]],dict_zuord_Meth_Transfers[[#This Row],[ID_Transfers]],"")</f>
        <v/>
      </c>
    </row>
    <row r="619" spans="1:4" x14ac:dyDescent="0.45">
      <c r="A619">
        <v>102</v>
      </c>
      <c r="B619" s="3">
        <f t="shared" ca="1" si="9"/>
        <v>162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9" t="str">
        <f ca="1">IF(dict_zuord_Meth_Transfers[[#This Row],[kval_active]],dict_zuord_Meth_Transfers[[#This Row],[ID_Transfers]],"")</f>
        <v/>
      </c>
    </row>
    <row r="620" spans="1:4" x14ac:dyDescent="0.45">
      <c r="A620">
        <v>103</v>
      </c>
      <c r="B620">
        <f t="shared" ca="1" si="9"/>
        <v>61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0" t="str">
        <f ca="1">IF(dict_zuord_Meth_Transfers[[#This Row],[kval_active]],dict_zuord_Meth_Transfers[[#This Row],[ID_Transfers]],"")</f>
        <v/>
      </c>
    </row>
    <row r="621" spans="1:4" x14ac:dyDescent="0.45">
      <c r="A621">
        <v>103</v>
      </c>
      <c r="B621">
        <f t="shared" ca="1" si="9"/>
        <v>189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1" t="str">
        <f ca="1">IF(dict_zuord_Meth_Transfers[[#This Row],[kval_active]],dict_zuord_Meth_Transfers[[#This Row],[ID_Transfers]],"")</f>
        <v/>
      </c>
    </row>
    <row r="622" spans="1:4" x14ac:dyDescent="0.45">
      <c r="A622">
        <v>103</v>
      </c>
      <c r="B622" s="3">
        <f t="shared" ca="1" si="9"/>
        <v>68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2" t="str">
        <f ca="1">IF(dict_zuord_Meth_Transfers[[#This Row],[kval_active]],dict_zuord_Meth_Transfers[[#This Row],[ID_Transfers]],"")</f>
        <v/>
      </c>
    </row>
    <row r="623" spans="1:4" x14ac:dyDescent="0.45">
      <c r="A623">
        <v>103</v>
      </c>
      <c r="B623">
        <f t="shared" ca="1" si="9"/>
        <v>189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3" t="str">
        <f ca="1">IF(dict_zuord_Meth_Transfers[[#This Row],[kval_active]],dict_zuord_Meth_Transfers[[#This Row],[ID_Transfers]],"")</f>
        <v/>
      </c>
    </row>
    <row r="624" spans="1:4" x14ac:dyDescent="0.45">
      <c r="A624">
        <v>103</v>
      </c>
      <c r="B624" s="3">
        <f t="shared" ca="1" si="9"/>
        <v>107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4" t="str">
        <f ca="1">IF(dict_zuord_Meth_Transfers[[#This Row],[kval_active]],dict_zuord_Meth_Transfers[[#This Row],[ID_Transfers]],"")</f>
        <v/>
      </c>
    </row>
    <row r="625" spans="1:4" x14ac:dyDescent="0.45">
      <c r="A625">
        <v>103</v>
      </c>
      <c r="B625" s="3">
        <f t="shared" ca="1" si="9"/>
        <v>70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5" t="str">
        <f ca="1">IF(dict_zuord_Meth_Transfers[[#This Row],[kval_active]],dict_zuord_Meth_Transfers[[#This Row],[ID_Transfers]],"")</f>
        <v/>
      </c>
    </row>
    <row r="626" spans="1:4" x14ac:dyDescent="0.45">
      <c r="A626">
        <v>104</v>
      </c>
      <c r="B626">
        <f t="shared" ca="1" si="9"/>
        <v>48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6" t="str">
        <f ca="1">IF(dict_zuord_Meth_Transfers[[#This Row],[kval_active]],dict_zuord_Meth_Transfers[[#This Row],[ID_Transfers]],"")</f>
        <v/>
      </c>
    </row>
    <row r="627" spans="1:4" x14ac:dyDescent="0.45">
      <c r="A627">
        <v>104</v>
      </c>
      <c r="B627" s="3">
        <f t="shared" ca="1" si="9"/>
        <v>198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7" t="str">
        <f ca="1">IF(dict_zuord_Meth_Transfers[[#This Row],[kval_active]],dict_zuord_Meth_Transfers[[#This Row],[ID_Transfers]],"")</f>
        <v/>
      </c>
    </row>
    <row r="628" spans="1:4" x14ac:dyDescent="0.45">
      <c r="A628">
        <v>104</v>
      </c>
      <c r="B628" s="3">
        <f t="shared" ca="1" si="9"/>
        <v>126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8" t="str">
        <f ca="1">IF(dict_zuord_Meth_Transfers[[#This Row],[kval_active]],dict_zuord_Meth_Transfers[[#This Row],[ID_Transfers]],"")</f>
        <v/>
      </c>
    </row>
    <row r="629" spans="1:4" x14ac:dyDescent="0.45">
      <c r="A629">
        <v>104</v>
      </c>
      <c r="B629" s="3">
        <f t="shared" ca="1" si="9"/>
        <v>18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9" t="str">
        <f ca="1">IF(dict_zuord_Meth_Transfers[[#This Row],[kval_active]],dict_zuord_Meth_Transfers[[#This Row],[ID_Transfers]],"")</f>
        <v/>
      </c>
    </row>
    <row r="630" spans="1:4" x14ac:dyDescent="0.45">
      <c r="A630">
        <v>104</v>
      </c>
      <c r="B630">
        <f t="shared" ca="1" si="9"/>
        <v>82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0" t="str">
        <f ca="1">IF(dict_zuord_Meth_Transfers[[#This Row],[kval_active]],dict_zuord_Meth_Transfers[[#This Row],[ID_Transfers]],"")</f>
        <v/>
      </c>
    </row>
    <row r="631" spans="1:4" x14ac:dyDescent="0.45">
      <c r="A631">
        <v>104</v>
      </c>
      <c r="B631">
        <f t="shared" ca="1" si="9"/>
        <v>87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1" t="str">
        <f ca="1">IF(dict_zuord_Meth_Transfers[[#This Row],[kval_active]],dict_zuord_Meth_Transfers[[#This Row],[ID_Transfers]],"")</f>
        <v/>
      </c>
    </row>
    <row r="632" spans="1:4" x14ac:dyDescent="0.45">
      <c r="A632">
        <v>105</v>
      </c>
      <c r="B632">
        <f t="shared" ca="1" si="9"/>
        <v>3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2" t="str">
        <f ca="1">IF(dict_zuord_Meth_Transfers[[#This Row],[kval_active]],dict_zuord_Meth_Transfers[[#This Row],[ID_Transfers]],"")</f>
        <v/>
      </c>
    </row>
    <row r="633" spans="1:4" x14ac:dyDescent="0.45">
      <c r="A633">
        <v>105</v>
      </c>
      <c r="B633">
        <f t="shared" ca="1" si="9"/>
        <v>94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3" t="str">
        <f ca="1">IF(dict_zuord_Meth_Transfers[[#This Row],[kval_active]],dict_zuord_Meth_Transfers[[#This Row],[ID_Transfers]],"")</f>
        <v/>
      </c>
    </row>
    <row r="634" spans="1:4" x14ac:dyDescent="0.45">
      <c r="A634">
        <v>105</v>
      </c>
      <c r="B634">
        <f t="shared" ca="1" si="9"/>
        <v>124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4" t="str">
        <f ca="1">IF(dict_zuord_Meth_Transfers[[#This Row],[kval_active]],dict_zuord_Meth_Transfers[[#This Row],[ID_Transfers]],"")</f>
        <v/>
      </c>
    </row>
    <row r="635" spans="1:4" x14ac:dyDescent="0.45">
      <c r="A635">
        <v>105</v>
      </c>
      <c r="B635" s="3">
        <f t="shared" ca="1" si="9"/>
        <v>188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5" t="str">
        <f ca="1">IF(dict_zuord_Meth_Transfers[[#This Row],[kval_active]],dict_zuord_Meth_Transfers[[#This Row],[ID_Transfers]],"")</f>
        <v/>
      </c>
    </row>
    <row r="636" spans="1:4" x14ac:dyDescent="0.45">
      <c r="A636">
        <v>105</v>
      </c>
      <c r="B636" s="3">
        <f t="shared" ca="1" si="9"/>
        <v>15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6" t="str">
        <f ca="1">IF(dict_zuord_Meth_Transfers[[#This Row],[kval_active]],dict_zuord_Meth_Transfers[[#This Row],[ID_Transfers]],"")</f>
        <v/>
      </c>
    </row>
    <row r="637" spans="1:4" x14ac:dyDescent="0.45">
      <c r="A637">
        <v>105</v>
      </c>
      <c r="B637" s="3">
        <f t="shared" ca="1" si="9"/>
        <v>112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7" t="str">
        <f ca="1">IF(dict_zuord_Meth_Transfers[[#This Row],[kval_active]],dict_zuord_Meth_Transfers[[#This Row],[ID_Transfers]],"")</f>
        <v/>
      </c>
    </row>
    <row r="638" spans="1:4" x14ac:dyDescent="0.45">
      <c r="A638">
        <v>106</v>
      </c>
      <c r="B638">
        <f t="shared" ca="1" si="9"/>
        <v>85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8" t="str">
        <f ca="1">IF(dict_zuord_Meth_Transfers[[#This Row],[kval_active]],dict_zuord_Meth_Transfers[[#This Row],[ID_Transfers]],"")</f>
        <v/>
      </c>
    </row>
    <row r="639" spans="1:4" x14ac:dyDescent="0.45">
      <c r="A639">
        <v>106</v>
      </c>
      <c r="B639">
        <f t="shared" ca="1" si="9"/>
        <v>177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9" t="str">
        <f ca="1">IF(dict_zuord_Meth_Transfers[[#This Row],[kval_active]],dict_zuord_Meth_Transfers[[#This Row],[ID_Transfers]],"")</f>
        <v/>
      </c>
    </row>
    <row r="640" spans="1:4" x14ac:dyDescent="0.45">
      <c r="A640">
        <v>106</v>
      </c>
      <c r="B640">
        <f t="shared" ca="1" si="9"/>
        <v>0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0" t="str">
        <f ca="1">IF(dict_zuord_Meth_Transfers[[#This Row],[kval_active]],dict_zuord_Meth_Transfers[[#This Row],[ID_Transfers]],"")</f>
        <v/>
      </c>
    </row>
    <row r="641" spans="1:4" x14ac:dyDescent="0.45">
      <c r="A641">
        <v>106</v>
      </c>
      <c r="B641" s="3">
        <f t="shared" ca="1" si="9"/>
        <v>70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1" t="str">
        <f ca="1">IF(dict_zuord_Meth_Transfers[[#This Row],[kval_active]],dict_zuord_Meth_Transfers[[#This Row],[ID_Transfers]],"")</f>
        <v/>
      </c>
    </row>
    <row r="642" spans="1:4" x14ac:dyDescent="0.45">
      <c r="A642">
        <v>106</v>
      </c>
      <c r="B642" s="3">
        <f t="shared" ref="B642:B705" ca="1" si="10">RANDBETWEEN(0,200)</f>
        <v>170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2" t="str">
        <f ca="1">IF(dict_zuord_Meth_Transfers[[#This Row],[kval_active]],dict_zuord_Meth_Transfers[[#This Row],[ID_Transfers]],"")</f>
        <v/>
      </c>
    </row>
    <row r="643" spans="1:4" x14ac:dyDescent="0.45">
      <c r="A643">
        <v>106</v>
      </c>
      <c r="B643" s="3">
        <f t="shared" ca="1" si="10"/>
        <v>21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3" t="str">
        <f ca="1">IF(dict_zuord_Meth_Transfers[[#This Row],[kval_active]],dict_zuord_Meth_Transfers[[#This Row],[ID_Transfers]],"")</f>
        <v/>
      </c>
    </row>
    <row r="644" spans="1:4" x14ac:dyDescent="0.45">
      <c r="A644">
        <v>107</v>
      </c>
      <c r="B644">
        <f t="shared" ca="1" si="10"/>
        <v>113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4" t="str">
        <f ca="1">IF(dict_zuord_Meth_Transfers[[#This Row],[kval_active]],dict_zuord_Meth_Transfers[[#This Row],[ID_Transfers]],"")</f>
        <v/>
      </c>
    </row>
    <row r="645" spans="1:4" x14ac:dyDescent="0.45">
      <c r="A645">
        <v>107</v>
      </c>
      <c r="B645">
        <f t="shared" ca="1" si="10"/>
        <v>116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5" t="str">
        <f ca="1">IF(dict_zuord_Meth_Transfers[[#This Row],[kval_active]],dict_zuord_Meth_Transfers[[#This Row],[ID_Transfers]],"")</f>
        <v/>
      </c>
    </row>
    <row r="646" spans="1:4" x14ac:dyDescent="0.45">
      <c r="A646">
        <v>107</v>
      </c>
      <c r="B646" s="3">
        <f t="shared" ca="1" si="10"/>
        <v>47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6" t="str">
        <f ca="1">IF(dict_zuord_Meth_Transfers[[#This Row],[kval_active]],dict_zuord_Meth_Transfers[[#This Row],[ID_Transfers]],"")</f>
        <v/>
      </c>
    </row>
    <row r="647" spans="1:4" x14ac:dyDescent="0.45">
      <c r="A647">
        <v>107</v>
      </c>
      <c r="B647" s="3">
        <f t="shared" ca="1" si="10"/>
        <v>86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7" t="str">
        <f ca="1">IF(dict_zuord_Meth_Transfers[[#This Row],[kval_active]],dict_zuord_Meth_Transfers[[#This Row],[ID_Transfers]],"")</f>
        <v/>
      </c>
    </row>
    <row r="648" spans="1:4" x14ac:dyDescent="0.45">
      <c r="A648">
        <v>107</v>
      </c>
      <c r="B648">
        <f t="shared" ca="1" si="10"/>
        <v>83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8" t="str">
        <f ca="1">IF(dict_zuord_Meth_Transfers[[#This Row],[kval_active]],dict_zuord_Meth_Transfers[[#This Row],[ID_Transfers]],"")</f>
        <v/>
      </c>
    </row>
    <row r="649" spans="1:4" x14ac:dyDescent="0.45">
      <c r="A649">
        <v>107</v>
      </c>
      <c r="B649" s="3">
        <f t="shared" ca="1" si="10"/>
        <v>53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9" t="str">
        <f ca="1">IF(dict_zuord_Meth_Transfers[[#This Row],[kval_active]],dict_zuord_Meth_Transfers[[#This Row],[ID_Transfers]],"")</f>
        <v/>
      </c>
    </row>
    <row r="650" spans="1:4" x14ac:dyDescent="0.45">
      <c r="A650">
        <v>108</v>
      </c>
      <c r="B650" s="3">
        <f t="shared" ca="1" si="10"/>
        <v>26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0" t="str">
        <f ca="1">IF(dict_zuord_Meth_Transfers[[#This Row],[kval_active]],dict_zuord_Meth_Transfers[[#This Row],[ID_Transfers]],"")</f>
        <v/>
      </c>
    </row>
    <row r="651" spans="1:4" x14ac:dyDescent="0.45">
      <c r="A651">
        <v>108</v>
      </c>
      <c r="B651">
        <f t="shared" ca="1" si="10"/>
        <v>18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1" t="str">
        <f ca="1">IF(dict_zuord_Meth_Transfers[[#This Row],[kval_active]],dict_zuord_Meth_Transfers[[#This Row],[ID_Transfers]],"")</f>
        <v/>
      </c>
    </row>
    <row r="652" spans="1:4" x14ac:dyDescent="0.45">
      <c r="A652">
        <v>108</v>
      </c>
      <c r="B652">
        <f t="shared" ca="1" si="10"/>
        <v>30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2" t="str">
        <f ca="1">IF(dict_zuord_Meth_Transfers[[#This Row],[kval_active]],dict_zuord_Meth_Transfers[[#This Row],[ID_Transfers]],"")</f>
        <v/>
      </c>
    </row>
    <row r="653" spans="1:4" x14ac:dyDescent="0.45">
      <c r="A653">
        <v>108</v>
      </c>
      <c r="B653">
        <f t="shared" ca="1" si="10"/>
        <v>196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3" t="str">
        <f ca="1">IF(dict_zuord_Meth_Transfers[[#This Row],[kval_active]],dict_zuord_Meth_Transfers[[#This Row],[ID_Transfers]],"")</f>
        <v/>
      </c>
    </row>
    <row r="654" spans="1:4" x14ac:dyDescent="0.45">
      <c r="A654">
        <v>108</v>
      </c>
      <c r="B654" s="3">
        <f t="shared" ca="1" si="10"/>
        <v>4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4" t="str">
        <f ca="1">IF(dict_zuord_Meth_Transfers[[#This Row],[kval_active]],dict_zuord_Meth_Transfers[[#This Row],[ID_Transfers]],"")</f>
        <v/>
      </c>
    </row>
    <row r="655" spans="1:4" x14ac:dyDescent="0.45">
      <c r="A655">
        <v>108</v>
      </c>
      <c r="B655" s="3">
        <f t="shared" ca="1" si="10"/>
        <v>78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5" t="str">
        <f ca="1">IF(dict_zuord_Meth_Transfers[[#This Row],[kval_active]],dict_zuord_Meth_Transfers[[#This Row],[ID_Transfers]],"")</f>
        <v/>
      </c>
    </row>
    <row r="656" spans="1:4" x14ac:dyDescent="0.45">
      <c r="A656">
        <v>109</v>
      </c>
      <c r="B656" s="3">
        <f t="shared" ca="1" si="10"/>
        <v>78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6" t="str">
        <f ca="1">IF(dict_zuord_Meth_Transfers[[#This Row],[kval_active]],dict_zuord_Meth_Transfers[[#This Row],[ID_Transfers]],"")</f>
        <v/>
      </c>
    </row>
    <row r="657" spans="1:4" x14ac:dyDescent="0.45">
      <c r="A657">
        <v>109</v>
      </c>
      <c r="B657">
        <f t="shared" ca="1" si="10"/>
        <v>39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7" t="str">
        <f ca="1">IF(dict_zuord_Meth_Transfers[[#This Row],[kval_active]],dict_zuord_Meth_Transfers[[#This Row],[ID_Transfers]],"")</f>
        <v/>
      </c>
    </row>
    <row r="658" spans="1:4" x14ac:dyDescent="0.45">
      <c r="A658">
        <v>109</v>
      </c>
      <c r="B658" s="3">
        <f t="shared" ca="1" si="10"/>
        <v>104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8" t="str">
        <f ca="1">IF(dict_zuord_Meth_Transfers[[#This Row],[kval_active]],dict_zuord_Meth_Transfers[[#This Row],[ID_Transfers]],"")</f>
        <v/>
      </c>
    </row>
    <row r="659" spans="1:4" x14ac:dyDescent="0.45">
      <c r="A659">
        <v>109</v>
      </c>
      <c r="B659" s="3">
        <f t="shared" ca="1" si="10"/>
        <v>7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9" t="str">
        <f ca="1">IF(dict_zuord_Meth_Transfers[[#This Row],[kval_active]],dict_zuord_Meth_Transfers[[#This Row],[ID_Transfers]],"")</f>
        <v/>
      </c>
    </row>
    <row r="660" spans="1:4" x14ac:dyDescent="0.45">
      <c r="A660">
        <v>109</v>
      </c>
      <c r="B660">
        <f t="shared" ca="1" si="10"/>
        <v>131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0" t="str">
        <f ca="1">IF(dict_zuord_Meth_Transfers[[#This Row],[kval_active]],dict_zuord_Meth_Transfers[[#This Row],[ID_Transfers]],"")</f>
        <v/>
      </c>
    </row>
    <row r="661" spans="1:4" x14ac:dyDescent="0.45">
      <c r="A661">
        <v>109</v>
      </c>
      <c r="B661">
        <f t="shared" ca="1" si="10"/>
        <v>106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1" t="str">
        <f ca="1">IF(dict_zuord_Meth_Transfers[[#This Row],[kval_active]],dict_zuord_Meth_Transfers[[#This Row],[ID_Transfers]],"")</f>
        <v/>
      </c>
    </row>
    <row r="662" spans="1:4" x14ac:dyDescent="0.45">
      <c r="A662">
        <v>110</v>
      </c>
      <c r="B662" s="3">
        <f t="shared" ca="1" si="10"/>
        <v>102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2" t="str">
        <f ca="1">IF(dict_zuord_Meth_Transfers[[#This Row],[kval_active]],dict_zuord_Meth_Transfers[[#This Row],[ID_Transfers]],"")</f>
        <v/>
      </c>
    </row>
    <row r="663" spans="1:4" x14ac:dyDescent="0.45">
      <c r="A663">
        <v>110</v>
      </c>
      <c r="B663">
        <f t="shared" ca="1" si="10"/>
        <v>77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3" t="str">
        <f ca="1">IF(dict_zuord_Meth_Transfers[[#This Row],[kval_active]],dict_zuord_Meth_Transfers[[#This Row],[ID_Transfers]],"")</f>
        <v/>
      </c>
    </row>
    <row r="664" spans="1:4" x14ac:dyDescent="0.45">
      <c r="A664">
        <v>110</v>
      </c>
      <c r="B664">
        <f t="shared" ca="1" si="10"/>
        <v>95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4" t="str">
        <f ca="1">IF(dict_zuord_Meth_Transfers[[#This Row],[kval_active]],dict_zuord_Meth_Transfers[[#This Row],[ID_Transfers]],"")</f>
        <v/>
      </c>
    </row>
    <row r="665" spans="1:4" x14ac:dyDescent="0.45">
      <c r="A665">
        <v>110</v>
      </c>
      <c r="B665">
        <f t="shared" ca="1" si="10"/>
        <v>180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5" t="str">
        <f ca="1">IF(dict_zuord_Meth_Transfers[[#This Row],[kval_active]],dict_zuord_Meth_Transfers[[#This Row],[ID_Transfers]],"")</f>
        <v/>
      </c>
    </row>
    <row r="666" spans="1:4" x14ac:dyDescent="0.45">
      <c r="A666">
        <v>110</v>
      </c>
      <c r="B666" s="3">
        <f t="shared" ca="1" si="10"/>
        <v>115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6" t="str">
        <f ca="1">IF(dict_zuord_Meth_Transfers[[#This Row],[kval_active]],dict_zuord_Meth_Transfers[[#This Row],[ID_Transfers]],"")</f>
        <v/>
      </c>
    </row>
    <row r="667" spans="1:4" x14ac:dyDescent="0.45">
      <c r="A667">
        <v>110</v>
      </c>
      <c r="B667" s="3">
        <f t="shared" ca="1" si="10"/>
        <v>171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7" t="str">
        <f ca="1">IF(dict_zuord_Meth_Transfers[[#This Row],[kval_active]],dict_zuord_Meth_Transfers[[#This Row],[ID_Transfers]],"")</f>
        <v/>
      </c>
    </row>
    <row r="668" spans="1:4" x14ac:dyDescent="0.45">
      <c r="A668">
        <v>111</v>
      </c>
      <c r="B668" s="3">
        <f t="shared" ca="1" si="10"/>
        <v>82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8" t="str">
        <f ca="1">IF(dict_zuord_Meth_Transfers[[#This Row],[kval_active]],dict_zuord_Meth_Transfers[[#This Row],[ID_Transfers]],"")</f>
        <v/>
      </c>
    </row>
    <row r="669" spans="1:4" x14ac:dyDescent="0.45">
      <c r="A669">
        <v>111</v>
      </c>
      <c r="B669" s="3">
        <f t="shared" ca="1" si="10"/>
        <v>88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9" t="str">
        <f ca="1">IF(dict_zuord_Meth_Transfers[[#This Row],[kval_active]],dict_zuord_Meth_Transfers[[#This Row],[ID_Transfers]],"")</f>
        <v/>
      </c>
    </row>
    <row r="670" spans="1:4" x14ac:dyDescent="0.45">
      <c r="A670">
        <v>111</v>
      </c>
      <c r="B670">
        <f t="shared" ca="1" si="10"/>
        <v>52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0" t="str">
        <f ca="1">IF(dict_zuord_Meth_Transfers[[#This Row],[kval_active]],dict_zuord_Meth_Transfers[[#This Row],[ID_Transfers]],"")</f>
        <v/>
      </c>
    </row>
    <row r="671" spans="1:4" x14ac:dyDescent="0.45">
      <c r="A671">
        <v>111</v>
      </c>
      <c r="B671">
        <f t="shared" ca="1" si="10"/>
        <v>86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1" t="str">
        <f ca="1">IF(dict_zuord_Meth_Transfers[[#This Row],[kval_active]],dict_zuord_Meth_Transfers[[#This Row],[ID_Transfers]],"")</f>
        <v/>
      </c>
    </row>
    <row r="672" spans="1:4" x14ac:dyDescent="0.45">
      <c r="A672">
        <v>111</v>
      </c>
      <c r="B672">
        <f t="shared" ca="1" si="10"/>
        <v>54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2" t="str">
        <f ca="1">IF(dict_zuord_Meth_Transfers[[#This Row],[kval_active]],dict_zuord_Meth_Transfers[[#This Row],[ID_Transfers]],"")</f>
        <v/>
      </c>
    </row>
    <row r="673" spans="1:4" x14ac:dyDescent="0.45">
      <c r="A673">
        <v>111</v>
      </c>
      <c r="B673" s="3">
        <f t="shared" ca="1" si="10"/>
        <v>131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3" t="str">
        <f ca="1">IF(dict_zuord_Meth_Transfers[[#This Row],[kval_active]],dict_zuord_Meth_Transfers[[#This Row],[ID_Transfers]],"")</f>
        <v/>
      </c>
    </row>
    <row r="674" spans="1:4" x14ac:dyDescent="0.45">
      <c r="A674">
        <v>112</v>
      </c>
      <c r="B674" s="3">
        <f t="shared" ca="1" si="10"/>
        <v>184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4" t="str">
        <f ca="1">IF(dict_zuord_Meth_Transfers[[#This Row],[kval_active]],dict_zuord_Meth_Transfers[[#This Row],[ID_Transfers]],"")</f>
        <v/>
      </c>
    </row>
    <row r="675" spans="1:4" x14ac:dyDescent="0.45">
      <c r="A675">
        <v>112</v>
      </c>
      <c r="B675" s="3">
        <f t="shared" ca="1" si="10"/>
        <v>138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5" t="str">
        <f ca="1">IF(dict_zuord_Meth_Transfers[[#This Row],[kval_active]],dict_zuord_Meth_Transfers[[#This Row],[ID_Transfers]],"")</f>
        <v/>
      </c>
    </row>
    <row r="676" spans="1:4" x14ac:dyDescent="0.45">
      <c r="A676">
        <v>112</v>
      </c>
      <c r="B676">
        <f t="shared" ca="1" si="10"/>
        <v>23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6" t="str">
        <f ca="1">IF(dict_zuord_Meth_Transfers[[#This Row],[kval_active]],dict_zuord_Meth_Transfers[[#This Row],[ID_Transfers]],"")</f>
        <v/>
      </c>
    </row>
    <row r="677" spans="1:4" x14ac:dyDescent="0.45">
      <c r="A677">
        <v>112</v>
      </c>
      <c r="B677" s="3">
        <f t="shared" ca="1" si="10"/>
        <v>43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7" t="str">
        <f ca="1">IF(dict_zuord_Meth_Transfers[[#This Row],[kval_active]],dict_zuord_Meth_Transfers[[#This Row],[ID_Transfers]],"")</f>
        <v/>
      </c>
    </row>
    <row r="678" spans="1:4" x14ac:dyDescent="0.45">
      <c r="A678">
        <v>112</v>
      </c>
      <c r="B678">
        <f t="shared" ca="1" si="10"/>
        <v>175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8" t="str">
        <f ca="1">IF(dict_zuord_Meth_Transfers[[#This Row],[kval_active]],dict_zuord_Meth_Transfers[[#This Row],[ID_Transfers]],"")</f>
        <v/>
      </c>
    </row>
    <row r="679" spans="1:4" x14ac:dyDescent="0.45">
      <c r="A679">
        <v>112</v>
      </c>
      <c r="B679">
        <f t="shared" ca="1" si="10"/>
        <v>150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9" t="str">
        <f ca="1">IF(dict_zuord_Meth_Transfers[[#This Row],[kval_active]],dict_zuord_Meth_Transfers[[#This Row],[ID_Transfers]],"")</f>
        <v/>
      </c>
    </row>
    <row r="680" spans="1:4" x14ac:dyDescent="0.45">
      <c r="A680">
        <v>113</v>
      </c>
      <c r="B680" s="3">
        <f t="shared" ca="1" si="10"/>
        <v>169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0" t="str">
        <f ca="1">IF(dict_zuord_Meth_Transfers[[#This Row],[kval_active]],dict_zuord_Meth_Transfers[[#This Row],[ID_Transfers]],"")</f>
        <v/>
      </c>
    </row>
    <row r="681" spans="1:4" x14ac:dyDescent="0.45">
      <c r="A681">
        <v>113</v>
      </c>
      <c r="B681">
        <f t="shared" ca="1" si="10"/>
        <v>29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1" t="str">
        <f ca="1">IF(dict_zuord_Meth_Transfers[[#This Row],[kval_active]],dict_zuord_Meth_Transfers[[#This Row],[ID_Transfers]],"")</f>
        <v/>
      </c>
    </row>
    <row r="682" spans="1:4" x14ac:dyDescent="0.45">
      <c r="A682">
        <v>113</v>
      </c>
      <c r="B682" s="3">
        <f t="shared" ca="1" si="10"/>
        <v>126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2" t="str">
        <f ca="1">IF(dict_zuord_Meth_Transfers[[#This Row],[kval_active]],dict_zuord_Meth_Transfers[[#This Row],[ID_Transfers]],"")</f>
        <v/>
      </c>
    </row>
    <row r="683" spans="1:4" x14ac:dyDescent="0.45">
      <c r="A683">
        <v>113</v>
      </c>
      <c r="B683">
        <f t="shared" ca="1" si="10"/>
        <v>118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3" t="str">
        <f ca="1">IF(dict_zuord_Meth_Transfers[[#This Row],[kval_active]],dict_zuord_Meth_Transfers[[#This Row],[ID_Transfers]],"")</f>
        <v/>
      </c>
    </row>
    <row r="684" spans="1:4" x14ac:dyDescent="0.45">
      <c r="A684">
        <v>113</v>
      </c>
      <c r="B684" s="3">
        <f t="shared" ca="1" si="10"/>
        <v>159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4" t="str">
        <f ca="1">IF(dict_zuord_Meth_Transfers[[#This Row],[kval_active]],dict_zuord_Meth_Transfers[[#This Row],[ID_Transfers]],"")</f>
        <v/>
      </c>
    </row>
    <row r="685" spans="1:4" x14ac:dyDescent="0.45">
      <c r="A685">
        <v>113</v>
      </c>
      <c r="B685">
        <f t="shared" ca="1" si="10"/>
        <v>174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5" t="str">
        <f ca="1">IF(dict_zuord_Meth_Transfers[[#This Row],[kval_active]],dict_zuord_Meth_Transfers[[#This Row],[ID_Transfers]],"")</f>
        <v/>
      </c>
    </row>
    <row r="686" spans="1:4" x14ac:dyDescent="0.45">
      <c r="A686">
        <v>114</v>
      </c>
      <c r="B686" s="3">
        <f t="shared" ca="1" si="10"/>
        <v>14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6" t="str">
        <f ca="1">IF(dict_zuord_Meth_Transfers[[#This Row],[kval_active]],dict_zuord_Meth_Transfers[[#This Row],[ID_Transfers]],"")</f>
        <v/>
      </c>
    </row>
    <row r="687" spans="1:4" x14ac:dyDescent="0.45">
      <c r="A687">
        <v>114</v>
      </c>
      <c r="B687" s="3">
        <f t="shared" ca="1" si="10"/>
        <v>49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7" t="str">
        <f ca="1">IF(dict_zuord_Meth_Transfers[[#This Row],[kval_active]],dict_zuord_Meth_Transfers[[#This Row],[ID_Transfers]],"")</f>
        <v/>
      </c>
    </row>
    <row r="688" spans="1:4" x14ac:dyDescent="0.45">
      <c r="A688">
        <v>114</v>
      </c>
      <c r="B688">
        <f t="shared" ca="1" si="10"/>
        <v>160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8" t="str">
        <f ca="1">IF(dict_zuord_Meth_Transfers[[#This Row],[kval_active]],dict_zuord_Meth_Transfers[[#This Row],[ID_Transfers]],"")</f>
        <v/>
      </c>
    </row>
    <row r="689" spans="1:4" x14ac:dyDescent="0.45">
      <c r="A689">
        <v>114</v>
      </c>
      <c r="B689" s="3">
        <f t="shared" ca="1" si="10"/>
        <v>153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9" t="str">
        <f ca="1">IF(dict_zuord_Meth_Transfers[[#This Row],[kval_active]],dict_zuord_Meth_Transfers[[#This Row],[ID_Transfers]],"")</f>
        <v/>
      </c>
    </row>
    <row r="690" spans="1:4" x14ac:dyDescent="0.45">
      <c r="A690">
        <v>114</v>
      </c>
      <c r="B690">
        <f t="shared" ca="1" si="10"/>
        <v>22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0" t="str">
        <f ca="1">IF(dict_zuord_Meth_Transfers[[#This Row],[kval_active]],dict_zuord_Meth_Transfers[[#This Row],[ID_Transfers]],"")</f>
        <v/>
      </c>
    </row>
    <row r="691" spans="1:4" x14ac:dyDescent="0.45">
      <c r="A691">
        <v>114</v>
      </c>
      <c r="B691">
        <f t="shared" ca="1" si="10"/>
        <v>1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1" t="str">
        <f ca="1">IF(dict_zuord_Meth_Transfers[[#This Row],[kval_active]],dict_zuord_Meth_Transfers[[#This Row],[ID_Transfers]],"")</f>
        <v/>
      </c>
    </row>
    <row r="692" spans="1:4" x14ac:dyDescent="0.45">
      <c r="A692">
        <v>115</v>
      </c>
      <c r="B692">
        <f t="shared" ca="1" si="10"/>
        <v>114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2" t="str">
        <f ca="1">IF(dict_zuord_Meth_Transfers[[#This Row],[kval_active]],dict_zuord_Meth_Transfers[[#This Row],[ID_Transfers]],"")</f>
        <v/>
      </c>
    </row>
    <row r="693" spans="1:4" x14ac:dyDescent="0.45">
      <c r="A693">
        <v>115</v>
      </c>
      <c r="B693">
        <f t="shared" ca="1" si="10"/>
        <v>45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3" t="str">
        <f ca="1">IF(dict_zuord_Meth_Transfers[[#This Row],[kval_active]],dict_zuord_Meth_Transfers[[#This Row],[ID_Transfers]],"")</f>
        <v/>
      </c>
    </row>
    <row r="694" spans="1:4" x14ac:dyDescent="0.45">
      <c r="A694">
        <v>115</v>
      </c>
      <c r="B694" s="3">
        <f t="shared" ca="1" si="10"/>
        <v>73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4" t="str">
        <f ca="1">IF(dict_zuord_Meth_Transfers[[#This Row],[kval_active]],dict_zuord_Meth_Transfers[[#This Row],[ID_Transfers]],"")</f>
        <v/>
      </c>
    </row>
    <row r="695" spans="1:4" x14ac:dyDescent="0.45">
      <c r="A695">
        <v>115</v>
      </c>
      <c r="B695" s="3">
        <f t="shared" ca="1" si="10"/>
        <v>41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5" t="str">
        <f ca="1">IF(dict_zuord_Meth_Transfers[[#This Row],[kval_active]],dict_zuord_Meth_Transfers[[#This Row],[ID_Transfers]],"")</f>
        <v/>
      </c>
    </row>
    <row r="696" spans="1:4" x14ac:dyDescent="0.45">
      <c r="A696">
        <v>115</v>
      </c>
      <c r="B696">
        <f t="shared" ca="1" si="10"/>
        <v>45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6" t="str">
        <f ca="1">IF(dict_zuord_Meth_Transfers[[#This Row],[kval_active]],dict_zuord_Meth_Transfers[[#This Row],[ID_Transfers]],"")</f>
        <v/>
      </c>
    </row>
    <row r="697" spans="1:4" x14ac:dyDescent="0.45">
      <c r="A697">
        <v>115</v>
      </c>
      <c r="B697" s="3">
        <f t="shared" ca="1" si="10"/>
        <v>112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7" t="str">
        <f ca="1">IF(dict_zuord_Meth_Transfers[[#This Row],[kval_active]],dict_zuord_Meth_Transfers[[#This Row],[ID_Transfers]],"")</f>
        <v/>
      </c>
    </row>
    <row r="698" spans="1:4" x14ac:dyDescent="0.45">
      <c r="A698">
        <v>116</v>
      </c>
      <c r="B698">
        <f t="shared" ca="1" si="10"/>
        <v>43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8" t="str">
        <f ca="1">IF(dict_zuord_Meth_Transfers[[#This Row],[kval_active]],dict_zuord_Meth_Transfers[[#This Row],[ID_Transfers]],"")</f>
        <v/>
      </c>
    </row>
    <row r="699" spans="1:4" x14ac:dyDescent="0.45">
      <c r="A699">
        <v>116</v>
      </c>
      <c r="B699">
        <f t="shared" ca="1" si="10"/>
        <v>79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9" t="str">
        <f ca="1">IF(dict_zuord_Meth_Transfers[[#This Row],[kval_active]],dict_zuord_Meth_Transfers[[#This Row],[ID_Transfers]],"")</f>
        <v/>
      </c>
    </row>
    <row r="700" spans="1:4" x14ac:dyDescent="0.45">
      <c r="A700">
        <v>116</v>
      </c>
      <c r="B700" s="3">
        <f t="shared" ca="1" si="10"/>
        <v>88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0" t="str">
        <f ca="1">IF(dict_zuord_Meth_Transfers[[#This Row],[kval_active]],dict_zuord_Meth_Transfers[[#This Row],[ID_Transfers]],"")</f>
        <v/>
      </c>
    </row>
    <row r="701" spans="1:4" x14ac:dyDescent="0.45">
      <c r="A701">
        <v>116</v>
      </c>
      <c r="B701">
        <f t="shared" ca="1" si="10"/>
        <v>150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1" t="str">
        <f ca="1">IF(dict_zuord_Meth_Transfers[[#This Row],[kval_active]],dict_zuord_Meth_Transfers[[#This Row],[ID_Transfers]],"")</f>
        <v/>
      </c>
    </row>
    <row r="702" spans="1:4" x14ac:dyDescent="0.45">
      <c r="A702">
        <v>116</v>
      </c>
      <c r="B702" s="3">
        <f t="shared" ca="1" si="10"/>
        <v>92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2" t="str">
        <f ca="1">IF(dict_zuord_Meth_Transfers[[#This Row],[kval_active]],dict_zuord_Meth_Transfers[[#This Row],[ID_Transfers]],"")</f>
        <v/>
      </c>
    </row>
    <row r="703" spans="1:4" x14ac:dyDescent="0.45">
      <c r="A703">
        <v>116</v>
      </c>
      <c r="B703" s="3">
        <f t="shared" ca="1" si="10"/>
        <v>93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3" t="str">
        <f ca="1">IF(dict_zuord_Meth_Transfers[[#This Row],[kval_active]],dict_zuord_Meth_Transfers[[#This Row],[ID_Transfers]],"")</f>
        <v/>
      </c>
    </row>
    <row r="704" spans="1:4" x14ac:dyDescent="0.45">
      <c r="A704">
        <v>117</v>
      </c>
      <c r="B704" s="3">
        <f t="shared" ca="1" si="10"/>
        <v>106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4" t="str">
        <f ca="1">IF(dict_zuord_Meth_Transfers[[#This Row],[kval_active]],dict_zuord_Meth_Transfers[[#This Row],[ID_Transfers]],"")</f>
        <v/>
      </c>
    </row>
    <row r="705" spans="1:4" x14ac:dyDescent="0.45">
      <c r="A705">
        <v>117</v>
      </c>
      <c r="B705">
        <f t="shared" ca="1" si="10"/>
        <v>93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5" t="str">
        <f ca="1">IF(dict_zuord_Meth_Transfers[[#This Row],[kval_active]],dict_zuord_Meth_Transfers[[#This Row],[ID_Transfers]],"")</f>
        <v/>
      </c>
    </row>
    <row r="706" spans="1:4" x14ac:dyDescent="0.45">
      <c r="A706">
        <v>117</v>
      </c>
      <c r="B706" s="3">
        <f t="shared" ref="B706:B769" ca="1" si="11">RANDBETWEEN(0,200)</f>
        <v>131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6" t="str">
        <f ca="1">IF(dict_zuord_Meth_Transfers[[#This Row],[kval_active]],dict_zuord_Meth_Transfers[[#This Row],[ID_Transfers]],"")</f>
        <v/>
      </c>
    </row>
    <row r="707" spans="1:4" x14ac:dyDescent="0.45">
      <c r="A707">
        <v>117</v>
      </c>
      <c r="B707">
        <f t="shared" ca="1" si="11"/>
        <v>51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7" t="str">
        <f ca="1">IF(dict_zuord_Meth_Transfers[[#This Row],[kval_active]],dict_zuord_Meth_Transfers[[#This Row],[ID_Transfers]],"")</f>
        <v/>
      </c>
    </row>
    <row r="708" spans="1:4" x14ac:dyDescent="0.45">
      <c r="A708">
        <v>117</v>
      </c>
      <c r="B708">
        <f t="shared" ca="1" si="11"/>
        <v>142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8" t="str">
        <f ca="1">IF(dict_zuord_Meth_Transfers[[#This Row],[kval_active]],dict_zuord_Meth_Transfers[[#This Row],[ID_Transfers]],"")</f>
        <v/>
      </c>
    </row>
    <row r="709" spans="1:4" x14ac:dyDescent="0.45">
      <c r="A709">
        <v>117</v>
      </c>
      <c r="B709" s="3">
        <f t="shared" ca="1" si="11"/>
        <v>146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9" t="str">
        <f ca="1">IF(dict_zuord_Meth_Transfers[[#This Row],[kval_active]],dict_zuord_Meth_Transfers[[#This Row],[ID_Transfers]],"")</f>
        <v/>
      </c>
    </row>
    <row r="710" spans="1:4" x14ac:dyDescent="0.45">
      <c r="A710">
        <v>118</v>
      </c>
      <c r="B710">
        <f t="shared" ca="1" si="11"/>
        <v>168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0" t="str">
        <f ca="1">IF(dict_zuord_Meth_Transfers[[#This Row],[kval_active]],dict_zuord_Meth_Transfers[[#This Row],[ID_Transfers]],"")</f>
        <v/>
      </c>
    </row>
    <row r="711" spans="1:4" x14ac:dyDescent="0.45">
      <c r="A711">
        <v>118</v>
      </c>
      <c r="B711" s="3">
        <f t="shared" ca="1" si="11"/>
        <v>89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1" t="str">
        <f ca="1">IF(dict_zuord_Meth_Transfers[[#This Row],[kval_active]],dict_zuord_Meth_Transfers[[#This Row],[ID_Transfers]],"")</f>
        <v/>
      </c>
    </row>
    <row r="712" spans="1:4" x14ac:dyDescent="0.45">
      <c r="A712">
        <v>118</v>
      </c>
      <c r="B712" s="3">
        <f t="shared" ca="1" si="11"/>
        <v>21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2" t="str">
        <f ca="1">IF(dict_zuord_Meth_Transfers[[#This Row],[kval_active]],dict_zuord_Meth_Transfers[[#This Row],[ID_Transfers]],"")</f>
        <v/>
      </c>
    </row>
    <row r="713" spans="1:4" x14ac:dyDescent="0.45">
      <c r="A713">
        <v>118</v>
      </c>
      <c r="B713">
        <f t="shared" ca="1" si="11"/>
        <v>131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3" t="str">
        <f ca="1">IF(dict_zuord_Meth_Transfers[[#This Row],[kval_active]],dict_zuord_Meth_Transfers[[#This Row],[ID_Transfers]],"")</f>
        <v/>
      </c>
    </row>
    <row r="714" spans="1:4" x14ac:dyDescent="0.45">
      <c r="A714">
        <v>118</v>
      </c>
      <c r="B714" s="3">
        <f t="shared" ca="1" si="11"/>
        <v>167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4" t="str">
        <f ca="1">IF(dict_zuord_Meth_Transfers[[#This Row],[kval_active]],dict_zuord_Meth_Transfers[[#This Row],[ID_Transfers]],"")</f>
        <v/>
      </c>
    </row>
    <row r="715" spans="1:4" x14ac:dyDescent="0.45">
      <c r="A715">
        <v>118</v>
      </c>
      <c r="B715">
        <f t="shared" ca="1" si="11"/>
        <v>175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5" t="str">
        <f ca="1">IF(dict_zuord_Meth_Transfers[[#This Row],[kval_active]],dict_zuord_Meth_Transfers[[#This Row],[ID_Transfers]],"")</f>
        <v/>
      </c>
    </row>
    <row r="716" spans="1:4" x14ac:dyDescent="0.45">
      <c r="A716">
        <v>119</v>
      </c>
      <c r="B716">
        <f t="shared" ca="1" si="11"/>
        <v>149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6" t="str">
        <f ca="1">IF(dict_zuord_Meth_Transfers[[#This Row],[kval_active]],dict_zuord_Meth_Transfers[[#This Row],[ID_Transfers]],"")</f>
        <v/>
      </c>
    </row>
    <row r="717" spans="1:4" x14ac:dyDescent="0.45">
      <c r="A717">
        <v>119</v>
      </c>
      <c r="B717" s="3">
        <f t="shared" ca="1" si="11"/>
        <v>39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7" t="str">
        <f ca="1">IF(dict_zuord_Meth_Transfers[[#This Row],[kval_active]],dict_zuord_Meth_Transfers[[#This Row],[ID_Transfers]],"")</f>
        <v/>
      </c>
    </row>
    <row r="718" spans="1:4" x14ac:dyDescent="0.45">
      <c r="A718">
        <v>119</v>
      </c>
      <c r="B718">
        <f t="shared" ca="1" si="11"/>
        <v>122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8" t="str">
        <f ca="1">IF(dict_zuord_Meth_Transfers[[#This Row],[kval_active]],dict_zuord_Meth_Transfers[[#This Row],[ID_Transfers]],"")</f>
        <v/>
      </c>
    </row>
    <row r="719" spans="1:4" x14ac:dyDescent="0.45">
      <c r="A719">
        <v>119</v>
      </c>
      <c r="B719" s="3">
        <f t="shared" ca="1" si="11"/>
        <v>1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9" t="str">
        <f ca="1">IF(dict_zuord_Meth_Transfers[[#This Row],[kval_active]],dict_zuord_Meth_Transfers[[#This Row],[ID_Transfers]],"")</f>
        <v/>
      </c>
    </row>
    <row r="720" spans="1:4" x14ac:dyDescent="0.45">
      <c r="A720">
        <v>119</v>
      </c>
      <c r="B720" s="3">
        <f t="shared" ca="1" si="11"/>
        <v>137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0" t="str">
        <f ca="1">IF(dict_zuord_Meth_Transfers[[#This Row],[kval_active]],dict_zuord_Meth_Transfers[[#This Row],[ID_Transfers]],"")</f>
        <v/>
      </c>
    </row>
    <row r="721" spans="1:4" x14ac:dyDescent="0.45">
      <c r="A721">
        <v>119</v>
      </c>
      <c r="B721">
        <f t="shared" ca="1" si="11"/>
        <v>80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1" t="str">
        <f ca="1">IF(dict_zuord_Meth_Transfers[[#This Row],[kval_active]],dict_zuord_Meth_Transfers[[#This Row],[ID_Transfers]],"")</f>
        <v/>
      </c>
    </row>
    <row r="722" spans="1:4" x14ac:dyDescent="0.45">
      <c r="A722">
        <v>120</v>
      </c>
      <c r="B722">
        <f t="shared" ca="1" si="11"/>
        <v>72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2" t="str">
        <f ca="1">IF(dict_zuord_Meth_Transfers[[#This Row],[kval_active]],dict_zuord_Meth_Transfers[[#This Row],[ID_Transfers]],"")</f>
        <v/>
      </c>
    </row>
    <row r="723" spans="1:4" x14ac:dyDescent="0.45">
      <c r="A723">
        <v>120</v>
      </c>
      <c r="B723" s="3">
        <f t="shared" ca="1" si="11"/>
        <v>33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3" t="str">
        <f ca="1">IF(dict_zuord_Meth_Transfers[[#This Row],[kval_active]],dict_zuord_Meth_Transfers[[#This Row],[ID_Transfers]],"")</f>
        <v/>
      </c>
    </row>
    <row r="724" spans="1:4" x14ac:dyDescent="0.45">
      <c r="A724">
        <v>120</v>
      </c>
      <c r="B724" s="3">
        <f t="shared" ca="1" si="11"/>
        <v>138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4" t="str">
        <f ca="1">IF(dict_zuord_Meth_Transfers[[#This Row],[kval_active]],dict_zuord_Meth_Transfers[[#This Row],[ID_Transfers]],"")</f>
        <v/>
      </c>
    </row>
    <row r="725" spans="1:4" x14ac:dyDescent="0.45">
      <c r="A725">
        <v>120</v>
      </c>
      <c r="B725" s="3">
        <f t="shared" ca="1" si="11"/>
        <v>0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5" t="str">
        <f ca="1">IF(dict_zuord_Meth_Transfers[[#This Row],[kval_active]],dict_zuord_Meth_Transfers[[#This Row],[ID_Transfers]],"")</f>
        <v/>
      </c>
    </row>
    <row r="726" spans="1:4" x14ac:dyDescent="0.45">
      <c r="A726">
        <v>120</v>
      </c>
      <c r="B726">
        <f t="shared" ca="1" si="11"/>
        <v>19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6" t="str">
        <f ca="1">IF(dict_zuord_Meth_Transfers[[#This Row],[kval_active]],dict_zuord_Meth_Transfers[[#This Row],[ID_Transfers]],"")</f>
        <v/>
      </c>
    </row>
    <row r="727" spans="1:4" x14ac:dyDescent="0.45">
      <c r="A727">
        <v>120</v>
      </c>
      <c r="B727">
        <f t="shared" ca="1" si="11"/>
        <v>182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7" t="str">
        <f ca="1">IF(dict_zuord_Meth_Transfers[[#This Row],[kval_active]],dict_zuord_Meth_Transfers[[#This Row],[ID_Transfers]],"")</f>
        <v/>
      </c>
    </row>
    <row r="728" spans="1:4" x14ac:dyDescent="0.45">
      <c r="A728">
        <v>121</v>
      </c>
      <c r="B728" s="3">
        <f t="shared" ca="1" si="11"/>
        <v>167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8" t="str">
        <f ca="1">IF(dict_zuord_Meth_Transfers[[#This Row],[kval_active]],dict_zuord_Meth_Transfers[[#This Row],[ID_Transfers]],"")</f>
        <v/>
      </c>
    </row>
    <row r="729" spans="1:4" x14ac:dyDescent="0.45">
      <c r="A729">
        <v>121</v>
      </c>
      <c r="B729">
        <f t="shared" ca="1" si="11"/>
        <v>136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9" t="str">
        <f ca="1">IF(dict_zuord_Meth_Transfers[[#This Row],[kval_active]],dict_zuord_Meth_Transfers[[#This Row],[ID_Transfers]],"")</f>
        <v/>
      </c>
    </row>
    <row r="730" spans="1:4" x14ac:dyDescent="0.45">
      <c r="A730">
        <v>121</v>
      </c>
      <c r="B730">
        <f t="shared" ca="1" si="11"/>
        <v>46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0" t="str">
        <f ca="1">IF(dict_zuord_Meth_Transfers[[#This Row],[kval_active]],dict_zuord_Meth_Transfers[[#This Row],[ID_Transfers]],"")</f>
        <v/>
      </c>
    </row>
    <row r="731" spans="1:4" x14ac:dyDescent="0.45">
      <c r="A731">
        <v>121</v>
      </c>
      <c r="B731">
        <f t="shared" ca="1" si="11"/>
        <v>190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1" t="str">
        <f ca="1">IF(dict_zuord_Meth_Transfers[[#This Row],[kval_active]],dict_zuord_Meth_Transfers[[#This Row],[ID_Transfers]],"")</f>
        <v/>
      </c>
    </row>
    <row r="732" spans="1:4" x14ac:dyDescent="0.45">
      <c r="A732">
        <v>121</v>
      </c>
      <c r="B732" s="3">
        <f t="shared" ca="1" si="11"/>
        <v>99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2" t="str">
        <f ca="1">IF(dict_zuord_Meth_Transfers[[#This Row],[kval_active]],dict_zuord_Meth_Transfers[[#This Row],[ID_Transfers]],"")</f>
        <v/>
      </c>
    </row>
    <row r="733" spans="1:4" x14ac:dyDescent="0.45">
      <c r="A733">
        <v>121</v>
      </c>
      <c r="B733" s="3">
        <f t="shared" ca="1" si="11"/>
        <v>182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3" t="str">
        <f ca="1">IF(dict_zuord_Meth_Transfers[[#This Row],[kval_active]],dict_zuord_Meth_Transfers[[#This Row],[ID_Transfers]],"")</f>
        <v/>
      </c>
    </row>
    <row r="734" spans="1:4" x14ac:dyDescent="0.45">
      <c r="A734">
        <v>122</v>
      </c>
      <c r="B734">
        <f t="shared" ca="1" si="11"/>
        <v>151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4" t="str">
        <f ca="1">IF(dict_zuord_Meth_Transfers[[#This Row],[kval_active]],dict_zuord_Meth_Transfers[[#This Row],[ID_Transfers]],"")</f>
        <v/>
      </c>
    </row>
    <row r="735" spans="1:4" x14ac:dyDescent="0.45">
      <c r="A735">
        <v>122</v>
      </c>
      <c r="B735" s="3">
        <f t="shared" ca="1" si="11"/>
        <v>87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5" t="str">
        <f ca="1">IF(dict_zuord_Meth_Transfers[[#This Row],[kval_active]],dict_zuord_Meth_Transfers[[#This Row],[ID_Transfers]],"")</f>
        <v/>
      </c>
    </row>
    <row r="736" spans="1:4" x14ac:dyDescent="0.45">
      <c r="A736">
        <v>122</v>
      </c>
      <c r="B736" s="3">
        <f t="shared" ca="1" si="11"/>
        <v>39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6" t="str">
        <f ca="1">IF(dict_zuord_Meth_Transfers[[#This Row],[kval_active]],dict_zuord_Meth_Transfers[[#This Row],[ID_Transfers]],"")</f>
        <v/>
      </c>
    </row>
    <row r="737" spans="1:4" x14ac:dyDescent="0.45">
      <c r="A737">
        <v>122</v>
      </c>
      <c r="B737" s="3">
        <f t="shared" ca="1" si="11"/>
        <v>100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7" t="str">
        <f ca="1">IF(dict_zuord_Meth_Transfers[[#This Row],[kval_active]],dict_zuord_Meth_Transfers[[#This Row],[ID_Transfers]],"")</f>
        <v/>
      </c>
    </row>
    <row r="738" spans="1:4" x14ac:dyDescent="0.45">
      <c r="A738">
        <v>122</v>
      </c>
      <c r="B738">
        <f t="shared" ca="1" si="11"/>
        <v>97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8" t="str">
        <f ca="1">IF(dict_zuord_Meth_Transfers[[#This Row],[kval_active]],dict_zuord_Meth_Transfers[[#This Row],[ID_Transfers]],"")</f>
        <v/>
      </c>
    </row>
    <row r="739" spans="1:4" x14ac:dyDescent="0.45">
      <c r="A739">
        <v>122</v>
      </c>
      <c r="B739">
        <f t="shared" ca="1" si="11"/>
        <v>28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9" t="str">
        <f ca="1">IF(dict_zuord_Meth_Transfers[[#This Row],[kval_active]],dict_zuord_Meth_Transfers[[#This Row],[ID_Transfers]],"")</f>
        <v/>
      </c>
    </row>
    <row r="740" spans="1:4" x14ac:dyDescent="0.45">
      <c r="A740">
        <v>123</v>
      </c>
      <c r="B740" s="3">
        <f t="shared" ca="1" si="11"/>
        <v>177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0" t="str">
        <f ca="1">IF(dict_zuord_Meth_Transfers[[#This Row],[kval_active]],dict_zuord_Meth_Transfers[[#This Row],[ID_Transfers]],"")</f>
        <v/>
      </c>
    </row>
    <row r="741" spans="1:4" x14ac:dyDescent="0.45">
      <c r="A741">
        <v>123</v>
      </c>
      <c r="B741">
        <f t="shared" ca="1" si="11"/>
        <v>147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1" t="str">
        <f ca="1">IF(dict_zuord_Meth_Transfers[[#This Row],[kval_active]],dict_zuord_Meth_Transfers[[#This Row],[ID_Transfers]],"")</f>
        <v/>
      </c>
    </row>
    <row r="742" spans="1:4" x14ac:dyDescent="0.45">
      <c r="A742">
        <v>123</v>
      </c>
      <c r="B742">
        <f t="shared" ca="1" si="11"/>
        <v>23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2" t="str">
        <f ca="1">IF(dict_zuord_Meth_Transfers[[#This Row],[kval_active]],dict_zuord_Meth_Transfers[[#This Row],[ID_Transfers]],"")</f>
        <v/>
      </c>
    </row>
    <row r="743" spans="1:4" x14ac:dyDescent="0.45">
      <c r="A743">
        <v>123</v>
      </c>
      <c r="B743" s="3">
        <f t="shared" ca="1" si="11"/>
        <v>78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3" t="str">
        <f ca="1">IF(dict_zuord_Meth_Transfers[[#This Row],[kval_active]],dict_zuord_Meth_Transfers[[#This Row],[ID_Transfers]],"")</f>
        <v/>
      </c>
    </row>
    <row r="744" spans="1:4" x14ac:dyDescent="0.45">
      <c r="A744">
        <v>123</v>
      </c>
      <c r="B744">
        <f t="shared" ca="1" si="11"/>
        <v>183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4" t="str">
        <f ca="1">IF(dict_zuord_Meth_Transfers[[#This Row],[kval_active]],dict_zuord_Meth_Transfers[[#This Row],[ID_Transfers]],"")</f>
        <v/>
      </c>
    </row>
    <row r="745" spans="1:4" x14ac:dyDescent="0.45">
      <c r="A745">
        <v>123</v>
      </c>
      <c r="B745" s="3">
        <f t="shared" ca="1" si="11"/>
        <v>153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5" t="str">
        <f ca="1">IF(dict_zuord_Meth_Transfers[[#This Row],[kval_active]],dict_zuord_Meth_Transfers[[#This Row],[ID_Transfers]],"")</f>
        <v/>
      </c>
    </row>
    <row r="746" spans="1:4" x14ac:dyDescent="0.45">
      <c r="A746">
        <v>124</v>
      </c>
      <c r="B746" s="3">
        <f t="shared" ca="1" si="11"/>
        <v>13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6" t="str">
        <f ca="1">IF(dict_zuord_Meth_Transfers[[#This Row],[kval_active]],dict_zuord_Meth_Transfers[[#This Row],[ID_Transfers]],"")</f>
        <v/>
      </c>
    </row>
    <row r="747" spans="1:4" x14ac:dyDescent="0.45">
      <c r="A747">
        <v>124</v>
      </c>
      <c r="B747">
        <f t="shared" ca="1" si="11"/>
        <v>169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7" t="str">
        <f ca="1">IF(dict_zuord_Meth_Transfers[[#This Row],[kval_active]],dict_zuord_Meth_Transfers[[#This Row],[ID_Transfers]],"")</f>
        <v/>
      </c>
    </row>
    <row r="748" spans="1:4" x14ac:dyDescent="0.45">
      <c r="A748">
        <v>124</v>
      </c>
      <c r="B748">
        <f t="shared" ca="1" si="11"/>
        <v>19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8" t="str">
        <f ca="1">IF(dict_zuord_Meth_Transfers[[#This Row],[kval_active]],dict_zuord_Meth_Transfers[[#This Row],[ID_Transfers]],"")</f>
        <v/>
      </c>
    </row>
    <row r="749" spans="1:4" x14ac:dyDescent="0.45">
      <c r="A749">
        <v>124</v>
      </c>
      <c r="B749" s="3">
        <f t="shared" ca="1" si="11"/>
        <v>156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9" t="str">
        <f ca="1">IF(dict_zuord_Meth_Transfers[[#This Row],[kval_active]],dict_zuord_Meth_Transfers[[#This Row],[ID_Transfers]],"")</f>
        <v/>
      </c>
    </row>
    <row r="750" spans="1:4" x14ac:dyDescent="0.45">
      <c r="A750">
        <v>124</v>
      </c>
      <c r="B750">
        <f t="shared" ca="1" si="11"/>
        <v>4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0" t="str">
        <f ca="1">IF(dict_zuord_Meth_Transfers[[#This Row],[kval_active]],dict_zuord_Meth_Transfers[[#This Row],[ID_Transfers]],"")</f>
        <v/>
      </c>
    </row>
    <row r="751" spans="1:4" x14ac:dyDescent="0.45">
      <c r="A751">
        <v>124</v>
      </c>
      <c r="B751" s="3">
        <f t="shared" ca="1" si="11"/>
        <v>5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1" t="str">
        <f ca="1">IF(dict_zuord_Meth_Transfers[[#This Row],[kval_active]],dict_zuord_Meth_Transfers[[#This Row],[ID_Transfers]],"")</f>
        <v/>
      </c>
    </row>
    <row r="752" spans="1:4" x14ac:dyDescent="0.45">
      <c r="A752">
        <v>125</v>
      </c>
      <c r="B752">
        <f t="shared" ca="1" si="11"/>
        <v>39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2" t="str">
        <f ca="1">IF(dict_zuord_Meth_Transfers[[#This Row],[kval_active]],dict_zuord_Meth_Transfers[[#This Row],[ID_Transfers]],"")</f>
        <v/>
      </c>
    </row>
    <row r="753" spans="1:4" x14ac:dyDescent="0.45">
      <c r="A753">
        <v>125</v>
      </c>
      <c r="B753" s="3">
        <f t="shared" ca="1" si="11"/>
        <v>80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3" t="str">
        <f ca="1">IF(dict_zuord_Meth_Transfers[[#This Row],[kval_active]],dict_zuord_Meth_Transfers[[#This Row],[ID_Transfers]],"")</f>
        <v/>
      </c>
    </row>
    <row r="754" spans="1:4" x14ac:dyDescent="0.45">
      <c r="A754">
        <v>125</v>
      </c>
      <c r="B754">
        <f t="shared" ca="1" si="11"/>
        <v>146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4" t="str">
        <f ca="1">IF(dict_zuord_Meth_Transfers[[#This Row],[kval_active]],dict_zuord_Meth_Transfers[[#This Row],[ID_Transfers]],"")</f>
        <v/>
      </c>
    </row>
    <row r="755" spans="1:4" x14ac:dyDescent="0.45">
      <c r="A755">
        <v>125</v>
      </c>
      <c r="B755" s="3">
        <f t="shared" ca="1" si="11"/>
        <v>160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5" t="str">
        <f ca="1">IF(dict_zuord_Meth_Transfers[[#This Row],[kval_active]],dict_zuord_Meth_Transfers[[#This Row],[ID_Transfers]],"")</f>
        <v/>
      </c>
    </row>
    <row r="756" spans="1:4" x14ac:dyDescent="0.45">
      <c r="A756">
        <v>125</v>
      </c>
      <c r="B756" s="3">
        <f t="shared" ca="1" si="11"/>
        <v>123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6" t="str">
        <f ca="1">IF(dict_zuord_Meth_Transfers[[#This Row],[kval_active]],dict_zuord_Meth_Transfers[[#This Row],[ID_Transfers]],"")</f>
        <v/>
      </c>
    </row>
    <row r="757" spans="1:4" x14ac:dyDescent="0.45">
      <c r="A757">
        <v>125</v>
      </c>
      <c r="B757">
        <f t="shared" ca="1" si="11"/>
        <v>156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7" t="str">
        <f ca="1">IF(dict_zuord_Meth_Transfers[[#This Row],[kval_active]],dict_zuord_Meth_Transfers[[#This Row],[ID_Transfers]],"")</f>
        <v/>
      </c>
    </row>
    <row r="758" spans="1:4" x14ac:dyDescent="0.45">
      <c r="A758">
        <v>126</v>
      </c>
      <c r="B758" s="3">
        <f t="shared" ca="1" si="11"/>
        <v>43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8" t="str">
        <f ca="1">IF(dict_zuord_Meth_Transfers[[#This Row],[kval_active]],dict_zuord_Meth_Transfers[[#This Row],[ID_Transfers]],"")</f>
        <v/>
      </c>
    </row>
    <row r="759" spans="1:4" x14ac:dyDescent="0.45">
      <c r="A759">
        <v>126</v>
      </c>
      <c r="B759" s="3">
        <f t="shared" ca="1" si="11"/>
        <v>130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9" t="str">
        <f ca="1">IF(dict_zuord_Meth_Transfers[[#This Row],[kval_active]],dict_zuord_Meth_Transfers[[#This Row],[ID_Transfers]],"")</f>
        <v/>
      </c>
    </row>
    <row r="760" spans="1:4" x14ac:dyDescent="0.45">
      <c r="A760">
        <v>126</v>
      </c>
      <c r="B760" s="3">
        <f t="shared" ca="1" si="11"/>
        <v>82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0" t="str">
        <f ca="1">IF(dict_zuord_Meth_Transfers[[#This Row],[kval_active]],dict_zuord_Meth_Transfers[[#This Row],[ID_Transfers]],"")</f>
        <v/>
      </c>
    </row>
    <row r="761" spans="1:4" x14ac:dyDescent="0.45">
      <c r="A761">
        <v>126</v>
      </c>
      <c r="B761">
        <f t="shared" ca="1" si="11"/>
        <v>54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1" t="str">
        <f ca="1">IF(dict_zuord_Meth_Transfers[[#This Row],[kval_active]],dict_zuord_Meth_Transfers[[#This Row],[ID_Transfers]],"")</f>
        <v/>
      </c>
    </row>
    <row r="762" spans="1:4" x14ac:dyDescent="0.45">
      <c r="A762">
        <v>126</v>
      </c>
      <c r="B762">
        <f t="shared" ca="1" si="11"/>
        <v>52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2" t="str">
        <f ca="1">IF(dict_zuord_Meth_Transfers[[#This Row],[kval_active]],dict_zuord_Meth_Transfers[[#This Row],[ID_Transfers]],"")</f>
        <v/>
      </c>
    </row>
    <row r="763" spans="1:4" x14ac:dyDescent="0.45">
      <c r="A763">
        <v>126</v>
      </c>
      <c r="B763">
        <f t="shared" ca="1" si="11"/>
        <v>82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3" t="str">
        <f ca="1">IF(dict_zuord_Meth_Transfers[[#This Row],[kval_active]],dict_zuord_Meth_Transfers[[#This Row],[ID_Transfers]],"")</f>
        <v/>
      </c>
    </row>
    <row r="764" spans="1:4" x14ac:dyDescent="0.45">
      <c r="A764">
        <v>127</v>
      </c>
      <c r="B764">
        <f t="shared" ca="1" si="11"/>
        <v>200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4" t="str">
        <f ca="1">IF(dict_zuord_Meth_Transfers[[#This Row],[kval_active]],dict_zuord_Meth_Transfers[[#This Row],[ID_Transfers]],"")</f>
        <v/>
      </c>
    </row>
    <row r="765" spans="1:4" x14ac:dyDescent="0.45">
      <c r="A765">
        <v>127</v>
      </c>
      <c r="B765">
        <f t="shared" ca="1" si="11"/>
        <v>89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5" t="str">
        <f ca="1">IF(dict_zuord_Meth_Transfers[[#This Row],[kval_active]],dict_zuord_Meth_Transfers[[#This Row],[ID_Transfers]],"")</f>
        <v/>
      </c>
    </row>
    <row r="766" spans="1:4" x14ac:dyDescent="0.45">
      <c r="A766">
        <v>127</v>
      </c>
      <c r="B766" s="3">
        <f t="shared" ca="1" si="11"/>
        <v>8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6" t="str">
        <f ca="1">IF(dict_zuord_Meth_Transfers[[#This Row],[kval_active]],dict_zuord_Meth_Transfers[[#This Row],[ID_Transfers]],"")</f>
        <v/>
      </c>
    </row>
    <row r="767" spans="1:4" x14ac:dyDescent="0.45">
      <c r="A767">
        <v>127</v>
      </c>
      <c r="B767" s="3">
        <f t="shared" ca="1" si="11"/>
        <v>107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7" t="str">
        <f ca="1">IF(dict_zuord_Meth_Transfers[[#This Row],[kval_active]],dict_zuord_Meth_Transfers[[#This Row],[ID_Transfers]],"")</f>
        <v/>
      </c>
    </row>
    <row r="768" spans="1:4" x14ac:dyDescent="0.45">
      <c r="A768">
        <v>127</v>
      </c>
      <c r="B768" s="3">
        <f t="shared" ca="1" si="11"/>
        <v>139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8" t="str">
        <f ca="1">IF(dict_zuord_Meth_Transfers[[#This Row],[kval_active]],dict_zuord_Meth_Transfers[[#This Row],[ID_Transfers]],"")</f>
        <v/>
      </c>
    </row>
    <row r="769" spans="1:4" x14ac:dyDescent="0.45">
      <c r="A769">
        <v>127</v>
      </c>
      <c r="B769">
        <f t="shared" ca="1" si="11"/>
        <v>137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9" t="str">
        <f ca="1">IF(dict_zuord_Meth_Transfers[[#This Row],[kval_active]],dict_zuord_Meth_Transfers[[#This Row],[ID_Transfers]],"")</f>
        <v/>
      </c>
    </row>
    <row r="770" spans="1:4" x14ac:dyDescent="0.45">
      <c r="A770">
        <v>128</v>
      </c>
      <c r="B770" s="3">
        <f t="shared" ref="B770:B833" ca="1" si="12">RANDBETWEEN(0,200)</f>
        <v>57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0" t="str">
        <f ca="1">IF(dict_zuord_Meth_Transfers[[#This Row],[kval_active]],dict_zuord_Meth_Transfers[[#This Row],[ID_Transfers]],"")</f>
        <v/>
      </c>
    </row>
    <row r="771" spans="1:4" x14ac:dyDescent="0.45">
      <c r="A771">
        <v>128</v>
      </c>
      <c r="B771" s="3">
        <f t="shared" ca="1" si="12"/>
        <v>49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1" t="str">
        <f ca="1">IF(dict_zuord_Meth_Transfers[[#This Row],[kval_active]],dict_zuord_Meth_Transfers[[#This Row],[ID_Transfers]],"")</f>
        <v/>
      </c>
    </row>
    <row r="772" spans="1:4" x14ac:dyDescent="0.45">
      <c r="A772">
        <v>128</v>
      </c>
      <c r="B772">
        <f t="shared" ca="1" si="12"/>
        <v>23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2" t="str">
        <f ca="1">IF(dict_zuord_Meth_Transfers[[#This Row],[kval_active]],dict_zuord_Meth_Transfers[[#This Row],[ID_Transfers]],"")</f>
        <v/>
      </c>
    </row>
    <row r="773" spans="1:4" x14ac:dyDescent="0.45">
      <c r="A773">
        <v>128</v>
      </c>
      <c r="B773">
        <f t="shared" ca="1" si="12"/>
        <v>99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3" t="str">
        <f ca="1">IF(dict_zuord_Meth_Transfers[[#This Row],[kval_active]],dict_zuord_Meth_Transfers[[#This Row],[ID_Transfers]],"")</f>
        <v/>
      </c>
    </row>
    <row r="774" spans="1:4" x14ac:dyDescent="0.45">
      <c r="A774">
        <v>128</v>
      </c>
      <c r="B774" s="3">
        <f t="shared" ca="1" si="12"/>
        <v>181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4" t="str">
        <f ca="1">IF(dict_zuord_Meth_Transfers[[#This Row],[kval_active]],dict_zuord_Meth_Transfers[[#This Row],[ID_Transfers]],"")</f>
        <v/>
      </c>
    </row>
    <row r="775" spans="1:4" x14ac:dyDescent="0.45">
      <c r="A775">
        <v>128</v>
      </c>
      <c r="B775">
        <f t="shared" ca="1" si="12"/>
        <v>15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5" t="str">
        <f ca="1">IF(dict_zuord_Meth_Transfers[[#This Row],[kval_active]],dict_zuord_Meth_Transfers[[#This Row],[ID_Transfers]],"")</f>
        <v/>
      </c>
    </row>
    <row r="776" spans="1:4" x14ac:dyDescent="0.45">
      <c r="A776">
        <v>129</v>
      </c>
      <c r="B776" s="3">
        <f t="shared" ca="1" si="12"/>
        <v>68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6" t="str">
        <f ca="1">IF(dict_zuord_Meth_Transfers[[#This Row],[kval_active]],dict_zuord_Meth_Transfers[[#This Row],[ID_Transfers]],"")</f>
        <v/>
      </c>
    </row>
    <row r="777" spans="1:4" x14ac:dyDescent="0.45">
      <c r="A777">
        <v>129</v>
      </c>
      <c r="B777" s="3">
        <f t="shared" ca="1" si="12"/>
        <v>45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7" t="str">
        <f ca="1">IF(dict_zuord_Meth_Transfers[[#This Row],[kval_active]],dict_zuord_Meth_Transfers[[#This Row],[ID_Transfers]],"")</f>
        <v/>
      </c>
    </row>
    <row r="778" spans="1:4" x14ac:dyDescent="0.45">
      <c r="A778">
        <v>129</v>
      </c>
      <c r="B778" s="3">
        <f t="shared" ca="1" si="12"/>
        <v>110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8" t="str">
        <f ca="1">IF(dict_zuord_Meth_Transfers[[#This Row],[kval_active]],dict_zuord_Meth_Transfers[[#This Row],[ID_Transfers]],"")</f>
        <v/>
      </c>
    </row>
    <row r="779" spans="1:4" x14ac:dyDescent="0.45">
      <c r="A779">
        <v>129</v>
      </c>
      <c r="B779">
        <f t="shared" ca="1" si="12"/>
        <v>177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9" t="str">
        <f ca="1">IF(dict_zuord_Meth_Transfers[[#This Row],[kval_active]],dict_zuord_Meth_Transfers[[#This Row],[ID_Transfers]],"")</f>
        <v/>
      </c>
    </row>
    <row r="780" spans="1:4" x14ac:dyDescent="0.45">
      <c r="A780">
        <v>129</v>
      </c>
      <c r="B780">
        <f t="shared" ca="1" si="12"/>
        <v>112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0" t="str">
        <f ca="1">IF(dict_zuord_Meth_Transfers[[#This Row],[kval_active]],dict_zuord_Meth_Transfers[[#This Row],[ID_Transfers]],"")</f>
        <v/>
      </c>
    </row>
    <row r="781" spans="1:4" x14ac:dyDescent="0.45">
      <c r="A781">
        <v>129</v>
      </c>
      <c r="B781">
        <f t="shared" ca="1" si="12"/>
        <v>46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1" t="str">
        <f ca="1">IF(dict_zuord_Meth_Transfers[[#This Row],[kval_active]],dict_zuord_Meth_Transfers[[#This Row],[ID_Transfers]],"")</f>
        <v/>
      </c>
    </row>
    <row r="782" spans="1:4" x14ac:dyDescent="0.45">
      <c r="A782">
        <v>130</v>
      </c>
      <c r="B782">
        <f t="shared" ca="1" si="12"/>
        <v>78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2" t="str">
        <f ca="1">IF(dict_zuord_Meth_Transfers[[#This Row],[kval_active]],dict_zuord_Meth_Transfers[[#This Row],[ID_Transfers]],"")</f>
        <v/>
      </c>
    </row>
    <row r="783" spans="1:4" x14ac:dyDescent="0.45">
      <c r="A783">
        <v>130</v>
      </c>
      <c r="B783">
        <f t="shared" ca="1" si="12"/>
        <v>115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3" t="str">
        <f ca="1">IF(dict_zuord_Meth_Transfers[[#This Row],[kval_active]],dict_zuord_Meth_Transfers[[#This Row],[ID_Transfers]],"")</f>
        <v/>
      </c>
    </row>
    <row r="784" spans="1:4" x14ac:dyDescent="0.45">
      <c r="A784">
        <v>130</v>
      </c>
      <c r="B784">
        <f t="shared" ca="1" si="12"/>
        <v>122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4" t="str">
        <f ca="1">IF(dict_zuord_Meth_Transfers[[#This Row],[kval_active]],dict_zuord_Meth_Transfers[[#This Row],[ID_Transfers]],"")</f>
        <v/>
      </c>
    </row>
    <row r="785" spans="1:4" x14ac:dyDescent="0.45">
      <c r="A785">
        <v>130</v>
      </c>
      <c r="B785" s="3">
        <f t="shared" ca="1" si="12"/>
        <v>138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5" t="str">
        <f ca="1">IF(dict_zuord_Meth_Transfers[[#This Row],[kval_active]],dict_zuord_Meth_Transfers[[#This Row],[ID_Transfers]],"")</f>
        <v/>
      </c>
    </row>
    <row r="786" spans="1:4" x14ac:dyDescent="0.45">
      <c r="A786">
        <v>130</v>
      </c>
      <c r="B786" s="3">
        <f t="shared" ca="1" si="12"/>
        <v>175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6" t="str">
        <f ca="1">IF(dict_zuord_Meth_Transfers[[#This Row],[kval_active]],dict_zuord_Meth_Transfers[[#This Row],[ID_Transfers]],"")</f>
        <v/>
      </c>
    </row>
    <row r="787" spans="1:4" x14ac:dyDescent="0.45">
      <c r="A787">
        <v>130</v>
      </c>
      <c r="B787" s="3">
        <f t="shared" ca="1" si="12"/>
        <v>70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7" t="str">
        <f ca="1">IF(dict_zuord_Meth_Transfers[[#This Row],[kval_active]],dict_zuord_Meth_Transfers[[#This Row],[ID_Transfers]],"")</f>
        <v/>
      </c>
    </row>
    <row r="788" spans="1:4" x14ac:dyDescent="0.45">
      <c r="A788">
        <v>131</v>
      </c>
      <c r="B788">
        <f t="shared" ca="1" si="12"/>
        <v>36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8" t="str">
        <f ca="1">IF(dict_zuord_Meth_Transfers[[#This Row],[kval_active]],dict_zuord_Meth_Transfers[[#This Row],[ID_Transfers]],"")</f>
        <v/>
      </c>
    </row>
    <row r="789" spans="1:4" x14ac:dyDescent="0.45">
      <c r="A789">
        <v>131</v>
      </c>
      <c r="B789" s="3">
        <f t="shared" ca="1" si="12"/>
        <v>160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9" t="str">
        <f ca="1">IF(dict_zuord_Meth_Transfers[[#This Row],[kval_active]],dict_zuord_Meth_Transfers[[#This Row],[ID_Transfers]],"")</f>
        <v/>
      </c>
    </row>
    <row r="790" spans="1:4" x14ac:dyDescent="0.45">
      <c r="A790">
        <v>131</v>
      </c>
      <c r="B790" s="3">
        <f t="shared" ca="1" si="12"/>
        <v>79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0" t="str">
        <f ca="1">IF(dict_zuord_Meth_Transfers[[#This Row],[kval_active]],dict_zuord_Meth_Transfers[[#This Row],[ID_Transfers]],"")</f>
        <v/>
      </c>
    </row>
    <row r="791" spans="1:4" x14ac:dyDescent="0.45">
      <c r="A791">
        <v>131</v>
      </c>
      <c r="B791" s="3">
        <f t="shared" ca="1" si="12"/>
        <v>48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1" t="str">
        <f ca="1">IF(dict_zuord_Meth_Transfers[[#This Row],[kval_active]],dict_zuord_Meth_Transfers[[#This Row],[ID_Transfers]],"")</f>
        <v/>
      </c>
    </row>
    <row r="792" spans="1:4" x14ac:dyDescent="0.45">
      <c r="A792">
        <v>131</v>
      </c>
      <c r="B792">
        <f t="shared" ca="1" si="12"/>
        <v>66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2" t="str">
        <f ca="1">IF(dict_zuord_Meth_Transfers[[#This Row],[kval_active]],dict_zuord_Meth_Transfers[[#This Row],[ID_Transfers]],"")</f>
        <v/>
      </c>
    </row>
    <row r="793" spans="1:4" x14ac:dyDescent="0.45">
      <c r="A793">
        <v>131</v>
      </c>
      <c r="B793">
        <f t="shared" ca="1" si="12"/>
        <v>132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3" t="str">
        <f ca="1">IF(dict_zuord_Meth_Transfers[[#This Row],[kval_active]],dict_zuord_Meth_Transfers[[#This Row],[ID_Transfers]],"")</f>
        <v/>
      </c>
    </row>
    <row r="794" spans="1:4" x14ac:dyDescent="0.45">
      <c r="A794">
        <v>132</v>
      </c>
      <c r="B794">
        <f t="shared" ca="1" si="12"/>
        <v>109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4" t="str">
        <f ca="1">IF(dict_zuord_Meth_Transfers[[#This Row],[kval_active]],dict_zuord_Meth_Transfers[[#This Row],[ID_Transfers]],"")</f>
        <v/>
      </c>
    </row>
    <row r="795" spans="1:4" x14ac:dyDescent="0.45">
      <c r="A795">
        <v>132</v>
      </c>
      <c r="B795" s="3">
        <f t="shared" ca="1" si="12"/>
        <v>68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5" t="str">
        <f ca="1">IF(dict_zuord_Meth_Transfers[[#This Row],[kval_active]],dict_zuord_Meth_Transfers[[#This Row],[ID_Transfers]],"")</f>
        <v/>
      </c>
    </row>
    <row r="796" spans="1:4" x14ac:dyDescent="0.45">
      <c r="A796">
        <v>132</v>
      </c>
      <c r="B796">
        <f t="shared" ca="1" si="12"/>
        <v>37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6" t="str">
        <f ca="1">IF(dict_zuord_Meth_Transfers[[#This Row],[kval_active]],dict_zuord_Meth_Transfers[[#This Row],[ID_Transfers]],"")</f>
        <v/>
      </c>
    </row>
    <row r="797" spans="1:4" x14ac:dyDescent="0.45">
      <c r="A797">
        <v>132</v>
      </c>
      <c r="B797">
        <f t="shared" ca="1" si="12"/>
        <v>73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7" t="str">
        <f ca="1">IF(dict_zuord_Meth_Transfers[[#This Row],[kval_active]],dict_zuord_Meth_Transfers[[#This Row],[ID_Transfers]],"")</f>
        <v/>
      </c>
    </row>
    <row r="798" spans="1:4" x14ac:dyDescent="0.45">
      <c r="A798">
        <v>132</v>
      </c>
      <c r="B798" s="3">
        <f t="shared" ca="1" si="12"/>
        <v>106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8" t="str">
        <f ca="1">IF(dict_zuord_Meth_Transfers[[#This Row],[kval_active]],dict_zuord_Meth_Transfers[[#This Row],[ID_Transfers]],"")</f>
        <v/>
      </c>
    </row>
    <row r="799" spans="1:4" x14ac:dyDescent="0.45">
      <c r="A799">
        <v>132</v>
      </c>
      <c r="B799" s="3">
        <f t="shared" ca="1" si="12"/>
        <v>150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9" t="str">
        <f ca="1">IF(dict_zuord_Meth_Transfers[[#This Row],[kval_active]],dict_zuord_Meth_Transfers[[#This Row],[ID_Transfers]],"")</f>
        <v/>
      </c>
    </row>
    <row r="800" spans="1:4" x14ac:dyDescent="0.45">
      <c r="A800">
        <v>133</v>
      </c>
      <c r="B800" s="3">
        <f t="shared" ca="1" si="12"/>
        <v>65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0" t="str">
        <f ca="1">IF(dict_zuord_Meth_Transfers[[#This Row],[kval_active]],dict_zuord_Meth_Transfers[[#This Row],[ID_Transfers]],"")</f>
        <v/>
      </c>
    </row>
    <row r="801" spans="1:4" x14ac:dyDescent="0.45">
      <c r="A801">
        <v>133</v>
      </c>
      <c r="B801">
        <f t="shared" ca="1" si="12"/>
        <v>118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1" t="str">
        <f ca="1">IF(dict_zuord_Meth_Transfers[[#This Row],[kval_active]],dict_zuord_Meth_Transfers[[#This Row],[ID_Transfers]],"")</f>
        <v/>
      </c>
    </row>
    <row r="802" spans="1:4" x14ac:dyDescent="0.45">
      <c r="A802">
        <v>133</v>
      </c>
      <c r="B802" s="3">
        <f t="shared" ca="1" si="12"/>
        <v>185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2" t="str">
        <f ca="1">IF(dict_zuord_Meth_Transfers[[#This Row],[kval_active]],dict_zuord_Meth_Transfers[[#This Row],[ID_Transfers]],"")</f>
        <v/>
      </c>
    </row>
    <row r="803" spans="1:4" x14ac:dyDescent="0.45">
      <c r="A803">
        <v>133</v>
      </c>
      <c r="B803">
        <f t="shared" ca="1" si="12"/>
        <v>63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3" t="str">
        <f ca="1">IF(dict_zuord_Meth_Transfers[[#This Row],[kval_active]],dict_zuord_Meth_Transfers[[#This Row],[ID_Transfers]],"")</f>
        <v/>
      </c>
    </row>
    <row r="804" spans="1:4" x14ac:dyDescent="0.45">
      <c r="A804">
        <v>133</v>
      </c>
      <c r="B804">
        <f t="shared" ca="1" si="12"/>
        <v>57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4" t="str">
        <f ca="1">IF(dict_zuord_Meth_Transfers[[#This Row],[kval_active]],dict_zuord_Meth_Transfers[[#This Row],[ID_Transfers]],"")</f>
        <v/>
      </c>
    </row>
    <row r="805" spans="1:4" x14ac:dyDescent="0.45">
      <c r="A805">
        <v>133</v>
      </c>
      <c r="B805" s="3">
        <f t="shared" ca="1" si="12"/>
        <v>65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5" t="str">
        <f ca="1">IF(dict_zuord_Meth_Transfers[[#This Row],[kval_active]],dict_zuord_Meth_Transfers[[#This Row],[ID_Transfers]],"")</f>
        <v/>
      </c>
    </row>
    <row r="806" spans="1:4" x14ac:dyDescent="0.45">
      <c r="A806">
        <v>134</v>
      </c>
      <c r="B806" s="3">
        <f t="shared" ca="1" si="12"/>
        <v>74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6" t="str">
        <f ca="1">IF(dict_zuord_Meth_Transfers[[#This Row],[kval_active]],dict_zuord_Meth_Transfers[[#This Row],[ID_Transfers]],"")</f>
        <v/>
      </c>
    </row>
    <row r="807" spans="1:4" x14ac:dyDescent="0.45">
      <c r="A807">
        <v>134</v>
      </c>
      <c r="B807" s="3">
        <f t="shared" ca="1" si="12"/>
        <v>90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7" t="str">
        <f ca="1">IF(dict_zuord_Meth_Transfers[[#This Row],[kval_active]],dict_zuord_Meth_Transfers[[#This Row],[ID_Transfers]],"")</f>
        <v/>
      </c>
    </row>
    <row r="808" spans="1:4" x14ac:dyDescent="0.45">
      <c r="A808">
        <v>134</v>
      </c>
      <c r="B808" s="3">
        <f t="shared" ca="1" si="12"/>
        <v>118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8" t="str">
        <f ca="1">IF(dict_zuord_Meth_Transfers[[#This Row],[kval_active]],dict_zuord_Meth_Transfers[[#This Row],[ID_Transfers]],"")</f>
        <v/>
      </c>
    </row>
    <row r="809" spans="1:4" x14ac:dyDescent="0.45">
      <c r="A809">
        <v>134</v>
      </c>
      <c r="B809">
        <f t="shared" ca="1" si="12"/>
        <v>110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9" t="str">
        <f ca="1">IF(dict_zuord_Meth_Transfers[[#This Row],[kval_active]],dict_zuord_Meth_Transfers[[#This Row],[ID_Transfers]],"")</f>
        <v/>
      </c>
    </row>
    <row r="810" spans="1:4" x14ac:dyDescent="0.45">
      <c r="A810">
        <v>134</v>
      </c>
      <c r="B810">
        <f t="shared" ca="1" si="12"/>
        <v>126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0" t="str">
        <f ca="1">IF(dict_zuord_Meth_Transfers[[#This Row],[kval_active]],dict_zuord_Meth_Transfers[[#This Row],[ID_Transfers]],"")</f>
        <v/>
      </c>
    </row>
    <row r="811" spans="1:4" x14ac:dyDescent="0.45">
      <c r="A811">
        <v>134</v>
      </c>
      <c r="B811">
        <f t="shared" ca="1" si="12"/>
        <v>28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1" t="str">
        <f ca="1">IF(dict_zuord_Meth_Transfers[[#This Row],[kval_active]],dict_zuord_Meth_Transfers[[#This Row],[ID_Transfers]],"")</f>
        <v/>
      </c>
    </row>
    <row r="812" spans="1:4" x14ac:dyDescent="0.45">
      <c r="A812">
        <v>135</v>
      </c>
      <c r="B812">
        <f t="shared" ca="1" si="12"/>
        <v>140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2" t="str">
        <f ca="1">IF(dict_zuord_Meth_Transfers[[#This Row],[kval_active]],dict_zuord_Meth_Transfers[[#This Row],[ID_Transfers]],"")</f>
        <v/>
      </c>
    </row>
    <row r="813" spans="1:4" x14ac:dyDescent="0.45">
      <c r="A813">
        <v>135</v>
      </c>
      <c r="B813" s="3">
        <f t="shared" ca="1" si="12"/>
        <v>13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3" t="str">
        <f ca="1">IF(dict_zuord_Meth_Transfers[[#This Row],[kval_active]],dict_zuord_Meth_Transfers[[#This Row],[ID_Transfers]],"")</f>
        <v/>
      </c>
    </row>
    <row r="814" spans="1:4" x14ac:dyDescent="0.45">
      <c r="A814">
        <v>135</v>
      </c>
      <c r="B814">
        <f t="shared" ca="1" si="12"/>
        <v>41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4" t="str">
        <f ca="1">IF(dict_zuord_Meth_Transfers[[#This Row],[kval_active]],dict_zuord_Meth_Transfers[[#This Row],[ID_Transfers]],"")</f>
        <v/>
      </c>
    </row>
    <row r="815" spans="1:4" x14ac:dyDescent="0.45">
      <c r="A815">
        <v>135</v>
      </c>
      <c r="B815" s="3">
        <f t="shared" ca="1" si="12"/>
        <v>8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5" t="str">
        <f ca="1">IF(dict_zuord_Meth_Transfers[[#This Row],[kval_active]],dict_zuord_Meth_Transfers[[#This Row],[ID_Transfers]],"")</f>
        <v/>
      </c>
    </row>
    <row r="816" spans="1:4" x14ac:dyDescent="0.45">
      <c r="A816">
        <v>135</v>
      </c>
      <c r="B816" s="3">
        <f t="shared" ca="1" si="12"/>
        <v>66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6" t="str">
        <f ca="1">IF(dict_zuord_Meth_Transfers[[#This Row],[kval_active]],dict_zuord_Meth_Transfers[[#This Row],[ID_Transfers]],"")</f>
        <v/>
      </c>
    </row>
    <row r="817" spans="1:4" x14ac:dyDescent="0.45">
      <c r="A817">
        <v>135</v>
      </c>
      <c r="B817">
        <f t="shared" ca="1" si="12"/>
        <v>0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7" t="str">
        <f ca="1">IF(dict_zuord_Meth_Transfers[[#This Row],[kval_active]],dict_zuord_Meth_Transfers[[#This Row],[ID_Transfers]],"")</f>
        <v/>
      </c>
    </row>
    <row r="818" spans="1:4" x14ac:dyDescent="0.45">
      <c r="A818">
        <v>136</v>
      </c>
      <c r="B818">
        <f t="shared" ca="1" si="12"/>
        <v>183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8" t="str">
        <f ca="1">IF(dict_zuord_Meth_Transfers[[#This Row],[kval_active]],dict_zuord_Meth_Transfers[[#This Row],[ID_Transfers]],"")</f>
        <v/>
      </c>
    </row>
    <row r="819" spans="1:4" x14ac:dyDescent="0.45">
      <c r="A819">
        <v>136</v>
      </c>
      <c r="B819" s="3">
        <f t="shared" ca="1" si="12"/>
        <v>140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9" t="str">
        <f ca="1">IF(dict_zuord_Meth_Transfers[[#This Row],[kval_active]],dict_zuord_Meth_Transfers[[#This Row],[ID_Transfers]],"")</f>
        <v/>
      </c>
    </row>
    <row r="820" spans="1:4" x14ac:dyDescent="0.45">
      <c r="A820">
        <v>136</v>
      </c>
      <c r="B820" s="3">
        <f t="shared" ca="1" si="12"/>
        <v>55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0" t="str">
        <f ca="1">IF(dict_zuord_Meth_Transfers[[#This Row],[kval_active]],dict_zuord_Meth_Transfers[[#This Row],[ID_Transfers]],"")</f>
        <v/>
      </c>
    </row>
    <row r="821" spans="1:4" x14ac:dyDescent="0.45">
      <c r="A821">
        <v>136</v>
      </c>
      <c r="B821" s="3">
        <f t="shared" ca="1" si="12"/>
        <v>80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1" t="str">
        <f ca="1">IF(dict_zuord_Meth_Transfers[[#This Row],[kval_active]],dict_zuord_Meth_Transfers[[#This Row],[ID_Transfers]],"")</f>
        <v/>
      </c>
    </row>
    <row r="822" spans="1:4" x14ac:dyDescent="0.45">
      <c r="A822">
        <v>136</v>
      </c>
      <c r="B822">
        <f t="shared" ca="1" si="12"/>
        <v>45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2" t="str">
        <f ca="1">IF(dict_zuord_Meth_Transfers[[#This Row],[kval_active]],dict_zuord_Meth_Transfers[[#This Row],[ID_Transfers]],"")</f>
        <v/>
      </c>
    </row>
    <row r="823" spans="1:4" x14ac:dyDescent="0.45">
      <c r="A823">
        <v>136</v>
      </c>
      <c r="B823">
        <f t="shared" ca="1" si="12"/>
        <v>162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3" t="str">
        <f ca="1">IF(dict_zuord_Meth_Transfers[[#This Row],[kval_active]],dict_zuord_Meth_Transfers[[#This Row],[ID_Transfers]],"")</f>
        <v/>
      </c>
    </row>
    <row r="824" spans="1:4" x14ac:dyDescent="0.45">
      <c r="A824">
        <v>137</v>
      </c>
      <c r="B824">
        <f t="shared" ca="1" si="12"/>
        <v>191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4" t="str">
        <f ca="1">IF(dict_zuord_Meth_Transfers[[#This Row],[kval_active]],dict_zuord_Meth_Transfers[[#This Row],[ID_Transfers]],"")</f>
        <v/>
      </c>
    </row>
    <row r="825" spans="1:4" x14ac:dyDescent="0.45">
      <c r="A825">
        <v>137</v>
      </c>
      <c r="B825">
        <f t="shared" ca="1" si="12"/>
        <v>89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5" t="str">
        <f ca="1">IF(dict_zuord_Meth_Transfers[[#This Row],[kval_active]],dict_zuord_Meth_Transfers[[#This Row],[ID_Transfers]],"")</f>
        <v/>
      </c>
    </row>
    <row r="826" spans="1:4" x14ac:dyDescent="0.45">
      <c r="A826">
        <v>137</v>
      </c>
      <c r="B826">
        <f t="shared" ca="1" si="12"/>
        <v>0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6" t="str">
        <f ca="1">IF(dict_zuord_Meth_Transfers[[#This Row],[kval_active]],dict_zuord_Meth_Transfers[[#This Row],[ID_Transfers]],"")</f>
        <v/>
      </c>
    </row>
    <row r="827" spans="1:4" x14ac:dyDescent="0.45">
      <c r="A827">
        <v>137</v>
      </c>
      <c r="B827" s="3">
        <f t="shared" ca="1" si="12"/>
        <v>64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7" t="str">
        <f ca="1">IF(dict_zuord_Meth_Transfers[[#This Row],[kval_active]],dict_zuord_Meth_Transfers[[#This Row],[ID_Transfers]],"")</f>
        <v/>
      </c>
    </row>
    <row r="828" spans="1:4" x14ac:dyDescent="0.45">
      <c r="A828">
        <v>137</v>
      </c>
      <c r="B828" s="3">
        <f t="shared" ca="1" si="12"/>
        <v>74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8" t="str">
        <f ca="1">IF(dict_zuord_Meth_Transfers[[#This Row],[kval_active]],dict_zuord_Meth_Transfers[[#This Row],[ID_Transfers]],"")</f>
        <v/>
      </c>
    </row>
    <row r="829" spans="1:4" x14ac:dyDescent="0.45">
      <c r="A829">
        <v>137</v>
      </c>
      <c r="B829" s="3">
        <f t="shared" ca="1" si="12"/>
        <v>58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9" t="str">
        <f ca="1">IF(dict_zuord_Meth_Transfers[[#This Row],[kval_active]],dict_zuord_Meth_Transfers[[#This Row],[ID_Transfers]],"")</f>
        <v/>
      </c>
    </row>
    <row r="830" spans="1:4" x14ac:dyDescent="0.45">
      <c r="A830">
        <v>138</v>
      </c>
      <c r="B830">
        <f t="shared" ca="1" si="12"/>
        <v>116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0" t="str">
        <f ca="1">IF(dict_zuord_Meth_Transfers[[#This Row],[kval_active]],dict_zuord_Meth_Transfers[[#This Row],[ID_Transfers]],"")</f>
        <v/>
      </c>
    </row>
    <row r="831" spans="1:4" x14ac:dyDescent="0.45">
      <c r="A831">
        <v>138</v>
      </c>
      <c r="B831">
        <f t="shared" ca="1" si="12"/>
        <v>51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1" t="str">
        <f ca="1">IF(dict_zuord_Meth_Transfers[[#This Row],[kval_active]],dict_zuord_Meth_Transfers[[#This Row],[ID_Transfers]],"")</f>
        <v/>
      </c>
    </row>
    <row r="832" spans="1:4" x14ac:dyDescent="0.45">
      <c r="A832">
        <v>138</v>
      </c>
      <c r="B832" s="3">
        <f t="shared" ca="1" si="12"/>
        <v>11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2" t="str">
        <f ca="1">IF(dict_zuord_Meth_Transfers[[#This Row],[kval_active]],dict_zuord_Meth_Transfers[[#This Row],[ID_Transfers]],"")</f>
        <v/>
      </c>
    </row>
    <row r="833" spans="1:4" x14ac:dyDescent="0.45">
      <c r="A833">
        <v>138</v>
      </c>
      <c r="B833" s="3">
        <f t="shared" ca="1" si="12"/>
        <v>110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3" t="str">
        <f ca="1">IF(dict_zuord_Meth_Transfers[[#This Row],[kval_active]],dict_zuord_Meth_Transfers[[#This Row],[ID_Transfers]],"")</f>
        <v/>
      </c>
    </row>
    <row r="834" spans="1:4" x14ac:dyDescent="0.45">
      <c r="A834">
        <v>138</v>
      </c>
      <c r="B834">
        <f t="shared" ref="B834:B897" ca="1" si="13">RANDBETWEEN(0,200)</f>
        <v>56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4" t="str">
        <f ca="1">IF(dict_zuord_Meth_Transfers[[#This Row],[kval_active]],dict_zuord_Meth_Transfers[[#This Row],[ID_Transfers]],"")</f>
        <v/>
      </c>
    </row>
    <row r="835" spans="1:4" x14ac:dyDescent="0.45">
      <c r="A835">
        <v>138</v>
      </c>
      <c r="B835" s="3">
        <f t="shared" ca="1" si="13"/>
        <v>165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5" t="str">
        <f ca="1">IF(dict_zuord_Meth_Transfers[[#This Row],[kval_active]],dict_zuord_Meth_Transfers[[#This Row],[ID_Transfers]],"")</f>
        <v/>
      </c>
    </row>
    <row r="836" spans="1:4" x14ac:dyDescent="0.45">
      <c r="A836">
        <v>139</v>
      </c>
      <c r="B836">
        <f t="shared" ca="1" si="13"/>
        <v>200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6" t="str">
        <f ca="1">IF(dict_zuord_Meth_Transfers[[#This Row],[kval_active]],dict_zuord_Meth_Transfers[[#This Row],[ID_Transfers]],"")</f>
        <v/>
      </c>
    </row>
    <row r="837" spans="1:4" x14ac:dyDescent="0.45">
      <c r="A837">
        <v>139</v>
      </c>
      <c r="B837">
        <f t="shared" ca="1" si="13"/>
        <v>145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7" t="str">
        <f ca="1">IF(dict_zuord_Meth_Transfers[[#This Row],[kval_active]],dict_zuord_Meth_Transfers[[#This Row],[ID_Transfers]],"")</f>
        <v/>
      </c>
    </row>
    <row r="838" spans="1:4" x14ac:dyDescent="0.45">
      <c r="A838">
        <v>139</v>
      </c>
      <c r="B838" s="3">
        <f t="shared" ca="1" si="13"/>
        <v>25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8" t="str">
        <f ca="1">IF(dict_zuord_Meth_Transfers[[#This Row],[kval_active]],dict_zuord_Meth_Transfers[[#This Row],[ID_Transfers]],"")</f>
        <v/>
      </c>
    </row>
    <row r="839" spans="1:4" x14ac:dyDescent="0.45">
      <c r="A839">
        <v>139</v>
      </c>
      <c r="B839" s="3">
        <f t="shared" ca="1" si="13"/>
        <v>17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9" t="str">
        <f ca="1">IF(dict_zuord_Meth_Transfers[[#This Row],[kval_active]],dict_zuord_Meth_Transfers[[#This Row],[ID_Transfers]],"")</f>
        <v/>
      </c>
    </row>
    <row r="840" spans="1:4" x14ac:dyDescent="0.45">
      <c r="A840">
        <v>139</v>
      </c>
      <c r="B840">
        <f t="shared" ca="1" si="13"/>
        <v>88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0" t="str">
        <f ca="1">IF(dict_zuord_Meth_Transfers[[#This Row],[kval_active]],dict_zuord_Meth_Transfers[[#This Row],[ID_Transfers]],"")</f>
        <v/>
      </c>
    </row>
    <row r="841" spans="1:4" x14ac:dyDescent="0.45">
      <c r="A841">
        <v>139</v>
      </c>
      <c r="B841" s="3">
        <f t="shared" ca="1" si="13"/>
        <v>95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1" t="str">
        <f ca="1">IF(dict_zuord_Meth_Transfers[[#This Row],[kval_active]],dict_zuord_Meth_Transfers[[#This Row],[ID_Transfers]],"")</f>
        <v/>
      </c>
    </row>
    <row r="842" spans="1:4" x14ac:dyDescent="0.45">
      <c r="A842">
        <v>140</v>
      </c>
      <c r="B842">
        <f t="shared" ca="1" si="13"/>
        <v>30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2" t="str">
        <f ca="1">IF(dict_zuord_Meth_Transfers[[#This Row],[kval_active]],dict_zuord_Meth_Transfers[[#This Row],[ID_Transfers]],"")</f>
        <v/>
      </c>
    </row>
    <row r="843" spans="1:4" x14ac:dyDescent="0.45">
      <c r="A843">
        <v>140</v>
      </c>
      <c r="B843" s="3">
        <f t="shared" ca="1" si="13"/>
        <v>49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3" t="str">
        <f ca="1">IF(dict_zuord_Meth_Transfers[[#This Row],[kval_active]],dict_zuord_Meth_Transfers[[#This Row],[ID_Transfers]],"")</f>
        <v/>
      </c>
    </row>
    <row r="844" spans="1:4" x14ac:dyDescent="0.45">
      <c r="A844">
        <v>140</v>
      </c>
      <c r="B844">
        <f t="shared" ca="1" si="13"/>
        <v>22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4" t="str">
        <f ca="1">IF(dict_zuord_Meth_Transfers[[#This Row],[kval_active]],dict_zuord_Meth_Transfers[[#This Row],[ID_Transfers]],"")</f>
        <v/>
      </c>
    </row>
    <row r="845" spans="1:4" x14ac:dyDescent="0.45">
      <c r="A845">
        <v>140</v>
      </c>
      <c r="B845">
        <f t="shared" ca="1" si="13"/>
        <v>2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5" t="str">
        <f ca="1">IF(dict_zuord_Meth_Transfers[[#This Row],[kval_active]],dict_zuord_Meth_Transfers[[#This Row],[ID_Transfers]],"")</f>
        <v/>
      </c>
    </row>
    <row r="846" spans="1:4" x14ac:dyDescent="0.45">
      <c r="A846">
        <v>140</v>
      </c>
      <c r="B846" s="3">
        <f t="shared" ca="1" si="13"/>
        <v>159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6" t="str">
        <f ca="1">IF(dict_zuord_Meth_Transfers[[#This Row],[kval_active]],dict_zuord_Meth_Transfers[[#This Row],[ID_Transfers]],"")</f>
        <v/>
      </c>
    </row>
    <row r="847" spans="1:4" x14ac:dyDescent="0.45">
      <c r="A847">
        <v>140</v>
      </c>
      <c r="B847" s="3">
        <f t="shared" ca="1" si="13"/>
        <v>134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7" t="str">
        <f ca="1">IF(dict_zuord_Meth_Transfers[[#This Row],[kval_active]],dict_zuord_Meth_Transfers[[#This Row],[ID_Transfers]],"")</f>
        <v/>
      </c>
    </row>
    <row r="848" spans="1:4" x14ac:dyDescent="0.45">
      <c r="A848">
        <v>141</v>
      </c>
      <c r="B848" s="3">
        <f t="shared" ca="1" si="13"/>
        <v>66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8" t="str">
        <f ca="1">IF(dict_zuord_Meth_Transfers[[#This Row],[kval_active]],dict_zuord_Meth_Transfers[[#This Row],[ID_Transfers]],"")</f>
        <v/>
      </c>
    </row>
    <row r="849" spans="1:4" x14ac:dyDescent="0.45">
      <c r="A849">
        <v>141</v>
      </c>
      <c r="B849" s="3">
        <f t="shared" ca="1" si="13"/>
        <v>33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9" t="str">
        <f ca="1">IF(dict_zuord_Meth_Transfers[[#This Row],[kval_active]],dict_zuord_Meth_Transfers[[#This Row],[ID_Transfers]],"")</f>
        <v/>
      </c>
    </row>
    <row r="850" spans="1:4" x14ac:dyDescent="0.45">
      <c r="A850">
        <v>141</v>
      </c>
      <c r="B850">
        <f t="shared" ca="1" si="13"/>
        <v>55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0" t="str">
        <f ca="1">IF(dict_zuord_Meth_Transfers[[#This Row],[kval_active]],dict_zuord_Meth_Transfers[[#This Row],[ID_Transfers]],"")</f>
        <v/>
      </c>
    </row>
    <row r="851" spans="1:4" x14ac:dyDescent="0.45">
      <c r="A851">
        <v>141</v>
      </c>
      <c r="B851">
        <f t="shared" ca="1" si="13"/>
        <v>194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1" t="str">
        <f ca="1">IF(dict_zuord_Meth_Transfers[[#This Row],[kval_active]],dict_zuord_Meth_Transfers[[#This Row],[ID_Transfers]],"")</f>
        <v/>
      </c>
    </row>
    <row r="852" spans="1:4" x14ac:dyDescent="0.45">
      <c r="A852">
        <v>141</v>
      </c>
      <c r="B852">
        <f t="shared" ca="1" si="13"/>
        <v>35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2" t="str">
        <f ca="1">IF(dict_zuord_Meth_Transfers[[#This Row],[kval_active]],dict_zuord_Meth_Transfers[[#This Row],[ID_Transfers]],"")</f>
        <v/>
      </c>
    </row>
    <row r="853" spans="1:4" x14ac:dyDescent="0.45">
      <c r="A853">
        <v>141</v>
      </c>
      <c r="B853" s="3">
        <f t="shared" ca="1" si="13"/>
        <v>129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3" t="str">
        <f ca="1">IF(dict_zuord_Meth_Transfers[[#This Row],[kval_active]],dict_zuord_Meth_Transfers[[#This Row],[ID_Transfers]],"")</f>
        <v/>
      </c>
    </row>
    <row r="854" spans="1:4" x14ac:dyDescent="0.45">
      <c r="A854">
        <v>142</v>
      </c>
      <c r="B854">
        <f t="shared" ca="1" si="13"/>
        <v>7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4" t="str">
        <f ca="1">IF(dict_zuord_Meth_Transfers[[#This Row],[kval_active]],dict_zuord_Meth_Transfers[[#This Row],[ID_Transfers]],"")</f>
        <v/>
      </c>
    </row>
    <row r="855" spans="1:4" x14ac:dyDescent="0.45">
      <c r="A855">
        <v>142</v>
      </c>
      <c r="B855" s="3">
        <f t="shared" ca="1" si="13"/>
        <v>151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5" t="str">
        <f ca="1">IF(dict_zuord_Meth_Transfers[[#This Row],[kval_active]],dict_zuord_Meth_Transfers[[#This Row],[ID_Transfers]],"")</f>
        <v/>
      </c>
    </row>
    <row r="856" spans="1:4" x14ac:dyDescent="0.45">
      <c r="A856">
        <v>142</v>
      </c>
      <c r="B856" s="3">
        <f t="shared" ca="1" si="13"/>
        <v>98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6" t="str">
        <f ca="1">IF(dict_zuord_Meth_Transfers[[#This Row],[kval_active]],dict_zuord_Meth_Transfers[[#This Row],[ID_Transfers]],"")</f>
        <v/>
      </c>
    </row>
    <row r="857" spans="1:4" x14ac:dyDescent="0.45">
      <c r="A857">
        <v>142</v>
      </c>
      <c r="B857" s="3">
        <f t="shared" ca="1" si="13"/>
        <v>70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7" t="str">
        <f ca="1">IF(dict_zuord_Meth_Transfers[[#This Row],[kval_active]],dict_zuord_Meth_Transfers[[#This Row],[ID_Transfers]],"")</f>
        <v/>
      </c>
    </row>
    <row r="858" spans="1:4" x14ac:dyDescent="0.45">
      <c r="A858">
        <v>142</v>
      </c>
      <c r="B858">
        <f t="shared" ca="1" si="13"/>
        <v>111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8" t="str">
        <f ca="1">IF(dict_zuord_Meth_Transfers[[#This Row],[kval_active]],dict_zuord_Meth_Transfers[[#This Row],[ID_Transfers]],"")</f>
        <v/>
      </c>
    </row>
    <row r="859" spans="1:4" x14ac:dyDescent="0.45">
      <c r="A859">
        <v>142</v>
      </c>
      <c r="B859">
        <f t="shared" ca="1" si="13"/>
        <v>65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9" t="str">
        <f ca="1">IF(dict_zuord_Meth_Transfers[[#This Row],[kval_active]],dict_zuord_Meth_Transfers[[#This Row],[ID_Transfers]],"")</f>
        <v/>
      </c>
    </row>
    <row r="860" spans="1:4" x14ac:dyDescent="0.45">
      <c r="A860">
        <v>143</v>
      </c>
      <c r="B860">
        <f t="shared" ca="1" si="13"/>
        <v>81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0" t="str">
        <f ca="1">IF(dict_zuord_Meth_Transfers[[#This Row],[kval_active]],dict_zuord_Meth_Transfers[[#This Row],[ID_Transfers]],"")</f>
        <v/>
      </c>
    </row>
    <row r="861" spans="1:4" x14ac:dyDescent="0.45">
      <c r="A861">
        <v>143</v>
      </c>
      <c r="B861">
        <f t="shared" ca="1" si="13"/>
        <v>112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1" t="str">
        <f ca="1">IF(dict_zuord_Meth_Transfers[[#This Row],[kval_active]],dict_zuord_Meth_Transfers[[#This Row],[ID_Transfers]],"")</f>
        <v/>
      </c>
    </row>
    <row r="862" spans="1:4" x14ac:dyDescent="0.45">
      <c r="A862">
        <v>143</v>
      </c>
      <c r="B862">
        <f t="shared" ca="1" si="13"/>
        <v>154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2" t="str">
        <f ca="1">IF(dict_zuord_Meth_Transfers[[#This Row],[kval_active]],dict_zuord_Meth_Transfers[[#This Row],[ID_Transfers]],"")</f>
        <v/>
      </c>
    </row>
    <row r="863" spans="1:4" x14ac:dyDescent="0.45">
      <c r="A863">
        <v>143</v>
      </c>
      <c r="B863" s="3">
        <f t="shared" ca="1" si="13"/>
        <v>78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3" t="str">
        <f ca="1">IF(dict_zuord_Meth_Transfers[[#This Row],[kval_active]],dict_zuord_Meth_Transfers[[#This Row],[ID_Transfers]],"")</f>
        <v/>
      </c>
    </row>
    <row r="864" spans="1:4" x14ac:dyDescent="0.45">
      <c r="A864">
        <v>143</v>
      </c>
      <c r="B864" s="3">
        <f t="shared" ca="1" si="13"/>
        <v>2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4" t="str">
        <f ca="1">IF(dict_zuord_Meth_Transfers[[#This Row],[kval_active]],dict_zuord_Meth_Transfers[[#This Row],[ID_Transfers]],"")</f>
        <v/>
      </c>
    </row>
    <row r="865" spans="1:4" x14ac:dyDescent="0.45">
      <c r="A865">
        <v>143</v>
      </c>
      <c r="B865" s="3">
        <f t="shared" ca="1" si="13"/>
        <v>66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5" t="str">
        <f ca="1">IF(dict_zuord_Meth_Transfers[[#This Row],[kval_active]],dict_zuord_Meth_Transfers[[#This Row],[ID_Transfers]],"")</f>
        <v/>
      </c>
    </row>
    <row r="866" spans="1:4" x14ac:dyDescent="0.45">
      <c r="A866">
        <v>144</v>
      </c>
      <c r="B866">
        <f t="shared" ca="1" si="13"/>
        <v>176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6" t="str">
        <f ca="1">IF(dict_zuord_Meth_Transfers[[#This Row],[kval_active]],dict_zuord_Meth_Transfers[[#This Row],[ID_Transfers]],"")</f>
        <v/>
      </c>
    </row>
    <row r="867" spans="1:4" x14ac:dyDescent="0.45">
      <c r="A867">
        <v>144</v>
      </c>
      <c r="B867" s="3">
        <f t="shared" ca="1" si="13"/>
        <v>30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7" t="str">
        <f ca="1">IF(dict_zuord_Meth_Transfers[[#This Row],[kval_active]],dict_zuord_Meth_Transfers[[#This Row],[ID_Transfers]],"")</f>
        <v/>
      </c>
    </row>
    <row r="868" spans="1:4" x14ac:dyDescent="0.45">
      <c r="A868">
        <v>144</v>
      </c>
      <c r="B868" s="3">
        <f t="shared" ca="1" si="13"/>
        <v>56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8" t="str">
        <f ca="1">IF(dict_zuord_Meth_Transfers[[#This Row],[kval_active]],dict_zuord_Meth_Transfers[[#This Row],[ID_Transfers]],"")</f>
        <v/>
      </c>
    </row>
    <row r="869" spans="1:4" x14ac:dyDescent="0.45">
      <c r="A869">
        <v>144</v>
      </c>
      <c r="B869" s="3">
        <f t="shared" ca="1" si="13"/>
        <v>96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9" t="str">
        <f ca="1">IF(dict_zuord_Meth_Transfers[[#This Row],[kval_active]],dict_zuord_Meth_Transfers[[#This Row],[ID_Transfers]],"")</f>
        <v/>
      </c>
    </row>
    <row r="870" spans="1:4" x14ac:dyDescent="0.45">
      <c r="A870">
        <v>144</v>
      </c>
      <c r="B870">
        <f t="shared" ca="1" si="13"/>
        <v>170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0" t="str">
        <f ca="1">IF(dict_zuord_Meth_Transfers[[#This Row],[kval_active]],dict_zuord_Meth_Transfers[[#This Row],[ID_Transfers]],"")</f>
        <v/>
      </c>
    </row>
    <row r="871" spans="1:4" x14ac:dyDescent="0.45">
      <c r="A871">
        <v>144</v>
      </c>
      <c r="B871">
        <f t="shared" ca="1" si="13"/>
        <v>93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1" t="str">
        <f ca="1">IF(dict_zuord_Meth_Transfers[[#This Row],[kval_active]],dict_zuord_Meth_Transfers[[#This Row],[ID_Transfers]],"")</f>
        <v/>
      </c>
    </row>
    <row r="872" spans="1:4" x14ac:dyDescent="0.45">
      <c r="A872">
        <v>145</v>
      </c>
      <c r="B872" s="3">
        <f t="shared" ca="1" si="13"/>
        <v>116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2" t="str">
        <f ca="1">IF(dict_zuord_Meth_Transfers[[#This Row],[kval_active]],dict_zuord_Meth_Transfers[[#This Row],[ID_Transfers]],"")</f>
        <v/>
      </c>
    </row>
    <row r="873" spans="1:4" x14ac:dyDescent="0.45">
      <c r="A873">
        <v>145</v>
      </c>
      <c r="B873">
        <f t="shared" ca="1" si="13"/>
        <v>13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3" t="str">
        <f ca="1">IF(dict_zuord_Meth_Transfers[[#This Row],[kval_active]],dict_zuord_Meth_Transfers[[#This Row],[ID_Transfers]],"")</f>
        <v/>
      </c>
    </row>
    <row r="874" spans="1:4" x14ac:dyDescent="0.45">
      <c r="A874">
        <v>145</v>
      </c>
      <c r="B874">
        <f t="shared" ca="1" si="13"/>
        <v>129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4" t="str">
        <f ca="1">IF(dict_zuord_Meth_Transfers[[#This Row],[kval_active]],dict_zuord_Meth_Transfers[[#This Row],[ID_Transfers]],"")</f>
        <v/>
      </c>
    </row>
    <row r="875" spans="1:4" x14ac:dyDescent="0.45">
      <c r="A875">
        <v>145</v>
      </c>
      <c r="B875">
        <f t="shared" ca="1" si="13"/>
        <v>97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5" t="str">
        <f ca="1">IF(dict_zuord_Meth_Transfers[[#This Row],[kval_active]],dict_zuord_Meth_Transfers[[#This Row],[ID_Transfers]],"")</f>
        <v/>
      </c>
    </row>
    <row r="876" spans="1:4" x14ac:dyDescent="0.45">
      <c r="A876">
        <v>145</v>
      </c>
      <c r="B876" s="3">
        <f t="shared" ca="1" si="13"/>
        <v>179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6" t="str">
        <f ca="1">IF(dict_zuord_Meth_Transfers[[#This Row],[kval_active]],dict_zuord_Meth_Transfers[[#This Row],[ID_Transfers]],"")</f>
        <v/>
      </c>
    </row>
    <row r="877" spans="1:4" x14ac:dyDescent="0.45">
      <c r="A877">
        <v>145</v>
      </c>
      <c r="B877" s="3">
        <f t="shared" ca="1" si="13"/>
        <v>22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7" t="str">
        <f ca="1">IF(dict_zuord_Meth_Transfers[[#This Row],[kval_active]],dict_zuord_Meth_Transfers[[#This Row],[ID_Transfers]],"")</f>
        <v/>
      </c>
    </row>
    <row r="878" spans="1:4" x14ac:dyDescent="0.45">
      <c r="A878">
        <v>146</v>
      </c>
      <c r="B878" s="3">
        <f t="shared" ca="1" si="13"/>
        <v>7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8" t="str">
        <f ca="1">IF(dict_zuord_Meth_Transfers[[#This Row],[kval_active]],dict_zuord_Meth_Transfers[[#This Row],[ID_Transfers]],"")</f>
        <v/>
      </c>
    </row>
    <row r="879" spans="1:4" x14ac:dyDescent="0.45">
      <c r="A879">
        <v>146</v>
      </c>
      <c r="B879" s="3">
        <f t="shared" ca="1" si="13"/>
        <v>191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9" t="str">
        <f ca="1">IF(dict_zuord_Meth_Transfers[[#This Row],[kval_active]],dict_zuord_Meth_Transfers[[#This Row],[ID_Transfers]],"")</f>
        <v/>
      </c>
    </row>
    <row r="880" spans="1:4" x14ac:dyDescent="0.45">
      <c r="A880">
        <v>146</v>
      </c>
      <c r="B880">
        <f t="shared" ca="1" si="13"/>
        <v>52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0" t="str">
        <f ca="1">IF(dict_zuord_Meth_Transfers[[#This Row],[kval_active]],dict_zuord_Meth_Transfers[[#This Row],[ID_Transfers]],"")</f>
        <v/>
      </c>
    </row>
    <row r="881" spans="1:4" x14ac:dyDescent="0.45">
      <c r="A881">
        <v>146</v>
      </c>
      <c r="B881" s="3">
        <f t="shared" ca="1" si="13"/>
        <v>50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1" t="str">
        <f ca="1">IF(dict_zuord_Meth_Transfers[[#This Row],[kval_active]],dict_zuord_Meth_Transfers[[#This Row],[ID_Transfers]],"")</f>
        <v/>
      </c>
    </row>
    <row r="882" spans="1:4" x14ac:dyDescent="0.45">
      <c r="A882">
        <v>146</v>
      </c>
      <c r="B882">
        <f t="shared" ca="1" si="13"/>
        <v>108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2" t="str">
        <f ca="1">IF(dict_zuord_Meth_Transfers[[#This Row],[kval_active]],dict_zuord_Meth_Transfers[[#This Row],[ID_Transfers]],"")</f>
        <v/>
      </c>
    </row>
    <row r="883" spans="1:4" x14ac:dyDescent="0.45">
      <c r="A883">
        <v>146</v>
      </c>
      <c r="B883">
        <f t="shared" ca="1" si="13"/>
        <v>110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3" t="str">
        <f ca="1">IF(dict_zuord_Meth_Transfers[[#This Row],[kval_active]],dict_zuord_Meth_Transfers[[#This Row],[ID_Transfers]],"")</f>
        <v/>
      </c>
    </row>
    <row r="884" spans="1:4" x14ac:dyDescent="0.45">
      <c r="A884">
        <v>147</v>
      </c>
      <c r="B884" s="3">
        <f t="shared" ca="1" si="13"/>
        <v>47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4" t="str">
        <f ca="1">IF(dict_zuord_Meth_Transfers[[#This Row],[kval_active]],dict_zuord_Meth_Transfers[[#This Row],[ID_Transfers]],"")</f>
        <v/>
      </c>
    </row>
    <row r="885" spans="1:4" x14ac:dyDescent="0.45">
      <c r="A885">
        <v>147</v>
      </c>
      <c r="B885" s="3">
        <f t="shared" ca="1" si="13"/>
        <v>83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5" t="str">
        <f ca="1">IF(dict_zuord_Meth_Transfers[[#This Row],[kval_active]],dict_zuord_Meth_Transfers[[#This Row],[ID_Transfers]],"")</f>
        <v/>
      </c>
    </row>
    <row r="886" spans="1:4" x14ac:dyDescent="0.45">
      <c r="A886">
        <v>147</v>
      </c>
      <c r="B886">
        <f t="shared" ca="1" si="13"/>
        <v>71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6" t="str">
        <f ca="1">IF(dict_zuord_Meth_Transfers[[#This Row],[kval_active]],dict_zuord_Meth_Transfers[[#This Row],[ID_Transfers]],"")</f>
        <v/>
      </c>
    </row>
    <row r="887" spans="1:4" x14ac:dyDescent="0.45">
      <c r="A887">
        <v>147</v>
      </c>
      <c r="B887" s="3">
        <f t="shared" ca="1" si="13"/>
        <v>170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7" t="str">
        <f ca="1">IF(dict_zuord_Meth_Transfers[[#This Row],[kval_active]],dict_zuord_Meth_Transfers[[#This Row],[ID_Transfers]],"")</f>
        <v/>
      </c>
    </row>
    <row r="888" spans="1:4" x14ac:dyDescent="0.45">
      <c r="A888">
        <v>147</v>
      </c>
      <c r="B888">
        <f t="shared" ca="1" si="13"/>
        <v>18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8" t="str">
        <f ca="1">IF(dict_zuord_Meth_Transfers[[#This Row],[kval_active]],dict_zuord_Meth_Transfers[[#This Row],[ID_Transfers]],"")</f>
        <v/>
      </c>
    </row>
    <row r="889" spans="1:4" x14ac:dyDescent="0.45">
      <c r="A889">
        <v>147</v>
      </c>
      <c r="B889">
        <f t="shared" ca="1" si="13"/>
        <v>183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9" t="str">
        <f ca="1">IF(dict_zuord_Meth_Transfers[[#This Row],[kval_active]],dict_zuord_Meth_Transfers[[#This Row],[ID_Transfers]],"")</f>
        <v/>
      </c>
    </row>
    <row r="890" spans="1:4" x14ac:dyDescent="0.45">
      <c r="A890">
        <v>148</v>
      </c>
      <c r="B890" s="3">
        <f t="shared" ca="1" si="13"/>
        <v>168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0" t="str">
        <f ca="1">IF(dict_zuord_Meth_Transfers[[#This Row],[kval_active]],dict_zuord_Meth_Transfers[[#This Row],[ID_Transfers]],"")</f>
        <v/>
      </c>
    </row>
    <row r="891" spans="1:4" x14ac:dyDescent="0.45">
      <c r="A891">
        <v>148</v>
      </c>
      <c r="B891" s="3">
        <f t="shared" ca="1" si="13"/>
        <v>145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1" t="str">
        <f ca="1">IF(dict_zuord_Meth_Transfers[[#This Row],[kval_active]],dict_zuord_Meth_Transfers[[#This Row],[ID_Transfers]],"")</f>
        <v/>
      </c>
    </row>
    <row r="892" spans="1:4" x14ac:dyDescent="0.45">
      <c r="A892">
        <v>148</v>
      </c>
      <c r="B892">
        <f t="shared" ca="1" si="13"/>
        <v>154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2" t="str">
        <f ca="1">IF(dict_zuord_Meth_Transfers[[#This Row],[kval_active]],dict_zuord_Meth_Transfers[[#This Row],[ID_Transfers]],"")</f>
        <v/>
      </c>
    </row>
    <row r="893" spans="1:4" x14ac:dyDescent="0.45">
      <c r="A893">
        <v>148</v>
      </c>
      <c r="B893">
        <f t="shared" ca="1" si="13"/>
        <v>191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3" t="str">
        <f ca="1">IF(dict_zuord_Meth_Transfers[[#This Row],[kval_active]],dict_zuord_Meth_Transfers[[#This Row],[ID_Transfers]],"")</f>
        <v/>
      </c>
    </row>
    <row r="894" spans="1:4" x14ac:dyDescent="0.45">
      <c r="A894">
        <v>148</v>
      </c>
      <c r="B894">
        <f t="shared" ca="1" si="13"/>
        <v>53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4" t="str">
        <f ca="1">IF(dict_zuord_Meth_Transfers[[#This Row],[kval_active]],dict_zuord_Meth_Transfers[[#This Row],[ID_Transfers]],"")</f>
        <v/>
      </c>
    </row>
    <row r="895" spans="1:4" x14ac:dyDescent="0.45">
      <c r="A895">
        <v>148</v>
      </c>
      <c r="B895" s="3">
        <f t="shared" ca="1" si="13"/>
        <v>109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5" t="str">
        <f ca="1">IF(dict_zuord_Meth_Transfers[[#This Row],[kval_active]],dict_zuord_Meth_Transfers[[#This Row],[ID_Transfers]],"")</f>
        <v/>
      </c>
    </row>
    <row r="896" spans="1:4" x14ac:dyDescent="0.45">
      <c r="A896">
        <v>149</v>
      </c>
      <c r="B896" s="3">
        <f t="shared" ca="1" si="13"/>
        <v>2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6" t="str">
        <f ca="1">IF(dict_zuord_Meth_Transfers[[#This Row],[kval_active]],dict_zuord_Meth_Transfers[[#This Row],[ID_Transfers]],"")</f>
        <v/>
      </c>
    </row>
    <row r="897" spans="1:4" x14ac:dyDescent="0.45">
      <c r="A897">
        <v>149</v>
      </c>
      <c r="B897" s="3">
        <f t="shared" ca="1" si="13"/>
        <v>23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7" t="str">
        <f ca="1">IF(dict_zuord_Meth_Transfers[[#This Row],[kval_active]],dict_zuord_Meth_Transfers[[#This Row],[ID_Transfers]],"")</f>
        <v/>
      </c>
    </row>
    <row r="898" spans="1:4" x14ac:dyDescent="0.45">
      <c r="A898">
        <v>149</v>
      </c>
      <c r="B898">
        <f t="shared" ref="B898:B961" ca="1" si="14">RANDBETWEEN(0,200)</f>
        <v>135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8" t="str">
        <f ca="1">IF(dict_zuord_Meth_Transfers[[#This Row],[kval_active]],dict_zuord_Meth_Transfers[[#This Row],[ID_Transfers]],"")</f>
        <v/>
      </c>
    </row>
    <row r="899" spans="1:4" x14ac:dyDescent="0.45">
      <c r="A899">
        <v>149</v>
      </c>
      <c r="B899">
        <f t="shared" ca="1" si="14"/>
        <v>149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9" t="str">
        <f ca="1">IF(dict_zuord_Meth_Transfers[[#This Row],[kval_active]],dict_zuord_Meth_Transfers[[#This Row],[ID_Transfers]],"")</f>
        <v/>
      </c>
    </row>
    <row r="900" spans="1:4" x14ac:dyDescent="0.45">
      <c r="A900">
        <v>149</v>
      </c>
      <c r="B900" s="3">
        <f t="shared" ca="1" si="14"/>
        <v>81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0" t="str">
        <f ca="1">IF(dict_zuord_Meth_Transfers[[#This Row],[kval_active]],dict_zuord_Meth_Transfers[[#This Row],[ID_Transfers]],"")</f>
        <v/>
      </c>
    </row>
    <row r="901" spans="1:4" x14ac:dyDescent="0.45">
      <c r="A901">
        <v>149</v>
      </c>
      <c r="B901">
        <f t="shared" ca="1" si="14"/>
        <v>183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1" t="str">
        <f ca="1">IF(dict_zuord_Meth_Transfers[[#This Row],[kval_active]],dict_zuord_Meth_Transfers[[#This Row],[ID_Transfers]],"")</f>
        <v/>
      </c>
    </row>
    <row r="902" spans="1:4" x14ac:dyDescent="0.45">
      <c r="A902">
        <v>150</v>
      </c>
      <c r="B902" s="3">
        <f t="shared" ca="1" si="14"/>
        <v>5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2" t="str">
        <f ca="1">IF(dict_zuord_Meth_Transfers[[#This Row],[kval_active]],dict_zuord_Meth_Transfers[[#This Row],[ID_Transfers]],"")</f>
        <v/>
      </c>
    </row>
    <row r="903" spans="1:4" x14ac:dyDescent="0.45">
      <c r="A903">
        <v>150</v>
      </c>
      <c r="B903">
        <f t="shared" ca="1" si="14"/>
        <v>158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3" t="str">
        <f ca="1">IF(dict_zuord_Meth_Transfers[[#This Row],[kval_active]],dict_zuord_Meth_Transfers[[#This Row],[ID_Transfers]],"")</f>
        <v/>
      </c>
    </row>
    <row r="904" spans="1:4" x14ac:dyDescent="0.45">
      <c r="A904">
        <v>150</v>
      </c>
      <c r="B904">
        <f t="shared" ca="1" si="14"/>
        <v>125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4" t="str">
        <f ca="1">IF(dict_zuord_Meth_Transfers[[#This Row],[kval_active]],dict_zuord_Meth_Transfers[[#This Row],[ID_Transfers]],"")</f>
        <v/>
      </c>
    </row>
    <row r="905" spans="1:4" x14ac:dyDescent="0.45">
      <c r="A905">
        <v>150</v>
      </c>
      <c r="B905">
        <f t="shared" ca="1" si="14"/>
        <v>186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5" t="str">
        <f ca="1">IF(dict_zuord_Meth_Transfers[[#This Row],[kval_active]],dict_zuord_Meth_Transfers[[#This Row],[ID_Transfers]],"")</f>
        <v/>
      </c>
    </row>
    <row r="906" spans="1:4" x14ac:dyDescent="0.45">
      <c r="A906">
        <v>150</v>
      </c>
      <c r="B906" s="3">
        <f t="shared" ca="1" si="14"/>
        <v>171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6" t="str">
        <f ca="1">IF(dict_zuord_Meth_Transfers[[#This Row],[kval_active]],dict_zuord_Meth_Transfers[[#This Row],[ID_Transfers]],"")</f>
        <v/>
      </c>
    </row>
    <row r="907" spans="1:4" x14ac:dyDescent="0.45">
      <c r="A907">
        <v>150</v>
      </c>
      <c r="B907" s="3">
        <f t="shared" ca="1" si="14"/>
        <v>144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7" t="str">
        <f ca="1">IF(dict_zuord_Meth_Transfers[[#This Row],[kval_active]],dict_zuord_Meth_Transfers[[#This Row],[ID_Transfers]],"")</f>
        <v/>
      </c>
    </row>
    <row r="908" spans="1:4" x14ac:dyDescent="0.45">
      <c r="A908">
        <v>151</v>
      </c>
      <c r="B908">
        <f t="shared" ca="1" si="14"/>
        <v>46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8" t="str">
        <f ca="1">IF(dict_zuord_Meth_Transfers[[#This Row],[kval_active]],dict_zuord_Meth_Transfers[[#This Row],[ID_Transfers]],"")</f>
        <v/>
      </c>
    </row>
    <row r="909" spans="1:4" x14ac:dyDescent="0.45">
      <c r="A909">
        <v>151</v>
      </c>
      <c r="B909" s="3">
        <f t="shared" ca="1" si="14"/>
        <v>98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9" t="str">
        <f ca="1">IF(dict_zuord_Meth_Transfers[[#This Row],[kval_active]],dict_zuord_Meth_Transfers[[#This Row],[ID_Transfers]],"")</f>
        <v/>
      </c>
    </row>
    <row r="910" spans="1:4" x14ac:dyDescent="0.45">
      <c r="A910">
        <v>151</v>
      </c>
      <c r="B910" s="3">
        <f t="shared" ca="1" si="14"/>
        <v>0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0" t="str">
        <f ca="1">IF(dict_zuord_Meth_Transfers[[#This Row],[kval_active]],dict_zuord_Meth_Transfers[[#This Row],[ID_Transfers]],"")</f>
        <v/>
      </c>
    </row>
    <row r="911" spans="1:4" x14ac:dyDescent="0.45">
      <c r="A911">
        <v>151</v>
      </c>
      <c r="B911">
        <f t="shared" ca="1" si="14"/>
        <v>73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1" t="str">
        <f ca="1">IF(dict_zuord_Meth_Transfers[[#This Row],[kval_active]],dict_zuord_Meth_Transfers[[#This Row],[ID_Transfers]],"")</f>
        <v/>
      </c>
    </row>
    <row r="912" spans="1:4" x14ac:dyDescent="0.45">
      <c r="A912">
        <v>151</v>
      </c>
      <c r="B912" s="3">
        <f t="shared" ca="1" si="14"/>
        <v>117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2" t="str">
        <f ca="1">IF(dict_zuord_Meth_Transfers[[#This Row],[kval_active]],dict_zuord_Meth_Transfers[[#This Row],[ID_Transfers]],"")</f>
        <v/>
      </c>
    </row>
    <row r="913" spans="1:4" x14ac:dyDescent="0.45">
      <c r="A913">
        <v>151</v>
      </c>
      <c r="B913">
        <f t="shared" ca="1" si="14"/>
        <v>120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3" t="str">
        <f ca="1">IF(dict_zuord_Meth_Transfers[[#This Row],[kval_active]],dict_zuord_Meth_Transfers[[#This Row],[ID_Transfers]],"")</f>
        <v/>
      </c>
    </row>
    <row r="914" spans="1:4" x14ac:dyDescent="0.45">
      <c r="A914">
        <v>152</v>
      </c>
      <c r="B914" s="3">
        <f t="shared" ca="1" si="14"/>
        <v>51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4" t="str">
        <f ca="1">IF(dict_zuord_Meth_Transfers[[#This Row],[kval_active]],dict_zuord_Meth_Transfers[[#This Row],[ID_Transfers]],"")</f>
        <v/>
      </c>
    </row>
    <row r="915" spans="1:4" x14ac:dyDescent="0.45">
      <c r="A915">
        <v>152</v>
      </c>
      <c r="B915">
        <f t="shared" ca="1" si="14"/>
        <v>120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5" t="str">
        <f ca="1">IF(dict_zuord_Meth_Transfers[[#This Row],[kval_active]],dict_zuord_Meth_Transfers[[#This Row],[ID_Transfers]],"")</f>
        <v/>
      </c>
    </row>
    <row r="916" spans="1:4" x14ac:dyDescent="0.45">
      <c r="A916">
        <v>152</v>
      </c>
      <c r="B916">
        <f t="shared" ca="1" si="14"/>
        <v>17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6" t="str">
        <f ca="1">IF(dict_zuord_Meth_Transfers[[#This Row],[kval_active]],dict_zuord_Meth_Transfers[[#This Row],[ID_Transfers]],"")</f>
        <v/>
      </c>
    </row>
    <row r="917" spans="1:4" x14ac:dyDescent="0.45">
      <c r="A917">
        <v>152</v>
      </c>
      <c r="B917">
        <f t="shared" ca="1" si="14"/>
        <v>151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7" t="str">
        <f ca="1">IF(dict_zuord_Meth_Transfers[[#This Row],[kval_active]],dict_zuord_Meth_Transfers[[#This Row],[ID_Transfers]],"")</f>
        <v/>
      </c>
    </row>
    <row r="918" spans="1:4" x14ac:dyDescent="0.45">
      <c r="A918">
        <v>152</v>
      </c>
      <c r="B918" s="3">
        <f t="shared" ca="1" si="14"/>
        <v>124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8" t="str">
        <f ca="1">IF(dict_zuord_Meth_Transfers[[#This Row],[kval_active]],dict_zuord_Meth_Transfers[[#This Row],[ID_Transfers]],"")</f>
        <v/>
      </c>
    </row>
    <row r="919" spans="1:4" x14ac:dyDescent="0.45">
      <c r="A919">
        <v>152</v>
      </c>
      <c r="B919" s="3">
        <f t="shared" ca="1" si="14"/>
        <v>84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9" t="str">
        <f ca="1">IF(dict_zuord_Meth_Transfers[[#This Row],[kval_active]],dict_zuord_Meth_Transfers[[#This Row],[ID_Transfers]],"")</f>
        <v/>
      </c>
    </row>
    <row r="920" spans="1:4" x14ac:dyDescent="0.45">
      <c r="A920">
        <v>153</v>
      </c>
      <c r="B920" s="3">
        <f t="shared" ca="1" si="14"/>
        <v>123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0" t="str">
        <f ca="1">IF(dict_zuord_Meth_Transfers[[#This Row],[kval_active]],dict_zuord_Meth_Transfers[[#This Row],[ID_Transfers]],"")</f>
        <v/>
      </c>
    </row>
    <row r="921" spans="1:4" x14ac:dyDescent="0.45">
      <c r="A921">
        <v>153</v>
      </c>
      <c r="B921">
        <f t="shared" ca="1" si="14"/>
        <v>185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1" t="str">
        <f ca="1">IF(dict_zuord_Meth_Transfers[[#This Row],[kval_active]],dict_zuord_Meth_Transfers[[#This Row],[ID_Transfers]],"")</f>
        <v/>
      </c>
    </row>
    <row r="922" spans="1:4" x14ac:dyDescent="0.45">
      <c r="A922">
        <v>153</v>
      </c>
      <c r="B922">
        <f t="shared" ca="1" si="14"/>
        <v>177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2" t="str">
        <f ca="1">IF(dict_zuord_Meth_Transfers[[#This Row],[kval_active]],dict_zuord_Meth_Transfers[[#This Row],[ID_Transfers]],"")</f>
        <v/>
      </c>
    </row>
    <row r="923" spans="1:4" x14ac:dyDescent="0.45">
      <c r="A923">
        <v>153</v>
      </c>
      <c r="B923">
        <f t="shared" ca="1" si="14"/>
        <v>155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3" t="str">
        <f ca="1">IF(dict_zuord_Meth_Transfers[[#This Row],[kval_active]],dict_zuord_Meth_Transfers[[#This Row],[ID_Transfers]],"")</f>
        <v/>
      </c>
    </row>
    <row r="924" spans="1:4" x14ac:dyDescent="0.45">
      <c r="A924">
        <v>153</v>
      </c>
      <c r="B924" s="3">
        <f t="shared" ca="1" si="14"/>
        <v>186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4" t="str">
        <f ca="1">IF(dict_zuord_Meth_Transfers[[#This Row],[kval_active]],dict_zuord_Meth_Transfers[[#This Row],[ID_Transfers]],"")</f>
        <v/>
      </c>
    </row>
    <row r="925" spans="1:4" x14ac:dyDescent="0.45">
      <c r="A925">
        <v>153</v>
      </c>
      <c r="B925" s="3">
        <f t="shared" ca="1" si="14"/>
        <v>155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5" t="str">
        <f ca="1">IF(dict_zuord_Meth_Transfers[[#This Row],[kval_active]],dict_zuord_Meth_Transfers[[#This Row],[ID_Transfers]],"")</f>
        <v/>
      </c>
    </row>
    <row r="926" spans="1:4" x14ac:dyDescent="0.45">
      <c r="A926">
        <v>154</v>
      </c>
      <c r="B926">
        <f t="shared" ca="1" si="14"/>
        <v>20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6" t="str">
        <f ca="1">IF(dict_zuord_Meth_Transfers[[#This Row],[kval_active]],dict_zuord_Meth_Transfers[[#This Row],[ID_Transfers]],"")</f>
        <v/>
      </c>
    </row>
    <row r="927" spans="1:4" x14ac:dyDescent="0.45">
      <c r="A927">
        <v>154</v>
      </c>
      <c r="B927">
        <f t="shared" ca="1" si="14"/>
        <v>160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7" t="str">
        <f ca="1">IF(dict_zuord_Meth_Transfers[[#This Row],[kval_active]],dict_zuord_Meth_Transfers[[#This Row],[ID_Transfers]],"")</f>
        <v/>
      </c>
    </row>
    <row r="928" spans="1:4" x14ac:dyDescent="0.45">
      <c r="A928">
        <v>154</v>
      </c>
      <c r="B928" s="3">
        <f t="shared" ca="1" si="14"/>
        <v>20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8" t="str">
        <f ca="1">IF(dict_zuord_Meth_Transfers[[#This Row],[kval_active]],dict_zuord_Meth_Transfers[[#This Row],[ID_Transfers]],"")</f>
        <v/>
      </c>
    </row>
    <row r="929" spans="1:4" x14ac:dyDescent="0.45">
      <c r="A929">
        <v>154</v>
      </c>
      <c r="B929" s="3">
        <f t="shared" ca="1" si="14"/>
        <v>101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9" t="str">
        <f ca="1">IF(dict_zuord_Meth_Transfers[[#This Row],[kval_active]],dict_zuord_Meth_Transfers[[#This Row],[ID_Transfers]],"")</f>
        <v/>
      </c>
    </row>
    <row r="930" spans="1:4" x14ac:dyDescent="0.45">
      <c r="A930">
        <v>154</v>
      </c>
      <c r="B930">
        <f t="shared" ca="1" si="14"/>
        <v>193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0" t="str">
        <f ca="1">IF(dict_zuord_Meth_Transfers[[#This Row],[kval_active]],dict_zuord_Meth_Transfers[[#This Row],[ID_Transfers]],"")</f>
        <v/>
      </c>
    </row>
    <row r="931" spans="1:4" x14ac:dyDescent="0.45">
      <c r="A931">
        <v>154</v>
      </c>
      <c r="B931" s="3">
        <f t="shared" ca="1" si="14"/>
        <v>85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1" t="str">
        <f ca="1">IF(dict_zuord_Meth_Transfers[[#This Row],[kval_active]],dict_zuord_Meth_Transfers[[#This Row],[ID_Transfers]],"")</f>
        <v/>
      </c>
    </row>
    <row r="932" spans="1:4" x14ac:dyDescent="0.45">
      <c r="A932">
        <v>155</v>
      </c>
      <c r="B932" s="3">
        <f t="shared" ca="1" si="14"/>
        <v>126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2" t="str">
        <f ca="1">IF(dict_zuord_Meth_Transfers[[#This Row],[kval_active]],dict_zuord_Meth_Transfers[[#This Row],[ID_Transfers]],"")</f>
        <v/>
      </c>
    </row>
    <row r="933" spans="1:4" x14ac:dyDescent="0.45">
      <c r="A933">
        <v>155</v>
      </c>
      <c r="B933">
        <f t="shared" ca="1" si="14"/>
        <v>8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3" t="str">
        <f ca="1">IF(dict_zuord_Meth_Transfers[[#This Row],[kval_active]],dict_zuord_Meth_Transfers[[#This Row],[ID_Transfers]],"")</f>
        <v/>
      </c>
    </row>
    <row r="934" spans="1:4" x14ac:dyDescent="0.45">
      <c r="A934">
        <v>155</v>
      </c>
      <c r="B934" s="3">
        <f t="shared" ca="1" si="14"/>
        <v>59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4" t="str">
        <f ca="1">IF(dict_zuord_Meth_Transfers[[#This Row],[kval_active]],dict_zuord_Meth_Transfers[[#This Row],[ID_Transfers]],"")</f>
        <v/>
      </c>
    </row>
    <row r="935" spans="1:4" x14ac:dyDescent="0.45">
      <c r="A935">
        <v>155</v>
      </c>
      <c r="B935" s="3">
        <f t="shared" ca="1" si="14"/>
        <v>121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5" t="str">
        <f ca="1">IF(dict_zuord_Meth_Transfers[[#This Row],[kval_active]],dict_zuord_Meth_Transfers[[#This Row],[ID_Transfers]],"")</f>
        <v/>
      </c>
    </row>
    <row r="936" spans="1:4" x14ac:dyDescent="0.45">
      <c r="A936">
        <v>155</v>
      </c>
      <c r="B936">
        <f t="shared" ca="1" si="14"/>
        <v>101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6" t="str">
        <f ca="1">IF(dict_zuord_Meth_Transfers[[#This Row],[kval_active]],dict_zuord_Meth_Transfers[[#This Row],[ID_Transfers]],"")</f>
        <v/>
      </c>
    </row>
    <row r="937" spans="1:4" x14ac:dyDescent="0.45">
      <c r="A937">
        <v>155</v>
      </c>
      <c r="B937">
        <f t="shared" ca="1" si="14"/>
        <v>197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7" t="str">
        <f ca="1">IF(dict_zuord_Meth_Transfers[[#This Row],[kval_active]],dict_zuord_Meth_Transfers[[#This Row],[ID_Transfers]],"")</f>
        <v/>
      </c>
    </row>
    <row r="938" spans="1:4" x14ac:dyDescent="0.45">
      <c r="A938">
        <v>156</v>
      </c>
      <c r="B938">
        <f t="shared" ca="1" si="14"/>
        <v>111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8" t="str">
        <f ca="1">IF(dict_zuord_Meth_Transfers[[#This Row],[kval_active]],dict_zuord_Meth_Transfers[[#This Row],[ID_Transfers]],"")</f>
        <v/>
      </c>
    </row>
    <row r="939" spans="1:4" x14ac:dyDescent="0.45">
      <c r="A939">
        <v>156</v>
      </c>
      <c r="B939">
        <f t="shared" ca="1" si="14"/>
        <v>69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9" t="str">
        <f ca="1">IF(dict_zuord_Meth_Transfers[[#This Row],[kval_active]],dict_zuord_Meth_Transfers[[#This Row],[ID_Transfers]],"")</f>
        <v/>
      </c>
    </row>
    <row r="940" spans="1:4" x14ac:dyDescent="0.45">
      <c r="A940">
        <v>156</v>
      </c>
      <c r="B940" s="3">
        <f t="shared" ca="1" si="14"/>
        <v>193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0" t="str">
        <f ca="1">IF(dict_zuord_Meth_Transfers[[#This Row],[kval_active]],dict_zuord_Meth_Transfers[[#This Row],[ID_Transfers]],"")</f>
        <v/>
      </c>
    </row>
    <row r="941" spans="1:4" x14ac:dyDescent="0.45">
      <c r="A941">
        <v>156</v>
      </c>
      <c r="B941" s="3">
        <f t="shared" ca="1" si="14"/>
        <v>141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1" t="str">
        <f ca="1">IF(dict_zuord_Meth_Transfers[[#This Row],[kval_active]],dict_zuord_Meth_Transfers[[#This Row],[ID_Transfers]],"")</f>
        <v/>
      </c>
    </row>
    <row r="942" spans="1:4" x14ac:dyDescent="0.45">
      <c r="A942">
        <v>156</v>
      </c>
      <c r="B942" s="3">
        <f t="shared" ca="1" si="14"/>
        <v>183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2" t="str">
        <f ca="1">IF(dict_zuord_Meth_Transfers[[#This Row],[kval_active]],dict_zuord_Meth_Transfers[[#This Row],[ID_Transfers]],"")</f>
        <v/>
      </c>
    </row>
    <row r="943" spans="1:4" x14ac:dyDescent="0.45">
      <c r="A943">
        <v>156</v>
      </c>
      <c r="B943">
        <f t="shared" ca="1" si="14"/>
        <v>118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3" t="str">
        <f ca="1">IF(dict_zuord_Meth_Transfers[[#This Row],[kval_active]],dict_zuord_Meth_Transfers[[#This Row],[ID_Transfers]],"")</f>
        <v/>
      </c>
    </row>
    <row r="944" spans="1:4" x14ac:dyDescent="0.45">
      <c r="A944">
        <v>157</v>
      </c>
      <c r="B944">
        <f t="shared" ca="1" si="14"/>
        <v>99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4" t="str">
        <f ca="1">IF(dict_zuord_Meth_Transfers[[#This Row],[kval_active]],dict_zuord_Meth_Transfers[[#This Row],[ID_Transfers]],"")</f>
        <v/>
      </c>
    </row>
    <row r="945" spans="1:4" x14ac:dyDescent="0.45">
      <c r="A945">
        <v>157</v>
      </c>
      <c r="B945">
        <f t="shared" ca="1" si="14"/>
        <v>105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5" t="str">
        <f ca="1">IF(dict_zuord_Meth_Transfers[[#This Row],[kval_active]],dict_zuord_Meth_Transfers[[#This Row],[ID_Transfers]],"")</f>
        <v/>
      </c>
    </row>
    <row r="946" spans="1:4" x14ac:dyDescent="0.45">
      <c r="A946">
        <v>157</v>
      </c>
      <c r="B946" s="3">
        <f t="shared" ca="1" si="14"/>
        <v>48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6" t="str">
        <f ca="1">IF(dict_zuord_Meth_Transfers[[#This Row],[kval_active]],dict_zuord_Meth_Transfers[[#This Row],[ID_Transfers]],"")</f>
        <v/>
      </c>
    </row>
    <row r="947" spans="1:4" x14ac:dyDescent="0.45">
      <c r="A947">
        <v>157</v>
      </c>
      <c r="B947" s="3">
        <f t="shared" ca="1" si="14"/>
        <v>178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7" t="str">
        <f ca="1">IF(dict_zuord_Meth_Transfers[[#This Row],[kval_active]],dict_zuord_Meth_Transfers[[#This Row],[ID_Transfers]],"")</f>
        <v/>
      </c>
    </row>
    <row r="948" spans="1:4" x14ac:dyDescent="0.45">
      <c r="A948">
        <v>157</v>
      </c>
      <c r="B948">
        <f t="shared" ca="1" si="14"/>
        <v>161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8" t="str">
        <f ca="1">IF(dict_zuord_Meth_Transfers[[#This Row],[kval_active]],dict_zuord_Meth_Transfers[[#This Row],[ID_Transfers]],"")</f>
        <v/>
      </c>
    </row>
    <row r="949" spans="1:4" x14ac:dyDescent="0.45">
      <c r="A949">
        <v>157</v>
      </c>
      <c r="B949" s="3">
        <f t="shared" ca="1" si="14"/>
        <v>131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9" t="str">
        <f ca="1">IF(dict_zuord_Meth_Transfers[[#This Row],[kval_active]],dict_zuord_Meth_Transfers[[#This Row],[ID_Transfers]],"")</f>
        <v/>
      </c>
    </row>
    <row r="950" spans="1:4" x14ac:dyDescent="0.45">
      <c r="A950">
        <v>158</v>
      </c>
      <c r="B950" s="3">
        <f t="shared" ca="1" si="14"/>
        <v>87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0" t="str">
        <f ca="1">IF(dict_zuord_Meth_Transfers[[#This Row],[kval_active]],dict_zuord_Meth_Transfers[[#This Row],[ID_Transfers]],"")</f>
        <v/>
      </c>
    </row>
    <row r="951" spans="1:4" x14ac:dyDescent="0.45">
      <c r="A951">
        <v>158</v>
      </c>
      <c r="B951">
        <f t="shared" ca="1" si="14"/>
        <v>191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1" t="str">
        <f ca="1">IF(dict_zuord_Meth_Transfers[[#This Row],[kval_active]],dict_zuord_Meth_Transfers[[#This Row],[ID_Transfers]],"")</f>
        <v/>
      </c>
    </row>
    <row r="952" spans="1:4" x14ac:dyDescent="0.45">
      <c r="A952">
        <v>158</v>
      </c>
      <c r="B952">
        <f t="shared" ca="1" si="14"/>
        <v>126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2" t="str">
        <f ca="1">IF(dict_zuord_Meth_Transfers[[#This Row],[kval_active]],dict_zuord_Meth_Transfers[[#This Row],[ID_Transfers]],"")</f>
        <v/>
      </c>
    </row>
    <row r="953" spans="1:4" x14ac:dyDescent="0.45">
      <c r="A953">
        <v>158</v>
      </c>
      <c r="B953">
        <f t="shared" ca="1" si="14"/>
        <v>148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3" t="str">
        <f ca="1">IF(dict_zuord_Meth_Transfers[[#This Row],[kval_active]],dict_zuord_Meth_Transfers[[#This Row],[ID_Transfers]],"")</f>
        <v/>
      </c>
    </row>
    <row r="954" spans="1:4" x14ac:dyDescent="0.45">
      <c r="A954">
        <v>158</v>
      </c>
      <c r="B954" s="3">
        <f t="shared" ca="1" si="14"/>
        <v>138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4" t="str">
        <f ca="1">IF(dict_zuord_Meth_Transfers[[#This Row],[kval_active]],dict_zuord_Meth_Transfers[[#This Row],[ID_Transfers]],"")</f>
        <v/>
      </c>
    </row>
    <row r="955" spans="1:4" x14ac:dyDescent="0.45">
      <c r="A955">
        <v>158</v>
      </c>
      <c r="B955" s="3">
        <f t="shared" ca="1" si="14"/>
        <v>106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5" t="str">
        <f ca="1">IF(dict_zuord_Meth_Transfers[[#This Row],[kval_active]],dict_zuord_Meth_Transfers[[#This Row],[ID_Transfers]],"")</f>
        <v/>
      </c>
    </row>
    <row r="956" spans="1:4" x14ac:dyDescent="0.45">
      <c r="A956">
        <v>159</v>
      </c>
      <c r="B956" s="3">
        <f t="shared" ca="1" si="14"/>
        <v>77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6" t="str">
        <f ca="1">IF(dict_zuord_Meth_Transfers[[#This Row],[kval_active]],dict_zuord_Meth_Transfers[[#This Row],[ID_Transfers]],"")</f>
        <v/>
      </c>
    </row>
    <row r="957" spans="1:4" x14ac:dyDescent="0.45">
      <c r="A957">
        <v>159</v>
      </c>
      <c r="B957">
        <f t="shared" ca="1" si="14"/>
        <v>175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7" t="str">
        <f ca="1">IF(dict_zuord_Meth_Transfers[[#This Row],[kval_active]],dict_zuord_Meth_Transfers[[#This Row],[ID_Transfers]],"")</f>
        <v/>
      </c>
    </row>
    <row r="958" spans="1:4" x14ac:dyDescent="0.45">
      <c r="A958">
        <v>159</v>
      </c>
      <c r="B958" s="3">
        <f t="shared" ca="1" si="14"/>
        <v>15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8" t="str">
        <f ca="1">IF(dict_zuord_Meth_Transfers[[#This Row],[kval_active]],dict_zuord_Meth_Transfers[[#This Row],[ID_Transfers]],"")</f>
        <v/>
      </c>
    </row>
    <row r="959" spans="1:4" x14ac:dyDescent="0.45">
      <c r="A959">
        <v>159</v>
      </c>
      <c r="B959">
        <f t="shared" ca="1" si="14"/>
        <v>110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9" t="str">
        <f ca="1">IF(dict_zuord_Meth_Transfers[[#This Row],[kval_active]],dict_zuord_Meth_Transfers[[#This Row],[ID_Transfers]],"")</f>
        <v/>
      </c>
    </row>
    <row r="960" spans="1:4" x14ac:dyDescent="0.45">
      <c r="A960">
        <v>159</v>
      </c>
      <c r="B960" s="3">
        <f t="shared" ca="1" si="14"/>
        <v>12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0" t="str">
        <f ca="1">IF(dict_zuord_Meth_Transfers[[#This Row],[kval_active]],dict_zuord_Meth_Transfers[[#This Row],[ID_Transfers]],"")</f>
        <v/>
      </c>
    </row>
    <row r="961" spans="1:4" x14ac:dyDescent="0.45">
      <c r="A961">
        <v>159</v>
      </c>
      <c r="B961">
        <f t="shared" ca="1" si="14"/>
        <v>116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1" t="str">
        <f ca="1">IF(dict_zuord_Meth_Transfers[[#This Row],[kval_active]],dict_zuord_Meth_Transfers[[#This Row],[ID_Transfers]],"")</f>
        <v/>
      </c>
    </row>
    <row r="962" spans="1:4" x14ac:dyDescent="0.45">
      <c r="A962">
        <v>160</v>
      </c>
      <c r="B962">
        <f t="shared" ref="B962:B1025" ca="1" si="15">RANDBETWEEN(0,200)</f>
        <v>52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2" t="str">
        <f ca="1">IF(dict_zuord_Meth_Transfers[[#This Row],[kval_active]],dict_zuord_Meth_Transfers[[#This Row],[ID_Transfers]],"")</f>
        <v/>
      </c>
    </row>
    <row r="963" spans="1:4" x14ac:dyDescent="0.45">
      <c r="A963">
        <v>160</v>
      </c>
      <c r="B963" s="3">
        <f t="shared" ca="1" si="15"/>
        <v>81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3" t="str">
        <f ca="1">IF(dict_zuord_Meth_Transfers[[#This Row],[kval_active]],dict_zuord_Meth_Transfers[[#This Row],[ID_Transfers]],"")</f>
        <v/>
      </c>
    </row>
    <row r="964" spans="1:4" x14ac:dyDescent="0.45">
      <c r="A964">
        <v>160</v>
      </c>
      <c r="B964">
        <f t="shared" ca="1" si="15"/>
        <v>134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4" t="str">
        <f ca="1">IF(dict_zuord_Meth_Transfers[[#This Row],[kval_active]],dict_zuord_Meth_Transfers[[#This Row],[ID_Transfers]],"")</f>
        <v/>
      </c>
    </row>
    <row r="965" spans="1:4" x14ac:dyDescent="0.45">
      <c r="A965">
        <v>160</v>
      </c>
      <c r="B965" s="3">
        <f t="shared" ca="1" si="15"/>
        <v>126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5" t="str">
        <f ca="1">IF(dict_zuord_Meth_Transfers[[#This Row],[kval_active]],dict_zuord_Meth_Transfers[[#This Row],[ID_Transfers]],"")</f>
        <v/>
      </c>
    </row>
    <row r="966" spans="1:4" x14ac:dyDescent="0.45">
      <c r="A966">
        <v>160</v>
      </c>
      <c r="B966">
        <f t="shared" ca="1" si="15"/>
        <v>8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6" t="str">
        <f ca="1">IF(dict_zuord_Meth_Transfers[[#This Row],[kval_active]],dict_zuord_Meth_Transfers[[#This Row],[ID_Transfers]],"")</f>
        <v/>
      </c>
    </row>
    <row r="967" spans="1:4" x14ac:dyDescent="0.45">
      <c r="A967">
        <v>160</v>
      </c>
      <c r="B967" s="3">
        <f t="shared" ca="1" si="15"/>
        <v>0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7" t="str">
        <f ca="1">IF(dict_zuord_Meth_Transfers[[#This Row],[kval_active]],dict_zuord_Meth_Transfers[[#This Row],[ID_Transfers]],"")</f>
        <v/>
      </c>
    </row>
    <row r="968" spans="1:4" x14ac:dyDescent="0.45">
      <c r="A968">
        <v>161</v>
      </c>
      <c r="B968">
        <f t="shared" ca="1" si="15"/>
        <v>155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8" t="str">
        <f ca="1">IF(dict_zuord_Meth_Transfers[[#This Row],[kval_active]],dict_zuord_Meth_Transfers[[#This Row],[ID_Transfers]],"")</f>
        <v/>
      </c>
    </row>
    <row r="969" spans="1:4" x14ac:dyDescent="0.45">
      <c r="A969">
        <v>161</v>
      </c>
      <c r="B969" s="3">
        <f t="shared" ca="1" si="15"/>
        <v>110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9" t="str">
        <f ca="1">IF(dict_zuord_Meth_Transfers[[#This Row],[kval_active]],dict_zuord_Meth_Transfers[[#This Row],[ID_Transfers]],"")</f>
        <v/>
      </c>
    </row>
    <row r="970" spans="1:4" x14ac:dyDescent="0.45">
      <c r="A970">
        <v>161</v>
      </c>
      <c r="B970" s="3">
        <f t="shared" ca="1" si="15"/>
        <v>155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0" t="str">
        <f ca="1">IF(dict_zuord_Meth_Transfers[[#This Row],[kval_active]],dict_zuord_Meth_Transfers[[#This Row],[ID_Transfers]],"")</f>
        <v/>
      </c>
    </row>
    <row r="971" spans="1:4" x14ac:dyDescent="0.45">
      <c r="A971">
        <v>161</v>
      </c>
      <c r="B971" s="3">
        <f t="shared" ca="1" si="15"/>
        <v>26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1" t="str">
        <f ca="1">IF(dict_zuord_Meth_Transfers[[#This Row],[kval_active]],dict_zuord_Meth_Transfers[[#This Row],[ID_Transfers]],"")</f>
        <v/>
      </c>
    </row>
    <row r="972" spans="1:4" x14ac:dyDescent="0.45">
      <c r="A972">
        <v>161</v>
      </c>
      <c r="B972">
        <f t="shared" ca="1" si="15"/>
        <v>72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2" t="str">
        <f ca="1">IF(dict_zuord_Meth_Transfers[[#This Row],[kval_active]],dict_zuord_Meth_Transfers[[#This Row],[ID_Transfers]],"")</f>
        <v/>
      </c>
    </row>
    <row r="973" spans="1:4" x14ac:dyDescent="0.45">
      <c r="A973">
        <v>161</v>
      </c>
      <c r="B973">
        <f t="shared" ca="1" si="15"/>
        <v>54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3" t="str">
        <f ca="1">IF(dict_zuord_Meth_Transfers[[#This Row],[kval_active]],dict_zuord_Meth_Transfers[[#This Row],[ID_Transfers]],"")</f>
        <v/>
      </c>
    </row>
    <row r="974" spans="1:4" x14ac:dyDescent="0.45">
      <c r="A974">
        <v>162</v>
      </c>
      <c r="B974" s="3">
        <f t="shared" ca="1" si="15"/>
        <v>52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4" t="str">
        <f ca="1">IF(dict_zuord_Meth_Transfers[[#This Row],[kval_active]],dict_zuord_Meth_Transfers[[#This Row],[ID_Transfers]],"")</f>
        <v/>
      </c>
    </row>
    <row r="975" spans="1:4" x14ac:dyDescent="0.45">
      <c r="A975">
        <v>162</v>
      </c>
      <c r="B975" s="3">
        <f t="shared" ca="1" si="15"/>
        <v>62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5" t="str">
        <f ca="1">IF(dict_zuord_Meth_Transfers[[#This Row],[kval_active]],dict_zuord_Meth_Transfers[[#This Row],[ID_Transfers]],"")</f>
        <v/>
      </c>
    </row>
    <row r="976" spans="1:4" x14ac:dyDescent="0.45">
      <c r="A976">
        <v>162</v>
      </c>
      <c r="B976">
        <f t="shared" ca="1" si="15"/>
        <v>142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6" t="str">
        <f ca="1">IF(dict_zuord_Meth_Transfers[[#This Row],[kval_active]],dict_zuord_Meth_Transfers[[#This Row],[ID_Transfers]],"")</f>
        <v/>
      </c>
    </row>
    <row r="977" spans="1:4" x14ac:dyDescent="0.45">
      <c r="A977">
        <v>162</v>
      </c>
      <c r="B977" s="3">
        <f t="shared" ca="1" si="15"/>
        <v>117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7" t="str">
        <f ca="1">IF(dict_zuord_Meth_Transfers[[#This Row],[kval_active]],dict_zuord_Meth_Transfers[[#This Row],[ID_Transfers]],"")</f>
        <v/>
      </c>
    </row>
    <row r="978" spans="1:4" x14ac:dyDescent="0.45">
      <c r="A978">
        <v>162</v>
      </c>
      <c r="B978">
        <f t="shared" ca="1" si="15"/>
        <v>160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8" t="str">
        <f ca="1">IF(dict_zuord_Meth_Transfers[[#This Row],[kval_active]],dict_zuord_Meth_Transfers[[#This Row],[ID_Transfers]],"")</f>
        <v/>
      </c>
    </row>
    <row r="979" spans="1:4" x14ac:dyDescent="0.45">
      <c r="A979">
        <v>162</v>
      </c>
      <c r="B979">
        <f t="shared" ca="1" si="15"/>
        <v>33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9" t="str">
        <f ca="1">IF(dict_zuord_Meth_Transfers[[#This Row],[kval_active]],dict_zuord_Meth_Transfers[[#This Row],[ID_Transfers]],"")</f>
        <v/>
      </c>
    </row>
    <row r="980" spans="1:4" x14ac:dyDescent="0.45">
      <c r="A980">
        <v>163</v>
      </c>
      <c r="B980" s="3">
        <f t="shared" ca="1" si="15"/>
        <v>34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0" t="str">
        <f ca="1">IF(dict_zuord_Meth_Transfers[[#This Row],[kval_active]],dict_zuord_Meth_Transfers[[#This Row],[ID_Transfers]],"")</f>
        <v/>
      </c>
    </row>
    <row r="981" spans="1:4" x14ac:dyDescent="0.45">
      <c r="A981">
        <v>163</v>
      </c>
      <c r="B981">
        <f t="shared" ca="1" si="15"/>
        <v>71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1" t="str">
        <f ca="1">IF(dict_zuord_Meth_Transfers[[#This Row],[kval_active]],dict_zuord_Meth_Transfers[[#This Row],[ID_Transfers]],"")</f>
        <v/>
      </c>
    </row>
    <row r="982" spans="1:4" x14ac:dyDescent="0.45">
      <c r="A982">
        <v>163</v>
      </c>
      <c r="B982" s="3">
        <f t="shared" ca="1" si="15"/>
        <v>98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2" t="str">
        <f ca="1">IF(dict_zuord_Meth_Transfers[[#This Row],[kval_active]],dict_zuord_Meth_Transfers[[#This Row],[ID_Transfers]],"")</f>
        <v/>
      </c>
    </row>
    <row r="983" spans="1:4" x14ac:dyDescent="0.45">
      <c r="A983">
        <v>163</v>
      </c>
      <c r="B983" s="3">
        <f t="shared" ca="1" si="15"/>
        <v>111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3" t="str">
        <f ca="1">IF(dict_zuord_Meth_Transfers[[#This Row],[kval_active]],dict_zuord_Meth_Transfers[[#This Row],[ID_Transfers]],"")</f>
        <v/>
      </c>
    </row>
    <row r="984" spans="1:4" x14ac:dyDescent="0.45">
      <c r="A984">
        <v>163</v>
      </c>
      <c r="B984">
        <f t="shared" ca="1" si="15"/>
        <v>102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4" t="str">
        <f ca="1">IF(dict_zuord_Meth_Transfers[[#This Row],[kval_active]],dict_zuord_Meth_Transfers[[#This Row],[ID_Transfers]],"")</f>
        <v/>
      </c>
    </row>
    <row r="985" spans="1:4" x14ac:dyDescent="0.45">
      <c r="A985">
        <v>163</v>
      </c>
      <c r="B985">
        <f t="shared" ca="1" si="15"/>
        <v>58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5" t="str">
        <f ca="1">IF(dict_zuord_Meth_Transfers[[#This Row],[kval_active]],dict_zuord_Meth_Transfers[[#This Row],[ID_Transfers]],"")</f>
        <v/>
      </c>
    </row>
    <row r="986" spans="1:4" x14ac:dyDescent="0.45">
      <c r="A986">
        <v>164</v>
      </c>
      <c r="B986">
        <f t="shared" ca="1" si="15"/>
        <v>136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6" t="str">
        <f ca="1">IF(dict_zuord_Meth_Transfers[[#This Row],[kval_active]],dict_zuord_Meth_Transfers[[#This Row],[ID_Transfers]],"")</f>
        <v/>
      </c>
    </row>
    <row r="987" spans="1:4" x14ac:dyDescent="0.45">
      <c r="A987">
        <v>164</v>
      </c>
      <c r="B987" s="3">
        <f t="shared" ca="1" si="15"/>
        <v>165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7" t="str">
        <f ca="1">IF(dict_zuord_Meth_Transfers[[#This Row],[kval_active]],dict_zuord_Meth_Transfers[[#This Row],[ID_Transfers]],"")</f>
        <v/>
      </c>
    </row>
    <row r="988" spans="1:4" x14ac:dyDescent="0.45">
      <c r="A988">
        <v>164</v>
      </c>
      <c r="B988" s="3">
        <f t="shared" ca="1" si="15"/>
        <v>46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8" t="str">
        <f ca="1">IF(dict_zuord_Meth_Transfers[[#This Row],[kval_active]],dict_zuord_Meth_Transfers[[#This Row],[ID_Transfers]],"")</f>
        <v/>
      </c>
    </row>
    <row r="989" spans="1:4" x14ac:dyDescent="0.45">
      <c r="A989">
        <v>164</v>
      </c>
      <c r="B989" s="3">
        <f t="shared" ca="1" si="15"/>
        <v>79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9" t="str">
        <f ca="1">IF(dict_zuord_Meth_Transfers[[#This Row],[kval_active]],dict_zuord_Meth_Transfers[[#This Row],[ID_Transfers]],"")</f>
        <v/>
      </c>
    </row>
    <row r="990" spans="1:4" x14ac:dyDescent="0.45">
      <c r="A990">
        <v>164</v>
      </c>
      <c r="B990">
        <f t="shared" ca="1" si="15"/>
        <v>42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0" t="str">
        <f ca="1">IF(dict_zuord_Meth_Transfers[[#This Row],[kval_active]],dict_zuord_Meth_Transfers[[#This Row],[ID_Transfers]],"")</f>
        <v/>
      </c>
    </row>
    <row r="991" spans="1:4" x14ac:dyDescent="0.45">
      <c r="A991">
        <v>164</v>
      </c>
      <c r="B991">
        <f t="shared" ca="1" si="15"/>
        <v>161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1" t="str">
        <f ca="1">IF(dict_zuord_Meth_Transfers[[#This Row],[kval_active]],dict_zuord_Meth_Transfers[[#This Row],[ID_Transfers]],"")</f>
        <v/>
      </c>
    </row>
    <row r="992" spans="1:4" x14ac:dyDescent="0.45">
      <c r="A992">
        <v>165</v>
      </c>
      <c r="B992" s="3">
        <f t="shared" ca="1" si="15"/>
        <v>94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2">
        <f ca="1">IF(dict_zuord_Meth_Transfers[[#This Row],[kval_active]],dict_zuord_Meth_Transfers[[#This Row],[ID_Transfers]],"")</f>
        <v>94</v>
      </c>
    </row>
    <row r="993" spans="1:4" x14ac:dyDescent="0.45">
      <c r="A993">
        <v>165</v>
      </c>
      <c r="B993">
        <f t="shared" ca="1" si="15"/>
        <v>110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3">
        <f ca="1">IF(dict_zuord_Meth_Transfers[[#This Row],[kval_active]],dict_zuord_Meth_Transfers[[#This Row],[ID_Transfers]],"")</f>
        <v>110</v>
      </c>
    </row>
    <row r="994" spans="1:4" x14ac:dyDescent="0.45">
      <c r="A994">
        <v>165</v>
      </c>
      <c r="B994">
        <f t="shared" ca="1" si="15"/>
        <v>148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4">
        <f ca="1">IF(dict_zuord_Meth_Transfers[[#This Row],[kval_active]],dict_zuord_Meth_Transfers[[#This Row],[ID_Transfers]],"")</f>
        <v>148</v>
      </c>
    </row>
    <row r="995" spans="1:4" x14ac:dyDescent="0.45">
      <c r="A995">
        <v>165</v>
      </c>
      <c r="B995">
        <f t="shared" ca="1" si="15"/>
        <v>152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5">
        <f ca="1">IF(dict_zuord_Meth_Transfers[[#This Row],[kval_active]],dict_zuord_Meth_Transfers[[#This Row],[ID_Transfers]],"")</f>
        <v>152</v>
      </c>
    </row>
    <row r="996" spans="1:4" x14ac:dyDescent="0.45">
      <c r="A996">
        <v>165</v>
      </c>
      <c r="B996" s="3">
        <f t="shared" ca="1" si="15"/>
        <v>47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6">
        <f ca="1">IF(dict_zuord_Meth_Transfers[[#This Row],[kval_active]],dict_zuord_Meth_Transfers[[#This Row],[ID_Transfers]],"")</f>
        <v>47</v>
      </c>
    </row>
    <row r="997" spans="1:4" x14ac:dyDescent="0.45">
      <c r="A997">
        <v>165</v>
      </c>
      <c r="B997" s="3">
        <f t="shared" ca="1" si="15"/>
        <v>148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7">
        <f ca="1">IF(dict_zuord_Meth_Transfers[[#This Row],[kval_active]],dict_zuord_Meth_Transfers[[#This Row],[ID_Transfers]],"")</f>
        <v>148</v>
      </c>
    </row>
    <row r="998" spans="1:4" x14ac:dyDescent="0.45">
      <c r="A998">
        <v>166</v>
      </c>
      <c r="B998" s="3">
        <f t="shared" ca="1" si="15"/>
        <v>112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8" t="str">
        <f ca="1">IF(dict_zuord_Meth_Transfers[[#This Row],[kval_active]],dict_zuord_Meth_Transfers[[#This Row],[ID_Transfers]],"")</f>
        <v/>
      </c>
    </row>
    <row r="999" spans="1:4" x14ac:dyDescent="0.45">
      <c r="A999">
        <v>166</v>
      </c>
      <c r="B999">
        <f t="shared" ca="1" si="15"/>
        <v>194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9" t="str">
        <f ca="1">IF(dict_zuord_Meth_Transfers[[#This Row],[kval_active]],dict_zuord_Meth_Transfers[[#This Row],[ID_Transfers]],"")</f>
        <v/>
      </c>
    </row>
    <row r="1000" spans="1:4" x14ac:dyDescent="0.45">
      <c r="A1000">
        <v>166</v>
      </c>
      <c r="B1000">
        <f t="shared" ca="1" si="15"/>
        <v>200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0" t="str">
        <f ca="1">IF(dict_zuord_Meth_Transfers[[#This Row],[kval_active]],dict_zuord_Meth_Transfers[[#This Row],[ID_Transfers]],"")</f>
        <v/>
      </c>
    </row>
    <row r="1001" spans="1:4" x14ac:dyDescent="0.45">
      <c r="A1001">
        <v>166</v>
      </c>
      <c r="B1001">
        <f t="shared" ca="1" si="15"/>
        <v>107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1" t="str">
        <f ca="1">IF(dict_zuord_Meth_Transfers[[#This Row],[kval_active]],dict_zuord_Meth_Transfers[[#This Row],[ID_Transfers]],"")</f>
        <v/>
      </c>
    </row>
    <row r="1002" spans="1:4" x14ac:dyDescent="0.45">
      <c r="A1002">
        <v>166</v>
      </c>
      <c r="B1002" s="3">
        <f t="shared" ca="1" si="15"/>
        <v>41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2" t="str">
        <f ca="1">IF(dict_zuord_Meth_Transfers[[#This Row],[kval_active]],dict_zuord_Meth_Transfers[[#This Row],[ID_Transfers]],"")</f>
        <v/>
      </c>
    </row>
    <row r="1003" spans="1:4" x14ac:dyDescent="0.45">
      <c r="A1003">
        <v>166</v>
      </c>
      <c r="B1003" s="3">
        <f t="shared" ca="1" si="15"/>
        <v>125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3" t="str">
        <f ca="1">IF(dict_zuord_Meth_Transfers[[#This Row],[kval_active]],dict_zuord_Meth_Transfers[[#This Row],[ID_Transfers]],"")</f>
        <v/>
      </c>
    </row>
    <row r="1004" spans="1:4" x14ac:dyDescent="0.45">
      <c r="A1004">
        <v>167</v>
      </c>
      <c r="B1004" s="3">
        <f t="shared" ca="1" si="15"/>
        <v>166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4" t="str">
        <f ca="1">IF(dict_zuord_Meth_Transfers[[#This Row],[kval_active]],dict_zuord_Meth_Transfers[[#This Row],[ID_Transfers]],"")</f>
        <v/>
      </c>
    </row>
    <row r="1005" spans="1:4" x14ac:dyDescent="0.45">
      <c r="A1005">
        <v>167</v>
      </c>
      <c r="B1005">
        <f t="shared" ca="1" si="15"/>
        <v>14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5" t="str">
        <f ca="1">IF(dict_zuord_Meth_Transfers[[#This Row],[kval_active]],dict_zuord_Meth_Transfers[[#This Row],[ID_Transfers]],"")</f>
        <v/>
      </c>
    </row>
    <row r="1006" spans="1:4" x14ac:dyDescent="0.45">
      <c r="A1006">
        <v>167</v>
      </c>
      <c r="B1006" s="3">
        <f t="shared" ca="1" si="15"/>
        <v>131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6" t="str">
        <f ca="1">IF(dict_zuord_Meth_Transfers[[#This Row],[kval_active]],dict_zuord_Meth_Transfers[[#This Row],[ID_Transfers]],"")</f>
        <v/>
      </c>
    </row>
    <row r="1007" spans="1:4" x14ac:dyDescent="0.45">
      <c r="A1007">
        <v>167</v>
      </c>
      <c r="B1007">
        <f t="shared" ca="1" si="15"/>
        <v>154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7" t="str">
        <f ca="1">IF(dict_zuord_Meth_Transfers[[#This Row],[kval_active]],dict_zuord_Meth_Transfers[[#This Row],[ID_Transfers]],"")</f>
        <v/>
      </c>
    </row>
    <row r="1008" spans="1:4" x14ac:dyDescent="0.45">
      <c r="A1008">
        <v>167</v>
      </c>
      <c r="B1008">
        <f t="shared" ca="1" si="15"/>
        <v>104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8" t="str">
        <f ca="1">IF(dict_zuord_Meth_Transfers[[#This Row],[kval_active]],dict_zuord_Meth_Transfers[[#This Row],[ID_Transfers]],"")</f>
        <v/>
      </c>
    </row>
    <row r="1009" spans="1:4" x14ac:dyDescent="0.45">
      <c r="A1009">
        <v>167</v>
      </c>
      <c r="B1009" s="3">
        <f t="shared" ca="1" si="15"/>
        <v>175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9" t="str">
        <f ca="1">IF(dict_zuord_Meth_Transfers[[#This Row],[kval_active]],dict_zuord_Meth_Transfers[[#This Row],[ID_Transfers]],"")</f>
        <v/>
      </c>
    </row>
    <row r="1010" spans="1:4" x14ac:dyDescent="0.45">
      <c r="A1010">
        <v>168</v>
      </c>
      <c r="B1010">
        <f t="shared" ca="1" si="15"/>
        <v>56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0" t="str">
        <f ca="1">IF(dict_zuord_Meth_Transfers[[#This Row],[kval_active]],dict_zuord_Meth_Transfers[[#This Row],[ID_Transfers]],"")</f>
        <v/>
      </c>
    </row>
    <row r="1011" spans="1:4" x14ac:dyDescent="0.45">
      <c r="A1011">
        <v>168</v>
      </c>
      <c r="B1011" s="3">
        <f t="shared" ca="1" si="15"/>
        <v>75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1" t="str">
        <f ca="1">IF(dict_zuord_Meth_Transfers[[#This Row],[kval_active]],dict_zuord_Meth_Transfers[[#This Row],[ID_Transfers]],"")</f>
        <v/>
      </c>
    </row>
    <row r="1012" spans="1:4" x14ac:dyDescent="0.45">
      <c r="A1012">
        <v>168</v>
      </c>
      <c r="B1012">
        <f t="shared" ca="1" si="15"/>
        <v>117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2" t="str">
        <f ca="1">IF(dict_zuord_Meth_Transfers[[#This Row],[kval_active]],dict_zuord_Meth_Transfers[[#This Row],[ID_Transfers]],"")</f>
        <v/>
      </c>
    </row>
    <row r="1013" spans="1:4" x14ac:dyDescent="0.45">
      <c r="A1013">
        <v>168</v>
      </c>
      <c r="B1013" s="3">
        <f t="shared" ca="1" si="15"/>
        <v>114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3" t="str">
        <f ca="1">IF(dict_zuord_Meth_Transfers[[#This Row],[kval_active]],dict_zuord_Meth_Transfers[[#This Row],[ID_Transfers]],"")</f>
        <v/>
      </c>
    </row>
    <row r="1014" spans="1:4" x14ac:dyDescent="0.45">
      <c r="A1014">
        <v>168</v>
      </c>
      <c r="B1014">
        <f t="shared" ca="1" si="15"/>
        <v>134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4" t="str">
        <f ca="1">IF(dict_zuord_Meth_Transfers[[#This Row],[kval_active]],dict_zuord_Meth_Transfers[[#This Row],[ID_Transfers]],"")</f>
        <v/>
      </c>
    </row>
    <row r="1015" spans="1:4" x14ac:dyDescent="0.45">
      <c r="A1015">
        <v>168</v>
      </c>
      <c r="B1015" s="3">
        <f t="shared" ca="1" si="15"/>
        <v>23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5" t="str">
        <f ca="1">IF(dict_zuord_Meth_Transfers[[#This Row],[kval_active]],dict_zuord_Meth_Transfers[[#This Row],[ID_Transfers]],"")</f>
        <v/>
      </c>
    </row>
    <row r="1016" spans="1:4" x14ac:dyDescent="0.45">
      <c r="A1016">
        <v>169</v>
      </c>
      <c r="B1016">
        <f t="shared" ca="1" si="15"/>
        <v>1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6" t="str">
        <f ca="1">IF(dict_zuord_Meth_Transfers[[#This Row],[kval_active]],dict_zuord_Meth_Transfers[[#This Row],[ID_Transfers]],"")</f>
        <v/>
      </c>
    </row>
    <row r="1017" spans="1:4" x14ac:dyDescent="0.45">
      <c r="A1017">
        <v>169</v>
      </c>
      <c r="B1017">
        <f t="shared" ca="1" si="15"/>
        <v>111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7" t="str">
        <f ca="1">IF(dict_zuord_Meth_Transfers[[#This Row],[kval_active]],dict_zuord_Meth_Transfers[[#This Row],[ID_Transfers]],"")</f>
        <v/>
      </c>
    </row>
    <row r="1018" spans="1:4" x14ac:dyDescent="0.45">
      <c r="A1018">
        <v>169</v>
      </c>
      <c r="B1018" s="3">
        <f t="shared" ca="1" si="15"/>
        <v>3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8" t="str">
        <f ca="1">IF(dict_zuord_Meth_Transfers[[#This Row],[kval_active]],dict_zuord_Meth_Transfers[[#This Row],[ID_Transfers]],"")</f>
        <v/>
      </c>
    </row>
    <row r="1019" spans="1:4" x14ac:dyDescent="0.45">
      <c r="A1019">
        <v>169</v>
      </c>
      <c r="B1019" s="3">
        <f t="shared" ca="1" si="15"/>
        <v>68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9" t="str">
        <f ca="1">IF(dict_zuord_Meth_Transfers[[#This Row],[kval_active]],dict_zuord_Meth_Transfers[[#This Row],[ID_Transfers]],"")</f>
        <v/>
      </c>
    </row>
    <row r="1020" spans="1:4" x14ac:dyDescent="0.45">
      <c r="A1020">
        <v>169</v>
      </c>
      <c r="B1020" s="3">
        <f t="shared" ca="1" si="15"/>
        <v>132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0" t="str">
        <f ca="1">IF(dict_zuord_Meth_Transfers[[#This Row],[kval_active]],dict_zuord_Meth_Transfers[[#This Row],[ID_Transfers]],"")</f>
        <v/>
      </c>
    </row>
    <row r="1021" spans="1:4" x14ac:dyDescent="0.45">
      <c r="A1021">
        <v>169</v>
      </c>
      <c r="B1021">
        <f t="shared" ca="1" si="15"/>
        <v>107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1" t="str">
        <f ca="1">IF(dict_zuord_Meth_Transfers[[#This Row],[kval_active]],dict_zuord_Meth_Transfers[[#This Row],[ID_Transfers]],"")</f>
        <v/>
      </c>
    </row>
    <row r="1022" spans="1:4" x14ac:dyDescent="0.45">
      <c r="A1022">
        <v>170</v>
      </c>
      <c r="B1022" s="3">
        <f t="shared" ca="1" si="15"/>
        <v>58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2" t="str">
        <f ca="1">IF(dict_zuord_Meth_Transfers[[#This Row],[kval_active]],dict_zuord_Meth_Transfers[[#This Row],[ID_Transfers]],"")</f>
        <v/>
      </c>
    </row>
    <row r="1023" spans="1:4" x14ac:dyDescent="0.45">
      <c r="A1023">
        <v>170</v>
      </c>
      <c r="B1023" s="3">
        <f t="shared" ca="1" si="15"/>
        <v>103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3" t="str">
        <f ca="1">IF(dict_zuord_Meth_Transfers[[#This Row],[kval_active]],dict_zuord_Meth_Transfers[[#This Row],[ID_Transfers]],"")</f>
        <v/>
      </c>
    </row>
    <row r="1024" spans="1:4" x14ac:dyDescent="0.45">
      <c r="A1024">
        <v>170</v>
      </c>
      <c r="B1024" s="3">
        <f t="shared" ca="1" si="15"/>
        <v>197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4" t="str">
        <f ca="1">IF(dict_zuord_Meth_Transfers[[#This Row],[kval_active]],dict_zuord_Meth_Transfers[[#This Row],[ID_Transfers]],"")</f>
        <v/>
      </c>
    </row>
    <row r="1025" spans="1:4" x14ac:dyDescent="0.45">
      <c r="A1025">
        <v>170</v>
      </c>
      <c r="B1025">
        <f t="shared" ca="1" si="15"/>
        <v>43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5" t="str">
        <f ca="1">IF(dict_zuord_Meth_Transfers[[#This Row],[kval_active]],dict_zuord_Meth_Transfers[[#This Row],[ID_Transfers]],"")</f>
        <v/>
      </c>
    </row>
    <row r="1026" spans="1:4" x14ac:dyDescent="0.45">
      <c r="A1026">
        <v>170</v>
      </c>
      <c r="B1026">
        <f t="shared" ref="B1026:B1089" ca="1" si="16">RANDBETWEEN(0,200)</f>
        <v>68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6" t="str">
        <f ca="1">IF(dict_zuord_Meth_Transfers[[#This Row],[kval_active]],dict_zuord_Meth_Transfers[[#This Row],[ID_Transfers]],"")</f>
        <v/>
      </c>
    </row>
    <row r="1027" spans="1:4" x14ac:dyDescent="0.45">
      <c r="A1027">
        <v>170</v>
      </c>
      <c r="B1027">
        <f t="shared" ca="1" si="16"/>
        <v>66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7" t="str">
        <f ca="1">IF(dict_zuord_Meth_Transfers[[#This Row],[kval_active]],dict_zuord_Meth_Transfers[[#This Row],[ID_Transfers]],"")</f>
        <v/>
      </c>
    </row>
    <row r="1028" spans="1:4" x14ac:dyDescent="0.45">
      <c r="A1028">
        <v>171</v>
      </c>
      <c r="B1028">
        <f t="shared" ca="1" si="16"/>
        <v>60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8" t="str">
        <f ca="1">IF(dict_zuord_Meth_Transfers[[#This Row],[kval_active]],dict_zuord_Meth_Transfers[[#This Row],[ID_Transfers]],"")</f>
        <v/>
      </c>
    </row>
    <row r="1029" spans="1:4" x14ac:dyDescent="0.45">
      <c r="A1029">
        <v>171</v>
      </c>
      <c r="B1029">
        <f t="shared" ca="1" si="16"/>
        <v>148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9" t="str">
        <f ca="1">IF(dict_zuord_Meth_Transfers[[#This Row],[kval_active]],dict_zuord_Meth_Transfers[[#This Row],[ID_Transfers]],"")</f>
        <v/>
      </c>
    </row>
    <row r="1030" spans="1:4" x14ac:dyDescent="0.45">
      <c r="A1030">
        <v>171</v>
      </c>
      <c r="B1030" s="3">
        <f t="shared" ca="1" si="16"/>
        <v>151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0" t="str">
        <f ca="1">IF(dict_zuord_Meth_Transfers[[#This Row],[kval_active]],dict_zuord_Meth_Transfers[[#This Row],[ID_Transfers]],"")</f>
        <v/>
      </c>
    </row>
    <row r="1031" spans="1:4" x14ac:dyDescent="0.45">
      <c r="A1031">
        <v>171</v>
      </c>
      <c r="B1031" s="3">
        <f t="shared" ca="1" si="16"/>
        <v>6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1" t="str">
        <f ca="1">IF(dict_zuord_Meth_Transfers[[#This Row],[kval_active]],dict_zuord_Meth_Transfers[[#This Row],[ID_Transfers]],"")</f>
        <v/>
      </c>
    </row>
    <row r="1032" spans="1:4" x14ac:dyDescent="0.45">
      <c r="A1032">
        <v>171</v>
      </c>
      <c r="B1032" s="3">
        <f t="shared" ca="1" si="16"/>
        <v>138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2" t="str">
        <f ca="1">IF(dict_zuord_Meth_Transfers[[#This Row],[kval_active]],dict_zuord_Meth_Transfers[[#This Row],[ID_Transfers]],"")</f>
        <v/>
      </c>
    </row>
    <row r="1033" spans="1:4" x14ac:dyDescent="0.45">
      <c r="A1033">
        <v>171</v>
      </c>
      <c r="B1033">
        <f t="shared" ca="1" si="16"/>
        <v>122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3" t="str">
        <f ca="1">IF(dict_zuord_Meth_Transfers[[#This Row],[kval_active]],dict_zuord_Meth_Transfers[[#This Row],[ID_Transfers]],"")</f>
        <v/>
      </c>
    </row>
    <row r="1034" spans="1:4" x14ac:dyDescent="0.45">
      <c r="A1034">
        <v>172</v>
      </c>
      <c r="B1034" s="3">
        <f t="shared" ca="1" si="16"/>
        <v>35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4" t="str">
        <f ca="1">IF(dict_zuord_Meth_Transfers[[#This Row],[kval_active]],dict_zuord_Meth_Transfers[[#This Row],[ID_Transfers]],"")</f>
        <v/>
      </c>
    </row>
    <row r="1035" spans="1:4" x14ac:dyDescent="0.45">
      <c r="A1035">
        <v>172</v>
      </c>
      <c r="B1035" s="3">
        <f t="shared" ca="1" si="16"/>
        <v>186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5" t="str">
        <f ca="1">IF(dict_zuord_Meth_Transfers[[#This Row],[kval_active]],dict_zuord_Meth_Transfers[[#This Row],[ID_Transfers]],"")</f>
        <v/>
      </c>
    </row>
    <row r="1036" spans="1:4" x14ac:dyDescent="0.45">
      <c r="A1036">
        <v>172</v>
      </c>
      <c r="B1036" s="3">
        <f t="shared" ca="1" si="16"/>
        <v>128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6" t="str">
        <f ca="1">IF(dict_zuord_Meth_Transfers[[#This Row],[kval_active]],dict_zuord_Meth_Transfers[[#This Row],[ID_Transfers]],"")</f>
        <v/>
      </c>
    </row>
    <row r="1037" spans="1:4" x14ac:dyDescent="0.45">
      <c r="A1037">
        <v>172</v>
      </c>
      <c r="B1037">
        <f t="shared" ca="1" si="16"/>
        <v>72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7" t="str">
        <f ca="1">IF(dict_zuord_Meth_Transfers[[#This Row],[kval_active]],dict_zuord_Meth_Transfers[[#This Row],[ID_Transfers]],"")</f>
        <v/>
      </c>
    </row>
    <row r="1038" spans="1:4" x14ac:dyDescent="0.45">
      <c r="A1038">
        <v>172</v>
      </c>
      <c r="B1038">
        <f t="shared" ca="1" si="16"/>
        <v>124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8" t="str">
        <f ca="1">IF(dict_zuord_Meth_Transfers[[#This Row],[kval_active]],dict_zuord_Meth_Transfers[[#This Row],[ID_Transfers]],"")</f>
        <v/>
      </c>
    </row>
    <row r="1039" spans="1:4" x14ac:dyDescent="0.45">
      <c r="A1039">
        <v>172</v>
      </c>
      <c r="B1039">
        <f t="shared" ca="1" si="16"/>
        <v>186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9" t="str">
        <f ca="1">IF(dict_zuord_Meth_Transfers[[#This Row],[kval_active]],dict_zuord_Meth_Transfers[[#This Row],[ID_Transfers]],"")</f>
        <v/>
      </c>
    </row>
    <row r="1040" spans="1:4" x14ac:dyDescent="0.45">
      <c r="A1040">
        <v>173</v>
      </c>
      <c r="B1040">
        <f t="shared" ca="1" si="16"/>
        <v>59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0" t="str">
        <f ca="1">IF(dict_zuord_Meth_Transfers[[#This Row],[kval_active]],dict_zuord_Meth_Transfers[[#This Row],[ID_Transfers]],"")</f>
        <v/>
      </c>
    </row>
    <row r="1041" spans="1:4" x14ac:dyDescent="0.45">
      <c r="A1041">
        <v>173</v>
      </c>
      <c r="B1041">
        <f t="shared" ca="1" si="16"/>
        <v>116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1" t="str">
        <f ca="1">IF(dict_zuord_Meth_Transfers[[#This Row],[kval_active]],dict_zuord_Meth_Transfers[[#This Row],[ID_Transfers]],"")</f>
        <v/>
      </c>
    </row>
    <row r="1042" spans="1:4" x14ac:dyDescent="0.45">
      <c r="A1042">
        <v>173</v>
      </c>
      <c r="B1042" s="3">
        <f t="shared" ca="1" si="16"/>
        <v>155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2" t="str">
        <f ca="1">IF(dict_zuord_Meth_Transfers[[#This Row],[kval_active]],dict_zuord_Meth_Transfers[[#This Row],[ID_Transfers]],"")</f>
        <v/>
      </c>
    </row>
    <row r="1043" spans="1:4" x14ac:dyDescent="0.45">
      <c r="A1043">
        <v>173</v>
      </c>
      <c r="B1043">
        <f t="shared" ca="1" si="16"/>
        <v>145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3" t="str">
        <f ca="1">IF(dict_zuord_Meth_Transfers[[#This Row],[kval_active]],dict_zuord_Meth_Transfers[[#This Row],[ID_Transfers]],"")</f>
        <v/>
      </c>
    </row>
    <row r="1044" spans="1:4" x14ac:dyDescent="0.45">
      <c r="A1044">
        <v>173</v>
      </c>
      <c r="B1044" s="3">
        <f t="shared" ca="1" si="16"/>
        <v>92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4" t="str">
        <f ca="1">IF(dict_zuord_Meth_Transfers[[#This Row],[kval_active]],dict_zuord_Meth_Transfers[[#This Row],[ID_Transfers]],"")</f>
        <v/>
      </c>
    </row>
    <row r="1045" spans="1:4" x14ac:dyDescent="0.45">
      <c r="A1045">
        <v>173</v>
      </c>
      <c r="B1045" s="3">
        <f t="shared" ca="1" si="16"/>
        <v>160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5" t="str">
        <f ca="1">IF(dict_zuord_Meth_Transfers[[#This Row],[kval_active]],dict_zuord_Meth_Transfers[[#This Row],[ID_Transfers]],"")</f>
        <v/>
      </c>
    </row>
    <row r="1046" spans="1:4" x14ac:dyDescent="0.45">
      <c r="A1046">
        <v>174</v>
      </c>
      <c r="B1046" s="3">
        <f t="shared" ca="1" si="16"/>
        <v>140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6" t="str">
        <f ca="1">IF(dict_zuord_Meth_Transfers[[#This Row],[kval_active]],dict_zuord_Meth_Transfers[[#This Row],[ID_Transfers]],"")</f>
        <v/>
      </c>
    </row>
    <row r="1047" spans="1:4" x14ac:dyDescent="0.45">
      <c r="A1047">
        <v>174</v>
      </c>
      <c r="B1047">
        <f t="shared" ca="1" si="16"/>
        <v>64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7" t="str">
        <f ca="1">IF(dict_zuord_Meth_Transfers[[#This Row],[kval_active]],dict_zuord_Meth_Transfers[[#This Row],[ID_Transfers]],"")</f>
        <v/>
      </c>
    </row>
    <row r="1048" spans="1:4" x14ac:dyDescent="0.45">
      <c r="A1048">
        <v>174</v>
      </c>
      <c r="B1048" s="3">
        <f t="shared" ca="1" si="16"/>
        <v>82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8" t="str">
        <f ca="1">IF(dict_zuord_Meth_Transfers[[#This Row],[kval_active]],dict_zuord_Meth_Transfers[[#This Row],[ID_Transfers]],"")</f>
        <v/>
      </c>
    </row>
    <row r="1049" spans="1:4" x14ac:dyDescent="0.45">
      <c r="A1049">
        <v>174</v>
      </c>
      <c r="B1049">
        <f t="shared" ca="1" si="16"/>
        <v>47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9" t="str">
        <f ca="1">IF(dict_zuord_Meth_Transfers[[#This Row],[kval_active]],dict_zuord_Meth_Transfers[[#This Row],[ID_Transfers]],"")</f>
        <v/>
      </c>
    </row>
    <row r="1050" spans="1:4" x14ac:dyDescent="0.45">
      <c r="A1050">
        <v>174</v>
      </c>
      <c r="B1050">
        <f t="shared" ca="1" si="16"/>
        <v>101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0" t="str">
        <f ca="1">IF(dict_zuord_Meth_Transfers[[#This Row],[kval_active]],dict_zuord_Meth_Transfers[[#This Row],[ID_Transfers]],"")</f>
        <v/>
      </c>
    </row>
    <row r="1051" spans="1:4" x14ac:dyDescent="0.45">
      <c r="A1051">
        <v>174</v>
      </c>
      <c r="B1051" s="3">
        <f t="shared" ca="1" si="16"/>
        <v>182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1" t="str">
        <f ca="1">IF(dict_zuord_Meth_Transfers[[#This Row],[kval_active]],dict_zuord_Meth_Transfers[[#This Row],[ID_Transfers]],"")</f>
        <v/>
      </c>
    </row>
    <row r="1052" spans="1:4" x14ac:dyDescent="0.45">
      <c r="A1052">
        <v>175</v>
      </c>
      <c r="B1052" s="3">
        <f t="shared" ca="1" si="16"/>
        <v>110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2" t="str">
        <f ca="1">IF(dict_zuord_Meth_Transfers[[#This Row],[kval_active]],dict_zuord_Meth_Transfers[[#This Row],[ID_Transfers]],"")</f>
        <v/>
      </c>
    </row>
    <row r="1053" spans="1:4" x14ac:dyDescent="0.45">
      <c r="A1053">
        <v>175</v>
      </c>
      <c r="B1053">
        <f t="shared" ca="1" si="16"/>
        <v>187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3" t="str">
        <f ca="1">IF(dict_zuord_Meth_Transfers[[#This Row],[kval_active]],dict_zuord_Meth_Transfers[[#This Row],[ID_Transfers]],"")</f>
        <v/>
      </c>
    </row>
    <row r="1054" spans="1:4" x14ac:dyDescent="0.45">
      <c r="A1054">
        <v>175</v>
      </c>
      <c r="B1054">
        <f t="shared" ca="1" si="16"/>
        <v>13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4" t="str">
        <f ca="1">IF(dict_zuord_Meth_Transfers[[#This Row],[kval_active]],dict_zuord_Meth_Transfers[[#This Row],[ID_Transfers]],"")</f>
        <v/>
      </c>
    </row>
    <row r="1055" spans="1:4" x14ac:dyDescent="0.45">
      <c r="A1055">
        <v>175</v>
      </c>
      <c r="B1055">
        <f t="shared" ca="1" si="16"/>
        <v>11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5" t="str">
        <f ca="1">IF(dict_zuord_Meth_Transfers[[#This Row],[kval_active]],dict_zuord_Meth_Transfers[[#This Row],[ID_Transfers]],"")</f>
        <v/>
      </c>
    </row>
    <row r="1056" spans="1:4" x14ac:dyDescent="0.45">
      <c r="A1056">
        <v>175</v>
      </c>
      <c r="B1056" s="3">
        <f t="shared" ca="1" si="16"/>
        <v>51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6" t="str">
        <f ca="1">IF(dict_zuord_Meth_Transfers[[#This Row],[kval_active]],dict_zuord_Meth_Transfers[[#This Row],[ID_Transfers]],"")</f>
        <v/>
      </c>
    </row>
    <row r="1057" spans="1:4" x14ac:dyDescent="0.45">
      <c r="A1057">
        <v>175</v>
      </c>
      <c r="B1057" s="3">
        <f t="shared" ca="1" si="16"/>
        <v>124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7" t="str">
        <f ca="1">IF(dict_zuord_Meth_Transfers[[#This Row],[kval_active]],dict_zuord_Meth_Transfers[[#This Row],[ID_Transfers]],"")</f>
        <v/>
      </c>
    </row>
    <row r="1058" spans="1:4" x14ac:dyDescent="0.45">
      <c r="A1058">
        <v>176</v>
      </c>
      <c r="B1058" s="3">
        <f t="shared" ca="1" si="16"/>
        <v>17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8">
        <f ca="1">IF(dict_zuord_Meth_Transfers[[#This Row],[kval_active]],dict_zuord_Meth_Transfers[[#This Row],[ID_Transfers]],"")</f>
        <v>17</v>
      </c>
    </row>
    <row r="1059" spans="1:4" x14ac:dyDescent="0.45">
      <c r="A1059">
        <v>176</v>
      </c>
      <c r="B1059">
        <f t="shared" ca="1" si="16"/>
        <v>176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9">
        <f ca="1">IF(dict_zuord_Meth_Transfers[[#This Row],[kval_active]],dict_zuord_Meth_Transfers[[#This Row],[ID_Transfers]],"")</f>
        <v>176</v>
      </c>
    </row>
    <row r="1060" spans="1:4" x14ac:dyDescent="0.45">
      <c r="A1060">
        <v>176</v>
      </c>
      <c r="B1060">
        <f t="shared" ca="1" si="16"/>
        <v>15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0">
        <f ca="1">IF(dict_zuord_Meth_Transfers[[#This Row],[kval_active]],dict_zuord_Meth_Transfers[[#This Row],[ID_Transfers]],"")</f>
        <v>15</v>
      </c>
    </row>
    <row r="1061" spans="1:4" x14ac:dyDescent="0.45">
      <c r="A1061">
        <v>176</v>
      </c>
      <c r="B1061" s="3">
        <f t="shared" ca="1" si="16"/>
        <v>126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1">
        <f ca="1">IF(dict_zuord_Meth_Transfers[[#This Row],[kval_active]],dict_zuord_Meth_Transfers[[#This Row],[ID_Transfers]],"")</f>
        <v>126</v>
      </c>
    </row>
    <row r="1062" spans="1:4" x14ac:dyDescent="0.45">
      <c r="A1062">
        <v>176</v>
      </c>
      <c r="B1062" s="3">
        <f t="shared" ca="1" si="16"/>
        <v>66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2">
        <f ca="1">IF(dict_zuord_Meth_Transfers[[#This Row],[kval_active]],dict_zuord_Meth_Transfers[[#This Row],[ID_Transfers]],"")</f>
        <v>66</v>
      </c>
    </row>
    <row r="1063" spans="1:4" x14ac:dyDescent="0.45">
      <c r="A1063">
        <v>176</v>
      </c>
      <c r="B1063">
        <f t="shared" ca="1" si="16"/>
        <v>17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3">
        <f ca="1">IF(dict_zuord_Meth_Transfers[[#This Row],[kval_active]],dict_zuord_Meth_Transfers[[#This Row],[ID_Transfers]],"")</f>
        <v>17</v>
      </c>
    </row>
    <row r="1064" spans="1:4" x14ac:dyDescent="0.45">
      <c r="A1064">
        <v>177</v>
      </c>
      <c r="B1064">
        <f t="shared" ca="1" si="16"/>
        <v>37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4" t="str">
        <f ca="1">IF(dict_zuord_Meth_Transfers[[#This Row],[kval_active]],dict_zuord_Meth_Transfers[[#This Row],[ID_Transfers]],"")</f>
        <v/>
      </c>
    </row>
    <row r="1065" spans="1:4" x14ac:dyDescent="0.45">
      <c r="A1065">
        <v>177</v>
      </c>
      <c r="B1065" s="3">
        <f t="shared" ca="1" si="16"/>
        <v>67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5" t="str">
        <f ca="1">IF(dict_zuord_Meth_Transfers[[#This Row],[kval_active]],dict_zuord_Meth_Transfers[[#This Row],[ID_Transfers]],"")</f>
        <v/>
      </c>
    </row>
    <row r="1066" spans="1:4" x14ac:dyDescent="0.45">
      <c r="A1066">
        <v>177</v>
      </c>
      <c r="B1066" s="3">
        <f t="shared" ca="1" si="16"/>
        <v>138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6" t="str">
        <f ca="1">IF(dict_zuord_Meth_Transfers[[#This Row],[kval_active]],dict_zuord_Meth_Transfers[[#This Row],[ID_Transfers]],"")</f>
        <v/>
      </c>
    </row>
    <row r="1067" spans="1:4" x14ac:dyDescent="0.45">
      <c r="A1067">
        <v>177</v>
      </c>
      <c r="B1067" s="3">
        <f t="shared" ca="1" si="16"/>
        <v>49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7" t="str">
        <f ca="1">IF(dict_zuord_Meth_Transfers[[#This Row],[kval_active]],dict_zuord_Meth_Transfers[[#This Row],[ID_Transfers]],"")</f>
        <v/>
      </c>
    </row>
    <row r="1068" spans="1:4" x14ac:dyDescent="0.45">
      <c r="A1068">
        <v>177</v>
      </c>
      <c r="B1068">
        <f t="shared" ca="1" si="16"/>
        <v>46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8" t="str">
        <f ca="1">IF(dict_zuord_Meth_Transfers[[#This Row],[kval_active]],dict_zuord_Meth_Transfers[[#This Row],[ID_Transfers]],"")</f>
        <v/>
      </c>
    </row>
    <row r="1069" spans="1:4" x14ac:dyDescent="0.45">
      <c r="A1069">
        <v>177</v>
      </c>
      <c r="B1069">
        <f t="shared" ca="1" si="16"/>
        <v>26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9" t="str">
        <f ca="1">IF(dict_zuord_Meth_Transfers[[#This Row],[kval_active]],dict_zuord_Meth_Transfers[[#This Row],[ID_Transfers]],"")</f>
        <v/>
      </c>
    </row>
    <row r="1070" spans="1:4" x14ac:dyDescent="0.45">
      <c r="A1070">
        <v>178</v>
      </c>
      <c r="B1070" s="3">
        <f t="shared" ca="1" si="16"/>
        <v>105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0" t="str">
        <f ca="1">IF(dict_zuord_Meth_Transfers[[#This Row],[kval_active]],dict_zuord_Meth_Transfers[[#This Row],[ID_Transfers]],"")</f>
        <v/>
      </c>
    </row>
    <row r="1071" spans="1:4" x14ac:dyDescent="0.45">
      <c r="A1071">
        <v>178</v>
      </c>
      <c r="B1071">
        <f t="shared" ca="1" si="16"/>
        <v>75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1" t="str">
        <f ca="1">IF(dict_zuord_Meth_Transfers[[#This Row],[kval_active]],dict_zuord_Meth_Transfers[[#This Row],[ID_Transfers]],"")</f>
        <v/>
      </c>
    </row>
    <row r="1072" spans="1:4" x14ac:dyDescent="0.45">
      <c r="A1072">
        <v>178</v>
      </c>
      <c r="B1072">
        <f t="shared" ca="1" si="16"/>
        <v>15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2" t="str">
        <f ca="1">IF(dict_zuord_Meth_Transfers[[#This Row],[kval_active]],dict_zuord_Meth_Transfers[[#This Row],[ID_Transfers]],"")</f>
        <v/>
      </c>
    </row>
    <row r="1073" spans="1:4" x14ac:dyDescent="0.45">
      <c r="A1073">
        <v>178</v>
      </c>
      <c r="B1073" s="3">
        <f t="shared" ca="1" si="16"/>
        <v>170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3" t="str">
        <f ca="1">IF(dict_zuord_Meth_Transfers[[#This Row],[kval_active]],dict_zuord_Meth_Transfers[[#This Row],[ID_Transfers]],"")</f>
        <v/>
      </c>
    </row>
    <row r="1074" spans="1:4" x14ac:dyDescent="0.45">
      <c r="A1074">
        <v>178</v>
      </c>
      <c r="B1074" s="3">
        <f t="shared" ca="1" si="16"/>
        <v>165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4" t="str">
        <f ca="1">IF(dict_zuord_Meth_Transfers[[#This Row],[kval_active]],dict_zuord_Meth_Transfers[[#This Row],[ID_Transfers]],"")</f>
        <v/>
      </c>
    </row>
    <row r="1075" spans="1:4" x14ac:dyDescent="0.45">
      <c r="A1075">
        <v>178</v>
      </c>
      <c r="B1075">
        <f t="shared" ca="1" si="16"/>
        <v>47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5" t="str">
        <f ca="1">IF(dict_zuord_Meth_Transfers[[#This Row],[kval_active]],dict_zuord_Meth_Transfers[[#This Row],[ID_Transfers]],"")</f>
        <v/>
      </c>
    </row>
    <row r="1076" spans="1:4" x14ac:dyDescent="0.45">
      <c r="A1076">
        <v>179</v>
      </c>
      <c r="B1076">
        <f t="shared" ca="1" si="16"/>
        <v>57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6" t="str">
        <f ca="1">IF(dict_zuord_Meth_Transfers[[#This Row],[kval_active]],dict_zuord_Meth_Transfers[[#This Row],[ID_Transfers]],"")</f>
        <v/>
      </c>
    </row>
    <row r="1077" spans="1:4" x14ac:dyDescent="0.45">
      <c r="A1077">
        <v>179</v>
      </c>
      <c r="B1077">
        <f t="shared" ca="1" si="16"/>
        <v>136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7" t="str">
        <f ca="1">IF(dict_zuord_Meth_Transfers[[#This Row],[kval_active]],dict_zuord_Meth_Transfers[[#This Row],[ID_Transfers]],"")</f>
        <v/>
      </c>
    </row>
    <row r="1078" spans="1:4" x14ac:dyDescent="0.45">
      <c r="A1078">
        <v>179</v>
      </c>
      <c r="B1078">
        <f t="shared" ca="1" si="16"/>
        <v>126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8" t="str">
        <f ca="1">IF(dict_zuord_Meth_Transfers[[#This Row],[kval_active]],dict_zuord_Meth_Transfers[[#This Row],[ID_Transfers]],"")</f>
        <v/>
      </c>
    </row>
    <row r="1079" spans="1:4" x14ac:dyDescent="0.45">
      <c r="A1079">
        <v>179</v>
      </c>
      <c r="B1079" s="3">
        <f t="shared" ca="1" si="16"/>
        <v>109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9" t="str">
        <f ca="1">IF(dict_zuord_Meth_Transfers[[#This Row],[kval_active]],dict_zuord_Meth_Transfers[[#This Row],[ID_Transfers]],"")</f>
        <v/>
      </c>
    </row>
    <row r="1080" spans="1:4" x14ac:dyDescent="0.45">
      <c r="A1080">
        <v>179</v>
      </c>
      <c r="B1080" s="3">
        <f t="shared" ca="1" si="16"/>
        <v>169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0" t="str">
        <f ca="1">IF(dict_zuord_Meth_Transfers[[#This Row],[kval_active]],dict_zuord_Meth_Transfers[[#This Row],[ID_Transfers]],"")</f>
        <v/>
      </c>
    </row>
    <row r="1081" spans="1:4" x14ac:dyDescent="0.45">
      <c r="A1081">
        <v>179</v>
      </c>
      <c r="B1081" s="3">
        <f t="shared" ca="1" si="16"/>
        <v>39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1" t="str">
        <f ca="1">IF(dict_zuord_Meth_Transfers[[#This Row],[kval_active]],dict_zuord_Meth_Transfers[[#This Row],[ID_Transfers]],"")</f>
        <v/>
      </c>
    </row>
    <row r="1082" spans="1:4" x14ac:dyDescent="0.45">
      <c r="A1082">
        <v>180</v>
      </c>
      <c r="B1082" s="3">
        <f t="shared" ca="1" si="16"/>
        <v>31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2" t="str">
        <f ca="1">IF(dict_zuord_Meth_Transfers[[#This Row],[kval_active]],dict_zuord_Meth_Transfers[[#This Row],[ID_Transfers]],"")</f>
        <v/>
      </c>
    </row>
    <row r="1083" spans="1:4" x14ac:dyDescent="0.45">
      <c r="A1083">
        <v>180</v>
      </c>
      <c r="B1083" s="3">
        <f t="shared" ca="1" si="16"/>
        <v>139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3" t="str">
        <f ca="1">IF(dict_zuord_Meth_Transfers[[#This Row],[kval_active]],dict_zuord_Meth_Transfers[[#This Row],[ID_Transfers]],"")</f>
        <v/>
      </c>
    </row>
    <row r="1084" spans="1:4" x14ac:dyDescent="0.45">
      <c r="A1084">
        <v>180</v>
      </c>
      <c r="B1084">
        <f t="shared" ca="1" si="16"/>
        <v>113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4" t="str">
        <f ca="1">IF(dict_zuord_Meth_Transfers[[#This Row],[kval_active]],dict_zuord_Meth_Transfers[[#This Row],[ID_Transfers]],"")</f>
        <v/>
      </c>
    </row>
    <row r="1085" spans="1:4" x14ac:dyDescent="0.45">
      <c r="A1085">
        <v>180</v>
      </c>
      <c r="B1085">
        <f t="shared" ca="1" si="16"/>
        <v>176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5" t="str">
        <f ca="1">IF(dict_zuord_Meth_Transfers[[#This Row],[kval_active]],dict_zuord_Meth_Transfers[[#This Row],[ID_Transfers]],"")</f>
        <v/>
      </c>
    </row>
    <row r="1086" spans="1:4" x14ac:dyDescent="0.45">
      <c r="A1086">
        <v>180</v>
      </c>
      <c r="B1086">
        <f t="shared" ca="1" si="16"/>
        <v>91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6" t="str">
        <f ca="1">IF(dict_zuord_Meth_Transfers[[#This Row],[kval_active]],dict_zuord_Meth_Transfers[[#This Row],[ID_Transfers]],"")</f>
        <v/>
      </c>
    </row>
    <row r="1087" spans="1:4" x14ac:dyDescent="0.45">
      <c r="A1087">
        <v>180</v>
      </c>
      <c r="B1087" s="3">
        <f t="shared" ca="1" si="16"/>
        <v>70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7" t="str">
        <f ca="1">IF(dict_zuord_Meth_Transfers[[#This Row],[kval_active]],dict_zuord_Meth_Transfers[[#This Row],[ID_Transfers]],"")</f>
        <v/>
      </c>
    </row>
    <row r="1088" spans="1:4" x14ac:dyDescent="0.45">
      <c r="A1088">
        <v>181</v>
      </c>
      <c r="B1088">
        <f t="shared" ca="1" si="16"/>
        <v>146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8" t="str">
        <f ca="1">IF(dict_zuord_Meth_Transfers[[#This Row],[kval_active]],dict_zuord_Meth_Transfers[[#This Row],[ID_Transfers]],"")</f>
        <v/>
      </c>
    </row>
    <row r="1089" spans="1:4" x14ac:dyDescent="0.45">
      <c r="A1089">
        <v>181</v>
      </c>
      <c r="B1089" s="3">
        <f t="shared" ca="1" si="16"/>
        <v>100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9" t="str">
        <f ca="1">IF(dict_zuord_Meth_Transfers[[#This Row],[kval_active]],dict_zuord_Meth_Transfers[[#This Row],[ID_Transfers]],"")</f>
        <v/>
      </c>
    </row>
    <row r="1090" spans="1:4" x14ac:dyDescent="0.45">
      <c r="A1090">
        <v>181</v>
      </c>
      <c r="B1090">
        <f t="shared" ref="B1090:B1153" ca="1" si="17">RANDBETWEEN(0,200)</f>
        <v>193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0" t="str">
        <f ca="1">IF(dict_zuord_Meth_Transfers[[#This Row],[kval_active]],dict_zuord_Meth_Transfers[[#This Row],[ID_Transfers]],"")</f>
        <v/>
      </c>
    </row>
    <row r="1091" spans="1:4" x14ac:dyDescent="0.45">
      <c r="A1091">
        <v>181</v>
      </c>
      <c r="B1091" s="3">
        <f t="shared" ca="1" si="17"/>
        <v>105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1" t="str">
        <f ca="1">IF(dict_zuord_Meth_Transfers[[#This Row],[kval_active]],dict_zuord_Meth_Transfers[[#This Row],[ID_Transfers]],"")</f>
        <v/>
      </c>
    </row>
    <row r="1092" spans="1:4" x14ac:dyDescent="0.45">
      <c r="A1092">
        <v>181</v>
      </c>
      <c r="B1092" s="3">
        <f t="shared" ca="1" si="17"/>
        <v>33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2" t="str">
        <f ca="1">IF(dict_zuord_Meth_Transfers[[#This Row],[kval_active]],dict_zuord_Meth_Transfers[[#This Row],[ID_Transfers]],"")</f>
        <v/>
      </c>
    </row>
    <row r="1093" spans="1:4" x14ac:dyDescent="0.45">
      <c r="A1093">
        <v>181</v>
      </c>
      <c r="B1093">
        <f t="shared" ca="1" si="17"/>
        <v>19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3" t="str">
        <f ca="1">IF(dict_zuord_Meth_Transfers[[#This Row],[kval_active]],dict_zuord_Meth_Transfers[[#This Row],[ID_Transfers]],"")</f>
        <v/>
      </c>
    </row>
    <row r="1094" spans="1:4" x14ac:dyDescent="0.45">
      <c r="A1094">
        <v>182</v>
      </c>
      <c r="B1094">
        <f t="shared" ca="1" si="17"/>
        <v>74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4" t="str">
        <f ca="1">IF(dict_zuord_Meth_Transfers[[#This Row],[kval_active]],dict_zuord_Meth_Transfers[[#This Row],[ID_Transfers]],"")</f>
        <v/>
      </c>
    </row>
    <row r="1095" spans="1:4" x14ac:dyDescent="0.45">
      <c r="A1095">
        <v>182</v>
      </c>
      <c r="B1095" s="3">
        <f t="shared" ca="1" si="17"/>
        <v>94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5" t="str">
        <f ca="1">IF(dict_zuord_Meth_Transfers[[#This Row],[kval_active]],dict_zuord_Meth_Transfers[[#This Row],[ID_Transfers]],"")</f>
        <v/>
      </c>
    </row>
    <row r="1096" spans="1:4" x14ac:dyDescent="0.45">
      <c r="A1096">
        <v>182</v>
      </c>
      <c r="B1096">
        <f t="shared" ca="1" si="17"/>
        <v>138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6" t="str">
        <f ca="1">IF(dict_zuord_Meth_Transfers[[#This Row],[kval_active]],dict_zuord_Meth_Transfers[[#This Row],[ID_Transfers]],"")</f>
        <v/>
      </c>
    </row>
    <row r="1097" spans="1:4" x14ac:dyDescent="0.45">
      <c r="A1097">
        <v>182</v>
      </c>
      <c r="B1097" s="3">
        <f t="shared" ca="1" si="17"/>
        <v>156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7" t="str">
        <f ca="1">IF(dict_zuord_Meth_Transfers[[#This Row],[kval_active]],dict_zuord_Meth_Transfers[[#This Row],[ID_Transfers]],"")</f>
        <v/>
      </c>
    </row>
    <row r="1098" spans="1:4" x14ac:dyDescent="0.45">
      <c r="A1098">
        <v>182</v>
      </c>
      <c r="B1098">
        <f t="shared" ca="1" si="17"/>
        <v>128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8" t="str">
        <f ca="1">IF(dict_zuord_Meth_Transfers[[#This Row],[kval_active]],dict_zuord_Meth_Transfers[[#This Row],[ID_Transfers]],"")</f>
        <v/>
      </c>
    </row>
    <row r="1099" spans="1:4" x14ac:dyDescent="0.45">
      <c r="A1099">
        <v>182</v>
      </c>
      <c r="B1099" s="3">
        <f t="shared" ca="1" si="17"/>
        <v>189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9" t="str">
        <f ca="1">IF(dict_zuord_Meth_Transfers[[#This Row],[kval_active]],dict_zuord_Meth_Transfers[[#This Row],[ID_Transfers]],"")</f>
        <v/>
      </c>
    </row>
    <row r="1100" spans="1:4" x14ac:dyDescent="0.45">
      <c r="A1100">
        <v>183</v>
      </c>
      <c r="B1100" s="3">
        <f t="shared" ca="1" si="17"/>
        <v>175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0" t="str">
        <f ca="1">IF(dict_zuord_Meth_Transfers[[#This Row],[kval_active]],dict_zuord_Meth_Transfers[[#This Row],[ID_Transfers]],"")</f>
        <v/>
      </c>
    </row>
    <row r="1101" spans="1:4" x14ac:dyDescent="0.45">
      <c r="A1101">
        <v>183</v>
      </c>
      <c r="B1101" s="3">
        <f t="shared" ca="1" si="17"/>
        <v>152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1" t="str">
        <f ca="1">IF(dict_zuord_Meth_Transfers[[#This Row],[kval_active]],dict_zuord_Meth_Transfers[[#This Row],[ID_Transfers]],"")</f>
        <v/>
      </c>
    </row>
    <row r="1102" spans="1:4" x14ac:dyDescent="0.45">
      <c r="A1102">
        <v>183</v>
      </c>
      <c r="B1102">
        <f t="shared" ca="1" si="17"/>
        <v>120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2" t="str">
        <f ca="1">IF(dict_zuord_Meth_Transfers[[#This Row],[kval_active]],dict_zuord_Meth_Transfers[[#This Row],[ID_Transfers]],"")</f>
        <v/>
      </c>
    </row>
    <row r="1103" spans="1:4" x14ac:dyDescent="0.45">
      <c r="A1103">
        <v>183</v>
      </c>
      <c r="B1103">
        <f t="shared" ca="1" si="17"/>
        <v>60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3" t="str">
        <f ca="1">IF(dict_zuord_Meth_Transfers[[#This Row],[kval_active]],dict_zuord_Meth_Transfers[[#This Row],[ID_Transfers]],"")</f>
        <v/>
      </c>
    </row>
    <row r="1104" spans="1:4" x14ac:dyDescent="0.45">
      <c r="A1104">
        <v>183</v>
      </c>
      <c r="B1104">
        <f t="shared" ca="1" si="17"/>
        <v>51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4" t="str">
        <f ca="1">IF(dict_zuord_Meth_Transfers[[#This Row],[kval_active]],dict_zuord_Meth_Transfers[[#This Row],[ID_Transfers]],"")</f>
        <v/>
      </c>
    </row>
    <row r="1105" spans="1:4" x14ac:dyDescent="0.45">
      <c r="A1105">
        <v>183</v>
      </c>
      <c r="B1105" s="3">
        <f t="shared" ca="1" si="17"/>
        <v>35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5" t="str">
        <f ca="1">IF(dict_zuord_Meth_Transfers[[#This Row],[kval_active]],dict_zuord_Meth_Transfers[[#This Row],[ID_Transfers]],"")</f>
        <v/>
      </c>
    </row>
    <row r="1106" spans="1:4" x14ac:dyDescent="0.45">
      <c r="A1106">
        <v>184</v>
      </c>
      <c r="B1106">
        <f t="shared" ca="1" si="17"/>
        <v>190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6" t="str">
        <f ca="1">IF(dict_zuord_Meth_Transfers[[#This Row],[kval_active]],dict_zuord_Meth_Transfers[[#This Row],[ID_Transfers]],"")</f>
        <v/>
      </c>
    </row>
    <row r="1107" spans="1:4" x14ac:dyDescent="0.45">
      <c r="A1107">
        <v>184</v>
      </c>
      <c r="B1107" s="3">
        <f t="shared" ca="1" si="17"/>
        <v>92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7" t="str">
        <f ca="1">IF(dict_zuord_Meth_Transfers[[#This Row],[kval_active]],dict_zuord_Meth_Transfers[[#This Row],[ID_Transfers]],"")</f>
        <v/>
      </c>
    </row>
    <row r="1108" spans="1:4" x14ac:dyDescent="0.45">
      <c r="A1108">
        <v>184</v>
      </c>
      <c r="B1108" s="3">
        <f t="shared" ca="1" si="17"/>
        <v>84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8" t="str">
        <f ca="1">IF(dict_zuord_Meth_Transfers[[#This Row],[kval_active]],dict_zuord_Meth_Transfers[[#This Row],[ID_Transfers]],"")</f>
        <v/>
      </c>
    </row>
    <row r="1109" spans="1:4" x14ac:dyDescent="0.45">
      <c r="A1109">
        <v>184</v>
      </c>
      <c r="B1109" s="3">
        <f t="shared" ca="1" si="17"/>
        <v>38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9" t="str">
        <f ca="1">IF(dict_zuord_Meth_Transfers[[#This Row],[kval_active]],dict_zuord_Meth_Transfers[[#This Row],[ID_Transfers]],"")</f>
        <v/>
      </c>
    </row>
    <row r="1110" spans="1:4" x14ac:dyDescent="0.45">
      <c r="A1110">
        <v>184</v>
      </c>
      <c r="B1110">
        <f t="shared" ca="1" si="17"/>
        <v>59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0" t="str">
        <f ca="1">IF(dict_zuord_Meth_Transfers[[#This Row],[kval_active]],dict_zuord_Meth_Transfers[[#This Row],[ID_Transfers]],"")</f>
        <v/>
      </c>
    </row>
    <row r="1111" spans="1:4" x14ac:dyDescent="0.45">
      <c r="A1111">
        <v>184</v>
      </c>
      <c r="B1111">
        <f t="shared" ca="1" si="17"/>
        <v>125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1" t="str">
        <f ca="1">IF(dict_zuord_Meth_Transfers[[#This Row],[kval_active]],dict_zuord_Meth_Transfers[[#This Row],[ID_Transfers]],"")</f>
        <v/>
      </c>
    </row>
    <row r="1112" spans="1:4" x14ac:dyDescent="0.45">
      <c r="A1112">
        <v>185</v>
      </c>
      <c r="B1112" s="3">
        <f t="shared" ca="1" si="17"/>
        <v>83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2" t="str">
        <f ca="1">IF(dict_zuord_Meth_Transfers[[#This Row],[kval_active]],dict_zuord_Meth_Transfers[[#This Row],[ID_Transfers]],"")</f>
        <v/>
      </c>
    </row>
    <row r="1113" spans="1:4" x14ac:dyDescent="0.45">
      <c r="A1113">
        <v>185</v>
      </c>
      <c r="B1113">
        <f t="shared" ca="1" si="17"/>
        <v>16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3" t="str">
        <f ca="1">IF(dict_zuord_Meth_Transfers[[#This Row],[kval_active]],dict_zuord_Meth_Transfers[[#This Row],[ID_Transfers]],"")</f>
        <v/>
      </c>
    </row>
    <row r="1114" spans="1:4" x14ac:dyDescent="0.45">
      <c r="A1114">
        <v>185</v>
      </c>
      <c r="B1114">
        <f t="shared" ca="1" si="17"/>
        <v>66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4" t="str">
        <f ca="1">IF(dict_zuord_Meth_Transfers[[#This Row],[kval_active]],dict_zuord_Meth_Transfers[[#This Row],[ID_Transfers]],"")</f>
        <v/>
      </c>
    </row>
    <row r="1115" spans="1:4" x14ac:dyDescent="0.45">
      <c r="A1115">
        <v>185</v>
      </c>
      <c r="B1115" s="3">
        <f t="shared" ca="1" si="17"/>
        <v>19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5" t="str">
        <f ca="1">IF(dict_zuord_Meth_Transfers[[#This Row],[kval_active]],dict_zuord_Meth_Transfers[[#This Row],[ID_Transfers]],"")</f>
        <v/>
      </c>
    </row>
    <row r="1116" spans="1:4" x14ac:dyDescent="0.45">
      <c r="A1116">
        <v>185</v>
      </c>
      <c r="B1116" s="3">
        <f t="shared" ca="1" si="17"/>
        <v>57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6" t="str">
        <f ca="1">IF(dict_zuord_Meth_Transfers[[#This Row],[kval_active]],dict_zuord_Meth_Transfers[[#This Row],[ID_Transfers]],"")</f>
        <v/>
      </c>
    </row>
    <row r="1117" spans="1:4" x14ac:dyDescent="0.45">
      <c r="A1117">
        <v>185</v>
      </c>
      <c r="B1117">
        <f t="shared" ca="1" si="17"/>
        <v>108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7" t="str">
        <f ca="1">IF(dict_zuord_Meth_Transfers[[#This Row],[kval_active]],dict_zuord_Meth_Transfers[[#This Row],[ID_Transfers]],"")</f>
        <v/>
      </c>
    </row>
    <row r="1118" spans="1:4" x14ac:dyDescent="0.45">
      <c r="A1118">
        <v>186</v>
      </c>
      <c r="B1118">
        <f t="shared" ca="1" si="17"/>
        <v>108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8" t="str">
        <f ca="1">IF(dict_zuord_Meth_Transfers[[#This Row],[kval_active]],dict_zuord_Meth_Transfers[[#This Row],[ID_Transfers]],"")</f>
        <v/>
      </c>
    </row>
    <row r="1119" spans="1:4" x14ac:dyDescent="0.45">
      <c r="A1119">
        <v>186</v>
      </c>
      <c r="B1119" s="3">
        <f t="shared" ca="1" si="17"/>
        <v>112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9" t="str">
        <f ca="1">IF(dict_zuord_Meth_Transfers[[#This Row],[kval_active]],dict_zuord_Meth_Transfers[[#This Row],[ID_Transfers]],"")</f>
        <v/>
      </c>
    </row>
    <row r="1120" spans="1:4" x14ac:dyDescent="0.45">
      <c r="A1120">
        <v>186</v>
      </c>
      <c r="B1120" s="3">
        <f t="shared" ca="1" si="17"/>
        <v>1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0" t="str">
        <f ca="1">IF(dict_zuord_Meth_Transfers[[#This Row],[kval_active]],dict_zuord_Meth_Transfers[[#This Row],[ID_Transfers]],"")</f>
        <v/>
      </c>
    </row>
    <row r="1121" spans="1:4" x14ac:dyDescent="0.45">
      <c r="A1121">
        <v>186</v>
      </c>
      <c r="B1121">
        <f t="shared" ca="1" si="17"/>
        <v>26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1" t="str">
        <f ca="1">IF(dict_zuord_Meth_Transfers[[#This Row],[kval_active]],dict_zuord_Meth_Transfers[[#This Row],[ID_Transfers]],"")</f>
        <v/>
      </c>
    </row>
    <row r="1122" spans="1:4" x14ac:dyDescent="0.45">
      <c r="A1122">
        <v>186</v>
      </c>
      <c r="B1122">
        <f t="shared" ca="1" si="17"/>
        <v>10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2" t="str">
        <f ca="1">IF(dict_zuord_Meth_Transfers[[#This Row],[kval_active]],dict_zuord_Meth_Transfers[[#This Row],[ID_Transfers]],"")</f>
        <v/>
      </c>
    </row>
    <row r="1123" spans="1:4" x14ac:dyDescent="0.45">
      <c r="A1123">
        <v>186</v>
      </c>
      <c r="B1123" s="3">
        <f t="shared" ca="1" si="17"/>
        <v>181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3" t="str">
        <f ca="1">IF(dict_zuord_Meth_Transfers[[#This Row],[kval_active]],dict_zuord_Meth_Transfers[[#This Row],[ID_Transfers]],"")</f>
        <v/>
      </c>
    </row>
    <row r="1124" spans="1:4" x14ac:dyDescent="0.45">
      <c r="A1124">
        <v>187</v>
      </c>
      <c r="B1124" s="3">
        <f t="shared" ca="1" si="17"/>
        <v>83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4" t="str">
        <f ca="1">IF(dict_zuord_Meth_Transfers[[#This Row],[kval_active]],dict_zuord_Meth_Transfers[[#This Row],[ID_Transfers]],"")</f>
        <v/>
      </c>
    </row>
    <row r="1125" spans="1:4" x14ac:dyDescent="0.45">
      <c r="A1125">
        <v>187</v>
      </c>
      <c r="B1125">
        <f t="shared" ca="1" si="17"/>
        <v>199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5" t="str">
        <f ca="1">IF(dict_zuord_Meth_Transfers[[#This Row],[kval_active]],dict_zuord_Meth_Transfers[[#This Row],[ID_Transfers]],"")</f>
        <v/>
      </c>
    </row>
    <row r="1126" spans="1:4" x14ac:dyDescent="0.45">
      <c r="A1126">
        <v>187</v>
      </c>
      <c r="B1126" s="3">
        <f t="shared" ca="1" si="17"/>
        <v>163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6" t="str">
        <f ca="1">IF(dict_zuord_Meth_Transfers[[#This Row],[kval_active]],dict_zuord_Meth_Transfers[[#This Row],[ID_Transfers]],"")</f>
        <v/>
      </c>
    </row>
    <row r="1127" spans="1:4" x14ac:dyDescent="0.45">
      <c r="A1127">
        <v>187</v>
      </c>
      <c r="B1127" s="3">
        <f t="shared" ca="1" si="17"/>
        <v>129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7" t="str">
        <f ca="1">IF(dict_zuord_Meth_Transfers[[#This Row],[kval_active]],dict_zuord_Meth_Transfers[[#This Row],[ID_Transfers]],"")</f>
        <v/>
      </c>
    </row>
    <row r="1128" spans="1:4" x14ac:dyDescent="0.45">
      <c r="A1128">
        <v>187</v>
      </c>
      <c r="B1128">
        <f t="shared" ca="1" si="17"/>
        <v>18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8" t="str">
        <f ca="1">IF(dict_zuord_Meth_Transfers[[#This Row],[kval_active]],dict_zuord_Meth_Transfers[[#This Row],[ID_Transfers]],"")</f>
        <v/>
      </c>
    </row>
    <row r="1129" spans="1:4" x14ac:dyDescent="0.45">
      <c r="A1129">
        <v>187</v>
      </c>
      <c r="B1129">
        <f t="shared" ca="1" si="17"/>
        <v>19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9" t="str">
        <f ca="1">IF(dict_zuord_Meth_Transfers[[#This Row],[kval_active]],dict_zuord_Meth_Transfers[[#This Row],[ID_Transfers]],"")</f>
        <v/>
      </c>
    </row>
    <row r="1130" spans="1:4" x14ac:dyDescent="0.45">
      <c r="A1130">
        <v>188</v>
      </c>
      <c r="B1130" s="3">
        <f t="shared" ca="1" si="17"/>
        <v>36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0" t="str">
        <f ca="1">IF(dict_zuord_Meth_Transfers[[#This Row],[kval_active]],dict_zuord_Meth_Transfers[[#This Row],[ID_Transfers]],"")</f>
        <v/>
      </c>
    </row>
    <row r="1131" spans="1:4" x14ac:dyDescent="0.45">
      <c r="A1131">
        <v>188</v>
      </c>
      <c r="B1131">
        <f t="shared" ca="1" si="17"/>
        <v>178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1" t="str">
        <f ca="1">IF(dict_zuord_Meth_Transfers[[#This Row],[kval_active]],dict_zuord_Meth_Transfers[[#This Row],[ID_Transfers]],"")</f>
        <v/>
      </c>
    </row>
    <row r="1132" spans="1:4" x14ac:dyDescent="0.45">
      <c r="A1132">
        <v>188</v>
      </c>
      <c r="B1132" s="3">
        <f t="shared" ca="1" si="17"/>
        <v>107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2" t="str">
        <f ca="1">IF(dict_zuord_Meth_Transfers[[#This Row],[kval_active]],dict_zuord_Meth_Transfers[[#This Row],[ID_Transfers]],"")</f>
        <v/>
      </c>
    </row>
    <row r="1133" spans="1:4" x14ac:dyDescent="0.45">
      <c r="A1133">
        <v>188</v>
      </c>
      <c r="B1133" s="3">
        <f t="shared" ca="1" si="17"/>
        <v>147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3" t="str">
        <f ca="1">IF(dict_zuord_Meth_Transfers[[#This Row],[kval_active]],dict_zuord_Meth_Transfers[[#This Row],[ID_Transfers]],"")</f>
        <v/>
      </c>
    </row>
    <row r="1134" spans="1:4" x14ac:dyDescent="0.45">
      <c r="A1134">
        <v>188</v>
      </c>
      <c r="B1134">
        <f t="shared" ca="1" si="17"/>
        <v>9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4" t="str">
        <f ca="1">IF(dict_zuord_Meth_Transfers[[#This Row],[kval_active]],dict_zuord_Meth_Transfers[[#This Row],[ID_Transfers]],"")</f>
        <v/>
      </c>
    </row>
    <row r="1135" spans="1:4" x14ac:dyDescent="0.45">
      <c r="A1135">
        <v>188</v>
      </c>
      <c r="B1135">
        <f t="shared" ca="1" si="17"/>
        <v>49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5" t="str">
        <f ca="1">IF(dict_zuord_Meth_Transfers[[#This Row],[kval_active]],dict_zuord_Meth_Transfers[[#This Row],[ID_Transfers]],"")</f>
        <v/>
      </c>
    </row>
    <row r="1136" spans="1:4" x14ac:dyDescent="0.45">
      <c r="A1136">
        <v>189</v>
      </c>
      <c r="B1136">
        <f t="shared" ca="1" si="17"/>
        <v>152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6" t="str">
        <f ca="1">IF(dict_zuord_Meth_Transfers[[#This Row],[kval_active]],dict_zuord_Meth_Transfers[[#This Row],[ID_Transfers]],"")</f>
        <v/>
      </c>
    </row>
    <row r="1137" spans="1:4" x14ac:dyDescent="0.45">
      <c r="A1137">
        <v>189</v>
      </c>
      <c r="B1137" s="3">
        <f t="shared" ca="1" si="17"/>
        <v>176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7" t="str">
        <f ca="1">IF(dict_zuord_Meth_Transfers[[#This Row],[kval_active]],dict_zuord_Meth_Transfers[[#This Row],[ID_Transfers]],"")</f>
        <v/>
      </c>
    </row>
    <row r="1138" spans="1:4" x14ac:dyDescent="0.45">
      <c r="A1138">
        <v>189</v>
      </c>
      <c r="B1138" s="3">
        <f t="shared" ca="1" si="17"/>
        <v>71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8" t="str">
        <f ca="1">IF(dict_zuord_Meth_Transfers[[#This Row],[kval_active]],dict_zuord_Meth_Transfers[[#This Row],[ID_Transfers]],"")</f>
        <v/>
      </c>
    </row>
    <row r="1139" spans="1:4" x14ac:dyDescent="0.45">
      <c r="A1139">
        <v>189</v>
      </c>
      <c r="B1139">
        <f t="shared" ca="1" si="17"/>
        <v>22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9" t="str">
        <f ca="1">IF(dict_zuord_Meth_Transfers[[#This Row],[kval_active]],dict_zuord_Meth_Transfers[[#This Row],[ID_Transfers]],"")</f>
        <v/>
      </c>
    </row>
    <row r="1140" spans="1:4" x14ac:dyDescent="0.45">
      <c r="A1140">
        <v>189</v>
      </c>
      <c r="B1140" s="3">
        <f t="shared" ca="1" si="17"/>
        <v>126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0" t="str">
        <f ca="1">IF(dict_zuord_Meth_Transfers[[#This Row],[kval_active]],dict_zuord_Meth_Transfers[[#This Row],[ID_Transfers]],"")</f>
        <v/>
      </c>
    </row>
    <row r="1141" spans="1:4" x14ac:dyDescent="0.45">
      <c r="A1141">
        <v>189</v>
      </c>
      <c r="B1141">
        <f t="shared" ca="1" si="17"/>
        <v>184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1" t="str">
        <f ca="1">IF(dict_zuord_Meth_Transfers[[#This Row],[kval_active]],dict_zuord_Meth_Transfers[[#This Row],[ID_Transfers]],"")</f>
        <v/>
      </c>
    </row>
    <row r="1142" spans="1:4" x14ac:dyDescent="0.45">
      <c r="A1142">
        <v>190</v>
      </c>
      <c r="B1142">
        <f t="shared" ca="1" si="17"/>
        <v>54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2" t="str">
        <f ca="1">IF(dict_zuord_Meth_Transfers[[#This Row],[kval_active]],dict_zuord_Meth_Transfers[[#This Row],[ID_Transfers]],"")</f>
        <v/>
      </c>
    </row>
    <row r="1143" spans="1:4" x14ac:dyDescent="0.45">
      <c r="A1143">
        <v>190</v>
      </c>
      <c r="B1143" s="3">
        <f t="shared" ca="1" si="17"/>
        <v>44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3" t="str">
        <f ca="1">IF(dict_zuord_Meth_Transfers[[#This Row],[kval_active]],dict_zuord_Meth_Transfers[[#This Row],[ID_Transfers]],"")</f>
        <v/>
      </c>
    </row>
    <row r="1144" spans="1:4" x14ac:dyDescent="0.45">
      <c r="A1144">
        <v>190</v>
      </c>
      <c r="B1144">
        <f t="shared" ca="1" si="17"/>
        <v>96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4" t="str">
        <f ca="1">IF(dict_zuord_Meth_Transfers[[#This Row],[kval_active]],dict_zuord_Meth_Transfers[[#This Row],[ID_Transfers]],"")</f>
        <v/>
      </c>
    </row>
    <row r="1145" spans="1:4" x14ac:dyDescent="0.45">
      <c r="A1145">
        <v>190</v>
      </c>
      <c r="B1145" s="3">
        <f t="shared" ca="1" si="17"/>
        <v>46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5" t="str">
        <f ca="1">IF(dict_zuord_Meth_Transfers[[#This Row],[kval_active]],dict_zuord_Meth_Transfers[[#This Row],[ID_Transfers]],"")</f>
        <v/>
      </c>
    </row>
    <row r="1146" spans="1:4" x14ac:dyDescent="0.45">
      <c r="A1146">
        <v>190</v>
      </c>
      <c r="B1146">
        <f t="shared" ca="1" si="17"/>
        <v>197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6" t="str">
        <f ca="1">IF(dict_zuord_Meth_Transfers[[#This Row],[kval_active]],dict_zuord_Meth_Transfers[[#This Row],[ID_Transfers]],"")</f>
        <v/>
      </c>
    </row>
    <row r="1147" spans="1:4" x14ac:dyDescent="0.45">
      <c r="A1147">
        <v>190</v>
      </c>
      <c r="B1147" s="3">
        <f t="shared" ca="1" si="17"/>
        <v>67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7" t="str">
        <f ca="1">IF(dict_zuord_Meth_Transfers[[#This Row],[kval_active]],dict_zuord_Meth_Transfers[[#This Row],[ID_Transfers]],"")</f>
        <v/>
      </c>
    </row>
    <row r="1148" spans="1:4" x14ac:dyDescent="0.45">
      <c r="A1148">
        <v>191</v>
      </c>
      <c r="B1148" s="3">
        <f t="shared" ca="1" si="17"/>
        <v>63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8" t="str">
        <f ca="1">IF(dict_zuord_Meth_Transfers[[#This Row],[kval_active]],dict_zuord_Meth_Transfers[[#This Row],[ID_Transfers]],"")</f>
        <v/>
      </c>
    </row>
    <row r="1149" spans="1:4" x14ac:dyDescent="0.45">
      <c r="A1149">
        <v>191</v>
      </c>
      <c r="B1149">
        <f t="shared" ca="1" si="17"/>
        <v>38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9" t="str">
        <f ca="1">IF(dict_zuord_Meth_Transfers[[#This Row],[kval_active]],dict_zuord_Meth_Transfers[[#This Row],[ID_Transfers]],"")</f>
        <v/>
      </c>
    </row>
    <row r="1150" spans="1:4" x14ac:dyDescent="0.45">
      <c r="A1150">
        <v>191</v>
      </c>
      <c r="B1150" s="3">
        <f t="shared" ca="1" si="17"/>
        <v>123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0" t="str">
        <f ca="1">IF(dict_zuord_Meth_Transfers[[#This Row],[kval_active]],dict_zuord_Meth_Transfers[[#This Row],[ID_Transfers]],"")</f>
        <v/>
      </c>
    </row>
    <row r="1151" spans="1:4" x14ac:dyDescent="0.45">
      <c r="A1151">
        <v>191</v>
      </c>
      <c r="B1151">
        <f t="shared" ca="1" si="17"/>
        <v>130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1" t="str">
        <f ca="1">IF(dict_zuord_Meth_Transfers[[#This Row],[kval_active]],dict_zuord_Meth_Transfers[[#This Row],[ID_Transfers]],"")</f>
        <v/>
      </c>
    </row>
    <row r="1152" spans="1:4" x14ac:dyDescent="0.45">
      <c r="A1152">
        <v>191</v>
      </c>
      <c r="B1152" s="3">
        <f t="shared" ca="1" si="17"/>
        <v>61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2" t="str">
        <f ca="1">IF(dict_zuord_Meth_Transfers[[#This Row],[kval_active]],dict_zuord_Meth_Transfers[[#This Row],[ID_Transfers]],"")</f>
        <v/>
      </c>
    </row>
    <row r="1153" spans="1:4" x14ac:dyDescent="0.45">
      <c r="A1153">
        <v>191</v>
      </c>
      <c r="B1153">
        <f t="shared" ca="1" si="17"/>
        <v>177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3" t="str">
        <f ca="1">IF(dict_zuord_Meth_Transfers[[#This Row],[kval_active]],dict_zuord_Meth_Transfers[[#This Row],[ID_Transfers]],"")</f>
        <v/>
      </c>
    </row>
    <row r="1154" spans="1:4" x14ac:dyDescent="0.45">
      <c r="A1154">
        <v>192</v>
      </c>
      <c r="B1154" s="3">
        <f t="shared" ref="B1154:B1217" ca="1" si="18">RANDBETWEEN(0,200)</f>
        <v>39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4" t="str">
        <f ca="1">IF(dict_zuord_Meth_Transfers[[#This Row],[kval_active]],dict_zuord_Meth_Transfers[[#This Row],[ID_Transfers]],"")</f>
        <v/>
      </c>
    </row>
    <row r="1155" spans="1:4" x14ac:dyDescent="0.45">
      <c r="A1155">
        <v>192</v>
      </c>
      <c r="B1155">
        <f t="shared" ca="1" si="18"/>
        <v>200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5" t="str">
        <f ca="1">IF(dict_zuord_Meth_Transfers[[#This Row],[kval_active]],dict_zuord_Meth_Transfers[[#This Row],[ID_Transfers]],"")</f>
        <v/>
      </c>
    </row>
    <row r="1156" spans="1:4" x14ac:dyDescent="0.45">
      <c r="A1156">
        <v>192</v>
      </c>
      <c r="B1156" s="3">
        <f t="shared" ca="1" si="18"/>
        <v>124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6" t="str">
        <f ca="1">IF(dict_zuord_Meth_Transfers[[#This Row],[kval_active]],dict_zuord_Meth_Transfers[[#This Row],[ID_Transfers]],"")</f>
        <v/>
      </c>
    </row>
    <row r="1157" spans="1:4" x14ac:dyDescent="0.45">
      <c r="A1157">
        <v>192</v>
      </c>
      <c r="B1157" s="3">
        <f t="shared" ca="1" si="18"/>
        <v>55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7" t="str">
        <f ca="1">IF(dict_zuord_Meth_Transfers[[#This Row],[kval_active]],dict_zuord_Meth_Transfers[[#This Row],[ID_Transfers]],"")</f>
        <v/>
      </c>
    </row>
    <row r="1158" spans="1:4" x14ac:dyDescent="0.45">
      <c r="A1158">
        <v>192</v>
      </c>
      <c r="B1158">
        <f t="shared" ca="1" si="18"/>
        <v>38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8" t="str">
        <f ca="1">IF(dict_zuord_Meth_Transfers[[#This Row],[kval_active]],dict_zuord_Meth_Transfers[[#This Row],[ID_Transfers]],"")</f>
        <v/>
      </c>
    </row>
    <row r="1159" spans="1:4" x14ac:dyDescent="0.45">
      <c r="A1159">
        <v>192</v>
      </c>
      <c r="B1159">
        <f t="shared" ca="1" si="18"/>
        <v>72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9" t="str">
        <f ca="1">IF(dict_zuord_Meth_Transfers[[#This Row],[kval_active]],dict_zuord_Meth_Transfers[[#This Row],[ID_Transfers]],"")</f>
        <v/>
      </c>
    </row>
    <row r="1160" spans="1:4" x14ac:dyDescent="0.45">
      <c r="A1160">
        <v>193</v>
      </c>
      <c r="B1160">
        <f t="shared" ca="1" si="18"/>
        <v>136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0" t="str">
        <f ca="1">IF(dict_zuord_Meth_Transfers[[#This Row],[kval_active]],dict_zuord_Meth_Transfers[[#This Row],[ID_Transfers]],"")</f>
        <v/>
      </c>
    </row>
    <row r="1161" spans="1:4" x14ac:dyDescent="0.45">
      <c r="A1161">
        <v>193</v>
      </c>
      <c r="B1161">
        <f t="shared" ca="1" si="18"/>
        <v>45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1" t="str">
        <f ca="1">IF(dict_zuord_Meth_Transfers[[#This Row],[kval_active]],dict_zuord_Meth_Transfers[[#This Row],[ID_Transfers]],"")</f>
        <v/>
      </c>
    </row>
    <row r="1162" spans="1:4" x14ac:dyDescent="0.45">
      <c r="A1162">
        <v>193</v>
      </c>
      <c r="B1162" s="3">
        <f t="shared" ca="1" si="18"/>
        <v>156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2" t="str">
        <f ca="1">IF(dict_zuord_Meth_Transfers[[#This Row],[kval_active]],dict_zuord_Meth_Transfers[[#This Row],[ID_Transfers]],"")</f>
        <v/>
      </c>
    </row>
    <row r="1163" spans="1:4" x14ac:dyDescent="0.45">
      <c r="A1163">
        <v>193</v>
      </c>
      <c r="B1163">
        <f t="shared" ca="1" si="18"/>
        <v>36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3" t="str">
        <f ca="1">IF(dict_zuord_Meth_Transfers[[#This Row],[kval_active]],dict_zuord_Meth_Transfers[[#This Row],[ID_Transfers]],"")</f>
        <v/>
      </c>
    </row>
    <row r="1164" spans="1:4" x14ac:dyDescent="0.45">
      <c r="A1164">
        <v>193</v>
      </c>
      <c r="B1164" s="3">
        <f t="shared" ca="1" si="18"/>
        <v>52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4" t="str">
        <f ca="1">IF(dict_zuord_Meth_Transfers[[#This Row],[kval_active]],dict_zuord_Meth_Transfers[[#This Row],[ID_Transfers]],"")</f>
        <v/>
      </c>
    </row>
    <row r="1165" spans="1:4" x14ac:dyDescent="0.45">
      <c r="A1165">
        <v>193</v>
      </c>
      <c r="B1165" s="3">
        <f t="shared" ca="1" si="18"/>
        <v>29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5" t="str">
        <f ca="1">IF(dict_zuord_Meth_Transfers[[#This Row],[kval_active]],dict_zuord_Meth_Transfers[[#This Row],[ID_Transfers]],"")</f>
        <v/>
      </c>
    </row>
    <row r="1166" spans="1:4" x14ac:dyDescent="0.45">
      <c r="A1166">
        <v>194</v>
      </c>
      <c r="B1166">
        <f t="shared" ca="1" si="18"/>
        <v>138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6" t="str">
        <f ca="1">IF(dict_zuord_Meth_Transfers[[#This Row],[kval_active]],dict_zuord_Meth_Transfers[[#This Row],[ID_Transfers]],"")</f>
        <v/>
      </c>
    </row>
    <row r="1167" spans="1:4" x14ac:dyDescent="0.45">
      <c r="A1167">
        <v>194</v>
      </c>
      <c r="B1167" s="3">
        <f t="shared" ca="1" si="18"/>
        <v>80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7" t="str">
        <f ca="1">IF(dict_zuord_Meth_Transfers[[#This Row],[kval_active]],dict_zuord_Meth_Transfers[[#This Row],[ID_Transfers]],"")</f>
        <v/>
      </c>
    </row>
    <row r="1168" spans="1:4" x14ac:dyDescent="0.45">
      <c r="A1168">
        <v>194</v>
      </c>
      <c r="B1168">
        <f t="shared" ca="1" si="18"/>
        <v>56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8" t="str">
        <f ca="1">IF(dict_zuord_Meth_Transfers[[#This Row],[kval_active]],dict_zuord_Meth_Transfers[[#This Row],[ID_Transfers]],"")</f>
        <v/>
      </c>
    </row>
    <row r="1169" spans="1:4" x14ac:dyDescent="0.45">
      <c r="A1169">
        <v>194</v>
      </c>
      <c r="B1169" s="3">
        <f t="shared" ca="1" si="18"/>
        <v>121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9" t="str">
        <f ca="1">IF(dict_zuord_Meth_Transfers[[#This Row],[kval_active]],dict_zuord_Meth_Transfers[[#This Row],[ID_Transfers]],"")</f>
        <v/>
      </c>
    </row>
    <row r="1170" spans="1:4" x14ac:dyDescent="0.45">
      <c r="A1170">
        <v>194</v>
      </c>
      <c r="B1170" s="3">
        <f t="shared" ca="1" si="18"/>
        <v>31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0" t="str">
        <f ca="1">IF(dict_zuord_Meth_Transfers[[#This Row],[kval_active]],dict_zuord_Meth_Transfers[[#This Row],[ID_Transfers]],"")</f>
        <v/>
      </c>
    </row>
    <row r="1171" spans="1:4" x14ac:dyDescent="0.45">
      <c r="A1171">
        <v>194</v>
      </c>
      <c r="B1171">
        <f t="shared" ca="1" si="18"/>
        <v>87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1" t="str">
        <f ca="1">IF(dict_zuord_Meth_Transfers[[#This Row],[kval_active]],dict_zuord_Meth_Transfers[[#This Row],[ID_Transfers]],"")</f>
        <v/>
      </c>
    </row>
    <row r="1172" spans="1:4" x14ac:dyDescent="0.45">
      <c r="A1172">
        <v>195</v>
      </c>
      <c r="B1172">
        <f t="shared" ca="1" si="18"/>
        <v>148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2" t="str">
        <f ca="1">IF(dict_zuord_Meth_Transfers[[#This Row],[kval_active]],dict_zuord_Meth_Transfers[[#This Row],[ID_Transfers]],"")</f>
        <v/>
      </c>
    </row>
    <row r="1173" spans="1:4" x14ac:dyDescent="0.45">
      <c r="A1173">
        <v>195</v>
      </c>
      <c r="B1173">
        <f t="shared" ca="1" si="18"/>
        <v>180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3" t="str">
        <f ca="1">IF(dict_zuord_Meth_Transfers[[#This Row],[kval_active]],dict_zuord_Meth_Transfers[[#This Row],[ID_Transfers]],"")</f>
        <v/>
      </c>
    </row>
    <row r="1174" spans="1:4" x14ac:dyDescent="0.45">
      <c r="A1174">
        <v>195</v>
      </c>
      <c r="B1174" s="3">
        <f t="shared" ca="1" si="18"/>
        <v>87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4" t="str">
        <f ca="1">IF(dict_zuord_Meth_Transfers[[#This Row],[kval_active]],dict_zuord_Meth_Transfers[[#This Row],[ID_Transfers]],"")</f>
        <v/>
      </c>
    </row>
    <row r="1175" spans="1:4" x14ac:dyDescent="0.45">
      <c r="A1175">
        <v>195</v>
      </c>
      <c r="B1175" s="3">
        <f t="shared" ca="1" si="18"/>
        <v>25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5" t="str">
        <f ca="1">IF(dict_zuord_Meth_Transfers[[#This Row],[kval_active]],dict_zuord_Meth_Transfers[[#This Row],[ID_Transfers]],"")</f>
        <v/>
      </c>
    </row>
    <row r="1176" spans="1:4" x14ac:dyDescent="0.45">
      <c r="A1176">
        <v>195</v>
      </c>
      <c r="B1176" s="3">
        <f t="shared" ca="1" si="18"/>
        <v>93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6" t="str">
        <f ca="1">IF(dict_zuord_Meth_Transfers[[#This Row],[kval_active]],dict_zuord_Meth_Transfers[[#This Row],[ID_Transfers]],"")</f>
        <v/>
      </c>
    </row>
    <row r="1177" spans="1:4" x14ac:dyDescent="0.45">
      <c r="A1177">
        <v>195</v>
      </c>
      <c r="B1177">
        <f t="shared" ca="1" si="18"/>
        <v>182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7" t="str">
        <f ca="1">IF(dict_zuord_Meth_Transfers[[#This Row],[kval_active]],dict_zuord_Meth_Transfers[[#This Row],[ID_Transfers]],"")</f>
        <v/>
      </c>
    </row>
    <row r="1178" spans="1:4" x14ac:dyDescent="0.45">
      <c r="A1178">
        <v>196</v>
      </c>
      <c r="B1178" s="3">
        <f t="shared" ca="1" si="18"/>
        <v>18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8" t="str">
        <f ca="1">IF(dict_zuord_Meth_Transfers[[#This Row],[kval_active]],dict_zuord_Meth_Transfers[[#This Row],[ID_Transfers]],"")</f>
        <v/>
      </c>
    </row>
    <row r="1179" spans="1:4" x14ac:dyDescent="0.45">
      <c r="A1179">
        <v>196</v>
      </c>
      <c r="B1179">
        <f t="shared" ca="1" si="18"/>
        <v>193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9" t="str">
        <f ca="1">IF(dict_zuord_Meth_Transfers[[#This Row],[kval_active]],dict_zuord_Meth_Transfers[[#This Row],[ID_Transfers]],"")</f>
        <v/>
      </c>
    </row>
    <row r="1180" spans="1:4" x14ac:dyDescent="0.45">
      <c r="A1180">
        <v>196</v>
      </c>
      <c r="B1180">
        <f t="shared" ca="1" si="18"/>
        <v>59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0" t="str">
        <f ca="1">IF(dict_zuord_Meth_Transfers[[#This Row],[kval_active]],dict_zuord_Meth_Transfers[[#This Row],[ID_Transfers]],"")</f>
        <v/>
      </c>
    </row>
    <row r="1181" spans="1:4" x14ac:dyDescent="0.45">
      <c r="A1181">
        <v>196</v>
      </c>
      <c r="B1181" s="3">
        <f t="shared" ca="1" si="18"/>
        <v>129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1" t="str">
        <f ca="1">IF(dict_zuord_Meth_Transfers[[#This Row],[kval_active]],dict_zuord_Meth_Transfers[[#This Row],[ID_Transfers]],"")</f>
        <v/>
      </c>
    </row>
    <row r="1182" spans="1:4" x14ac:dyDescent="0.45">
      <c r="A1182">
        <v>196</v>
      </c>
      <c r="B1182" s="3">
        <f t="shared" ca="1" si="18"/>
        <v>34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2" t="str">
        <f ca="1">IF(dict_zuord_Meth_Transfers[[#This Row],[kval_active]],dict_zuord_Meth_Transfers[[#This Row],[ID_Transfers]],"")</f>
        <v/>
      </c>
    </row>
    <row r="1183" spans="1:4" x14ac:dyDescent="0.45">
      <c r="A1183">
        <v>196</v>
      </c>
      <c r="B1183">
        <f t="shared" ca="1" si="18"/>
        <v>169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3" t="str">
        <f ca="1">IF(dict_zuord_Meth_Transfers[[#This Row],[kval_active]],dict_zuord_Meth_Transfers[[#This Row],[ID_Transfers]],"")</f>
        <v/>
      </c>
    </row>
    <row r="1184" spans="1:4" x14ac:dyDescent="0.45">
      <c r="A1184">
        <v>197</v>
      </c>
      <c r="B1184">
        <f t="shared" ca="1" si="18"/>
        <v>86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4" t="str">
        <f ca="1">IF(dict_zuord_Meth_Transfers[[#This Row],[kval_active]],dict_zuord_Meth_Transfers[[#This Row],[ID_Transfers]],"")</f>
        <v/>
      </c>
    </row>
    <row r="1185" spans="1:4" x14ac:dyDescent="0.45">
      <c r="A1185">
        <v>197</v>
      </c>
      <c r="B1185">
        <f t="shared" ca="1" si="18"/>
        <v>110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5" t="str">
        <f ca="1">IF(dict_zuord_Meth_Transfers[[#This Row],[kval_active]],dict_zuord_Meth_Transfers[[#This Row],[ID_Transfers]],"")</f>
        <v/>
      </c>
    </row>
    <row r="1186" spans="1:4" x14ac:dyDescent="0.45">
      <c r="A1186">
        <v>197</v>
      </c>
      <c r="B1186" s="3">
        <f t="shared" ca="1" si="18"/>
        <v>147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6" t="str">
        <f ca="1">IF(dict_zuord_Meth_Transfers[[#This Row],[kval_active]],dict_zuord_Meth_Transfers[[#This Row],[ID_Transfers]],"")</f>
        <v/>
      </c>
    </row>
    <row r="1187" spans="1:4" x14ac:dyDescent="0.45">
      <c r="A1187">
        <v>197</v>
      </c>
      <c r="B1187">
        <f t="shared" ca="1" si="18"/>
        <v>165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7" t="str">
        <f ca="1">IF(dict_zuord_Meth_Transfers[[#This Row],[kval_active]],dict_zuord_Meth_Transfers[[#This Row],[ID_Transfers]],"")</f>
        <v/>
      </c>
    </row>
    <row r="1188" spans="1:4" x14ac:dyDescent="0.45">
      <c r="A1188">
        <v>197</v>
      </c>
      <c r="B1188" s="3">
        <f t="shared" ca="1" si="18"/>
        <v>166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8" t="str">
        <f ca="1">IF(dict_zuord_Meth_Transfers[[#This Row],[kval_active]],dict_zuord_Meth_Transfers[[#This Row],[ID_Transfers]],"")</f>
        <v/>
      </c>
    </row>
    <row r="1189" spans="1:4" x14ac:dyDescent="0.45">
      <c r="A1189">
        <v>197</v>
      </c>
      <c r="B1189" s="3">
        <f t="shared" ca="1" si="18"/>
        <v>89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9" t="str">
        <f ca="1">IF(dict_zuord_Meth_Transfers[[#This Row],[kval_active]],dict_zuord_Meth_Transfers[[#This Row],[ID_Transfers]],"")</f>
        <v/>
      </c>
    </row>
    <row r="1190" spans="1:4" x14ac:dyDescent="0.45">
      <c r="A1190">
        <v>198</v>
      </c>
      <c r="B1190" s="3">
        <f t="shared" ca="1" si="18"/>
        <v>188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0" t="str">
        <f ca="1">IF(dict_zuord_Meth_Transfers[[#This Row],[kval_active]],dict_zuord_Meth_Transfers[[#This Row],[ID_Transfers]],"")</f>
        <v/>
      </c>
    </row>
    <row r="1191" spans="1:4" x14ac:dyDescent="0.45">
      <c r="A1191">
        <v>198</v>
      </c>
      <c r="B1191">
        <f t="shared" ca="1" si="18"/>
        <v>45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1" t="str">
        <f ca="1">IF(dict_zuord_Meth_Transfers[[#This Row],[kval_active]],dict_zuord_Meth_Transfers[[#This Row],[ID_Transfers]],"")</f>
        <v/>
      </c>
    </row>
    <row r="1192" spans="1:4" x14ac:dyDescent="0.45">
      <c r="A1192">
        <v>198</v>
      </c>
      <c r="B1192">
        <f t="shared" ca="1" si="18"/>
        <v>4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2" t="str">
        <f ca="1">IF(dict_zuord_Meth_Transfers[[#This Row],[kval_active]],dict_zuord_Meth_Transfers[[#This Row],[ID_Transfers]],"")</f>
        <v/>
      </c>
    </row>
    <row r="1193" spans="1:4" x14ac:dyDescent="0.45">
      <c r="A1193">
        <v>198</v>
      </c>
      <c r="B1193">
        <f t="shared" ca="1" si="18"/>
        <v>137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3" t="str">
        <f ca="1">IF(dict_zuord_Meth_Transfers[[#This Row],[kval_active]],dict_zuord_Meth_Transfers[[#This Row],[ID_Transfers]],"")</f>
        <v/>
      </c>
    </row>
    <row r="1194" spans="1:4" x14ac:dyDescent="0.45">
      <c r="A1194">
        <v>198</v>
      </c>
      <c r="B1194" s="3">
        <f t="shared" ca="1" si="18"/>
        <v>194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4" t="str">
        <f ca="1">IF(dict_zuord_Meth_Transfers[[#This Row],[kval_active]],dict_zuord_Meth_Transfers[[#This Row],[ID_Transfers]],"")</f>
        <v/>
      </c>
    </row>
    <row r="1195" spans="1:4" x14ac:dyDescent="0.45">
      <c r="A1195">
        <v>198</v>
      </c>
      <c r="B1195" s="3">
        <f t="shared" ca="1" si="18"/>
        <v>50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5" t="str">
        <f ca="1">IF(dict_zuord_Meth_Transfers[[#This Row],[kval_active]],dict_zuord_Meth_Transfers[[#This Row],[ID_Transfers]],"")</f>
        <v/>
      </c>
    </row>
    <row r="1196" spans="1:4" x14ac:dyDescent="0.45">
      <c r="A1196">
        <v>199</v>
      </c>
      <c r="B1196">
        <f t="shared" ca="1" si="18"/>
        <v>167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6" t="str">
        <f ca="1">IF(dict_zuord_Meth_Transfers[[#This Row],[kval_active]],dict_zuord_Meth_Transfers[[#This Row],[ID_Transfers]],"")</f>
        <v/>
      </c>
    </row>
    <row r="1197" spans="1:4" x14ac:dyDescent="0.45">
      <c r="A1197">
        <v>199</v>
      </c>
      <c r="B1197" s="3">
        <f t="shared" ca="1" si="18"/>
        <v>142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7" t="str">
        <f ca="1">IF(dict_zuord_Meth_Transfers[[#This Row],[kval_active]],dict_zuord_Meth_Transfers[[#This Row],[ID_Transfers]],"")</f>
        <v/>
      </c>
    </row>
    <row r="1198" spans="1:4" x14ac:dyDescent="0.45">
      <c r="A1198">
        <v>199</v>
      </c>
      <c r="B1198" s="3">
        <f t="shared" ca="1" si="18"/>
        <v>147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8" t="str">
        <f ca="1">IF(dict_zuord_Meth_Transfers[[#This Row],[kval_active]],dict_zuord_Meth_Transfers[[#This Row],[ID_Transfers]],"")</f>
        <v/>
      </c>
    </row>
    <row r="1199" spans="1:4" x14ac:dyDescent="0.45">
      <c r="A1199">
        <v>199</v>
      </c>
      <c r="B1199">
        <f t="shared" ca="1" si="18"/>
        <v>76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9" t="str">
        <f ca="1">IF(dict_zuord_Meth_Transfers[[#This Row],[kval_active]],dict_zuord_Meth_Transfers[[#This Row],[ID_Transfers]],"")</f>
        <v/>
      </c>
    </row>
    <row r="1200" spans="1:4" x14ac:dyDescent="0.45">
      <c r="A1200">
        <v>199</v>
      </c>
      <c r="B1200">
        <f t="shared" ca="1" si="18"/>
        <v>185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0" t="str">
        <f ca="1">IF(dict_zuord_Meth_Transfers[[#This Row],[kval_active]],dict_zuord_Meth_Transfers[[#This Row],[ID_Transfers]],"")</f>
        <v/>
      </c>
    </row>
    <row r="1201" spans="1:4" x14ac:dyDescent="0.45">
      <c r="A1201">
        <v>199</v>
      </c>
      <c r="B1201" s="3">
        <f t="shared" ca="1" si="18"/>
        <v>26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1" t="str">
        <f ca="1">IF(dict_zuord_Meth_Transfers[[#This Row],[kval_active]],dict_zuord_Meth_Transfers[[#This Row],[ID_Transfers]],"")</f>
        <v/>
      </c>
    </row>
    <row r="1202" spans="1:4" x14ac:dyDescent="0.45">
      <c r="A1202">
        <v>200</v>
      </c>
      <c r="B1202">
        <f t="shared" ca="1" si="18"/>
        <v>54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2" t="str">
        <f ca="1">IF(dict_zuord_Meth_Transfers[[#This Row],[kval_active]],dict_zuord_Meth_Transfers[[#This Row],[ID_Transfers]],"")</f>
        <v/>
      </c>
    </row>
    <row r="1203" spans="1:4" x14ac:dyDescent="0.45">
      <c r="A1203">
        <v>200</v>
      </c>
      <c r="B1203" s="3">
        <f t="shared" ca="1" si="18"/>
        <v>89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3" t="str">
        <f ca="1">IF(dict_zuord_Meth_Transfers[[#This Row],[kval_active]],dict_zuord_Meth_Transfers[[#This Row],[ID_Transfers]],"")</f>
        <v/>
      </c>
    </row>
    <row r="1204" spans="1:4" x14ac:dyDescent="0.45">
      <c r="A1204">
        <v>200</v>
      </c>
      <c r="B1204" s="3">
        <f t="shared" ca="1" si="18"/>
        <v>129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4" t="str">
        <f ca="1">IF(dict_zuord_Meth_Transfers[[#This Row],[kval_active]],dict_zuord_Meth_Transfers[[#This Row],[ID_Transfers]],"")</f>
        <v/>
      </c>
    </row>
    <row r="1205" spans="1:4" x14ac:dyDescent="0.45">
      <c r="A1205">
        <v>200</v>
      </c>
      <c r="B1205">
        <f t="shared" ca="1" si="18"/>
        <v>95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5" t="str">
        <f ca="1">IF(dict_zuord_Meth_Transfers[[#This Row],[kval_active]],dict_zuord_Meth_Transfers[[#This Row],[ID_Transfers]],"")</f>
        <v/>
      </c>
    </row>
    <row r="1206" spans="1:4" x14ac:dyDescent="0.45">
      <c r="A1206">
        <v>200</v>
      </c>
      <c r="B1206" s="3">
        <f t="shared" ca="1" si="18"/>
        <v>153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6" t="str">
        <f ca="1">IF(dict_zuord_Meth_Transfers[[#This Row],[kval_active]],dict_zuord_Meth_Transfers[[#This Row],[ID_Transfers]],"")</f>
        <v/>
      </c>
    </row>
    <row r="1207" spans="1:4" x14ac:dyDescent="0.45">
      <c r="A1207">
        <v>200</v>
      </c>
      <c r="B1207">
        <f t="shared" ca="1" si="18"/>
        <v>109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7" t="str">
        <f ca="1">IF(dict_zuord_Meth_Transfers[[#This Row],[kval_active]],dict_zuord_Meth_Transfers[[#This Row],[ID_Transfers]],"")</f>
        <v/>
      </c>
    </row>
    <row r="1208" spans="1:4" x14ac:dyDescent="0.45">
      <c r="A1208">
        <v>201</v>
      </c>
      <c r="B1208" s="3">
        <f t="shared" ca="1" si="18"/>
        <v>199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8" t="str">
        <f ca="1">IF(dict_zuord_Meth_Transfers[[#This Row],[kval_active]],dict_zuord_Meth_Transfers[[#This Row],[ID_Transfers]],"")</f>
        <v/>
      </c>
    </row>
    <row r="1209" spans="1:4" x14ac:dyDescent="0.45">
      <c r="A1209">
        <v>201</v>
      </c>
      <c r="B1209">
        <f t="shared" ca="1" si="18"/>
        <v>69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9" t="str">
        <f ca="1">IF(dict_zuord_Meth_Transfers[[#This Row],[kval_active]],dict_zuord_Meth_Transfers[[#This Row],[ID_Transfers]],"")</f>
        <v/>
      </c>
    </row>
    <row r="1210" spans="1:4" x14ac:dyDescent="0.45">
      <c r="A1210">
        <v>201</v>
      </c>
      <c r="B1210">
        <f t="shared" ca="1" si="18"/>
        <v>31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0" t="str">
        <f ca="1">IF(dict_zuord_Meth_Transfers[[#This Row],[kval_active]],dict_zuord_Meth_Transfers[[#This Row],[ID_Transfers]],"")</f>
        <v/>
      </c>
    </row>
    <row r="1211" spans="1:4" x14ac:dyDescent="0.45">
      <c r="A1211">
        <v>201</v>
      </c>
      <c r="B1211" s="3">
        <f t="shared" ca="1" si="18"/>
        <v>126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1" t="str">
        <f ca="1">IF(dict_zuord_Meth_Transfers[[#This Row],[kval_active]],dict_zuord_Meth_Transfers[[#This Row],[ID_Transfers]],"")</f>
        <v/>
      </c>
    </row>
    <row r="1212" spans="1:4" x14ac:dyDescent="0.45">
      <c r="A1212">
        <v>201</v>
      </c>
      <c r="B1212">
        <f t="shared" ca="1" si="18"/>
        <v>168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2" t="str">
        <f ca="1">IF(dict_zuord_Meth_Transfers[[#This Row],[kval_active]],dict_zuord_Meth_Transfers[[#This Row],[ID_Transfers]],"")</f>
        <v/>
      </c>
    </row>
    <row r="1213" spans="1:4" x14ac:dyDescent="0.45">
      <c r="A1213">
        <v>201</v>
      </c>
      <c r="B1213" s="3">
        <f t="shared" ca="1" si="18"/>
        <v>80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3" t="str">
        <f ca="1">IF(dict_zuord_Meth_Transfers[[#This Row],[kval_active]],dict_zuord_Meth_Transfers[[#This Row],[ID_Transfers]],"")</f>
        <v/>
      </c>
    </row>
    <row r="1214" spans="1:4" x14ac:dyDescent="0.45">
      <c r="A1214">
        <v>202</v>
      </c>
      <c r="B1214">
        <f t="shared" ca="1" si="18"/>
        <v>120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4" t="str">
        <f ca="1">IF(dict_zuord_Meth_Transfers[[#This Row],[kval_active]],dict_zuord_Meth_Transfers[[#This Row],[ID_Transfers]],"")</f>
        <v/>
      </c>
    </row>
    <row r="1215" spans="1:4" x14ac:dyDescent="0.45">
      <c r="A1215">
        <v>202</v>
      </c>
      <c r="B1215" s="3">
        <f t="shared" ca="1" si="18"/>
        <v>98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5" t="str">
        <f ca="1">IF(dict_zuord_Meth_Transfers[[#This Row],[kval_active]],dict_zuord_Meth_Transfers[[#This Row],[ID_Transfers]],"")</f>
        <v/>
      </c>
    </row>
    <row r="1216" spans="1:4" x14ac:dyDescent="0.45">
      <c r="A1216">
        <v>202</v>
      </c>
      <c r="B1216">
        <f t="shared" ca="1" si="18"/>
        <v>42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6" t="str">
        <f ca="1">IF(dict_zuord_Meth_Transfers[[#This Row],[kval_active]],dict_zuord_Meth_Transfers[[#This Row],[ID_Transfers]],"")</f>
        <v/>
      </c>
    </row>
    <row r="1217" spans="1:4" x14ac:dyDescent="0.45">
      <c r="A1217">
        <v>202</v>
      </c>
      <c r="B1217" s="3">
        <f t="shared" ca="1" si="18"/>
        <v>93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7" t="str">
        <f ca="1">IF(dict_zuord_Meth_Transfers[[#This Row],[kval_active]],dict_zuord_Meth_Transfers[[#This Row],[ID_Transfers]],"")</f>
        <v/>
      </c>
    </row>
    <row r="1218" spans="1:4" x14ac:dyDescent="0.45">
      <c r="A1218">
        <v>202</v>
      </c>
      <c r="B1218">
        <f t="shared" ref="B1218:B1281" ca="1" si="19">RANDBETWEEN(0,200)</f>
        <v>98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8" t="str">
        <f ca="1">IF(dict_zuord_Meth_Transfers[[#This Row],[kval_active]],dict_zuord_Meth_Transfers[[#This Row],[ID_Transfers]],"")</f>
        <v/>
      </c>
    </row>
    <row r="1219" spans="1:4" x14ac:dyDescent="0.45">
      <c r="A1219">
        <v>202</v>
      </c>
      <c r="B1219" s="3">
        <f t="shared" ca="1" si="19"/>
        <v>132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9" t="str">
        <f ca="1">IF(dict_zuord_Meth_Transfers[[#This Row],[kval_active]],dict_zuord_Meth_Transfers[[#This Row],[ID_Transfers]],"")</f>
        <v/>
      </c>
    </row>
    <row r="1220" spans="1:4" x14ac:dyDescent="0.45">
      <c r="A1220">
        <v>203</v>
      </c>
      <c r="B1220" s="3">
        <f t="shared" ca="1" si="19"/>
        <v>160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0" t="str">
        <f ca="1">IF(dict_zuord_Meth_Transfers[[#This Row],[kval_active]],dict_zuord_Meth_Transfers[[#This Row],[ID_Transfers]],"")</f>
        <v/>
      </c>
    </row>
    <row r="1221" spans="1:4" x14ac:dyDescent="0.45">
      <c r="A1221">
        <v>203</v>
      </c>
      <c r="B1221">
        <f t="shared" ca="1" si="19"/>
        <v>2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1" t="str">
        <f ca="1">IF(dict_zuord_Meth_Transfers[[#This Row],[kval_active]],dict_zuord_Meth_Transfers[[#This Row],[ID_Transfers]],"")</f>
        <v/>
      </c>
    </row>
    <row r="1222" spans="1:4" x14ac:dyDescent="0.45">
      <c r="A1222">
        <v>203</v>
      </c>
      <c r="B1222">
        <f t="shared" ca="1" si="19"/>
        <v>138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2" t="str">
        <f ca="1">IF(dict_zuord_Meth_Transfers[[#This Row],[kval_active]],dict_zuord_Meth_Transfers[[#This Row],[ID_Transfers]],"")</f>
        <v/>
      </c>
    </row>
    <row r="1223" spans="1:4" x14ac:dyDescent="0.45">
      <c r="A1223">
        <v>203</v>
      </c>
      <c r="B1223" s="3">
        <f t="shared" ca="1" si="19"/>
        <v>10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3" t="str">
        <f ca="1">IF(dict_zuord_Meth_Transfers[[#This Row],[kval_active]],dict_zuord_Meth_Transfers[[#This Row],[ID_Transfers]],"")</f>
        <v/>
      </c>
    </row>
    <row r="1224" spans="1:4" x14ac:dyDescent="0.45">
      <c r="A1224">
        <v>203</v>
      </c>
      <c r="B1224" s="3">
        <f t="shared" ca="1" si="19"/>
        <v>8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4" t="str">
        <f ca="1">IF(dict_zuord_Meth_Transfers[[#This Row],[kval_active]],dict_zuord_Meth_Transfers[[#This Row],[ID_Transfers]],"")</f>
        <v/>
      </c>
    </row>
    <row r="1225" spans="1:4" x14ac:dyDescent="0.45">
      <c r="A1225">
        <v>203</v>
      </c>
      <c r="B1225">
        <f t="shared" ca="1" si="19"/>
        <v>59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5" t="str">
        <f ca="1">IF(dict_zuord_Meth_Transfers[[#This Row],[kval_active]],dict_zuord_Meth_Transfers[[#This Row],[ID_Transfers]],"")</f>
        <v/>
      </c>
    </row>
    <row r="1226" spans="1:4" x14ac:dyDescent="0.45">
      <c r="A1226">
        <v>204</v>
      </c>
      <c r="B1226" s="3">
        <f t="shared" ca="1" si="19"/>
        <v>132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6" t="str">
        <f ca="1">IF(dict_zuord_Meth_Transfers[[#This Row],[kval_active]],dict_zuord_Meth_Transfers[[#This Row],[ID_Transfers]],"")</f>
        <v/>
      </c>
    </row>
    <row r="1227" spans="1:4" x14ac:dyDescent="0.45">
      <c r="A1227">
        <v>204</v>
      </c>
      <c r="B1227">
        <f t="shared" ca="1" si="19"/>
        <v>111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7" t="str">
        <f ca="1">IF(dict_zuord_Meth_Transfers[[#This Row],[kval_active]],dict_zuord_Meth_Transfers[[#This Row],[ID_Transfers]],"")</f>
        <v/>
      </c>
    </row>
    <row r="1228" spans="1:4" x14ac:dyDescent="0.45">
      <c r="A1228">
        <v>204</v>
      </c>
      <c r="B1228" s="3">
        <f t="shared" ca="1" si="19"/>
        <v>49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8" t="str">
        <f ca="1">IF(dict_zuord_Meth_Transfers[[#This Row],[kval_active]],dict_zuord_Meth_Transfers[[#This Row],[ID_Transfers]],"")</f>
        <v/>
      </c>
    </row>
    <row r="1229" spans="1:4" x14ac:dyDescent="0.45">
      <c r="A1229">
        <v>204</v>
      </c>
      <c r="B1229">
        <f t="shared" ca="1" si="19"/>
        <v>186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9" t="str">
        <f ca="1">IF(dict_zuord_Meth_Transfers[[#This Row],[kval_active]],dict_zuord_Meth_Transfers[[#This Row],[ID_Transfers]],"")</f>
        <v/>
      </c>
    </row>
    <row r="1230" spans="1:4" x14ac:dyDescent="0.45">
      <c r="A1230">
        <v>204</v>
      </c>
      <c r="B1230" s="3">
        <f t="shared" ca="1" si="19"/>
        <v>27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0" t="str">
        <f ca="1">IF(dict_zuord_Meth_Transfers[[#This Row],[kval_active]],dict_zuord_Meth_Transfers[[#This Row],[ID_Transfers]],"")</f>
        <v/>
      </c>
    </row>
    <row r="1231" spans="1:4" x14ac:dyDescent="0.45">
      <c r="A1231">
        <v>204</v>
      </c>
      <c r="B1231">
        <f t="shared" ca="1" si="19"/>
        <v>27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1" t="str">
        <f ca="1">IF(dict_zuord_Meth_Transfers[[#This Row],[kval_active]],dict_zuord_Meth_Transfers[[#This Row],[ID_Transfers]],"")</f>
        <v/>
      </c>
    </row>
    <row r="1232" spans="1:4" x14ac:dyDescent="0.45">
      <c r="A1232">
        <v>205</v>
      </c>
      <c r="B1232" s="3">
        <f t="shared" ca="1" si="19"/>
        <v>150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2">
        <f ca="1">IF(dict_zuord_Meth_Transfers[[#This Row],[kval_active]],dict_zuord_Meth_Transfers[[#This Row],[ID_Transfers]],"")</f>
        <v>150</v>
      </c>
    </row>
    <row r="1233" spans="1:4" x14ac:dyDescent="0.45">
      <c r="A1233">
        <v>205</v>
      </c>
      <c r="B1233">
        <f t="shared" ca="1" si="19"/>
        <v>176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3">
        <f ca="1">IF(dict_zuord_Meth_Transfers[[#This Row],[kval_active]],dict_zuord_Meth_Transfers[[#This Row],[ID_Transfers]],"")</f>
        <v>176</v>
      </c>
    </row>
    <row r="1234" spans="1:4" x14ac:dyDescent="0.45">
      <c r="A1234">
        <v>205</v>
      </c>
      <c r="B1234" s="3">
        <f t="shared" ca="1" si="19"/>
        <v>131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4">
        <f ca="1">IF(dict_zuord_Meth_Transfers[[#This Row],[kval_active]],dict_zuord_Meth_Transfers[[#This Row],[ID_Transfers]],"")</f>
        <v>131</v>
      </c>
    </row>
    <row r="1235" spans="1:4" x14ac:dyDescent="0.45">
      <c r="A1235">
        <v>205</v>
      </c>
      <c r="B1235">
        <f t="shared" ca="1" si="19"/>
        <v>12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5">
        <f ca="1">IF(dict_zuord_Meth_Transfers[[#This Row],[kval_active]],dict_zuord_Meth_Transfers[[#This Row],[ID_Transfers]],"")</f>
        <v>12</v>
      </c>
    </row>
    <row r="1236" spans="1:4" x14ac:dyDescent="0.45">
      <c r="A1236">
        <v>205</v>
      </c>
      <c r="B1236">
        <f t="shared" ca="1" si="19"/>
        <v>137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6">
        <f ca="1">IF(dict_zuord_Meth_Transfers[[#This Row],[kval_active]],dict_zuord_Meth_Transfers[[#This Row],[ID_Transfers]],"")</f>
        <v>137</v>
      </c>
    </row>
    <row r="1237" spans="1:4" x14ac:dyDescent="0.45">
      <c r="A1237">
        <v>205</v>
      </c>
      <c r="B1237" s="3">
        <f t="shared" ca="1" si="19"/>
        <v>134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7">
        <f ca="1">IF(dict_zuord_Meth_Transfers[[#This Row],[kval_active]],dict_zuord_Meth_Transfers[[#This Row],[ID_Transfers]],"")</f>
        <v>134</v>
      </c>
    </row>
    <row r="1238" spans="1:4" x14ac:dyDescent="0.45">
      <c r="A1238">
        <v>206</v>
      </c>
      <c r="B1238">
        <f t="shared" ca="1" si="19"/>
        <v>51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8" t="str">
        <f ca="1">IF(dict_zuord_Meth_Transfers[[#This Row],[kval_active]],dict_zuord_Meth_Transfers[[#This Row],[ID_Transfers]],"")</f>
        <v/>
      </c>
    </row>
    <row r="1239" spans="1:4" x14ac:dyDescent="0.45">
      <c r="A1239">
        <v>206</v>
      </c>
      <c r="B1239">
        <f t="shared" ca="1" si="19"/>
        <v>143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9" t="str">
        <f ca="1">IF(dict_zuord_Meth_Transfers[[#This Row],[kval_active]],dict_zuord_Meth_Transfers[[#This Row],[ID_Transfers]],"")</f>
        <v/>
      </c>
    </row>
    <row r="1240" spans="1:4" x14ac:dyDescent="0.45">
      <c r="A1240">
        <v>206</v>
      </c>
      <c r="B1240" s="3">
        <f t="shared" ca="1" si="19"/>
        <v>92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0" t="str">
        <f ca="1">IF(dict_zuord_Meth_Transfers[[#This Row],[kval_active]],dict_zuord_Meth_Transfers[[#This Row],[ID_Transfers]],"")</f>
        <v/>
      </c>
    </row>
    <row r="1241" spans="1:4" x14ac:dyDescent="0.45">
      <c r="A1241">
        <v>206</v>
      </c>
      <c r="B1241" s="3">
        <f t="shared" ca="1" si="19"/>
        <v>188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1" t="str">
        <f ca="1">IF(dict_zuord_Meth_Transfers[[#This Row],[kval_active]],dict_zuord_Meth_Transfers[[#This Row],[ID_Transfers]],"")</f>
        <v/>
      </c>
    </row>
    <row r="1242" spans="1:4" x14ac:dyDescent="0.45">
      <c r="A1242">
        <v>206</v>
      </c>
      <c r="B1242">
        <f t="shared" ca="1" si="19"/>
        <v>122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2" t="str">
        <f ca="1">IF(dict_zuord_Meth_Transfers[[#This Row],[kval_active]],dict_zuord_Meth_Transfers[[#This Row],[ID_Transfers]],"")</f>
        <v/>
      </c>
    </row>
    <row r="1243" spans="1:4" x14ac:dyDescent="0.45">
      <c r="A1243">
        <v>206</v>
      </c>
      <c r="B1243" s="3">
        <f t="shared" ca="1" si="19"/>
        <v>37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3" t="str">
        <f ca="1">IF(dict_zuord_Meth_Transfers[[#This Row],[kval_active]],dict_zuord_Meth_Transfers[[#This Row],[ID_Transfers]],"")</f>
        <v/>
      </c>
    </row>
    <row r="1244" spans="1:4" x14ac:dyDescent="0.45">
      <c r="A1244">
        <v>207</v>
      </c>
      <c r="B1244">
        <f t="shared" ca="1" si="19"/>
        <v>84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4" t="str">
        <f ca="1">IF(dict_zuord_Meth_Transfers[[#This Row],[kval_active]],dict_zuord_Meth_Transfers[[#This Row],[ID_Transfers]],"")</f>
        <v/>
      </c>
    </row>
    <row r="1245" spans="1:4" x14ac:dyDescent="0.45">
      <c r="A1245">
        <v>207</v>
      </c>
      <c r="B1245">
        <f t="shared" ca="1" si="19"/>
        <v>134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5" t="str">
        <f ca="1">IF(dict_zuord_Meth_Transfers[[#This Row],[kval_active]],dict_zuord_Meth_Transfers[[#This Row],[ID_Transfers]],"")</f>
        <v/>
      </c>
    </row>
    <row r="1246" spans="1:4" x14ac:dyDescent="0.45">
      <c r="A1246">
        <v>207</v>
      </c>
      <c r="B1246" s="3">
        <f t="shared" ca="1" si="19"/>
        <v>71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6" t="str">
        <f ca="1">IF(dict_zuord_Meth_Transfers[[#This Row],[kval_active]],dict_zuord_Meth_Transfers[[#This Row],[ID_Transfers]],"")</f>
        <v/>
      </c>
    </row>
    <row r="1247" spans="1:4" x14ac:dyDescent="0.45">
      <c r="A1247">
        <v>207</v>
      </c>
      <c r="B1247" s="3">
        <f t="shared" ca="1" si="19"/>
        <v>105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7" t="str">
        <f ca="1">IF(dict_zuord_Meth_Transfers[[#This Row],[kval_active]],dict_zuord_Meth_Transfers[[#This Row],[ID_Transfers]],"")</f>
        <v/>
      </c>
    </row>
    <row r="1248" spans="1:4" x14ac:dyDescent="0.45">
      <c r="A1248">
        <v>207</v>
      </c>
      <c r="B1248" s="3">
        <f t="shared" ca="1" si="19"/>
        <v>0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8" t="str">
        <f ca="1">IF(dict_zuord_Meth_Transfers[[#This Row],[kval_active]],dict_zuord_Meth_Transfers[[#This Row],[ID_Transfers]],"")</f>
        <v/>
      </c>
    </row>
    <row r="1249" spans="1:4" x14ac:dyDescent="0.45">
      <c r="A1249">
        <v>207</v>
      </c>
      <c r="B1249">
        <f t="shared" ca="1" si="19"/>
        <v>171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9" t="str">
        <f ca="1">IF(dict_zuord_Meth_Transfers[[#This Row],[kval_active]],dict_zuord_Meth_Transfers[[#This Row],[ID_Transfers]],"")</f>
        <v/>
      </c>
    </row>
    <row r="1250" spans="1:4" x14ac:dyDescent="0.45">
      <c r="A1250">
        <v>208</v>
      </c>
      <c r="B1250" s="3">
        <f t="shared" ca="1" si="19"/>
        <v>48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0" t="str">
        <f ca="1">IF(dict_zuord_Meth_Transfers[[#This Row],[kval_active]],dict_zuord_Meth_Transfers[[#This Row],[ID_Transfers]],"")</f>
        <v/>
      </c>
    </row>
    <row r="1251" spans="1:4" x14ac:dyDescent="0.45">
      <c r="A1251">
        <v>208</v>
      </c>
      <c r="B1251" s="3">
        <f t="shared" ca="1" si="19"/>
        <v>84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1" t="str">
        <f ca="1">IF(dict_zuord_Meth_Transfers[[#This Row],[kval_active]],dict_zuord_Meth_Transfers[[#This Row],[ID_Transfers]],"")</f>
        <v/>
      </c>
    </row>
    <row r="1252" spans="1:4" x14ac:dyDescent="0.45">
      <c r="A1252">
        <v>208</v>
      </c>
      <c r="B1252">
        <f t="shared" ca="1" si="19"/>
        <v>151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2" t="str">
        <f ca="1">IF(dict_zuord_Meth_Transfers[[#This Row],[kval_active]],dict_zuord_Meth_Transfers[[#This Row],[ID_Transfers]],"")</f>
        <v/>
      </c>
    </row>
    <row r="1253" spans="1:4" x14ac:dyDescent="0.45">
      <c r="A1253">
        <v>208</v>
      </c>
      <c r="B1253" s="3">
        <f t="shared" ca="1" si="19"/>
        <v>108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3" t="str">
        <f ca="1">IF(dict_zuord_Meth_Transfers[[#This Row],[kval_active]],dict_zuord_Meth_Transfers[[#This Row],[ID_Transfers]],"")</f>
        <v/>
      </c>
    </row>
    <row r="1254" spans="1:4" x14ac:dyDescent="0.45">
      <c r="A1254">
        <v>208</v>
      </c>
      <c r="B1254">
        <f t="shared" ca="1" si="19"/>
        <v>151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4" t="str">
        <f ca="1">IF(dict_zuord_Meth_Transfers[[#This Row],[kval_active]],dict_zuord_Meth_Transfers[[#This Row],[ID_Transfers]],"")</f>
        <v/>
      </c>
    </row>
    <row r="1255" spans="1:4" x14ac:dyDescent="0.45">
      <c r="A1255">
        <v>208</v>
      </c>
      <c r="B1255">
        <f t="shared" ca="1" si="19"/>
        <v>56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5" t="str">
        <f ca="1">IF(dict_zuord_Meth_Transfers[[#This Row],[kval_active]],dict_zuord_Meth_Transfers[[#This Row],[ID_Transfers]],"")</f>
        <v/>
      </c>
    </row>
    <row r="1256" spans="1:4" x14ac:dyDescent="0.45">
      <c r="A1256">
        <v>209</v>
      </c>
      <c r="B1256">
        <f t="shared" ca="1" si="19"/>
        <v>130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6" t="str">
        <f ca="1">IF(dict_zuord_Meth_Transfers[[#This Row],[kval_active]],dict_zuord_Meth_Transfers[[#This Row],[ID_Transfers]],"")</f>
        <v/>
      </c>
    </row>
    <row r="1257" spans="1:4" x14ac:dyDescent="0.45">
      <c r="A1257">
        <v>209</v>
      </c>
      <c r="B1257">
        <f t="shared" ca="1" si="19"/>
        <v>150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7" t="str">
        <f ca="1">IF(dict_zuord_Meth_Transfers[[#This Row],[kval_active]],dict_zuord_Meth_Transfers[[#This Row],[ID_Transfers]],"")</f>
        <v/>
      </c>
    </row>
    <row r="1258" spans="1:4" x14ac:dyDescent="0.45">
      <c r="A1258">
        <v>209</v>
      </c>
      <c r="B1258" s="3">
        <f t="shared" ca="1" si="19"/>
        <v>118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8" t="str">
        <f ca="1">IF(dict_zuord_Meth_Transfers[[#This Row],[kval_active]],dict_zuord_Meth_Transfers[[#This Row],[ID_Transfers]],"")</f>
        <v/>
      </c>
    </row>
    <row r="1259" spans="1:4" x14ac:dyDescent="0.45">
      <c r="A1259">
        <v>209</v>
      </c>
      <c r="B1259" s="3">
        <f t="shared" ca="1" si="19"/>
        <v>66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9" t="str">
        <f ca="1">IF(dict_zuord_Meth_Transfers[[#This Row],[kval_active]],dict_zuord_Meth_Transfers[[#This Row],[ID_Transfers]],"")</f>
        <v/>
      </c>
    </row>
    <row r="1260" spans="1:4" x14ac:dyDescent="0.45">
      <c r="A1260">
        <v>209</v>
      </c>
      <c r="B1260" s="3">
        <f t="shared" ca="1" si="19"/>
        <v>35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0" t="str">
        <f ca="1">IF(dict_zuord_Meth_Transfers[[#This Row],[kval_active]],dict_zuord_Meth_Transfers[[#This Row],[ID_Transfers]],"")</f>
        <v/>
      </c>
    </row>
    <row r="1261" spans="1:4" x14ac:dyDescent="0.45">
      <c r="A1261">
        <v>209</v>
      </c>
      <c r="B1261">
        <f t="shared" ca="1" si="19"/>
        <v>141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1" t="str">
        <f ca="1">IF(dict_zuord_Meth_Transfers[[#This Row],[kval_active]],dict_zuord_Meth_Transfers[[#This Row],[ID_Transfers]],"")</f>
        <v/>
      </c>
    </row>
    <row r="1262" spans="1:4" x14ac:dyDescent="0.45">
      <c r="A1262">
        <v>210</v>
      </c>
      <c r="B1262">
        <f t="shared" ca="1" si="19"/>
        <v>130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2" t="str">
        <f ca="1">IF(dict_zuord_Meth_Transfers[[#This Row],[kval_active]],dict_zuord_Meth_Transfers[[#This Row],[ID_Transfers]],"")</f>
        <v/>
      </c>
    </row>
    <row r="1263" spans="1:4" x14ac:dyDescent="0.45">
      <c r="A1263">
        <v>210</v>
      </c>
      <c r="B1263" s="3">
        <f t="shared" ca="1" si="19"/>
        <v>127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3" t="str">
        <f ca="1">IF(dict_zuord_Meth_Transfers[[#This Row],[kval_active]],dict_zuord_Meth_Transfers[[#This Row],[ID_Transfers]],"")</f>
        <v/>
      </c>
    </row>
    <row r="1264" spans="1:4" x14ac:dyDescent="0.45">
      <c r="A1264">
        <v>210</v>
      </c>
      <c r="B1264" s="3">
        <f t="shared" ca="1" si="19"/>
        <v>151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4" t="str">
        <f ca="1">IF(dict_zuord_Meth_Transfers[[#This Row],[kval_active]],dict_zuord_Meth_Transfers[[#This Row],[ID_Transfers]],"")</f>
        <v/>
      </c>
    </row>
    <row r="1265" spans="1:4" x14ac:dyDescent="0.45">
      <c r="A1265">
        <v>210</v>
      </c>
      <c r="B1265">
        <f t="shared" ca="1" si="19"/>
        <v>182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5" t="str">
        <f ca="1">IF(dict_zuord_Meth_Transfers[[#This Row],[kval_active]],dict_zuord_Meth_Transfers[[#This Row],[ID_Transfers]],"")</f>
        <v/>
      </c>
    </row>
    <row r="1266" spans="1:4" x14ac:dyDescent="0.45">
      <c r="A1266">
        <v>210</v>
      </c>
      <c r="B1266">
        <f t="shared" ca="1" si="19"/>
        <v>17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6" t="str">
        <f ca="1">IF(dict_zuord_Meth_Transfers[[#This Row],[kval_active]],dict_zuord_Meth_Transfers[[#This Row],[ID_Transfers]],"")</f>
        <v/>
      </c>
    </row>
    <row r="1267" spans="1:4" x14ac:dyDescent="0.45">
      <c r="A1267">
        <v>210</v>
      </c>
      <c r="B1267" s="3">
        <f t="shared" ca="1" si="19"/>
        <v>146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7" t="str">
        <f ca="1">IF(dict_zuord_Meth_Transfers[[#This Row],[kval_active]],dict_zuord_Meth_Transfers[[#This Row],[ID_Transfers]],"")</f>
        <v/>
      </c>
    </row>
    <row r="1268" spans="1:4" x14ac:dyDescent="0.45">
      <c r="A1268">
        <v>211</v>
      </c>
      <c r="B1268" s="3">
        <f t="shared" ca="1" si="19"/>
        <v>6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8" t="str">
        <f ca="1">IF(dict_zuord_Meth_Transfers[[#This Row],[kval_active]],dict_zuord_Meth_Transfers[[#This Row],[ID_Transfers]],"")</f>
        <v/>
      </c>
    </row>
    <row r="1269" spans="1:4" x14ac:dyDescent="0.45">
      <c r="A1269">
        <v>211</v>
      </c>
      <c r="B1269">
        <f t="shared" ca="1" si="19"/>
        <v>169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9" t="str">
        <f ca="1">IF(dict_zuord_Meth_Transfers[[#This Row],[kval_active]],dict_zuord_Meth_Transfers[[#This Row],[ID_Transfers]],"")</f>
        <v/>
      </c>
    </row>
    <row r="1270" spans="1:4" x14ac:dyDescent="0.45">
      <c r="A1270">
        <v>211</v>
      </c>
      <c r="B1270">
        <f t="shared" ca="1" si="19"/>
        <v>157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0" t="str">
        <f ca="1">IF(dict_zuord_Meth_Transfers[[#This Row],[kval_active]],dict_zuord_Meth_Transfers[[#This Row],[ID_Transfers]],"")</f>
        <v/>
      </c>
    </row>
    <row r="1271" spans="1:4" x14ac:dyDescent="0.45">
      <c r="A1271">
        <v>211</v>
      </c>
      <c r="B1271" s="3">
        <f t="shared" ca="1" si="19"/>
        <v>175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1" t="str">
        <f ca="1">IF(dict_zuord_Meth_Transfers[[#This Row],[kval_active]],dict_zuord_Meth_Transfers[[#This Row],[ID_Transfers]],"")</f>
        <v/>
      </c>
    </row>
    <row r="1272" spans="1:4" x14ac:dyDescent="0.45">
      <c r="A1272">
        <v>211</v>
      </c>
      <c r="B1272" s="3">
        <f t="shared" ca="1" si="19"/>
        <v>139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2" t="str">
        <f ca="1">IF(dict_zuord_Meth_Transfers[[#This Row],[kval_active]],dict_zuord_Meth_Transfers[[#This Row],[ID_Transfers]],"")</f>
        <v/>
      </c>
    </row>
    <row r="1273" spans="1:4" x14ac:dyDescent="0.45">
      <c r="A1273">
        <v>211</v>
      </c>
      <c r="B1273">
        <f t="shared" ca="1" si="19"/>
        <v>64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3" t="str">
        <f ca="1">IF(dict_zuord_Meth_Transfers[[#This Row],[kval_active]],dict_zuord_Meth_Transfers[[#This Row],[ID_Transfers]],"")</f>
        <v/>
      </c>
    </row>
    <row r="1274" spans="1:4" x14ac:dyDescent="0.45">
      <c r="A1274">
        <v>212</v>
      </c>
      <c r="B1274" s="3">
        <f t="shared" ca="1" si="19"/>
        <v>142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4" t="str">
        <f ca="1">IF(dict_zuord_Meth_Transfers[[#This Row],[kval_active]],dict_zuord_Meth_Transfers[[#This Row],[ID_Transfers]],"")</f>
        <v/>
      </c>
    </row>
    <row r="1275" spans="1:4" x14ac:dyDescent="0.45">
      <c r="A1275">
        <v>212</v>
      </c>
      <c r="B1275">
        <f t="shared" ca="1" si="19"/>
        <v>24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5" t="str">
        <f ca="1">IF(dict_zuord_Meth_Transfers[[#This Row],[kval_active]],dict_zuord_Meth_Transfers[[#This Row],[ID_Transfers]],"")</f>
        <v/>
      </c>
    </row>
    <row r="1276" spans="1:4" x14ac:dyDescent="0.45">
      <c r="A1276">
        <v>212</v>
      </c>
      <c r="B1276" s="3">
        <f t="shared" ca="1" si="19"/>
        <v>55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6" t="str">
        <f ca="1">IF(dict_zuord_Meth_Transfers[[#This Row],[kval_active]],dict_zuord_Meth_Transfers[[#This Row],[ID_Transfers]],"")</f>
        <v/>
      </c>
    </row>
    <row r="1277" spans="1:4" x14ac:dyDescent="0.45">
      <c r="A1277">
        <v>212</v>
      </c>
      <c r="B1277">
        <f t="shared" ca="1" si="19"/>
        <v>150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7" t="str">
        <f ca="1">IF(dict_zuord_Meth_Transfers[[#This Row],[kval_active]],dict_zuord_Meth_Transfers[[#This Row],[ID_Transfers]],"")</f>
        <v/>
      </c>
    </row>
    <row r="1278" spans="1:4" x14ac:dyDescent="0.45">
      <c r="A1278">
        <v>212</v>
      </c>
      <c r="B1278" s="3">
        <f t="shared" ca="1" si="19"/>
        <v>76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8" t="str">
        <f ca="1">IF(dict_zuord_Meth_Transfers[[#This Row],[kval_active]],dict_zuord_Meth_Transfers[[#This Row],[ID_Transfers]],"")</f>
        <v/>
      </c>
    </row>
    <row r="1279" spans="1:4" x14ac:dyDescent="0.45">
      <c r="A1279">
        <v>212</v>
      </c>
      <c r="B1279">
        <f t="shared" ca="1" si="19"/>
        <v>35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9" t="str">
        <f ca="1">IF(dict_zuord_Meth_Transfers[[#This Row],[kval_active]],dict_zuord_Meth_Transfers[[#This Row],[ID_Transfers]],"")</f>
        <v/>
      </c>
    </row>
    <row r="1280" spans="1:4" x14ac:dyDescent="0.45">
      <c r="A1280">
        <v>213</v>
      </c>
      <c r="B1280" s="3">
        <f t="shared" ca="1" si="19"/>
        <v>143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0" t="str">
        <f ca="1">IF(dict_zuord_Meth_Transfers[[#This Row],[kval_active]],dict_zuord_Meth_Transfers[[#This Row],[ID_Transfers]],"")</f>
        <v/>
      </c>
    </row>
    <row r="1281" spans="1:4" x14ac:dyDescent="0.45">
      <c r="A1281">
        <v>213</v>
      </c>
      <c r="B1281" s="3">
        <f t="shared" ca="1" si="19"/>
        <v>35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1" t="str">
        <f ca="1">IF(dict_zuord_Meth_Transfers[[#This Row],[kval_active]],dict_zuord_Meth_Transfers[[#This Row],[ID_Transfers]],"")</f>
        <v/>
      </c>
    </row>
    <row r="1282" spans="1:4" x14ac:dyDescent="0.45">
      <c r="A1282">
        <v>213</v>
      </c>
      <c r="B1282" s="3">
        <f t="shared" ref="B1282:B1345" ca="1" si="20">RANDBETWEEN(0,200)</f>
        <v>132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2" t="str">
        <f ca="1">IF(dict_zuord_Meth_Transfers[[#This Row],[kval_active]],dict_zuord_Meth_Transfers[[#This Row],[ID_Transfers]],"")</f>
        <v/>
      </c>
    </row>
    <row r="1283" spans="1:4" x14ac:dyDescent="0.45">
      <c r="A1283">
        <v>213</v>
      </c>
      <c r="B1283">
        <f t="shared" ca="1" si="20"/>
        <v>152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3" t="str">
        <f ca="1">IF(dict_zuord_Meth_Transfers[[#This Row],[kval_active]],dict_zuord_Meth_Transfers[[#This Row],[ID_Transfers]],"")</f>
        <v/>
      </c>
    </row>
    <row r="1284" spans="1:4" x14ac:dyDescent="0.45">
      <c r="A1284">
        <v>213</v>
      </c>
      <c r="B1284">
        <f t="shared" ca="1" si="20"/>
        <v>94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4" t="str">
        <f ca="1">IF(dict_zuord_Meth_Transfers[[#This Row],[kval_active]],dict_zuord_Meth_Transfers[[#This Row],[ID_Transfers]],"")</f>
        <v/>
      </c>
    </row>
    <row r="1285" spans="1:4" x14ac:dyDescent="0.45">
      <c r="A1285">
        <v>213</v>
      </c>
      <c r="B1285">
        <f t="shared" ca="1" si="20"/>
        <v>2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5" t="str">
        <f ca="1">IF(dict_zuord_Meth_Transfers[[#This Row],[kval_active]],dict_zuord_Meth_Transfers[[#This Row],[ID_Transfers]],"")</f>
        <v/>
      </c>
    </row>
    <row r="1286" spans="1:4" x14ac:dyDescent="0.45">
      <c r="A1286">
        <v>214</v>
      </c>
      <c r="B1286" s="3">
        <f t="shared" ca="1" si="20"/>
        <v>108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6" t="str">
        <f ca="1">IF(dict_zuord_Meth_Transfers[[#This Row],[kval_active]],dict_zuord_Meth_Transfers[[#This Row],[ID_Transfers]],"")</f>
        <v/>
      </c>
    </row>
    <row r="1287" spans="1:4" x14ac:dyDescent="0.45">
      <c r="A1287">
        <v>214</v>
      </c>
      <c r="B1287">
        <f t="shared" ca="1" si="20"/>
        <v>24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7" t="str">
        <f ca="1">IF(dict_zuord_Meth_Transfers[[#This Row],[kval_active]],dict_zuord_Meth_Transfers[[#This Row],[ID_Transfers]],"")</f>
        <v/>
      </c>
    </row>
    <row r="1288" spans="1:4" x14ac:dyDescent="0.45">
      <c r="A1288">
        <v>214</v>
      </c>
      <c r="B1288" s="3">
        <f t="shared" ca="1" si="20"/>
        <v>65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8" t="str">
        <f ca="1">IF(dict_zuord_Meth_Transfers[[#This Row],[kval_active]],dict_zuord_Meth_Transfers[[#This Row],[ID_Transfers]],"")</f>
        <v/>
      </c>
    </row>
    <row r="1289" spans="1:4" x14ac:dyDescent="0.45">
      <c r="A1289">
        <v>214</v>
      </c>
      <c r="B1289">
        <f t="shared" ca="1" si="20"/>
        <v>186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9" t="str">
        <f ca="1">IF(dict_zuord_Meth_Transfers[[#This Row],[kval_active]],dict_zuord_Meth_Transfers[[#This Row],[ID_Transfers]],"")</f>
        <v/>
      </c>
    </row>
    <row r="1290" spans="1:4" x14ac:dyDescent="0.45">
      <c r="A1290">
        <v>214</v>
      </c>
      <c r="B1290">
        <f t="shared" ca="1" si="20"/>
        <v>45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0" t="str">
        <f ca="1">IF(dict_zuord_Meth_Transfers[[#This Row],[kval_active]],dict_zuord_Meth_Transfers[[#This Row],[ID_Transfers]],"")</f>
        <v/>
      </c>
    </row>
    <row r="1291" spans="1:4" x14ac:dyDescent="0.45">
      <c r="A1291">
        <v>214</v>
      </c>
      <c r="B1291" s="3">
        <f t="shared" ca="1" si="20"/>
        <v>163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1" t="str">
        <f ca="1">IF(dict_zuord_Meth_Transfers[[#This Row],[kval_active]],dict_zuord_Meth_Transfers[[#This Row],[ID_Transfers]],"")</f>
        <v/>
      </c>
    </row>
    <row r="1292" spans="1:4" x14ac:dyDescent="0.45">
      <c r="A1292">
        <v>215</v>
      </c>
      <c r="B1292" s="3">
        <f t="shared" ca="1" si="20"/>
        <v>158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2" t="str">
        <f ca="1">IF(dict_zuord_Meth_Transfers[[#This Row],[kval_active]],dict_zuord_Meth_Transfers[[#This Row],[ID_Transfers]],"")</f>
        <v/>
      </c>
    </row>
    <row r="1293" spans="1:4" x14ac:dyDescent="0.45">
      <c r="A1293">
        <v>215</v>
      </c>
      <c r="B1293">
        <f t="shared" ca="1" si="20"/>
        <v>191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3" t="str">
        <f ca="1">IF(dict_zuord_Meth_Transfers[[#This Row],[kval_active]],dict_zuord_Meth_Transfers[[#This Row],[ID_Transfers]],"")</f>
        <v/>
      </c>
    </row>
    <row r="1294" spans="1:4" x14ac:dyDescent="0.45">
      <c r="A1294">
        <v>215</v>
      </c>
      <c r="B1294" s="3">
        <f t="shared" ca="1" si="20"/>
        <v>34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4" t="str">
        <f ca="1">IF(dict_zuord_Meth_Transfers[[#This Row],[kval_active]],dict_zuord_Meth_Transfers[[#This Row],[ID_Transfers]],"")</f>
        <v/>
      </c>
    </row>
    <row r="1295" spans="1:4" x14ac:dyDescent="0.45">
      <c r="A1295">
        <v>215</v>
      </c>
      <c r="B1295">
        <f t="shared" ca="1" si="20"/>
        <v>146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5" t="str">
        <f ca="1">IF(dict_zuord_Meth_Transfers[[#This Row],[kval_active]],dict_zuord_Meth_Transfers[[#This Row],[ID_Transfers]],"")</f>
        <v/>
      </c>
    </row>
    <row r="1296" spans="1:4" x14ac:dyDescent="0.45">
      <c r="A1296">
        <v>215</v>
      </c>
      <c r="B1296" s="3">
        <f t="shared" ca="1" si="20"/>
        <v>36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6" t="str">
        <f ca="1">IF(dict_zuord_Meth_Transfers[[#This Row],[kval_active]],dict_zuord_Meth_Transfers[[#This Row],[ID_Transfers]],"")</f>
        <v/>
      </c>
    </row>
    <row r="1297" spans="1:4" x14ac:dyDescent="0.45">
      <c r="A1297">
        <v>215</v>
      </c>
      <c r="B1297">
        <f t="shared" ca="1" si="20"/>
        <v>29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7" t="str">
        <f ca="1">IF(dict_zuord_Meth_Transfers[[#This Row],[kval_active]],dict_zuord_Meth_Transfers[[#This Row],[ID_Transfers]],"")</f>
        <v/>
      </c>
    </row>
    <row r="1298" spans="1:4" x14ac:dyDescent="0.45">
      <c r="A1298">
        <v>216</v>
      </c>
      <c r="B1298" s="3">
        <f t="shared" ca="1" si="20"/>
        <v>7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8" t="str">
        <f ca="1">IF(dict_zuord_Meth_Transfers[[#This Row],[kval_active]],dict_zuord_Meth_Transfers[[#This Row],[ID_Transfers]],"")</f>
        <v/>
      </c>
    </row>
    <row r="1299" spans="1:4" x14ac:dyDescent="0.45">
      <c r="A1299">
        <v>216</v>
      </c>
      <c r="B1299" s="3">
        <f t="shared" ca="1" si="20"/>
        <v>182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9" t="str">
        <f ca="1">IF(dict_zuord_Meth_Transfers[[#This Row],[kval_active]],dict_zuord_Meth_Transfers[[#This Row],[ID_Transfers]],"")</f>
        <v/>
      </c>
    </row>
    <row r="1300" spans="1:4" x14ac:dyDescent="0.45">
      <c r="A1300">
        <v>216</v>
      </c>
      <c r="B1300" s="3">
        <f t="shared" ca="1" si="20"/>
        <v>100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0" t="str">
        <f ca="1">IF(dict_zuord_Meth_Transfers[[#This Row],[kval_active]],dict_zuord_Meth_Transfers[[#This Row],[ID_Transfers]],"")</f>
        <v/>
      </c>
    </row>
    <row r="1301" spans="1:4" x14ac:dyDescent="0.45">
      <c r="A1301">
        <v>216</v>
      </c>
      <c r="B1301">
        <f t="shared" ca="1" si="20"/>
        <v>190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1" t="str">
        <f ca="1">IF(dict_zuord_Meth_Transfers[[#This Row],[kval_active]],dict_zuord_Meth_Transfers[[#This Row],[ID_Transfers]],"")</f>
        <v/>
      </c>
    </row>
    <row r="1302" spans="1:4" x14ac:dyDescent="0.45">
      <c r="A1302">
        <v>216</v>
      </c>
      <c r="B1302">
        <f t="shared" ca="1" si="20"/>
        <v>146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2" t="str">
        <f ca="1">IF(dict_zuord_Meth_Transfers[[#This Row],[kval_active]],dict_zuord_Meth_Transfers[[#This Row],[ID_Transfers]],"")</f>
        <v/>
      </c>
    </row>
    <row r="1303" spans="1:4" x14ac:dyDescent="0.45">
      <c r="A1303">
        <v>216</v>
      </c>
      <c r="B1303">
        <f t="shared" ca="1" si="20"/>
        <v>86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3" t="str">
        <f ca="1">IF(dict_zuord_Meth_Transfers[[#This Row],[kval_active]],dict_zuord_Meth_Transfers[[#This Row],[ID_Transfers]],"")</f>
        <v/>
      </c>
    </row>
    <row r="1304" spans="1:4" x14ac:dyDescent="0.45">
      <c r="A1304">
        <v>217</v>
      </c>
      <c r="B1304" s="3">
        <f t="shared" ca="1" si="20"/>
        <v>141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4" t="str">
        <f ca="1">IF(dict_zuord_Meth_Transfers[[#This Row],[kval_active]],dict_zuord_Meth_Transfers[[#This Row],[ID_Transfers]],"")</f>
        <v/>
      </c>
    </row>
    <row r="1305" spans="1:4" x14ac:dyDescent="0.45">
      <c r="A1305">
        <v>217</v>
      </c>
      <c r="B1305" s="3">
        <f t="shared" ca="1" si="20"/>
        <v>27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5" t="str">
        <f ca="1">IF(dict_zuord_Meth_Transfers[[#This Row],[kval_active]],dict_zuord_Meth_Transfers[[#This Row],[ID_Transfers]],"")</f>
        <v/>
      </c>
    </row>
    <row r="1306" spans="1:4" x14ac:dyDescent="0.45">
      <c r="A1306">
        <v>217</v>
      </c>
      <c r="B1306">
        <f t="shared" ca="1" si="20"/>
        <v>196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6" t="str">
        <f ca="1">IF(dict_zuord_Meth_Transfers[[#This Row],[kval_active]],dict_zuord_Meth_Transfers[[#This Row],[ID_Transfers]],"")</f>
        <v/>
      </c>
    </row>
    <row r="1307" spans="1:4" x14ac:dyDescent="0.45">
      <c r="A1307">
        <v>217</v>
      </c>
      <c r="B1307" s="3">
        <f t="shared" ca="1" si="20"/>
        <v>2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7" t="str">
        <f ca="1">IF(dict_zuord_Meth_Transfers[[#This Row],[kval_active]],dict_zuord_Meth_Transfers[[#This Row],[ID_Transfers]],"")</f>
        <v/>
      </c>
    </row>
    <row r="1308" spans="1:4" x14ac:dyDescent="0.45">
      <c r="A1308">
        <v>217</v>
      </c>
      <c r="B1308">
        <f t="shared" ca="1" si="20"/>
        <v>123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8" t="str">
        <f ca="1">IF(dict_zuord_Meth_Transfers[[#This Row],[kval_active]],dict_zuord_Meth_Transfers[[#This Row],[ID_Transfers]],"")</f>
        <v/>
      </c>
    </row>
    <row r="1309" spans="1:4" x14ac:dyDescent="0.45">
      <c r="A1309">
        <v>217</v>
      </c>
      <c r="B1309">
        <f t="shared" ca="1" si="20"/>
        <v>108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9" t="str">
        <f ca="1">IF(dict_zuord_Meth_Transfers[[#This Row],[kval_active]],dict_zuord_Meth_Transfers[[#This Row],[ID_Transfers]],"")</f>
        <v/>
      </c>
    </row>
    <row r="1310" spans="1:4" x14ac:dyDescent="0.45">
      <c r="A1310">
        <v>218</v>
      </c>
      <c r="B1310" s="3">
        <f t="shared" ca="1" si="20"/>
        <v>28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0" t="str">
        <f ca="1">IF(dict_zuord_Meth_Transfers[[#This Row],[kval_active]],dict_zuord_Meth_Transfers[[#This Row],[ID_Transfers]],"")</f>
        <v/>
      </c>
    </row>
    <row r="1311" spans="1:4" x14ac:dyDescent="0.45">
      <c r="A1311">
        <v>218</v>
      </c>
      <c r="B1311" s="3">
        <f t="shared" ca="1" si="20"/>
        <v>20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1" t="str">
        <f ca="1">IF(dict_zuord_Meth_Transfers[[#This Row],[kval_active]],dict_zuord_Meth_Transfers[[#This Row],[ID_Transfers]],"")</f>
        <v/>
      </c>
    </row>
    <row r="1312" spans="1:4" x14ac:dyDescent="0.45">
      <c r="A1312">
        <v>218</v>
      </c>
      <c r="B1312">
        <f t="shared" ca="1" si="20"/>
        <v>135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2" t="str">
        <f ca="1">IF(dict_zuord_Meth_Transfers[[#This Row],[kval_active]],dict_zuord_Meth_Transfers[[#This Row],[ID_Transfers]],"")</f>
        <v/>
      </c>
    </row>
    <row r="1313" spans="1:4" x14ac:dyDescent="0.45">
      <c r="A1313">
        <v>218</v>
      </c>
      <c r="B1313">
        <f t="shared" ca="1" si="20"/>
        <v>149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3" t="str">
        <f ca="1">IF(dict_zuord_Meth_Transfers[[#This Row],[kval_active]],dict_zuord_Meth_Transfers[[#This Row],[ID_Transfers]],"")</f>
        <v/>
      </c>
    </row>
    <row r="1314" spans="1:4" x14ac:dyDescent="0.45">
      <c r="A1314">
        <v>218</v>
      </c>
      <c r="B1314">
        <f t="shared" ca="1" si="20"/>
        <v>164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4" t="str">
        <f ca="1">IF(dict_zuord_Meth_Transfers[[#This Row],[kval_active]],dict_zuord_Meth_Transfers[[#This Row],[ID_Transfers]],"")</f>
        <v/>
      </c>
    </row>
    <row r="1315" spans="1:4" x14ac:dyDescent="0.45">
      <c r="A1315">
        <v>218</v>
      </c>
      <c r="B1315" s="3">
        <f t="shared" ca="1" si="20"/>
        <v>40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5" t="str">
        <f ca="1">IF(dict_zuord_Meth_Transfers[[#This Row],[kval_active]],dict_zuord_Meth_Transfers[[#This Row],[ID_Transfers]],"")</f>
        <v/>
      </c>
    </row>
    <row r="1316" spans="1:4" x14ac:dyDescent="0.45">
      <c r="A1316">
        <v>219</v>
      </c>
      <c r="B1316" s="3">
        <f t="shared" ca="1" si="20"/>
        <v>46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6" t="str">
        <f ca="1">IF(dict_zuord_Meth_Transfers[[#This Row],[kval_active]],dict_zuord_Meth_Transfers[[#This Row],[ID_Transfers]],"")</f>
        <v/>
      </c>
    </row>
    <row r="1317" spans="1:4" x14ac:dyDescent="0.45">
      <c r="A1317">
        <v>219</v>
      </c>
      <c r="B1317">
        <f t="shared" ca="1" si="20"/>
        <v>0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7" t="str">
        <f ca="1">IF(dict_zuord_Meth_Transfers[[#This Row],[kval_active]],dict_zuord_Meth_Transfers[[#This Row],[ID_Transfers]],"")</f>
        <v/>
      </c>
    </row>
    <row r="1318" spans="1:4" x14ac:dyDescent="0.45">
      <c r="A1318">
        <v>219</v>
      </c>
      <c r="B1318" s="3">
        <f t="shared" ca="1" si="20"/>
        <v>121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8" t="str">
        <f ca="1">IF(dict_zuord_Meth_Transfers[[#This Row],[kval_active]],dict_zuord_Meth_Transfers[[#This Row],[ID_Transfers]],"")</f>
        <v/>
      </c>
    </row>
    <row r="1319" spans="1:4" x14ac:dyDescent="0.45">
      <c r="A1319">
        <v>219</v>
      </c>
      <c r="B1319" s="3">
        <f t="shared" ca="1" si="20"/>
        <v>158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9" t="str">
        <f ca="1">IF(dict_zuord_Meth_Transfers[[#This Row],[kval_active]],dict_zuord_Meth_Transfers[[#This Row],[ID_Transfers]],"")</f>
        <v/>
      </c>
    </row>
    <row r="1320" spans="1:4" x14ac:dyDescent="0.45">
      <c r="A1320">
        <v>219</v>
      </c>
      <c r="B1320">
        <f t="shared" ca="1" si="20"/>
        <v>187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0" t="str">
        <f ca="1">IF(dict_zuord_Meth_Transfers[[#This Row],[kval_active]],dict_zuord_Meth_Transfers[[#This Row],[ID_Transfers]],"")</f>
        <v/>
      </c>
    </row>
    <row r="1321" spans="1:4" x14ac:dyDescent="0.45">
      <c r="A1321">
        <v>219</v>
      </c>
      <c r="B1321">
        <f t="shared" ca="1" si="20"/>
        <v>5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1" t="str">
        <f ca="1">IF(dict_zuord_Meth_Transfers[[#This Row],[kval_active]],dict_zuord_Meth_Transfers[[#This Row],[ID_Transfers]],"")</f>
        <v/>
      </c>
    </row>
    <row r="1322" spans="1:4" x14ac:dyDescent="0.45">
      <c r="A1322">
        <v>220</v>
      </c>
      <c r="B1322" s="3">
        <f t="shared" ca="1" si="20"/>
        <v>14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2" t="str">
        <f ca="1">IF(dict_zuord_Meth_Transfers[[#This Row],[kval_active]],dict_zuord_Meth_Transfers[[#This Row],[ID_Transfers]],"")</f>
        <v/>
      </c>
    </row>
    <row r="1323" spans="1:4" x14ac:dyDescent="0.45">
      <c r="A1323">
        <v>220</v>
      </c>
      <c r="B1323" s="3">
        <f t="shared" ca="1" si="20"/>
        <v>105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3" t="str">
        <f ca="1">IF(dict_zuord_Meth_Transfers[[#This Row],[kval_active]],dict_zuord_Meth_Transfers[[#This Row],[ID_Transfers]],"")</f>
        <v/>
      </c>
    </row>
    <row r="1324" spans="1:4" x14ac:dyDescent="0.45">
      <c r="A1324">
        <v>220</v>
      </c>
      <c r="B1324">
        <f t="shared" ca="1" si="20"/>
        <v>134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4" t="str">
        <f ca="1">IF(dict_zuord_Meth_Transfers[[#This Row],[kval_active]],dict_zuord_Meth_Transfers[[#This Row],[ID_Transfers]],"")</f>
        <v/>
      </c>
    </row>
    <row r="1325" spans="1:4" x14ac:dyDescent="0.45">
      <c r="A1325">
        <v>220</v>
      </c>
      <c r="B1325">
        <f t="shared" ca="1" si="20"/>
        <v>7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5" t="str">
        <f ca="1">IF(dict_zuord_Meth_Transfers[[#This Row],[kval_active]],dict_zuord_Meth_Transfers[[#This Row],[ID_Transfers]],"")</f>
        <v/>
      </c>
    </row>
    <row r="1326" spans="1:4" x14ac:dyDescent="0.45">
      <c r="A1326">
        <v>220</v>
      </c>
      <c r="B1326">
        <f t="shared" ca="1" si="20"/>
        <v>21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6" t="str">
        <f ca="1">IF(dict_zuord_Meth_Transfers[[#This Row],[kval_active]],dict_zuord_Meth_Transfers[[#This Row],[ID_Transfers]],"")</f>
        <v/>
      </c>
    </row>
    <row r="1327" spans="1:4" x14ac:dyDescent="0.45">
      <c r="A1327">
        <v>220</v>
      </c>
      <c r="B1327" s="3">
        <f t="shared" ca="1" si="20"/>
        <v>25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7" t="str">
        <f ca="1">IF(dict_zuord_Meth_Transfers[[#This Row],[kval_active]],dict_zuord_Meth_Transfers[[#This Row],[ID_Transfers]],"")</f>
        <v/>
      </c>
    </row>
    <row r="1328" spans="1:4" x14ac:dyDescent="0.45">
      <c r="A1328">
        <v>221</v>
      </c>
      <c r="B1328" s="3">
        <f t="shared" ca="1" si="20"/>
        <v>79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8" t="str">
        <f ca="1">IF(dict_zuord_Meth_Transfers[[#This Row],[kval_active]],dict_zuord_Meth_Transfers[[#This Row],[ID_Transfers]],"")</f>
        <v/>
      </c>
    </row>
    <row r="1329" spans="1:4" x14ac:dyDescent="0.45">
      <c r="A1329">
        <v>221</v>
      </c>
      <c r="B1329">
        <f t="shared" ca="1" si="20"/>
        <v>58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9" t="str">
        <f ca="1">IF(dict_zuord_Meth_Transfers[[#This Row],[kval_active]],dict_zuord_Meth_Transfers[[#This Row],[ID_Transfers]],"")</f>
        <v/>
      </c>
    </row>
    <row r="1330" spans="1:4" x14ac:dyDescent="0.45">
      <c r="A1330">
        <v>221</v>
      </c>
      <c r="B1330">
        <f t="shared" ca="1" si="20"/>
        <v>5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0" t="str">
        <f ca="1">IF(dict_zuord_Meth_Transfers[[#This Row],[kval_active]],dict_zuord_Meth_Transfers[[#This Row],[ID_Transfers]],"")</f>
        <v/>
      </c>
    </row>
    <row r="1331" spans="1:4" x14ac:dyDescent="0.45">
      <c r="A1331">
        <v>221</v>
      </c>
      <c r="B1331" s="3">
        <f t="shared" ca="1" si="20"/>
        <v>87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1" t="str">
        <f ca="1">IF(dict_zuord_Meth_Transfers[[#This Row],[kval_active]],dict_zuord_Meth_Transfers[[#This Row],[ID_Transfers]],"")</f>
        <v/>
      </c>
    </row>
    <row r="1332" spans="1:4" x14ac:dyDescent="0.45">
      <c r="A1332">
        <v>221</v>
      </c>
      <c r="B1332" s="3">
        <f t="shared" ca="1" si="20"/>
        <v>190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2" t="str">
        <f ca="1">IF(dict_zuord_Meth_Transfers[[#This Row],[kval_active]],dict_zuord_Meth_Transfers[[#This Row],[ID_Transfers]],"")</f>
        <v/>
      </c>
    </row>
    <row r="1333" spans="1:4" x14ac:dyDescent="0.45">
      <c r="A1333">
        <v>221</v>
      </c>
      <c r="B1333">
        <f t="shared" ca="1" si="20"/>
        <v>25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3" t="str">
        <f ca="1">IF(dict_zuord_Meth_Transfers[[#This Row],[kval_active]],dict_zuord_Meth_Transfers[[#This Row],[ID_Transfers]],"")</f>
        <v/>
      </c>
    </row>
    <row r="1334" spans="1:4" x14ac:dyDescent="0.45">
      <c r="A1334">
        <v>222</v>
      </c>
      <c r="B1334">
        <f t="shared" ca="1" si="20"/>
        <v>117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4" t="str">
        <f ca="1">IF(dict_zuord_Meth_Transfers[[#This Row],[kval_active]],dict_zuord_Meth_Transfers[[#This Row],[ID_Transfers]],"")</f>
        <v/>
      </c>
    </row>
    <row r="1335" spans="1:4" x14ac:dyDescent="0.45">
      <c r="A1335">
        <v>222</v>
      </c>
      <c r="B1335">
        <f t="shared" ca="1" si="20"/>
        <v>75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5" t="str">
        <f ca="1">IF(dict_zuord_Meth_Transfers[[#This Row],[kval_active]],dict_zuord_Meth_Transfers[[#This Row],[ID_Transfers]],"")</f>
        <v/>
      </c>
    </row>
    <row r="1336" spans="1:4" x14ac:dyDescent="0.45">
      <c r="A1336">
        <v>222</v>
      </c>
      <c r="B1336" s="3">
        <f t="shared" ca="1" si="20"/>
        <v>50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6" t="str">
        <f ca="1">IF(dict_zuord_Meth_Transfers[[#This Row],[kval_active]],dict_zuord_Meth_Transfers[[#This Row],[ID_Transfers]],"")</f>
        <v/>
      </c>
    </row>
    <row r="1337" spans="1:4" x14ac:dyDescent="0.45">
      <c r="A1337">
        <v>222</v>
      </c>
      <c r="B1337" s="3">
        <f t="shared" ca="1" si="20"/>
        <v>23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7" t="str">
        <f ca="1">IF(dict_zuord_Meth_Transfers[[#This Row],[kval_active]],dict_zuord_Meth_Transfers[[#This Row],[ID_Transfers]],"")</f>
        <v/>
      </c>
    </row>
    <row r="1338" spans="1:4" x14ac:dyDescent="0.45">
      <c r="A1338">
        <v>222</v>
      </c>
      <c r="B1338" s="3">
        <f t="shared" ca="1" si="20"/>
        <v>122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8" t="str">
        <f ca="1">IF(dict_zuord_Meth_Transfers[[#This Row],[kval_active]],dict_zuord_Meth_Transfers[[#This Row],[ID_Transfers]],"")</f>
        <v/>
      </c>
    </row>
    <row r="1339" spans="1:4" x14ac:dyDescent="0.45">
      <c r="A1339">
        <v>222</v>
      </c>
      <c r="B1339">
        <f t="shared" ca="1" si="20"/>
        <v>89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9" t="str">
        <f ca="1">IF(dict_zuord_Meth_Transfers[[#This Row],[kval_active]],dict_zuord_Meth_Transfers[[#This Row],[ID_Transfers]],"")</f>
        <v/>
      </c>
    </row>
    <row r="1340" spans="1:4" x14ac:dyDescent="0.45">
      <c r="A1340">
        <v>223</v>
      </c>
      <c r="B1340" s="3">
        <f t="shared" ca="1" si="20"/>
        <v>36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0">
        <f ca="1">IF(dict_zuord_Meth_Transfers[[#This Row],[kval_active]],dict_zuord_Meth_Transfers[[#This Row],[ID_Transfers]],"")</f>
        <v>36</v>
      </c>
    </row>
    <row r="1341" spans="1:4" x14ac:dyDescent="0.45">
      <c r="A1341">
        <v>223</v>
      </c>
      <c r="B1341">
        <f t="shared" ca="1" si="20"/>
        <v>85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1">
        <f ca="1">IF(dict_zuord_Meth_Transfers[[#This Row],[kval_active]],dict_zuord_Meth_Transfers[[#This Row],[ID_Transfers]],"")</f>
        <v>85</v>
      </c>
    </row>
    <row r="1342" spans="1:4" x14ac:dyDescent="0.45">
      <c r="A1342">
        <v>223</v>
      </c>
      <c r="B1342" s="3">
        <f t="shared" ca="1" si="20"/>
        <v>153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2">
        <f ca="1">IF(dict_zuord_Meth_Transfers[[#This Row],[kval_active]],dict_zuord_Meth_Transfers[[#This Row],[ID_Transfers]],"")</f>
        <v>153</v>
      </c>
    </row>
    <row r="1343" spans="1:4" x14ac:dyDescent="0.45">
      <c r="A1343">
        <v>223</v>
      </c>
      <c r="B1343" s="3">
        <f t="shared" ca="1" si="20"/>
        <v>151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3">
        <f ca="1">IF(dict_zuord_Meth_Transfers[[#This Row],[kval_active]],dict_zuord_Meth_Transfers[[#This Row],[ID_Transfers]],"")</f>
        <v>151</v>
      </c>
    </row>
    <row r="1344" spans="1:4" x14ac:dyDescent="0.45">
      <c r="A1344">
        <v>223</v>
      </c>
      <c r="B1344">
        <f t="shared" ca="1" si="20"/>
        <v>75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4">
        <f ca="1">IF(dict_zuord_Meth_Transfers[[#This Row],[kval_active]],dict_zuord_Meth_Transfers[[#This Row],[ID_Transfers]],"")</f>
        <v>75</v>
      </c>
    </row>
    <row r="1345" spans="1:4" x14ac:dyDescent="0.45">
      <c r="A1345">
        <v>223</v>
      </c>
      <c r="B1345">
        <f t="shared" ca="1" si="20"/>
        <v>164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5">
        <f ca="1">IF(dict_zuord_Meth_Transfers[[#This Row],[kval_active]],dict_zuord_Meth_Transfers[[#This Row],[ID_Transfers]],"")</f>
        <v>164</v>
      </c>
    </row>
    <row r="1346" spans="1:4" x14ac:dyDescent="0.45">
      <c r="A1346">
        <v>224</v>
      </c>
      <c r="B1346" s="3">
        <f t="shared" ref="B1346:B1409" ca="1" si="21">RANDBETWEEN(0,200)</f>
        <v>67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6" t="str">
        <f ca="1">IF(dict_zuord_Meth_Transfers[[#This Row],[kval_active]],dict_zuord_Meth_Transfers[[#This Row],[ID_Transfers]],"")</f>
        <v/>
      </c>
    </row>
    <row r="1347" spans="1:4" x14ac:dyDescent="0.45">
      <c r="A1347">
        <v>224</v>
      </c>
      <c r="B1347" s="3">
        <f t="shared" ca="1" si="21"/>
        <v>37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7" t="str">
        <f ca="1">IF(dict_zuord_Meth_Transfers[[#This Row],[kval_active]],dict_zuord_Meth_Transfers[[#This Row],[ID_Transfers]],"")</f>
        <v/>
      </c>
    </row>
    <row r="1348" spans="1:4" x14ac:dyDescent="0.45">
      <c r="A1348">
        <v>224</v>
      </c>
      <c r="B1348">
        <f t="shared" ca="1" si="21"/>
        <v>132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8" t="str">
        <f ca="1">IF(dict_zuord_Meth_Transfers[[#This Row],[kval_active]],dict_zuord_Meth_Transfers[[#This Row],[ID_Transfers]],"")</f>
        <v/>
      </c>
    </row>
    <row r="1349" spans="1:4" x14ac:dyDescent="0.45">
      <c r="A1349">
        <v>224</v>
      </c>
      <c r="B1349">
        <f t="shared" ca="1" si="21"/>
        <v>117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9" t="str">
        <f ca="1">IF(dict_zuord_Meth_Transfers[[#This Row],[kval_active]],dict_zuord_Meth_Transfers[[#This Row],[ID_Transfers]],"")</f>
        <v/>
      </c>
    </row>
    <row r="1350" spans="1:4" x14ac:dyDescent="0.45">
      <c r="A1350">
        <v>224</v>
      </c>
      <c r="B1350">
        <f t="shared" ca="1" si="21"/>
        <v>133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0" t="str">
        <f ca="1">IF(dict_zuord_Meth_Transfers[[#This Row],[kval_active]],dict_zuord_Meth_Transfers[[#This Row],[ID_Transfers]],"")</f>
        <v/>
      </c>
    </row>
    <row r="1351" spans="1:4" x14ac:dyDescent="0.45">
      <c r="A1351">
        <v>224</v>
      </c>
      <c r="B1351" s="3">
        <f t="shared" ca="1" si="21"/>
        <v>40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1" t="str">
        <f ca="1">IF(dict_zuord_Meth_Transfers[[#This Row],[kval_active]],dict_zuord_Meth_Transfers[[#This Row],[ID_Transfers]],"")</f>
        <v/>
      </c>
    </row>
    <row r="1352" spans="1:4" x14ac:dyDescent="0.45">
      <c r="A1352">
        <v>225</v>
      </c>
      <c r="B1352">
        <f t="shared" ca="1" si="21"/>
        <v>36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2" t="str">
        <f ca="1">IF(dict_zuord_Meth_Transfers[[#This Row],[kval_active]],dict_zuord_Meth_Transfers[[#This Row],[ID_Transfers]],"")</f>
        <v/>
      </c>
    </row>
    <row r="1353" spans="1:4" x14ac:dyDescent="0.45">
      <c r="A1353">
        <v>225</v>
      </c>
      <c r="B1353" s="3">
        <f t="shared" ca="1" si="21"/>
        <v>10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3" t="str">
        <f ca="1">IF(dict_zuord_Meth_Transfers[[#This Row],[kval_active]],dict_zuord_Meth_Transfers[[#This Row],[ID_Transfers]],"")</f>
        <v/>
      </c>
    </row>
    <row r="1354" spans="1:4" x14ac:dyDescent="0.45">
      <c r="A1354">
        <v>225</v>
      </c>
      <c r="B1354">
        <f t="shared" ca="1" si="21"/>
        <v>125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4" t="str">
        <f ca="1">IF(dict_zuord_Meth_Transfers[[#This Row],[kval_active]],dict_zuord_Meth_Transfers[[#This Row],[ID_Transfers]],"")</f>
        <v/>
      </c>
    </row>
    <row r="1355" spans="1:4" x14ac:dyDescent="0.45">
      <c r="A1355">
        <v>225</v>
      </c>
      <c r="B1355">
        <f t="shared" ca="1" si="21"/>
        <v>199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5" t="str">
        <f ca="1">IF(dict_zuord_Meth_Transfers[[#This Row],[kval_active]],dict_zuord_Meth_Transfers[[#This Row],[ID_Transfers]],"")</f>
        <v/>
      </c>
    </row>
    <row r="1356" spans="1:4" x14ac:dyDescent="0.45">
      <c r="A1356">
        <v>225</v>
      </c>
      <c r="B1356" s="3">
        <f t="shared" ca="1" si="21"/>
        <v>107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6" t="str">
        <f ca="1">IF(dict_zuord_Meth_Transfers[[#This Row],[kval_active]],dict_zuord_Meth_Transfers[[#This Row],[ID_Transfers]],"")</f>
        <v/>
      </c>
    </row>
    <row r="1357" spans="1:4" x14ac:dyDescent="0.45">
      <c r="A1357">
        <v>225</v>
      </c>
      <c r="B1357" s="3">
        <f t="shared" ca="1" si="21"/>
        <v>85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7" t="str">
        <f ca="1">IF(dict_zuord_Meth_Transfers[[#This Row],[kval_active]],dict_zuord_Meth_Transfers[[#This Row],[ID_Transfers]],"")</f>
        <v/>
      </c>
    </row>
    <row r="1358" spans="1:4" x14ac:dyDescent="0.45">
      <c r="A1358">
        <v>226</v>
      </c>
      <c r="B1358" s="3">
        <f t="shared" ca="1" si="21"/>
        <v>193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8" t="str">
        <f ca="1">IF(dict_zuord_Meth_Transfers[[#This Row],[kval_active]],dict_zuord_Meth_Transfers[[#This Row],[ID_Transfers]],"")</f>
        <v/>
      </c>
    </row>
    <row r="1359" spans="1:4" x14ac:dyDescent="0.45">
      <c r="A1359">
        <v>226</v>
      </c>
      <c r="B1359" s="3">
        <f t="shared" ca="1" si="21"/>
        <v>128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9" t="str">
        <f ca="1">IF(dict_zuord_Meth_Transfers[[#This Row],[kval_active]],dict_zuord_Meth_Transfers[[#This Row],[ID_Transfers]],"")</f>
        <v/>
      </c>
    </row>
    <row r="1360" spans="1:4" x14ac:dyDescent="0.45">
      <c r="A1360">
        <v>226</v>
      </c>
      <c r="B1360" s="3">
        <f t="shared" ca="1" si="21"/>
        <v>59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0" t="str">
        <f ca="1">IF(dict_zuord_Meth_Transfers[[#This Row],[kval_active]],dict_zuord_Meth_Transfers[[#This Row],[ID_Transfers]],"")</f>
        <v/>
      </c>
    </row>
    <row r="1361" spans="1:4" x14ac:dyDescent="0.45">
      <c r="A1361">
        <v>226</v>
      </c>
      <c r="B1361">
        <f t="shared" ca="1" si="21"/>
        <v>37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1" t="str">
        <f ca="1">IF(dict_zuord_Meth_Transfers[[#This Row],[kval_active]],dict_zuord_Meth_Transfers[[#This Row],[ID_Transfers]],"")</f>
        <v/>
      </c>
    </row>
    <row r="1362" spans="1:4" x14ac:dyDescent="0.45">
      <c r="A1362">
        <v>226</v>
      </c>
      <c r="B1362">
        <f t="shared" ca="1" si="21"/>
        <v>145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2" t="str">
        <f ca="1">IF(dict_zuord_Meth_Transfers[[#This Row],[kval_active]],dict_zuord_Meth_Transfers[[#This Row],[ID_Transfers]],"")</f>
        <v/>
      </c>
    </row>
    <row r="1363" spans="1:4" x14ac:dyDescent="0.45">
      <c r="A1363">
        <v>226</v>
      </c>
      <c r="B1363">
        <f t="shared" ca="1" si="21"/>
        <v>60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3" t="str">
        <f ca="1">IF(dict_zuord_Meth_Transfers[[#This Row],[kval_active]],dict_zuord_Meth_Transfers[[#This Row],[ID_Transfers]],"")</f>
        <v/>
      </c>
    </row>
    <row r="1364" spans="1:4" x14ac:dyDescent="0.45">
      <c r="A1364">
        <v>227</v>
      </c>
      <c r="B1364" s="3">
        <f t="shared" ca="1" si="21"/>
        <v>3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4" t="str">
        <f ca="1">IF(dict_zuord_Meth_Transfers[[#This Row],[kval_active]],dict_zuord_Meth_Transfers[[#This Row],[ID_Transfers]],"")</f>
        <v/>
      </c>
    </row>
    <row r="1365" spans="1:4" x14ac:dyDescent="0.45">
      <c r="A1365">
        <v>227</v>
      </c>
      <c r="B1365">
        <f t="shared" ca="1" si="21"/>
        <v>186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5" t="str">
        <f ca="1">IF(dict_zuord_Meth_Transfers[[#This Row],[kval_active]],dict_zuord_Meth_Transfers[[#This Row],[ID_Transfers]],"")</f>
        <v/>
      </c>
    </row>
    <row r="1366" spans="1:4" x14ac:dyDescent="0.45">
      <c r="A1366">
        <v>227</v>
      </c>
      <c r="B1366" s="3">
        <f t="shared" ca="1" si="21"/>
        <v>52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6" t="str">
        <f ca="1">IF(dict_zuord_Meth_Transfers[[#This Row],[kval_active]],dict_zuord_Meth_Transfers[[#This Row],[ID_Transfers]],"")</f>
        <v/>
      </c>
    </row>
    <row r="1367" spans="1:4" x14ac:dyDescent="0.45">
      <c r="A1367">
        <v>227</v>
      </c>
      <c r="B1367">
        <f t="shared" ca="1" si="21"/>
        <v>5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7" t="str">
        <f ca="1">IF(dict_zuord_Meth_Transfers[[#This Row],[kval_active]],dict_zuord_Meth_Transfers[[#This Row],[ID_Transfers]],"")</f>
        <v/>
      </c>
    </row>
    <row r="1368" spans="1:4" x14ac:dyDescent="0.45">
      <c r="A1368">
        <v>227</v>
      </c>
      <c r="B1368">
        <f t="shared" ca="1" si="21"/>
        <v>128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8" t="str">
        <f ca="1">IF(dict_zuord_Meth_Transfers[[#This Row],[kval_active]],dict_zuord_Meth_Transfers[[#This Row],[ID_Transfers]],"")</f>
        <v/>
      </c>
    </row>
    <row r="1369" spans="1:4" x14ac:dyDescent="0.45">
      <c r="A1369">
        <v>227</v>
      </c>
      <c r="B1369" s="3">
        <f t="shared" ca="1" si="21"/>
        <v>31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9" t="str">
        <f ca="1">IF(dict_zuord_Meth_Transfers[[#This Row],[kval_active]],dict_zuord_Meth_Transfers[[#This Row],[ID_Transfers]],"")</f>
        <v/>
      </c>
    </row>
    <row r="1370" spans="1:4" x14ac:dyDescent="0.45">
      <c r="A1370">
        <v>228</v>
      </c>
      <c r="B1370">
        <f t="shared" ca="1" si="21"/>
        <v>160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0" t="str">
        <f ca="1">IF(dict_zuord_Meth_Transfers[[#This Row],[kval_active]],dict_zuord_Meth_Transfers[[#This Row],[ID_Transfers]],"")</f>
        <v/>
      </c>
    </row>
    <row r="1371" spans="1:4" x14ac:dyDescent="0.45">
      <c r="A1371">
        <v>228</v>
      </c>
      <c r="B1371" s="3">
        <f t="shared" ca="1" si="21"/>
        <v>78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1" t="str">
        <f ca="1">IF(dict_zuord_Meth_Transfers[[#This Row],[kval_active]],dict_zuord_Meth_Transfers[[#This Row],[ID_Transfers]],"")</f>
        <v/>
      </c>
    </row>
    <row r="1372" spans="1:4" x14ac:dyDescent="0.45">
      <c r="A1372">
        <v>228</v>
      </c>
      <c r="B1372" s="3">
        <f t="shared" ca="1" si="21"/>
        <v>140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2" t="str">
        <f ca="1">IF(dict_zuord_Meth_Transfers[[#This Row],[kval_active]],dict_zuord_Meth_Transfers[[#This Row],[ID_Transfers]],"")</f>
        <v/>
      </c>
    </row>
    <row r="1373" spans="1:4" x14ac:dyDescent="0.45">
      <c r="A1373">
        <v>228</v>
      </c>
      <c r="B1373" s="3">
        <f t="shared" ca="1" si="21"/>
        <v>3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3" t="str">
        <f ca="1">IF(dict_zuord_Meth_Transfers[[#This Row],[kval_active]],dict_zuord_Meth_Transfers[[#This Row],[ID_Transfers]],"")</f>
        <v/>
      </c>
    </row>
    <row r="1374" spans="1:4" x14ac:dyDescent="0.45">
      <c r="A1374">
        <v>228</v>
      </c>
      <c r="B1374">
        <f t="shared" ca="1" si="21"/>
        <v>108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4" t="str">
        <f ca="1">IF(dict_zuord_Meth_Transfers[[#This Row],[kval_active]],dict_zuord_Meth_Transfers[[#This Row],[ID_Transfers]],"")</f>
        <v/>
      </c>
    </row>
    <row r="1375" spans="1:4" x14ac:dyDescent="0.45">
      <c r="A1375">
        <v>228</v>
      </c>
      <c r="B1375">
        <f t="shared" ca="1" si="21"/>
        <v>178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5" t="str">
        <f ca="1">IF(dict_zuord_Meth_Transfers[[#This Row],[kval_active]],dict_zuord_Meth_Transfers[[#This Row],[ID_Transfers]],"")</f>
        <v/>
      </c>
    </row>
    <row r="1376" spans="1:4" x14ac:dyDescent="0.45">
      <c r="A1376">
        <v>229</v>
      </c>
      <c r="B1376">
        <f t="shared" ca="1" si="21"/>
        <v>169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6" t="str">
        <f ca="1">IF(dict_zuord_Meth_Transfers[[#This Row],[kval_active]],dict_zuord_Meth_Transfers[[#This Row],[ID_Transfers]],"")</f>
        <v/>
      </c>
    </row>
    <row r="1377" spans="1:4" x14ac:dyDescent="0.45">
      <c r="A1377">
        <v>229</v>
      </c>
      <c r="B1377" s="3">
        <f t="shared" ca="1" si="21"/>
        <v>66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7" t="str">
        <f ca="1">IF(dict_zuord_Meth_Transfers[[#This Row],[kval_active]],dict_zuord_Meth_Transfers[[#This Row],[ID_Transfers]],"")</f>
        <v/>
      </c>
    </row>
    <row r="1378" spans="1:4" x14ac:dyDescent="0.45">
      <c r="A1378">
        <v>229</v>
      </c>
      <c r="B1378" s="3">
        <f t="shared" ca="1" si="21"/>
        <v>160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8" t="str">
        <f ca="1">IF(dict_zuord_Meth_Transfers[[#This Row],[kval_active]],dict_zuord_Meth_Transfers[[#This Row],[ID_Transfers]],"")</f>
        <v/>
      </c>
    </row>
    <row r="1379" spans="1:4" x14ac:dyDescent="0.45">
      <c r="A1379">
        <v>229</v>
      </c>
      <c r="B1379" s="3">
        <f t="shared" ca="1" si="21"/>
        <v>6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9" t="str">
        <f ca="1">IF(dict_zuord_Meth_Transfers[[#This Row],[kval_active]],dict_zuord_Meth_Transfers[[#This Row],[ID_Transfers]],"")</f>
        <v/>
      </c>
    </row>
    <row r="1380" spans="1:4" x14ac:dyDescent="0.45">
      <c r="A1380">
        <v>229</v>
      </c>
      <c r="B1380">
        <f t="shared" ca="1" si="21"/>
        <v>33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0" t="str">
        <f ca="1">IF(dict_zuord_Meth_Transfers[[#This Row],[kval_active]],dict_zuord_Meth_Transfers[[#This Row],[ID_Transfers]],"")</f>
        <v/>
      </c>
    </row>
    <row r="1381" spans="1:4" x14ac:dyDescent="0.45">
      <c r="A1381">
        <v>229</v>
      </c>
      <c r="B1381">
        <f t="shared" ca="1" si="21"/>
        <v>54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1" t="str">
        <f ca="1">IF(dict_zuord_Meth_Transfers[[#This Row],[kval_active]],dict_zuord_Meth_Transfers[[#This Row],[ID_Transfers]],"")</f>
        <v/>
      </c>
    </row>
    <row r="1382" spans="1:4" x14ac:dyDescent="0.45">
      <c r="A1382">
        <v>230</v>
      </c>
      <c r="B1382" s="3">
        <f t="shared" ca="1" si="21"/>
        <v>20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2" t="str">
        <f ca="1">IF(dict_zuord_Meth_Transfers[[#This Row],[kval_active]],dict_zuord_Meth_Transfers[[#This Row],[ID_Transfers]],"")</f>
        <v/>
      </c>
    </row>
    <row r="1383" spans="1:4" x14ac:dyDescent="0.45">
      <c r="A1383">
        <v>230</v>
      </c>
      <c r="B1383">
        <f t="shared" ca="1" si="21"/>
        <v>13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3" t="str">
        <f ca="1">IF(dict_zuord_Meth_Transfers[[#This Row],[kval_active]],dict_zuord_Meth_Transfers[[#This Row],[ID_Transfers]],"")</f>
        <v/>
      </c>
    </row>
    <row r="1384" spans="1:4" x14ac:dyDescent="0.45">
      <c r="A1384">
        <v>230</v>
      </c>
      <c r="B1384" s="3">
        <f t="shared" ca="1" si="21"/>
        <v>34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4" t="str">
        <f ca="1">IF(dict_zuord_Meth_Transfers[[#This Row],[kval_active]],dict_zuord_Meth_Transfers[[#This Row],[ID_Transfers]],"")</f>
        <v/>
      </c>
    </row>
    <row r="1385" spans="1:4" x14ac:dyDescent="0.45">
      <c r="A1385">
        <v>230</v>
      </c>
      <c r="B1385" s="3">
        <f t="shared" ca="1" si="21"/>
        <v>182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5" t="str">
        <f ca="1">IF(dict_zuord_Meth_Transfers[[#This Row],[kval_active]],dict_zuord_Meth_Transfers[[#This Row],[ID_Transfers]],"")</f>
        <v/>
      </c>
    </row>
    <row r="1386" spans="1:4" x14ac:dyDescent="0.45">
      <c r="A1386">
        <v>230</v>
      </c>
      <c r="B1386">
        <f t="shared" ca="1" si="21"/>
        <v>69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6" t="str">
        <f ca="1">IF(dict_zuord_Meth_Transfers[[#This Row],[kval_active]],dict_zuord_Meth_Transfers[[#This Row],[ID_Transfers]],"")</f>
        <v/>
      </c>
    </row>
    <row r="1387" spans="1:4" x14ac:dyDescent="0.45">
      <c r="A1387">
        <v>230</v>
      </c>
      <c r="B1387">
        <f t="shared" ca="1" si="21"/>
        <v>180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7" t="str">
        <f ca="1">IF(dict_zuord_Meth_Transfers[[#This Row],[kval_active]],dict_zuord_Meth_Transfers[[#This Row],[ID_Transfers]],"")</f>
        <v/>
      </c>
    </row>
    <row r="1388" spans="1:4" x14ac:dyDescent="0.45">
      <c r="A1388">
        <v>231</v>
      </c>
      <c r="B1388">
        <f t="shared" ca="1" si="21"/>
        <v>61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8" t="str">
        <f ca="1">IF(dict_zuord_Meth_Transfers[[#This Row],[kval_active]],dict_zuord_Meth_Transfers[[#This Row],[ID_Transfers]],"")</f>
        <v/>
      </c>
    </row>
    <row r="1389" spans="1:4" x14ac:dyDescent="0.45">
      <c r="A1389">
        <v>231</v>
      </c>
      <c r="B1389" s="3">
        <f t="shared" ca="1" si="21"/>
        <v>122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9" t="str">
        <f ca="1">IF(dict_zuord_Meth_Transfers[[#This Row],[kval_active]],dict_zuord_Meth_Transfers[[#This Row],[ID_Transfers]],"")</f>
        <v/>
      </c>
    </row>
    <row r="1390" spans="1:4" x14ac:dyDescent="0.45">
      <c r="A1390">
        <v>231</v>
      </c>
      <c r="B1390">
        <f t="shared" ca="1" si="21"/>
        <v>76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0" t="str">
        <f ca="1">IF(dict_zuord_Meth_Transfers[[#This Row],[kval_active]],dict_zuord_Meth_Transfers[[#This Row],[ID_Transfers]],"")</f>
        <v/>
      </c>
    </row>
    <row r="1391" spans="1:4" x14ac:dyDescent="0.45">
      <c r="A1391">
        <v>231</v>
      </c>
      <c r="B1391" s="3">
        <f t="shared" ca="1" si="21"/>
        <v>115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1" t="str">
        <f ca="1">IF(dict_zuord_Meth_Transfers[[#This Row],[kval_active]],dict_zuord_Meth_Transfers[[#This Row],[ID_Transfers]],"")</f>
        <v/>
      </c>
    </row>
    <row r="1392" spans="1:4" x14ac:dyDescent="0.45">
      <c r="A1392">
        <v>231</v>
      </c>
      <c r="B1392">
        <f t="shared" ca="1" si="21"/>
        <v>191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2" t="str">
        <f ca="1">IF(dict_zuord_Meth_Transfers[[#This Row],[kval_active]],dict_zuord_Meth_Transfers[[#This Row],[ID_Transfers]],"")</f>
        <v/>
      </c>
    </row>
    <row r="1393" spans="1:4" x14ac:dyDescent="0.45">
      <c r="A1393">
        <v>231</v>
      </c>
      <c r="B1393" s="3">
        <f t="shared" ca="1" si="21"/>
        <v>45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3" t="str">
        <f ca="1">IF(dict_zuord_Meth_Transfers[[#This Row],[kval_active]],dict_zuord_Meth_Transfers[[#This Row],[ID_Transfers]],"")</f>
        <v/>
      </c>
    </row>
    <row r="1394" spans="1:4" x14ac:dyDescent="0.45">
      <c r="A1394">
        <v>232</v>
      </c>
      <c r="B1394" s="3">
        <f t="shared" ca="1" si="21"/>
        <v>175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4" t="str">
        <f ca="1">IF(dict_zuord_Meth_Transfers[[#This Row],[kval_active]],dict_zuord_Meth_Transfers[[#This Row],[ID_Transfers]],"")</f>
        <v/>
      </c>
    </row>
    <row r="1395" spans="1:4" x14ac:dyDescent="0.45">
      <c r="A1395">
        <v>232</v>
      </c>
      <c r="B1395">
        <f t="shared" ca="1" si="21"/>
        <v>50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5" t="str">
        <f ca="1">IF(dict_zuord_Meth_Transfers[[#This Row],[kval_active]],dict_zuord_Meth_Transfers[[#This Row],[ID_Transfers]],"")</f>
        <v/>
      </c>
    </row>
    <row r="1396" spans="1:4" x14ac:dyDescent="0.45">
      <c r="A1396">
        <v>232</v>
      </c>
      <c r="B1396">
        <f t="shared" ca="1" si="21"/>
        <v>20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6" t="str">
        <f ca="1">IF(dict_zuord_Meth_Transfers[[#This Row],[kval_active]],dict_zuord_Meth_Transfers[[#This Row],[ID_Transfers]],"")</f>
        <v/>
      </c>
    </row>
    <row r="1397" spans="1:4" x14ac:dyDescent="0.45">
      <c r="A1397">
        <v>232</v>
      </c>
      <c r="B1397" s="3">
        <f t="shared" ca="1" si="21"/>
        <v>57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7" t="str">
        <f ca="1">IF(dict_zuord_Meth_Transfers[[#This Row],[kval_active]],dict_zuord_Meth_Transfers[[#This Row],[ID_Transfers]],"")</f>
        <v/>
      </c>
    </row>
    <row r="1398" spans="1:4" x14ac:dyDescent="0.45">
      <c r="A1398">
        <v>232</v>
      </c>
      <c r="B1398" s="3">
        <f t="shared" ca="1" si="21"/>
        <v>70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8" t="str">
        <f ca="1">IF(dict_zuord_Meth_Transfers[[#This Row],[kval_active]],dict_zuord_Meth_Transfers[[#This Row],[ID_Transfers]],"")</f>
        <v/>
      </c>
    </row>
    <row r="1399" spans="1:4" x14ac:dyDescent="0.45">
      <c r="A1399">
        <v>232</v>
      </c>
      <c r="B1399">
        <f t="shared" ca="1" si="21"/>
        <v>4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9" t="str">
        <f ca="1">IF(dict_zuord_Meth_Transfers[[#This Row],[kval_active]],dict_zuord_Meth_Transfers[[#This Row],[ID_Transfers]],"")</f>
        <v/>
      </c>
    </row>
    <row r="1400" spans="1:4" x14ac:dyDescent="0.45">
      <c r="A1400">
        <v>233</v>
      </c>
      <c r="B1400">
        <f t="shared" ca="1" si="21"/>
        <v>73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0" t="str">
        <f ca="1">IF(dict_zuord_Meth_Transfers[[#This Row],[kval_active]],dict_zuord_Meth_Transfers[[#This Row],[ID_Transfers]],"")</f>
        <v/>
      </c>
    </row>
    <row r="1401" spans="1:4" x14ac:dyDescent="0.45">
      <c r="A1401">
        <v>233</v>
      </c>
      <c r="B1401">
        <f t="shared" ca="1" si="21"/>
        <v>32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1" t="str">
        <f ca="1">IF(dict_zuord_Meth_Transfers[[#This Row],[kval_active]],dict_zuord_Meth_Transfers[[#This Row],[ID_Transfers]],"")</f>
        <v/>
      </c>
    </row>
    <row r="1402" spans="1:4" x14ac:dyDescent="0.45">
      <c r="A1402">
        <v>233</v>
      </c>
      <c r="B1402" s="3">
        <f t="shared" ca="1" si="21"/>
        <v>43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2" t="str">
        <f ca="1">IF(dict_zuord_Meth_Transfers[[#This Row],[kval_active]],dict_zuord_Meth_Transfers[[#This Row],[ID_Transfers]],"")</f>
        <v/>
      </c>
    </row>
    <row r="1403" spans="1:4" x14ac:dyDescent="0.45">
      <c r="A1403">
        <v>233</v>
      </c>
      <c r="B1403" s="3">
        <f t="shared" ca="1" si="21"/>
        <v>52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3" t="str">
        <f ca="1">IF(dict_zuord_Meth_Transfers[[#This Row],[kval_active]],dict_zuord_Meth_Transfers[[#This Row],[ID_Transfers]],"")</f>
        <v/>
      </c>
    </row>
    <row r="1404" spans="1:4" x14ac:dyDescent="0.45">
      <c r="A1404">
        <v>233</v>
      </c>
      <c r="B1404">
        <f t="shared" ca="1" si="21"/>
        <v>44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4" t="str">
        <f ca="1">IF(dict_zuord_Meth_Transfers[[#This Row],[kval_active]],dict_zuord_Meth_Transfers[[#This Row],[ID_Transfers]],"")</f>
        <v/>
      </c>
    </row>
    <row r="1405" spans="1:4" x14ac:dyDescent="0.45">
      <c r="A1405">
        <v>233</v>
      </c>
      <c r="B1405" s="3">
        <f t="shared" ca="1" si="21"/>
        <v>122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5" t="str">
        <f ca="1">IF(dict_zuord_Meth_Transfers[[#This Row],[kval_active]],dict_zuord_Meth_Transfers[[#This Row],[ID_Transfers]],"")</f>
        <v/>
      </c>
    </row>
    <row r="1406" spans="1:4" x14ac:dyDescent="0.45">
      <c r="A1406">
        <v>234</v>
      </c>
      <c r="B1406" s="3">
        <f t="shared" ca="1" si="21"/>
        <v>1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6" t="str">
        <f ca="1">IF(dict_zuord_Meth_Transfers[[#This Row],[kval_active]],dict_zuord_Meth_Transfers[[#This Row],[ID_Transfers]],"")</f>
        <v/>
      </c>
    </row>
    <row r="1407" spans="1:4" x14ac:dyDescent="0.45">
      <c r="A1407">
        <v>234</v>
      </c>
      <c r="B1407">
        <f t="shared" ca="1" si="21"/>
        <v>39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7" t="str">
        <f ca="1">IF(dict_zuord_Meth_Transfers[[#This Row],[kval_active]],dict_zuord_Meth_Transfers[[#This Row],[ID_Transfers]],"")</f>
        <v/>
      </c>
    </row>
    <row r="1408" spans="1:4" x14ac:dyDescent="0.45">
      <c r="A1408">
        <v>234</v>
      </c>
      <c r="B1408">
        <f t="shared" ca="1" si="21"/>
        <v>40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8" t="str">
        <f ca="1">IF(dict_zuord_Meth_Transfers[[#This Row],[kval_active]],dict_zuord_Meth_Transfers[[#This Row],[ID_Transfers]],"")</f>
        <v/>
      </c>
    </row>
    <row r="1409" spans="1:4" x14ac:dyDescent="0.45">
      <c r="A1409">
        <v>234</v>
      </c>
      <c r="B1409" s="3">
        <f t="shared" ca="1" si="21"/>
        <v>71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9" t="str">
        <f ca="1">IF(dict_zuord_Meth_Transfers[[#This Row],[kval_active]],dict_zuord_Meth_Transfers[[#This Row],[ID_Transfers]],"")</f>
        <v/>
      </c>
    </row>
    <row r="1410" spans="1:4" x14ac:dyDescent="0.45">
      <c r="A1410">
        <v>234</v>
      </c>
      <c r="B1410" s="3">
        <f t="shared" ref="B1410:B1473" ca="1" si="22">RANDBETWEEN(0,200)</f>
        <v>34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0" t="str">
        <f ca="1">IF(dict_zuord_Meth_Transfers[[#This Row],[kval_active]],dict_zuord_Meth_Transfers[[#This Row],[ID_Transfers]],"")</f>
        <v/>
      </c>
    </row>
    <row r="1411" spans="1:4" x14ac:dyDescent="0.45">
      <c r="A1411">
        <v>234</v>
      </c>
      <c r="B1411">
        <f t="shared" ca="1" si="22"/>
        <v>55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1" t="str">
        <f ca="1">IF(dict_zuord_Meth_Transfers[[#This Row],[kval_active]],dict_zuord_Meth_Transfers[[#This Row],[ID_Transfers]],"")</f>
        <v/>
      </c>
    </row>
    <row r="1412" spans="1:4" x14ac:dyDescent="0.45">
      <c r="A1412">
        <v>235</v>
      </c>
      <c r="B1412">
        <f t="shared" ca="1" si="22"/>
        <v>15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2" t="str">
        <f ca="1">IF(dict_zuord_Meth_Transfers[[#This Row],[kval_active]],dict_zuord_Meth_Transfers[[#This Row],[ID_Transfers]],"")</f>
        <v/>
      </c>
    </row>
    <row r="1413" spans="1:4" x14ac:dyDescent="0.45">
      <c r="A1413">
        <v>235</v>
      </c>
      <c r="B1413">
        <f t="shared" ca="1" si="22"/>
        <v>28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3" t="str">
        <f ca="1">IF(dict_zuord_Meth_Transfers[[#This Row],[kval_active]],dict_zuord_Meth_Transfers[[#This Row],[ID_Transfers]],"")</f>
        <v/>
      </c>
    </row>
    <row r="1414" spans="1:4" x14ac:dyDescent="0.45">
      <c r="A1414">
        <v>235</v>
      </c>
      <c r="B1414" s="3">
        <f t="shared" ca="1" si="22"/>
        <v>47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4" t="str">
        <f ca="1">IF(dict_zuord_Meth_Transfers[[#This Row],[kval_active]],dict_zuord_Meth_Transfers[[#This Row],[ID_Transfers]],"")</f>
        <v/>
      </c>
    </row>
    <row r="1415" spans="1:4" x14ac:dyDescent="0.45">
      <c r="A1415">
        <v>235</v>
      </c>
      <c r="B1415" s="3">
        <f t="shared" ca="1" si="22"/>
        <v>7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5" t="str">
        <f ca="1">IF(dict_zuord_Meth_Transfers[[#This Row],[kval_active]],dict_zuord_Meth_Transfers[[#This Row],[ID_Transfers]],"")</f>
        <v/>
      </c>
    </row>
    <row r="1416" spans="1:4" x14ac:dyDescent="0.45">
      <c r="A1416">
        <v>235</v>
      </c>
      <c r="B1416">
        <f t="shared" ca="1" si="22"/>
        <v>22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6" t="str">
        <f ca="1">IF(dict_zuord_Meth_Transfers[[#This Row],[kval_active]],dict_zuord_Meth_Transfers[[#This Row],[ID_Transfers]],"")</f>
        <v/>
      </c>
    </row>
    <row r="1417" spans="1:4" x14ac:dyDescent="0.45">
      <c r="A1417">
        <v>235</v>
      </c>
      <c r="B1417" s="3">
        <f t="shared" ca="1" si="22"/>
        <v>10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7" t="str">
        <f ca="1">IF(dict_zuord_Meth_Transfers[[#This Row],[kval_active]],dict_zuord_Meth_Transfers[[#This Row],[ID_Transfers]],"")</f>
        <v/>
      </c>
    </row>
    <row r="1418" spans="1:4" x14ac:dyDescent="0.45">
      <c r="A1418">
        <v>236</v>
      </c>
      <c r="B1418" s="3">
        <f t="shared" ca="1" si="22"/>
        <v>27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8" t="str">
        <f ca="1">IF(dict_zuord_Meth_Transfers[[#This Row],[kval_active]],dict_zuord_Meth_Transfers[[#This Row],[ID_Transfers]],"")</f>
        <v/>
      </c>
    </row>
    <row r="1419" spans="1:4" x14ac:dyDescent="0.45">
      <c r="A1419">
        <v>236</v>
      </c>
      <c r="B1419">
        <f t="shared" ca="1" si="22"/>
        <v>3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9" t="str">
        <f ca="1">IF(dict_zuord_Meth_Transfers[[#This Row],[kval_active]],dict_zuord_Meth_Transfers[[#This Row],[ID_Transfers]],"")</f>
        <v/>
      </c>
    </row>
    <row r="1420" spans="1:4" x14ac:dyDescent="0.45">
      <c r="A1420">
        <v>236</v>
      </c>
      <c r="B1420">
        <f t="shared" ca="1" si="22"/>
        <v>47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0" t="str">
        <f ca="1">IF(dict_zuord_Meth_Transfers[[#This Row],[kval_active]],dict_zuord_Meth_Transfers[[#This Row],[ID_Transfers]],"")</f>
        <v/>
      </c>
    </row>
    <row r="1421" spans="1:4" x14ac:dyDescent="0.45">
      <c r="A1421">
        <v>236</v>
      </c>
      <c r="B1421">
        <f t="shared" ca="1" si="22"/>
        <v>37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1" t="str">
        <f ca="1">IF(dict_zuord_Meth_Transfers[[#This Row],[kval_active]],dict_zuord_Meth_Transfers[[#This Row],[ID_Transfers]],"")</f>
        <v/>
      </c>
    </row>
    <row r="1422" spans="1:4" x14ac:dyDescent="0.45">
      <c r="A1422">
        <v>236</v>
      </c>
      <c r="B1422" s="3">
        <f t="shared" ca="1" si="22"/>
        <v>77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2" t="str">
        <f ca="1">IF(dict_zuord_Meth_Transfers[[#This Row],[kval_active]],dict_zuord_Meth_Transfers[[#This Row],[ID_Transfers]],"")</f>
        <v/>
      </c>
    </row>
    <row r="1423" spans="1:4" x14ac:dyDescent="0.45">
      <c r="A1423">
        <v>236</v>
      </c>
      <c r="B1423" s="3">
        <f t="shared" ca="1" si="22"/>
        <v>16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3" t="str">
        <f ca="1">IF(dict_zuord_Meth_Transfers[[#This Row],[kval_active]],dict_zuord_Meth_Transfers[[#This Row],[ID_Transfers]],"")</f>
        <v/>
      </c>
    </row>
    <row r="1424" spans="1:4" x14ac:dyDescent="0.45">
      <c r="A1424">
        <v>237</v>
      </c>
      <c r="B1424">
        <f t="shared" ca="1" si="22"/>
        <v>189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4" t="str">
        <f ca="1">IF(dict_zuord_Meth_Transfers[[#This Row],[kval_active]],dict_zuord_Meth_Transfers[[#This Row],[ID_Transfers]],"")</f>
        <v/>
      </c>
    </row>
    <row r="1425" spans="1:4" x14ac:dyDescent="0.45">
      <c r="A1425">
        <v>237</v>
      </c>
      <c r="B1425">
        <f t="shared" ca="1" si="22"/>
        <v>94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5" t="str">
        <f ca="1">IF(dict_zuord_Meth_Transfers[[#This Row],[kval_active]],dict_zuord_Meth_Transfers[[#This Row],[ID_Transfers]],"")</f>
        <v/>
      </c>
    </row>
    <row r="1426" spans="1:4" x14ac:dyDescent="0.45">
      <c r="A1426">
        <v>237</v>
      </c>
      <c r="B1426">
        <f t="shared" ca="1" si="22"/>
        <v>92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6" t="str">
        <f ca="1">IF(dict_zuord_Meth_Transfers[[#This Row],[kval_active]],dict_zuord_Meth_Transfers[[#This Row],[ID_Transfers]],"")</f>
        <v/>
      </c>
    </row>
    <row r="1427" spans="1:4" x14ac:dyDescent="0.45">
      <c r="A1427">
        <v>237</v>
      </c>
      <c r="B1427" s="3">
        <f t="shared" ca="1" si="22"/>
        <v>114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7" t="str">
        <f ca="1">IF(dict_zuord_Meth_Transfers[[#This Row],[kval_active]],dict_zuord_Meth_Transfers[[#This Row],[ID_Transfers]],"")</f>
        <v/>
      </c>
    </row>
    <row r="1428" spans="1:4" x14ac:dyDescent="0.45">
      <c r="A1428">
        <v>237</v>
      </c>
      <c r="B1428" s="3">
        <f t="shared" ca="1" si="22"/>
        <v>0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8" t="str">
        <f ca="1">IF(dict_zuord_Meth_Transfers[[#This Row],[kval_active]],dict_zuord_Meth_Transfers[[#This Row],[ID_Transfers]],"")</f>
        <v/>
      </c>
    </row>
    <row r="1429" spans="1:4" x14ac:dyDescent="0.45">
      <c r="A1429">
        <v>237</v>
      </c>
      <c r="B1429" s="3">
        <f t="shared" ca="1" si="22"/>
        <v>37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9" t="str">
        <f ca="1">IF(dict_zuord_Meth_Transfers[[#This Row],[kval_active]],dict_zuord_Meth_Transfers[[#This Row],[ID_Transfers]],"")</f>
        <v/>
      </c>
    </row>
    <row r="1430" spans="1:4" x14ac:dyDescent="0.45">
      <c r="A1430">
        <v>238</v>
      </c>
      <c r="B1430" s="3">
        <f t="shared" ca="1" si="22"/>
        <v>196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0" t="str">
        <f ca="1">IF(dict_zuord_Meth_Transfers[[#This Row],[kval_active]],dict_zuord_Meth_Transfers[[#This Row],[ID_Transfers]],"")</f>
        <v/>
      </c>
    </row>
    <row r="1431" spans="1:4" x14ac:dyDescent="0.45">
      <c r="A1431">
        <v>238</v>
      </c>
      <c r="B1431">
        <f t="shared" ca="1" si="22"/>
        <v>185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1" t="str">
        <f ca="1">IF(dict_zuord_Meth_Transfers[[#This Row],[kval_active]],dict_zuord_Meth_Transfers[[#This Row],[ID_Transfers]],"")</f>
        <v/>
      </c>
    </row>
    <row r="1432" spans="1:4" x14ac:dyDescent="0.45">
      <c r="A1432">
        <v>238</v>
      </c>
      <c r="B1432" s="3">
        <f t="shared" ca="1" si="22"/>
        <v>88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2" t="str">
        <f ca="1">IF(dict_zuord_Meth_Transfers[[#This Row],[kval_active]],dict_zuord_Meth_Transfers[[#This Row],[ID_Transfers]],"")</f>
        <v/>
      </c>
    </row>
    <row r="1433" spans="1:4" x14ac:dyDescent="0.45">
      <c r="A1433">
        <v>238</v>
      </c>
      <c r="B1433">
        <f t="shared" ca="1" si="22"/>
        <v>7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3" t="str">
        <f ca="1">IF(dict_zuord_Meth_Transfers[[#This Row],[kval_active]],dict_zuord_Meth_Transfers[[#This Row],[ID_Transfers]],"")</f>
        <v/>
      </c>
    </row>
    <row r="1434" spans="1:4" x14ac:dyDescent="0.45">
      <c r="A1434">
        <v>238</v>
      </c>
      <c r="B1434" s="3">
        <f t="shared" ca="1" si="22"/>
        <v>67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4" t="str">
        <f ca="1">IF(dict_zuord_Meth_Transfers[[#This Row],[kval_active]],dict_zuord_Meth_Transfers[[#This Row],[ID_Transfers]],"")</f>
        <v/>
      </c>
    </row>
    <row r="1435" spans="1:4" x14ac:dyDescent="0.45">
      <c r="A1435">
        <v>238</v>
      </c>
      <c r="B1435">
        <f t="shared" ca="1" si="22"/>
        <v>141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5" t="str">
        <f ca="1">IF(dict_zuord_Meth_Transfers[[#This Row],[kval_active]],dict_zuord_Meth_Transfers[[#This Row],[ID_Transfers]],"")</f>
        <v/>
      </c>
    </row>
    <row r="1436" spans="1:4" x14ac:dyDescent="0.45">
      <c r="A1436">
        <v>239</v>
      </c>
      <c r="B1436" s="3">
        <f t="shared" ca="1" si="22"/>
        <v>146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6" t="str">
        <f ca="1">IF(dict_zuord_Meth_Transfers[[#This Row],[kval_active]],dict_zuord_Meth_Transfers[[#This Row],[ID_Transfers]],"")</f>
        <v/>
      </c>
    </row>
    <row r="1437" spans="1:4" x14ac:dyDescent="0.45">
      <c r="A1437">
        <v>239</v>
      </c>
      <c r="B1437">
        <f t="shared" ca="1" si="22"/>
        <v>145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7" t="str">
        <f ca="1">IF(dict_zuord_Meth_Transfers[[#This Row],[kval_active]],dict_zuord_Meth_Transfers[[#This Row],[ID_Transfers]],"")</f>
        <v/>
      </c>
    </row>
    <row r="1438" spans="1:4" x14ac:dyDescent="0.45">
      <c r="A1438">
        <v>239</v>
      </c>
      <c r="B1438">
        <f t="shared" ca="1" si="22"/>
        <v>59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8" t="str">
        <f ca="1">IF(dict_zuord_Meth_Transfers[[#This Row],[kval_active]],dict_zuord_Meth_Transfers[[#This Row],[ID_Transfers]],"")</f>
        <v/>
      </c>
    </row>
    <row r="1439" spans="1:4" x14ac:dyDescent="0.45">
      <c r="A1439">
        <v>239</v>
      </c>
      <c r="B1439" s="3">
        <f t="shared" ca="1" si="22"/>
        <v>92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9" t="str">
        <f ca="1">IF(dict_zuord_Meth_Transfers[[#This Row],[kval_active]],dict_zuord_Meth_Transfers[[#This Row],[ID_Transfers]],"")</f>
        <v/>
      </c>
    </row>
    <row r="1440" spans="1:4" x14ac:dyDescent="0.45">
      <c r="A1440">
        <v>239</v>
      </c>
      <c r="B1440">
        <f t="shared" ca="1" si="22"/>
        <v>13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0" t="str">
        <f ca="1">IF(dict_zuord_Meth_Transfers[[#This Row],[kval_active]],dict_zuord_Meth_Transfers[[#This Row],[ID_Transfers]],"")</f>
        <v/>
      </c>
    </row>
    <row r="1441" spans="1:4" x14ac:dyDescent="0.45">
      <c r="A1441">
        <v>239</v>
      </c>
      <c r="B1441" s="3">
        <f t="shared" ca="1" si="22"/>
        <v>153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1" t="str">
        <f ca="1">IF(dict_zuord_Meth_Transfers[[#This Row],[kval_active]],dict_zuord_Meth_Transfers[[#This Row],[ID_Transfers]],"")</f>
        <v/>
      </c>
    </row>
    <row r="1442" spans="1:4" x14ac:dyDescent="0.45">
      <c r="A1442">
        <v>240</v>
      </c>
      <c r="B1442" s="3">
        <f t="shared" ca="1" si="22"/>
        <v>138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2" t="str">
        <f ca="1">IF(dict_zuord_Meth_Transfers[[#This Row],[kval_active]],dict_zuord_Meth_Transfers[[#This Row],[ID_Transfers]],"")</f>
        <v/>
      </c>
    </row>
    <row r="1443" spans="1:4" x14ac:dyDescent="0.45">
      <c r="A1443">
        <v>240</v>
      </c>
      <c r="B1443" s="3">
        <f t="shared" ca="1" si="22"/>
        <v>48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3" t="str">
        <f ca="1">IF(dict_zuord_Meth_Transfers[[#This Row],[kval_active]],dict_zuord_Meth_Transfers[[#This Row],[ID_Transfers]],"")</f>
        <v/>
      </c>
    </row>
    <row r="1444" spans="1:4" x14ac:dyDescent="0.45">
      <c r="A1444">
        <v>240</v>
      </c>
      <c r="B1444">
        <f t="shared" ca="1" si="22"/>
        <v>150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4" t="str">
        <f ca="1">IF(dict_zuord_Meth_Transfers[[#This Row],[kval_active]],dict_zuord_Meth_Transfers[[#This Row],[ID_Transfers]],"")</f>
        <v/>
      </c>
    </row>
    <row r="1445" spans="1:4" x14ac:dyDescent="0.45">
      <c r="A1445">
        <v>240</v>
      </c>
      <c r="B1445">
        <f t="shared" ca="1" si="22"/>
        <v>9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5" t="str">
        <f ca="1">IF(dict_zuord_Meth_Transfers[[#This Row],[kval_active]],dict_zuord_Meth_Transfers[[#This Row],[ID_Transfers]],"")</f>
        <v/>
      </c>
    </row>
    <row r="1446" spans="1:4" x14ac:dyDescent="0.45">
      <c r="A1446">
        <v>240</v>
      </c>
      <c r="B1446" s="3">
        <f t="shared" ca="1" si="22"/>
        <v>131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6" t="str">
        <f ca="1">IF(dict_zuord_Meth_Transfers[[#This Row],[kval_active]],dict_zuord_Meth_Transfers[[#This Row],[ID_Transfers]],"")</f>
        <v/>
      </c>
    </row>
    <row r="1447" spans="1:4" x14ac:dyDescent="0.45">
      <c r="A1447">
        <v>240</v>
      </c>
      <c r="B1447">
        <f t="shared" ca="1" si="22"/>
        <v>91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7" t="str">
        <f ca="1">IF(dict_zuord_Meth_Transfers[[#This Row],[kval_active]],dict_zuord_Meth_Transfers[[#This Row],[ID_Transfers]],"")</f>
        <v/>
      </c>
    </row>
    <row r="1448" spans="1:4" x14ac:dyDescent="0.45">
      <c r="A1448">
        <v>241</v>
      </c>
      <c r="B1448" s="3">
        <f t="shared" ca="1" si="22"/>
        <v>28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8" t="str">
        <f ca="1">IF(dict_zuord_Meth_Transfers[[#This Row],[kval_active]],dict_zuord_Meth_Transfers[[#This Row],[ID_Transfers]],"")</f>
        <v/>
      </c>
    </row>
    <row r="1449" spans="1:4" x14ac:dyDescent="0.45">
      <c r="A1449">
        <v>241</v>
      </c>
      <c r="B1449" s="3">
        <f t="shared" ca="1" si="22"/>
        <v>18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9" t="str">
        <f ca="1">IF(dict_zuord_Meth_Transfers[[#This Row],[kval_active]],dict_zuord_Meth_Transfers[[#This Row],[ID_Transfers]],"")</f>
        <v/>
      </c>
    </row>
    <row r="1450" spans="1:4" x14ac:dyDescent="0.45">
      <c r="A1450">
        <v>241</v>
      </c>
      <c r="B1450" s="3">
        <f t="shared" ca="1" si="22"/>
        <v>137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0" t="str">
        <f ca="1">IF(dict_zuord_Meth_Transfers[[#This Row],[kval_active]],dict_zuord_Meth_Transfers[[#This Row],[ID_Transfers]],"")</f>
        <v/>
      </c>
    </row>
    <row r="1451" spans="1:4" x14ac:dyDescent="0.45">
      <c r="A1451">
        <v>241</v>
      </c>
      <c r="B1451">
        <f t="shared" ca="1" si="22"/>
        <v>95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1" t="str">
        <f ca="1">IF(dict_zuord_Meth_Transfers[[#This Row],[kval_active]],dict_zuord_Meth_Transfers[[#This Row],[ID_Transfers]],"")</f>
        <v/>
      </c>
    </row>
    <row r="1452" spans="1:4" x14ac:dyDescent="0.45">
      <c r="A1452">
        <v>241</v>
      </c>
      <c r="B1452">
        <f t="shared" ca="1" si="22"/>
        <v>27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2" t="str">
        <f ca="1">IF(dict_zuord_Meth_Transfers[[#This Row],[kval_active]],dict_zuord_Meth_Transfers[[#This Row],[ID_Transfers]],"")</f>
        <v/>
      </c>
    </row>
    <row r="1453" spans="1:4" x14ac:dyDescent="0.45">
      <c r="A1453">
        <v>241</v>
      </c>
      <c r="B1453">
        <f t="shared" ca="1" si="22"/>
        <v>30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3" t="str">
        <f ca="1">IF(dict_zuord_Meth_Transfers[[#This Row],[kval_active]],dict_zuord_Meth_Transfers[[#This Row],[ID_Transfers]],"")</f>
        <v/>
      </c>
    </row>
    <row r="1454" spans="1:4" x14ac:dyDescent="0.45">
      <c r="A1454">
        <v>242</v>
      </c>
      <c r="B1454" s="3">
        <f t="shared" ca="1" si="22"/>
        <v>23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4" t="str">
        <f ca="1">IF(dict_zuord_Meth_Transfers[[#This Row],[kval_active]],dict_zuord_Meth_Transfers[[#This Row],[ID_Transfers]],"")</f>
        <v/>
      </c>
    </row>
    <row r="1455" spans="1:4" x14ac:dyDescent="0.45">
      <c r="A1455">
        <v>242</v>
      </c>
      <c r="B1455" s="3">
        <f t="shared" ca="1" si="22"/>
        <v>195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5" t="str">
        <f ca="1">IF(dict_zuord_Meth_Transfers[[#This Row],[kval_active]],dict_zuord_Meth_Transfers[[#This Row],[ID_Transfers]],"")</f>
        <v/>
      </c>
    </row>
    <row r="1456" spans="1:4" x14ac:dyDescent="0.45">
      <c r="A1456">
        <v>242</v>
      </c>
      <c r="B1456">
        <f t="shared" ca="1" si="22"/>
        <v>132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6" t="str">
        <f ca="1">IF(dict_zuord_Meth_Transfers[[#This Row],[kval_active]],dict_zuord_Meth_Transfers[[#This Row],[ID_Transfers]],"")</f>
        <v/>
      </c>
    </row>
    <row r="1457" spans="1:4" x14ac:dyDescent="0.45">
      <c r="A1457">
        <v>242</v>
      </c>
      <c r="B1457">
        <f t="shared" ca="1" si="22"/>
        <v>70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7" t="str">
        <f ca="1">IF(dict_zuord_Meth_Transfers[[#This Row],[kval_active]],dict_zuord_Meth_Transfers[[#This Row],[ID_Transfers]],"")</f>
        <v/>
      </c>
    </row>
    <row r="1458" spans="1:4" x14ac:dyDescent="0.45">
      <c r="A1458">
        <v>242</v>
      </c>
      <c r="B1458" s="3">
        <f t="shared" ca="1" si="22"/>
        <v>178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8" t="str">
        <f ca="1">IF(dict_zuord_Meth_Transfers[[#This Row],[kval_active]],dict_zuord_Meth_Transfers[[#This Row],[ID_Transfers]],"")</f>
        <v/>
      </c>
    </row>
    <row r="1459" spans="1:4" x14ac:dyDescent="0.45">
      <c r="A1459">
        <v>242</v>
      </c>
      <c r="B1459">
        <f t="shared" ca="1" si="22"/>
        <v>10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9" t="str">
        <f ca="1">IF(dict_zuord_Meth_Transfers[[#This Row],[kval_active]],dict_zuord_Meth_Transfers[[#This Row],[ID_Transfers]],"")</f>
        <v/>
      </c>
    </row>
    <row r="1460" spans="1:4" x14ac:dyDescent="0.45">
      <c r="A1460">
        <v>243</v>
      </c>
      <c r="B1460">
        <f t="shared" ca="1" si="22"/>
        <v>140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0" t="str">
        <f ca="1">IF(dict_zuord_Meth_Transfers[[#This Row],[kval_active]],dict_zuord_Meth_Transfers[[#This Row],[ID_Transfers]],"")</f>
        <v/>
      </c>
    </row>
    <row r="1461" spans="1:4" x14ac:dyDescent="0.45">
      <c r="A1461">
        <v>243</v>
      </c>
      <c r="B1461">
        <f t="shared" ca="1" si="22"/>
        <v>11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1" t="str">
        <f ca="1">IF(dict_zuord_Meth_Transfers[[#This Row],[kval_active]],dict_zuord_Meth_Transfers[[#This Row],[ID_Transfers]],"")</f>
        <v/>
      </c>
    </row>
    <row r="1462" spans="1:4" x14ac:dyDescent="0.45">
      <c r="A1462">
        <v>243</v>
      </c>
      <c r="B1462" s="3">
        <f t="shared" ca="1" si="22"/>
        <v>139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2" t="str">
        <f ca="1">IF(dict_zuord_Meth_Transfers[[#This Row],[kval_active]],dict_zuord_Meth_Transfers[[#This Row],[ID_Transfers]],"")</f>
        <v/>
      </c>
    </row>
    <row r="1463" spans="1:4" x14ac:dyDescent="0.45">
      <c r="A1463">
        <v>243</v>
      </c>
      <c r="B1463">
        <f t="shared" ca="1" si="22"/>
        <v>194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3" t="str">
        <f ca="1">IF(dict_zuord_Meth_Transfers[[#This Row],[kval_active]],dict_zuord_Meth_Transfers[[#This Row],[ID_Transfers]],"")</f>
        <v/>
      </c>
    </row>
    <row r="1464" spans="1:4" x14ac:dyDescent="0.45">
      <c r="A1464">
        <v>243</v>
      </c>
      <c r="B1464" s="3">
        <f t="shared" ca="1" si="22"/>
        <v>108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4" t="str">
        <f ca="1">IF(dict_zuord_Meth_Transfers[[#This Row],[kval_active]],dict_zuord_Meth_Transfers[[#This Row],[ID_Transfers]],"")</f>
        <v/>
      </c>
    </row>
    <row r="1465" spans="1:4" x14ac:dyDescent="0.45">
      <c r="A1465">
        <v>243</v>
      </c>
      <c r="B1465" s="3">
        <f t="shared" ca="1" si="22"/>
        <v>133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5" t="str">
        <f ca="1">IF(dict_zuord_Meth_Transfers[[#This Row],[kval_active]],dict_zuord_Meth_Transfers[[#This Row],[ID_Transfers]],"")</f>
        <v/>
      </c>
    </row>
    <row r="1466" spans="1:4" x14ac:dyDescent="0.45">
      <c r="A1466">
        <v>244</v>
      </c>
      <c r="B1466">
        <f t="shared" ca="1" si="22"/>
        <v>147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6" t="str">
        <f ca="1">IF(dict_zuord_Meth_Transfers[[#This Row],[kval_active]],dict_zuord_Meth_Transfers[[#This Row],[ID_Transfers]],"")</f>
        <v/>
      </c>
    </row>
    <row r="1467" spans="1:4" x14ac:dyDescent="0.45">
      <c r="A1467">
        <v>244</v>
      </c>
      <c r="B1467">
        <f t="shared" ca="1" si="22"/>
        <v>42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7" t="str">
        <f ca="1">IF(dict_zuord_Meth_Transfers[[#This Row],[kval_active]],dict_zuord_Meth_Transfers[[#This Row],[ID_Transfers]],"")</f>
        <v/>
      </c>
    </row>
    <row r="1468" spans="1:4" x14ac:dyDescent="0.45">
      <c r="A1468">
        <v>244</v>
      </c>
      <c r="B1468" s="3">
        <f t="shared" ca="1" si="22"/>
        <v>24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8" t="str">
        <f ca="1">IF(dict_zuord_Meth_Transfers[[#This Row],[kval_active]],dict_zuord_Meth_Transfers[[#This Row],[ID_Transfers]],"")</f>
        <v/>
      </c>
    </row>
    <row r="1469" spans="1:4" x14ac:dyDescent="0.45">
      <c r="A1469">
        <v>244</v>
      </c>
      <c r="B1469" s="3">
        <f t="shared" ca="1" si="22"/>
        <v>67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9" t="str">
        <f ca="1">IF(dict_zuord_Meth_Transfers[[#This Row],[kval_active]],dict_zuord_Meth_Transfers[[#This Row],[ID_Transfers]],"")</f>
        <v/>
      </c>
    </row>
    <row r="1470" spans="1:4" x14ac:dyDescent="0.45">
      <c r="A1470">
        <v>244</v>
      </c>
      <c r="B1470" s="3">
        <f t="shared" ca="1" si="22"/>
        <v>67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0" t="str">
        <f ca="1">IF(dict_zuord_Meth_Transfers[[#This Row],[kval_active]],dict_zuord_Meth_Transfers[[#This Row],[ID_Transfers]],"")</f>
        <v/>
      </c>
    </row>
    <row r="1471" spans="1:4" x14ac:dyDescent="0.45">
      <c r="A1471">
        <v>244</v>
      </c>
      <c r="B1471">
        <f t="shared" ca="1" si="22"/>
        <v>175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1" t="str">
        <f ca="1">IF(dict_zuord_Meth_Transfers[[#This Row],[kval_active]],dict_zuord_Meth_Transfers[[#This Row],[ID_Transfers]],"")</f>
        <v/>
      </c>
    </row>
    <row r="1472" spans="1:4" x14ac:dyDescent="0.45">
      <c r="A1472">
        <v>245</v>
      </c>
      <c r="B1472">
        <f t="shared" ca="1" si="22"/>
        <v>164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2" t="str">
        <f ca="1">IF(dict_zuord_Meth_Transfers[[#This Row],[kval_active]],dict_zuord_Meth_Transfers[[#This Row],[ID_Transfers]],"")</f>
        <v/>
      </c>
    </row>
    <row r="1473" spans="1:4" x14ac:dyDescent="0.45">
      <c r="A1473">
        <v>245</v>
      </c>
      <c r="B1473" s="3">
        <f t="shared" ca="1" si="22"/>
        <v>92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3" t="str">
        <f ca="1">IF(dict_zuord_Meth_Transfers[[#This Row],[kval_active]],dict_zuord_Meth_Transfers[[#This Row],[ID_Transfers]],"")</f>
        <v/>
      </c>
    </row>
    <row r="1474" spans="1:4" x14ac:dyDescent="0.45">
      <c r="A1474">
        <v>245</v>
      </c>
      <c r="B1474">
        <f t="shared" ref="B1474:B1537" ca="1" si="23">RANDBETWEEN(0,200)</f>
        <v>197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4" t="str">
        <f ca="1">IF(dict_zuord_Meth_Transfers[[#This Row],[kval_active]],dict_zuord_Meth_Transfers[[#This Row],[ID_Transfers]],"")</f>
        <v/>
      </c>
    </row>
    <row r="1475" spans="1:4" x14ac:dyDescent="0.45">
      <c r="A1475">
        <v>245</v>
      </c>
      <c r="B1475" s="3">
        <f t="shared" ca="1" si="23"/>
        <v>172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5" t="str">
        <f ca="1">IF(dict_zuord_Meth_Transfers[[#This Row],[kval_active]],dict_zuord_Meth_Transfers[[#This Row],[ID_Transfers]],"")</f>
        <v/>
      </c>
    </row>
    <row r="1476" spans="1:4" x14ac:dyDescent="0.45">
      <c r="A1476">
        <v>245</v>
      </c>
      <c r="B1476">
        <f t="shared" ca="1" si="23"/>
        <v>124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6" t="str">
        <f ca="1">IF(dict_zuord_Meth_Transfers[[#This Row],[kval_active]],dict_zuord_Meth_Transfers[[#This Row],[ID_Transfers]],"")</f>
        <v/>
      </c>
    </row>
    <row r="1477" spans="1:4" x14ac:dyDescent="0.45">
      <c r="A1477">
        <v>245</v>
      </c>
      <c r="B1477" s="3">
        <f t="shared" ca="1" si="23"/>
        <v>142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7" t="str">
        <f ca="1">IF(dict_zuord_Meth_Transfers[[#This Row],[kval_active]],dict_zuord_Meth_Transfers[[#This Row],[ID_Transfers]],"")</f>
        <v/>
      </c>
    </row>
    <row r="1478" spans="1:4" x14ac:dyDescent="0.45">
      <c r="A1478">
        <v>246</v>
      </c>
      <c r="B1478">
        <f t="shared" ca="1" si="23"/>
        <v>6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8" t="str">
        <f ca="1">IF(dict_zuord_Meth_Transfers[[#This Row],[kval_active]],dict_zuord_Meth_Transfers[[#This Row],[ID_Transfers]],"")</f>
        <v/>
      </c>
    </row>
    <row r="1479" spans="1:4" x14ac:dyDescent="0.45">
      <c r="A1479">
        <v>246</v>
      </c>
      <c r="B1479">
        <f t="shared" ca="1" si="23"/>
        <v>107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9" t="str">
        <f ca="1">IF(dict_zuord_Meth_Transfers[[#This Row],[kval_active]],dict_zuord_Meth_Transfers[[#This Row],[ID_Transfers]],"")</f>
        <v/>
      </c>
    </row>
    <row r="1480" spans="1:4" x14ac:dyDescent="0.45">
      <c r="A1480">
        <v>246</v>
      </c>
      <c r="B1480">
        <f t="shared" ca="1" si="23"/>
        <v>193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0" t="str">
        <f ca="1">IF(dict_zuord_Meth_Transfers[[#This Row],[kval_active]],dict_zuord_Meth_Transfers[[#This Row],[ID_Transfers]],"")</f>
        <v/>
      </c>
    </row>
    <row r="1481" spans="1:4" x14ac:dyDescent="0.45">
      <c r="A1481">
        <v>246</v>
      </c>
      <c r="B1481" s="3">
        <f t="shared" ca="1" si="23"/>
        <v>53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1" t="str">
        <f ca="1">IF(dict_zuord_Meth_Transfers[[#This Row],[kval_active]],dict_zuord_Meth_Transfers[[#This Row],[ID_Transfers]],"")</f>
        <v/>
      </c>
    </row>
    <row r="1482" spans="1:4" x14ac:dyDescent="0.45">
      <c r="A1482">
        <v>246</v>
      </c>
      <c r="B1482" s="3">
        <f t="shared" ca="1" si="23"/>
        <v>193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2" t="str">
        <f ca="1">IF(dict_zuord_Meth_Transfers[[#This Row],[kval_active]],dict_zuord_Meth_Transfers[[#This Row],[ID_Transfers]],"")</f>
        <v/>
      </c>
    </row>
    <row r="1483" spans="1:4" x14ac:dyDescent="0.45">
      <c r="A1483">
        <v>246</v>
      </c>
      <c r="B1483" s="3">
        <f t="shared" ca="1" si="23"/>
        <v>146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3" t="str">
        <f ca="1">IF(dict_zuord_Meth_Transfers[[#This Row],[kval_active]],dict_zuord_Meth_Transfers[[#This Row],[ID_Transfers]],"")</f>
        <v/>
      </c>
    </row>
    <row r="1484" spans="1:4" x14ac:dyDescent="0.45">
      <c r="A1484">
        <v>247</v>
      </c>
      <c r="B1484">
        <f t="shared" ca="1" si="23"/>
        <v>98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4" t="str">
        <f ca="1">IF(dict_zuord_Meth_Transfers[[#This Row],[kval_active]],dict_zuord_Meth_Transfers[[#This Row],[ID_Transfers]],"")</f>
        <v/>
      </c>
    </row>
    <row r="1485" spans="1:4" x14ac:dyDescent="0.45">
      <c r="A1485">
        <v>247</v>
      </c>
      <c r="B1485" s="3">
        <f t="shared" ca="1" si="23"/>
        <v>11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5" t="str">
        <f ca="1">IF(dict_zuord_Meth_Transfers[[#This Row],[kval_active]],dict_zuord_Meth_Transfers[[#This Row],[ID_Transfers]],"")</f>
        <v/>
      </c>
    </row>
    <row r="1486" spans="1:4" x14ac:dyDescent="0.45">
      <c r="A1486">
        <v>247</v>
      </c>
      <c r="B1486">
        <f t="shared" ca="1" si="23"/>
        <v>14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6" t="str">
        <f ca="1">IF(dict_zuord_Meth_Transfers[[#This Row],[kval_active]],dict_zuord_Meth_Transfers[[#This Row],[ID_Transfers]],"")</f>
        <v/>
      </c>
    </row>
    <row r="1487" spans="1:4" x14ac:dyDescent="0.45">
      <c r="A1487">
        <v>247</v>
      </c>
      <c r="B1487" s="3">
        <f t="shared" ca="1" si="23"/>
        <v>9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7" t="str">
        <f ca="1">IF(dict_zuord_Meth_Transfers[[#This Row],[kval_active]],dict_zuord_Meth_Transfers[[#This Row],[ID_Transfers]],"")</f>
        <v/>
      </c>
    </row>
    <row r="1488" spans="1:4" x14ac:dyDescent="0.45">
      <c r="A1488">
        <v>247</v>
      </c>
      <c r="B1488" s="3">
        <f t="shared" ca="1" si="23"/>
        <v>168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8" t="str">
        <f ca="1">IF(dict_zuord_Meth_Transfers[[#This Row],[kval_active]],dict_zuord_Meth_Transfers[[#This Row],[ID_Transfers]],"")</f>
        <v/>
      </c>
    </row>
    <row r="1489" spans="1:4" x14ac:dyDescent="0.45">
      <c r="A1489">
        <v>247</v>
      </c>
      <c r="B1489">
        <f t="shared" ca="1" si="23"/>
        <v>189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9" t="str">
        <f ca="1">IF(dict_zuord_Meth_Transfers[[#This Row],[kval_active]],dict_zuord_Meth_Transfers[[#This Row],[ID_Transfers]],"")</f>
        <v/>
      </c>
    </row>
    <row r="1490" spans="1:4" x14ac:dyDescent="0.45">
      <c r="A1490">
        <v>248</v>
      </c>
      <c r="B1490" s="3">
        <f t="shared" ca="1" si="23"/>
        <v>179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0">
        <f ca="1">IF(dict_zuord_Meth_Transfers[[#This Row],[kval_active]],dict_zuord_Meth_Transfers[[#This Row],[ID_Transfers]],"")</f>
        <v>179</v>
      </c>
    </row>
    <row r="1491" spans="1:4" x14ac:dyDescent="0.45">
      <c r="A1491">
        <v>248</v>
      </c>
      <c r="B1491">
        <f t="shared" ca="1" si="23"/>
        <v>61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1">
        <f ca="1">IF(dict_zuord_Meth_Transfers[[#This Row],[kval_active]],dict_zuord_Meth_Transfers[[#This Row],[ID_Transfers]],"")</f>
        <v>61</v>
      </c>
    </row>
    <row r="1492" spans="1:4" x14ac:dyDescent="0.45">
      <c r="A1492">
        <v>248</v>
      </c>
      <c r="B1492" s="3">
        <f t="shared" ca="1" si="23"/>
        <v>112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2">
        <f ca="1">IF(dict_zuord_Meth_Transfers[[#This Row],[kval_active]],dict_zuord_Meth_Transfers[[#This Row],[ID_Transfers]],"")</f>
        <v>112</v>
      </c>
    </row>
    <row r="1493" spans="1:4" x14ac:dyDescent="0.45">
      <c r="A1493">
        <v>248</v>
      </c>
      <c r="B1493">
        <f t="shared" ca="1" si="23"/>
        <v>0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3">
        <f ca="1">IF(dict_zuord_Meth_Transfers[[#This Row],[kval_active]],dict_zuord_Meth_Transfers[[#This Row],[ID_Transfers]],"")</f>
        <v>0</v>
      </c>
    </row>
    <row r="1494" spans="1:4" x14ac:dyDescent="0.45">
      <c r="A1494">
        <v>248</v>
      </c>
      <c r="B1494" s="3">
        <f t="shared" ca="1" si="23"/>
        <v>160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4">
        <f ca="1">IF(dict_zuord_Meth_Transfers[[#This Row],[kval_active]],dict_zuord_Meth_Transfers[[#This Row],[ID_Transfers]],"")</f>
        <v>160</v>
      </c>
    </row>
    <row r="1495" spans="1:4" x14ac:dyDescent="0.45">
      <c r="A1495">
        <v>248</v>
      </c>
      <c r="B1495">
        <f t="shared" ca="1" si="23"/>
        <v>120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5">
        <f ca="1">IF(dict_zuord_Meth_Transfers[[#This Row],[kval_active]],dict_zuord_Meth_Transfers[[#This Row],[ID_Transfers]],"")</f>
        <v>120</v>
      </c>
    </row>
    <row r="1496" spans="1:4" x14ac:dyDescent="0.45">
      <c r="A1496">
        <v>249</v>
      </c>
      <c r="B1496" s="3">
        <f t="shared" ca="1" si="23"/>
        <v>50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6" t="str">
        <f ca="1">IF(dict_zuord_Meth_Transfers[[#This Row],[kval_active]],dict_zuord_Meth_Transfers[[#This Row],[ID_Transfers]],"")</f>
        <v/>
      </c>
    </row>
    <row r="1497" spans="1:4" x14ac:dyDescent="0.45">
      <c r="A1497">
        <v>249</v>
      </c>
      <c r="B1497" s="3">
        <f t="shared" ca="1" si="23"/>
        <v>159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7" t="str">
        <f ca="1">IF(dict_zuord_Meth_Transfers[[#This Row],[kval_active]],dict_zuord_Meth_Transfers[[#This Row],[ID_Transfers]],"")</f>
        <v/>
      </c>
    </row>
    <row r="1498" spans="1:4" x14ac:dyDescent="0.45">
      <c r="A1498">
        <v>249</v>
      </c>
      <c r="B1498" s="3">
        <f t="shared" ca="1" si="23"/>
        <v>144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8" t="str">
        <f ca="1">IF(dict_zuord_Meth_Transfers[[#This Row],[kval_active]],dict_zuord_Meth_Transfers[[#This Row],[ID_Transfers]],"")</f>
        <v/>
      </c>
    </row>
    <row r="1499" spans="1:4" x14ac:dyDescent="0.45">
      <c r="A1499">
        <v>249</v>
      </c>
      <c r="B1499">
        <f t="shared" ca="1" si="23"/>
        <v>88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9" t="str">
        <f ca="1">IF(dict_zuord_Meth_Transfers[[#This Row],[kval_active]],dict_zuord_Meth_Transfers[[#This Row],[ID_Transfers]],"")</f>
        <v/>
      </c>
    </row>
    <row r="1500" spans="1:4" x14ac:dyDescent="0.45">
      <c r="A1500">
        <v>249</v>
      </c>
      <c r="B1500">
        <f t="shared" ca="1" si="23"/>
        <v>133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0" t="str">
        <f ca="1">IF(dict_zuord_Meth_Transfers[[#This Row],[kval_active]],dict_zuord_Meth_Transfers[[#This Row],[ID_Transfers]],"")</f>
        <v/>
      </c>
    </row>
    <row r="1501" spans="1:4" x14ac:dyDescent="0.45">
      <c r="A1501">
        <v>249</v>
      </c>
      <c r="B1501">
        <f t="shared" ca="1" si="23"/>
        <v>101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1" t="str">
        <f ca="1">IF(dict_zuord_Meth_Transfers[[#This Row],[kval_active]],dict_zuord_Meth_Transfers[[#This Row],[ID_Transfers]],"")</f>
        <v/>
      </c>
    </row>
    <row r="1502" spans="1:4" x14ac:dyDescent="0.45">
      <c r="A1502">
        <v>250</v>
      </c>
      <c r="B1502">
        <f t="shared" ca="1" si="23"/>
        <v>109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2">
        <f ca="1">IF(dict_zuord_Meth_Transfers[[#This Row],[kval_active]],dict_zuord_Meth_Transfers[[#This Row],[ID_Transfers]],"")</f>
        <v>109</v>
      </c>
    </row>
    <row r="1503" spans="1:4" x14ac:dyDescent="0.45">
      <c r="A1503">
        <v>250</v>
      </c>
      <c r="B1503" s="3">
        <f t="shared" ca="1" si="23"/>
        <v>20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3">
        <f ca="1">IF(dict_zuord_Meth_Transfers[[#This Row],[kval_active]],dict_zuord_Meth_Transfers[[#This Row],[ID_Transfers]],"")</f>
        <v>20</v>
      </c>
    </row>
    <row r="1504" spans="1:4" x14ac:dyDescent="0.45">
      <c r="A1504">
        <v>250</v>
      </c>
      <c r="B1504" s="3">
        <f t="shared" ca="1" si="23"/>
        <v>176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4">
        <f ca="1">IF(dict_zuord_Meth_Transfers[[#This Row],[kval_active]],dict_zuord_Meth_Transfers[[#This Row],[ID_Transfers]],"")</f>
        <v>176</v>
      </c>
    </row>
    <row r="1505" spans="1:4" x14ac:dyDescent="0.45">
      <c r="A1505">
        <v>250</v>
      </c>
      <c r="B1505">
        <f t="shared" ca="1" si="23"/>
        <v>75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5">
        <f ca="1">IF(dict_zuord_Meth_Transfers[[#This Row],[kval_active]],dict_zuord_Meth_Transfers[[#This Row],[ID_Transfers]],"")</f>
        <v>75</v>
      </c>
    </row>
    <row r="1506" spans="1:4" x14ac:dyDescent="0.45">
      <c r="A1506">
        <v>250</v>
      </c>
      <c r="B1506">
        <f t="shared" ca="1" si="23"/>
        <v>171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6">
        <f ca="1">IF(dict_zuord_Meth_Transfers[[#This Row],[kval_active]],dict_zuord_Meth_Transfers[[#This Row],[ID_Transfers]],"")</f>
        <v>171</v>
      </c>
    </row>
    <row r="1507" spans="1:4" x14ac:dyDescent="0.45">
      <c r="A1507">
        <v>250</v>
      </c>
      <c r="B1507" s="3">
        <f t="shared" ca="1" si="23"/>
        <v>89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7">
        <f ca="1">IF(dict_zuord_Meth_Transfers[[#This Row],[kval_active]],dict_zuord_Meth_Transfers[[#This Row],[ID_Transfers]],"")</f>
        <v>89</v>
      </c>
    </row>
    <row r="1508" spans="1:4" x14ac:dyDescent="0.45">
      <c r="A1508">
        <v>251</v>
      </c>
      <c r="B1508" s="3">
        <f t="shared" ca="1" si="23"/>
        <v>71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8" t="str">
        <f ca="1">IF(dict_zuord_Meth_Transfers[[#This Row],[kval_active]],dict_zuord_Meth_Transfers[[#This Row],[ID_Transfers]],"")</f>
        <v/>
      </c>
    </row>
    <row r="1509" spans="1:4" x14ac:dyDescent="0.45">
      <c r="A1509">
        <v>251</v>
      </c>
      <c r="B1509">
        <f t="shared" ca="1" si="23"/>
        <v>46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9" t="str">
        <f ca="1">IF(dict_zuord_Meth_Transfers[[#This Row],[kval_active]],dict_zuord_Meth_Transfers[[#This Row],[ID_Transfers]],"")</f>
        <v/>
      </c>
    </row>
    <row r="1510" spans="1:4" x14ac:dyDescent="0.45">
      <c r="A1510">
        <v>251</v>
      </c>
      <c r="B1510" s="3">
        <f t="shared" ca="1" si="23"/>
        <v>198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0" t="str">
        <f ca="1">IF(dict_zuord_Meth_Transfers[[#This Row],[kval_active]],dict_zuord_Meth_Transfers[[#This Row],[ID_Transfers]],"")</f>
        <v/>
      </c>
    </row>
    <row r="1511" spans="1:4" x14ac:dyDescent="0.45">
      <c r="A1511">
        <v>251</v>
      </c>
      <c r="B1511">
        <f t="shared" ca="1" si="23"/>
        <v>101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1" t="str">
        <f ca="1">IF(dict_zuord_Meth_Transfers[[#This Row],[kval_active]],dict_zuord_Meth_Transfers[[#This Row],[ID_Transfers]],"")</f>
        <v/>
      </c>
    </row>
    <row r="1512" spans="1:4" x14ac:dyDescent="0.45">
      <c r="A1512">
        <v>251</v>
      </c>
      <c r="B1512">
        <f t="shared" ca="1" si="23"/>
        <v>24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2" t="str">
        <f ca="1">IF(dict_zuord_Meth_Transfers[[#This Row],[kval_active]],dict_zuord_Meth_Transfers[[#This Row],[ID_Transfers]],"")</f>
        <v/>
      </c>
    </row>
    <row r="1513" spans="1:4" x14ac:dyDescent="0.45">
      <c r="A1513">
        <v>251</v>
      </c>
      <c r="B1513" s="3">
        <f t="shared" ca="1" si="23"/>
        <v>194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3" t="str">
        <f ca="1">IF(dict_zuord_Meth_Transfers[[#This Row],[kval_active]],dict_zuord_Meth_Transfers[[#This Row],[ID_Transfers]],"")</f>
        <v/>
      </c>
    </row>
    <row r="1514" spans="1:4" x14ac:dyDescent="0.45">
      <c r="A1514">
        <v>252</v>
      </c>
      <c r="B1514">
        <f t="shared" ca="1" si="23"/>
        <v>24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4" t="str">
        <f ca="1">IF(dict_zuord_Meth_Transfers[[#This Row],[kval_active]],dict_zuord_Meth_Transfers[[#This Row],[ID_Transfers]],"")</f>
        <v/>
      </c>
    </row>
    <row r="1515" spans="1:4" x14ac:dyDescent="0.45">
      <c r="A1515">
        <v>252</v>
      </c>
      <c r="B1515" s="3">
        <f t="shared" ca="1" si="23"/>
        <v>120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5" t="str">
        <f ca="1">IF(dict_zuord_Meth_Transfers[[#This Row],[kval_active]],dict_zuord_Meth_Transfers[[#This Row],[ID_Transfers]],"")</f>
        <v/>
      </c>
    </row>
    <row r="1516" spans="1:4" x14ac:dyDescent="0.45">
      <c r="A1516">
        <v>252</v>
      </c>
      <c r="B1516" s="3">
        <f t="shared" ca="1" si="23"/>
        <v>12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6" t="str">
        <f ca="1">IF(dict_zuord_Meth_Transfers[[#This Row],[kval_active]],dict_zuord_Meth_Transfers[[#This Row],[ID_Transfers]],"")</f>
        <v/>
      </c>
    </row>
    <row r="1517" spans="1:4" x14ac:dyDescent="0.45">
      <c r="A1517">
        <v>252</v>
      </c>
      <c r="B1517">
        <f t="shared" ca="1" si="23"/>
        <v>193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7" t="str">
        <f ca="1">IF(dict_zuord_Meth_Transfers[[#This Row],[kval_active]],dict_zuord_Meth_Transfers[[#This Row],[ID_Transfers]],"")</f>
        <v/>
      </c>
    </row>
    <row r="1518" spans="1:4" x14ac:dyDescent="0.45">
      <c r="A1518">
        <v>252</v>
      </c>
      <c r="B1518">
        <f t="shared" ca="1" si="23"/>
        <v>43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8" t="str">
        <f ca="1">IF(dict_zuord_Meth_Transfers[[#This Row],[kval_active]],dict_zuord_Meth_Transfers[[#This Row],[ID_Transfers]],"")</f>
        <v/>
      </c>
    </row>
    <row r="1519" spans="1:4" x14ac:dyDescent="0.45">
      <c r="A1519">
        <v>252</v>
      </c>
      <c r="B1519" s="3">
        <f t="shared" ca="1" si="23"/>
        <v>98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9" t="str">
        <f ca="1">IF(dict_zuord_Meth_Transfers[[#This Row],[kval_active]],dict_zuord_Meth_Transfers[[#This Row],[ID_Transfers]],"")</f>
        <v/>
      </c>
    </row>
    <row r="1520" spans="1:4" x14ac:dyDescent="0.45">
      <c r="A1520">
        <v>253</v>
      </c>
      <c r="B1520" s="3">
        <f t="shared" ca="1" si="23"/>
        <v>158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0" t="str">
        <f ca="1">IF(dict_zuord_Meth_Transfers[[#This Row],[kval_active]],dict_zuord_Meth_Transfers[[#This Row],[ID_Transfers]],"")</f>
        <v/>
      </c>
    </row>
    <row r="1521" spans="1:4" x14ac:dyDescent="0.45">
      <c r="A1521">
        <v>253</v>
      </c>
      <c r="B1521">
        <f t="shared" ca="1" si="23"/>
        <v>58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1" t="str">
        <f ca="1">IF(dict_zuord_Meth_Transfers[[#This Row],[kval_active]],dict_zuord_Meth_Transfers[[#This Row],[ID_Transfers]],"")</f>
        <v/>
      </c>
    </row>
    <row r="1522" spans="1:4" x14ac:dyDescent="0.45">
      <c r="A1522">
        <v>253</v>
      </c>
      <c r="B1522" s="3">
        <f t="shared" ca="1" si="23"/>
        <v>40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2" t="str">
        <f ca="1">IF(dict_zuord_Meth_Transfers[[#This Row],[kval_active]],dict_zuord_Meth_Transfers[[#This Row],[ID_Transfers]],"")</f>
        <v/>
      </c>
    </row>
    <row r="1523" spans="1:4" x14ac:dyDescent="0.45">
      <c r="A1523">
        <v>253</v>
      </c>
      <c r="B1523" s="3">
        <f t="shared" ca="1" si="23"/>
        <v>197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3" t="str">
        <f ca="1">IF(dict_zuord_Meth_Transfers[[#This Row],[kval_active]],dict_zuord_Meth_Transfers[[#This Row],[ID_Transfers]],"")</f>
        <v/>
      </c>
    </row>
    <row r="1524" spans="1:4" x14ac:dyDescent="0.45">
      <c r="A1524">
        <v>253</v>
      </c>
      <c r="B1524">
        <f t="shared" ca="1" si="23"/>
        <v>46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4" t="str">
        <f ca="1">IF(dict_zuord_Meth_Transfers[[#This Row],[kval_active]],dict_zuord_Meth_Transfers[[#This Row],[ID_Transfers]],"")</f>
        <v/>
      </c>
    </row>
    <row r="1525" spans="1:4" x14ac:dyDescent="0.45">
      <c r="A1525">
        <v>253</v>
      </c>
      <c r="B1525">
        <f t="shared" ca="1" si="23"/>
        <v>105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5" t="str">
        <f ca="1">IF(dict_zuord_Meth_Transfers[[#This Row],[kval_active]],dict_zuord_Meth_Transfers[[#This Row],[ID_Transfers]],"")</f>
        <v/>
      </c>
    </row>
    <row r="1526" spans="1:4" x14ac:dyDescent="0.45">
      <c r="A1526">
        <v>254</v>
      </c>
      <c r="B1526">
        <f t="shared" ca="1" si="23"/>
        <v>101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6" t="str">
        <f ca="1">IF(dict_zuord_Meth_Transfers[[#This Row],[kval_active]],dict_zuord_Meth_Transfers[[#This Row],[ID_Transfers]],"")</f>
        <v/>
      </c>
    </row>
    <row r="1527" spans="1:4" x14ac:dyDescent="0.45">
      <c r="A1527">
        <v>254</v>
      </c>
      <c r="B1527">
        <f t="shared" ca="1" si="23"/>
        <v>180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7" t="str">
        <f ca="1">IF(dict_zuord_Meth_Transfers[[#This Row],[kval_active]],dict_zuord_Meth_Transfers[[#This Row],[ID_Transfers]],"")</f>
        <v/>
      </c>
    </row>
    <row r="1528" spans="1:4" x14ac:dyDescent="0.45">
      <c r="A1528">
        <v>254</v>
      </c>
      <c r="B1528" s="3">
        <f t="shared" ca="1" si="23"/>
        <v>104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8" t="str">
        <f ca="1">IF(dict_zuord_Meth_Transfers[[#This Row],[kval_active]],dict_zuord_Meth_Transfers[[#This Row],[ID_Transfers]],"")</f>
        <v/>
      </c>
    </row>
    <row r="1529" spans="1:4" x14ac:dyDescent="0.45">
      <c r="A1529">
        <v>254</v>
      </c>
      <c r="B1529" s="3">
        <f t="shared" ca="1" si="23"/>
        <v>27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9" t="str">
        <f ca="1">IF(dict_zuord_Meth_Transfers[[#This Row],[kval_active]],dict_zuord_Meth_Transfers[[#This Row],[ID_Transfers]],"")</f>
        <v/>
      </c>
    </row>
    <row r="1530" spans="1:4" x14ac:dyDescent="0.45">
      <c r="A1530">
        <v>254</v>
      </c>
      <c r="B1530" s="3">
        <f t="shared" ca="1" si="23"/>
        <v>61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0" t="str">
        <f ca="1">IF(dict_zuord_Meth_Transfers[[#This Row],[kval_active]],dict_zuord_Meth_Transfers[[#This Row],[ID_Transfers]],"")</f>
        <v/>
      </c>
    </row>
    <row r="1531" spans="1:4" x14ac:dyDescent="0.45">
      <c r="A1531">
        <v>254</v>
      </c>
      <c r="B1531">
        <f t="shared" ca="1" si="23"/>
        <v>123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1" t="str">
        <f ca="1">IF(dict_zuord_Meth_Transfers[[#This Row],[kval_active]],dict_zuord_Meth_Transfers[[#This Row],[ID_Transfers]],"")</f>
        <v/>
      </c>
    </row>
    <row r="1532" spans="1:4" x14ac:dyDescent="0.45">
      <c r="A1532">
        <v>255</v>
      </c>
      <c r="B1532" s="3">
        <f t="shared" ca="1" si="23"/>
        <v>155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2" t="str">
        <f ca="1">IF(dict_zuord_Meth_Transfers[[#This Row],[kval_active]],dict_zuord_Meth_Transfers[[#This Row],[ID_Transfers]],"")</f>
        <v/>
      </c>
    </row>
    <row r="1533" spans="1:4" x14ac:dyDescent="0.45">
      <c r="A1533">
        <v>255</v>
      </c>
      <c r="B1533" s="3">
        <f t="shared" ca="1" si="23"/>
        <v>80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3" t="str">
        <f ca="1">IF(dict_zuord_Meth_Transfers[[#This Row],[kval_active]],dict_zuord_Meth_Transfers[[#This Row],[ID_Transfers]],"")</f>
        <v/>
      </c>
    </row>
    <row r="1534" spans="1:4" x14ac:dyDescent="0.45">
      <c r="A1534">
        <v>255</v>
      </c>
      <c r="B1534" s="3">
        <f t="shared" ca="1" si="23"/>
        <v>188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4" t="str">
        <f ca="1">IF(dict_zuord_Meth_Transfers[[#This Row],[kval_active]],dict_zuord_Meth_Transfers[[#This Row],[ID_Transfers]],"")</f>
        <v/>
      </c>
    </row>
    <row r="1535" spans="1:4" x14ac:dyDescent="0.45">
      <c r="A1535">
        <v>255</v>
      </c>
      <c r="B1535">
        <f t="shared" ca="1" si="23"/>
        <v>63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5" t="str">
        <f ca="1">IF(dict_zuord_Meth_Transfers[[#This Row],[kval_active]],dict_zuord_Meth_Transfers[[#This Row],[ID_Transfers]],"")</f>
        <v/>
      </c>
    </row>
    <row r="1536" spans="1:4" x14ac:dyDescent="0.45">
      <c r="A1536">
        <v>255</v>
      </c>
      <c r="B1536">
        <f t="shared" ca="1" si="23"/>
        <v>1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6" t="str">
        <f ca="1">IF(dict_zuord_Meth_Transfers[[#This Row],[kval_active]],dict_zuord_Meth_Transfers[[#This Row],[ID_Transfers]],"")</f>
        <v/>
      </c>
    </row>
    <row r="1537" spans="1:4" x14ac:dyDescent="0.45">
      <c r="A1537">
        <v>255</v>
      </c>
      <c r="B1537">
        <f t="shared" ca="1" si="23"/>
        <v>131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7" t="str">
        <f ca="1">IF(dict_zuord_Meth_Transfers[[#This Row],[kval_active]],dict_zuord_Meth_Transfers[[#This Row],[ID_Transfers]],"")</f>
        <v/>
      </c>
    </row>
    <row r="1538" spans="1:4" x14ac:dyDescent="0.45">
      <c r="A1538">
        <v>256</v>
      </c>
      <c r="B1538" s="3">
        <f t="shared" ref="B1538:B1601" ca="1" si="24">RANDBETWEEN(0,200)</f>
        <v>93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8" t="str">
        <f ca="1">IF(dict_zuord_Meth_Transfers[[#This Row],[kval_active]],dict_zuord_Meth_Transfers[[#This Row],[ID_Transfers]],"")</f>
        <v/>
      </c>
    </row>
    <row r="1539" spans="1:4" x14ac:dyDescent="0.45">
      <c r="A1539">
        <v>256</v>
      </c>
      <c r="B1539">
        <f t="shared" ca="1" si="24"/>
        <v>174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9" t="str">
        <f ca="1">IF(dict_zuord_Meth_Transfers[[#This Row],[kval_active]],dict_zuord_Meth_Transfers[[#This Row],[ID_Transfers]],"")</f>
        <v/>
      </c>
    </row>
    <row r="1540" spans="1:4" x14ac:dyDescent="0.45">
      <c r="A1540">
        <v>256</v>
      </c>
      <c r="B1540">
        <f t="shared" ca="1" si="24"/>
        <v>184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0" t="str">
        <f ca="1">IF(dict_zuord_Meth_Transfers[[#This Row],[kval_active]],dict_zuord_Meth_Transfers[[#This Row],[ID_Transfers]],"")</f>
        <v/>
      </c>
    </row>
    <row r="1541" spans="1:4" x14ac:dyDescent="0.45">
      <c r="A1541">
        <v>256</v>
      </c>
      <c r="B1541">
        <f t="shared" ca="1" si="24"/>
        <v>9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1" t="str">
        <f ca="1">IF(dict_zuord_Meth_Transfers[[#This Row],[kval_active]],dict_zuord_Meth_Transfers[[#This Row],[ID_Transfers]],"")</f>
        <v/>
      </c>
    </row>
    <row r="1542" spans="1:4" x14ac:dyDescent="0.45">
      <c r="A1542">
        <v>256</v>
      </c>
      <c r="B1542" s="3">
        <f t="shared" ca="1" si="24"/>
        <v>191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2" t="str">
        <f ca="1">IF(dict_zuord_Meth_Transfers[[#This Row],[kval_active]],dict_zuord_Meth_Transfers[[#This Row],[ID_Transfers]],"")</f>
        <v/>
      </c>
    </row>
    <row r="1543" spans="1:4" x14ac:dyDescent="0.45">
      <c r="A1543">
        <v>256</v>
      </c>
      <c r="B1543" s="3">
        <f t="shared" ca="1" si="24"/>
        <v>39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3" t="str">
        <f ca="1">IF(dict_zuord_Meth_Transfers[[#This Row],[kval_active]],dict_zuord_Meth_Transfers[[#This Row],[ID_Transfers]],"")</f>
        <v/>
      </c>
    </row>
    <row r="1544" spans="1:4" x14ac:dyDescent="0.45">
      <c r="A1544">
        <v>257</v>
      </c>
      <c r="B1544">
        <f t="shared" ca="1" si="24"/>
        <v>51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4" t="str">
        <f ca="1">IF(dict_zuord_Meth_Transfers[[#This Row],[kval_active]],dict_zuord_Meth_Transfers[[#This Row],[ID_Transfers]],"")</f>
        <v/>
      </c>
    </row>
    <row r="1545" spans="1:4" x14ac:dyDescent="0.45">
      <c r="A1545">
        <v>257</v>
      </c>
      <c r="B1545" s="3">
        <f t="shared" ca="1" si="24"/>
        <v>112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5" t="str">
        <f ca="1">IF(dict_zuord_Meth_Transfers[[#This Row],[kval_active]],dict_zuord_Meth_Transfers[[#This Row],[ID_Transfers]],"")</f>
        <v/>
      </c>
    </row>
    <row r="1546" spans="1:4" x14ac:dyDescent="0.45">
      <c r="A1546">
        <v>257</v>
      </c>
      <c r="B1546" s="3">
        <f t="shared" ca="1" si="24"/>
        <v>59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6" t="str">
        <f ca="1">IF(dict_zuord_Meth_Transfers[[#This Row],[kval_active]],dict_zuord_Meth_Transfers[[#This Row],[ID_Transfers]],"")</f>
        <v/>
      </c>
    </row>
    <row r="1547" spans="1:4" x14ac:dyDescent="0.45">
      <c r="A1547">
        <v>257</v>
      </c>
      <c r="B1547">
        <f t="shared" ca="1" si="24"/>
        <v>74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7" t="str">
        <f ca="1">IF(dict_zuord_Meth_Transfers[[#This Row],[kval_active]],dict_zuord_Meth_Transfers[[#This Row],[ID_Transfers]],"")</f>
        <v/>
      </c>
    </row>
    <row r="1548" spans="1:4" x14ac:dyDescent="0.45">
      <c r="A1548">
        <v>257</v>
      </c>
      <c r="B1548" s="3">
        <f t="shared" ca="1" si="24"/>
        <v>86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8" t="str">
        <f ca="1">IF(dict_zuord_Meth_Transfers[[#This Row],[kval_active]],dict_zuord_Meth_Transfers[[#This Row],[ID_Transfers]],"")</f>
        <v/>
      </c>
    </row>
    <row r="1549" spans="1:4" x14ac:dyDescent="0.45">
      <c r="A1549">
        <v>257</v>
      </c>
      <c r="B1549">
        <f t="shared" ca="1" si="24"/>
        <v>164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9" t="str">
        <f ca="1">IF(dict_zuord_Meth_Transfers[[#This Row],[kval_active]],dict_zuord_Meth_Transfers[[#This Row],[ID_Transfers]],"")</f>
        <v/>
      </c>
    </row>
    <row r="1550" spans="1:4" x14ac:dyDescent="0.45">
      <c r="A1550">
        <v>258</v>
      </c>
      <c r="B1550">
        <f t="shared" ca="1" si="24"/>
        <v>134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0" t="str">
        <f ca="1">IF(dict_zuord_Meth_Transfers[[#This Row],[kval_active]],dict_zuord_Meth_Transfers[[#This Row],[ID_Transfers]],"")</f>
        <v/>
      </c>
    </row>
    <row r="1551" spans="1:4" x14ac:dyDescent="0.45">
      <c r="A1551">
        <v>258</v>
      </c>
      <c r="B1551" s="3">
        <f t="shared" ca="1" si="24"/>
        <v>199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1" t="str">
        <f ca="1">IF(dict_zuord_Meth_Transfers[[#This Row],[kval_active]],dict_zuord_Meth_Transfers[[#This Row],[ID_Transfers]],"")</f>
        <v/>
      </c>
    </row>
    <row r="1552" spans="1:4" x14ac:dyDescent="0.45">
      <c r="A1552">
        <v>258</v>
      </c>
      <c r="B1552">
        <f t="shared" ca="1" si="24"/>
        <v>98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2" t="str">
        <f ca="1">IF(dict_zuord_Meth_Transfers[[#This Row],[kval_active]],dict_zuord_Meth_Transfers[[#This Row],[ID_Transfers]],"")</f>
        <v/>
      </c>
    </row>
    <row r="1553" spans="1:4" x14ac:dyDescent="0.45">
      <c r="A1553">
        <v>258</v>
      </c>
      <c r="B1553" s="3">
        <f t="shared" ca="1" si="24"/>
        <v>36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3" t="str">
        <f ca="1">IF(dict_zuord_Meth_Transfers[[#This Row],[kval_active]],dict_zuord_Meth_Transfers[[#This Row],[ID_Transfers]],"")</f>
        <v/>
      </c>
    </row>
    <row r="1554" spans="1:4" x14ac:dyDescent="0.45">
      <c r="A1554">
        <v>258</v>
      </c>
      <c r="B1554" s="3">
        <f t="shared" ca="1" si="24"/>
        <v>168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4" t="str">
        <f ca="1">IF(dict_zuord_Meth_Transfers[[#This Row],[kval_active]],dict_zuord_Meth_Transfers[[#This Row],[ID_Transfers]],"")</f>
        <v/>
      </c>
    </row>
    <row r="1555" spans="1:4" x14ac:dyDescent="0.45">
      <c r="A1555">
        <v>258</v>
      </c>
      <c r="B1555">
        <f t="shared" ca="1" si="24"/>
        <v>63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5" t="str">
        <f ca="1">IF(dict_zuord_Meth_Transfers[[#This Row],[kval_active]],dict_zuord_Meth_Transfers[[#This Row],[ID_Transfers]],"")</f>
        <v/>
      </c>
    </row>
    <row r="1556" spans="1:4" x14ac:dyDescent="0.45">
      <c r="A1556">
        <v>259</v>
      </c>
      <c r="B1556" s="3">
        <f t="shared" ca="1" si="24"/>
        <v>30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6" t="str">
        <f ca="1">IF(dict_zuord_Meth_Transfers[[#This Row],[kval_active]],dict_zuord_Meth_Transfers[[#This Row],[ID_Transfers]],"")</f>
        <v/>
      </c>
    </row>
    <row r="1557" spans="1:4" x14ac:dyDescent="0.45">
      <c r="A1557">
        <v>259</v>
      </c>
      <c r="B1557">
        <f t="shared" ca="1" si="24"/>
        <v>125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7" t="str">
        <f ca="1">IF(dict_zuord_Meth_Transfers[[#This Row],[kval_active]],dict_zuord_Meth_Transfers[[#This Row],[ID_Transfers]],"")</f>
        <v/>
      </c>
    </row>
    <row r="1558" spans="1:4" x14ac:dyDescent="0.45">
      <c r="A1558">
        <v>259</v>
      </c>
      <c r="B1558" s="3">
        <f t="shared" ca="1" si="24"/>
        <v>108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8" t="str">
        <f ca="1">IF(dict_zuord_Meth_Transfers[[#This Row],[kval_active]],dict_zuord_Meth_Transfers[[#This Row],[ID_Transfers]],"")</f>
        <v/>
      </c>
    </row>
    <row r="1559" spans="1:4" x14ac:dyDescent="0.45">
      <c r="A1559">
        <v>259</v>
      </c>
      <c r="B1559">
        <f t="shared" ca="1" si="24"/>
        <v>8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9" t="str">
        <f ca="1">IF(dict_zuord_Meth_Transfers[[#This Row],[kval_active]],dict_zuord_Meth_Transfers[[#This Row],[ID_Transfers]],"")</f>
        <v/>
      </c>
    </row>
    <row r="1560" spans="1:4" x14ac:dyDescent="0.45">
      <c r="A1560">
        <v>259</v>
      </c>
      <c r="B1560" s="3">
        <f t="shared" ca="1" si="24"/>
        <v>69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0" t="str">
        <f ca="1">IF(dict_zuord_Meth_Transfers[[#This Row],[kval_active]],dict_zuord_Meth_Transfers[[#This Row],[ID_Transfers]],"")</f>
        <v/>
      </c>
    </row>
    <row r="1561" spans="1:4" x14ac:dyDescent="0.45">
      <c r="A1561">
        <v>259</v>
      </c>
      <c r="B1561">
        <f t="shared" ca="1" si="24"/>
        <v>155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1" t="str">
        <f ca="1">IF(dict_zuord_Meth_Transfers[[#This Row],[kval_active]],dict_zuord_Meth_Transfers[[#This Row],[ID_Transfers]],"")</f>
        <v/>
      </c>
    </row>
    <row r="1562" spans="1:4" x14ac:dyDescent="0.45">
      <c r="A1562">
        <v>260</v>
      </c>
      <c r="B1562">
        <f t="shared" ca="1" si="24"/>
        <v>119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2" t="str">
        <f ca="1">IF(dict_zuord_Meth_Transfers[[#This Row],[kval_active]],dict_zuord_Meth_Transfers[[#This Row],[ID_Transfers]],"")</f>
        <v/>
      </c>
    </row>
    <row r="1563" spans="1:4" x14ac:dyDescent="0.45">
      <c r="A1563">
        <v>260</v>
      </c>
      <c r="B1563">
        <f t="shared" ca="1" si="24"/>
        <v>151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3" t="str">
        <f ca="1">IF(dict_zuord_Meth_Transfers[[#This Row],[kval_active]],dict_zuord_Meth_Transfers[[#This Row],[ID_Transfers]],"")</f>
        <v/>
      </c>
    </row>
    <row r="1564" spans="1:4" x14ac:dyDescent="0.45">
      <c r="A1564">
        <v>260</v>
      </c>
      <c r="B1564" s="3">
        <f t="shared" ca="1" si="24"/>
        <v>180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4" t="str">
        <f ca="1">IF(dict_zuord_Meth_Transfers[[#This Row],[kval_active]],dict_zuord_Meth_Transfers[[#This Row],[ID_Transfers]],"")</f>
        <v/>
      </c>
    </row>
    <row r="1565" spans="1:4" x14ac:dyDescent="0.45">
      <c r="A1565">
        <v>260</v>
      </c>
      <c r="B1565" s="3">
        <f t="shared" ca="1" si="24"/>
        <v>177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5" t="str">
        <f ca="1">IF(dict_zuord_Meth_Transfers[[#This Row],[kval_active]],dict_zuord_Meth_Transfers[[#This Row],[ID_Transfers]],"")</f>
        <v/>
      </c>
    </row>
    <row r="1566" spans="1:4" x14ac:dyDescent="0.45">
      <c r="A1566">
        <v>260</v>
      </c>
      <c r="B1566" s="3">
        <f t="shared" ca="1" si="24"/>
        <v>6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6" t="str">
        <f ca="1">IF(dict_zuord_Meth_Transfers[[#This Row],[kval_active]],dict_zuord_Meth_Transfers[[#This Row],[ID_Transfers]],"")</f>
        <v/>
      </c>
    </row>
    <row r="1567" spans="1:4" x14ac:dyDescent="0.45">
      <c r="A1567">
        <v>260</v>
      </c>
      <c r="B1567">
        <f t="shared" ca="1" si="24"/>
        <v>172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7" t="str">
        <f ca="1">IF(dict_zuord_Meth_Transfers[[#This Row],[kval_active]],dict_zuord_Meth_Transfers[[#This Row],[ID_Transfers]],"")</f>
        <v/>
      </c>
    </row>
    <row r="1568" spans="1:4" x14ac:dyDescent="0.45">
      <c r="A1568">
        <v>261</v>
      </c>
      <c r="B1568" s="3">
        <f t="shared" ca="1" si="24"/>
        <v>110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8" t="str">
        <f ca="1">IF(dict_zuord_Meth_Transfers[[#This Row],[kval_active]],dict_zuord_Meth_Transfers[[#This Row],[ID_Transfers]],"")</f>
        <v/>
      </c>
    </row>
    <row r="1569" spans="1:4" x14ac:dyDescent="0.45">
      <c r="A1569">
        <v>261</v>
      </c>
      <c r="B1569">
        <f t="shared" ca="1" si="24"/>
        <v>113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9" t="str">
        <f ca="1">IF(dict_zuord_Meth_Transfers[[#This Row],[kval_active]],dict_zuord_Meth_Transfers[[#This Row],[ID_Transfers]],"")</f>
        <v/>
      </c>
    </row>
    <row r="1570" spans="1:4" x14ac:dyDescent="0.45">
      <c r="A1570">
        <v>261</v>
      </c>
      <c r="B1570">
        <f t="shared" ca="1" si="24"/>
        <v>42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0" t="str">
        <f ca="1">IF(dict_zuord_Meth_Transfers[[#This Row],[kval_active]],dict_zuord_Meth_Transfers[[#This Row],[ID_Transfers]],"")</f>
        <v/>
      </c>
    </row>
    <row r="1571" spans="1:4" x14ac:dyDescent="0.45">
      <c r="A1571">
        <v>261</v>
      </c>
      <c r="B1571">
        <f t="shared" ca="1" si="24"/>
        <v>108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1" t="str">
        <f ca="1">IF(dict_zuord_Meth_Transfers[[#This Row],[kval_active]],dict_zuord_Meth_Transfers[[#This Row],[ID_Transfers]],"")</f>
        <v/>
      </c>
    </row>
    <row r="1572" spans="1:4" x14ac:dyDescent="0.45">
      <c r="A1572">
        <v>261</v>
      </c>
      <c r="B1572" s="3">
        <f t="shared" ca="1" si="24"/>
        <v>112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2" t="str">
        <f ca="1">IF(dict_zuord_Meth_Transfers[[#This Row],[kval_active]],dict_zuord_Meth_Transfers[[#This Row],[ID_Transfers]],"")</f>
        <v/>
      </c>
    </row>
    <row r="1573" spans="1:4" x14ac:dyDescent="0.45">
      <c r="A1573">
        <v>261</v>
      </c>
      <c r="B1573" s="3">
        <f t="shared" ca="1" si="24"/>
        <v>41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3" t="str">
        <f ca="1">IF(dict_zuord_Meth_Transfers[[#This Row],[kval_active]],dict_zuord_Meth_Transfers[[#This Row],[ID_Transfers]],"")</f>
        <v/>
      </c>
    </row>
    <row r="1574" spans="1:4" x14ac:dyDescent="0.45">
      <c r="A1574">
        <v>262</v>
      </c>
      <c r="B1574">
        <f t="shared" ca="1" si="24"/>
        <v>33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4" t="str">
        <f ca="1">IF(dict_zuord_Meth_Transfers[[#This Row],[kval_active]],dict_zuord_Meth_Transfers[[#This Row],[ID_Transfers]],"")</f>
        <v/>
      </c>
    </row>
    <row r="1575" spans="1:4" x14ac:dyDescent="0.45">
      <c r="A1575">
        <v>262</v>
      </c>
      <c r="B1575" s="3">
        <f t="shared" ca="1" si="24"/>
        <v>74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5" t="str">
        <f ca="1">IF(dict_zuord_Meth_Transfers[[#This Row],[kval_active]],dict_zuord_Meth_Transfers[[#This Row],[ID_Transfers]],"")</f>
        <v/>
      </c>
    </row>
    <row r="1576" spans="1:4" x14ac:dyDescent="0.45">
      <c r="A1576">
        <v>262</v>
      </c>
      <c r="B1576" s="3">
        <f t="shared" ca="1" si="24"/>
        <v>109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6" t="str">
        <f ca="1">IF(dict_zuord_Meth_Transfers[[#This Row],[kval_active]],dict_zuord_Meth_Transfers[[#This Row],[ID_Transfers]],"")</f>
        <v/>
      </c>
    </row>
    <row r="1577" spans="1:4" x14ac:dyDescent="0.45">
      <c r="A1577">
        <v>262</v>
      </c>
      <c r="B1577">
        <f t="shared" ca="1" si="24"/>
        <v>21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7" t="str">
        <f ca="1">IF(dict_zuord_Meth_Transfers[[#This Row],[kval_active]],dict_zuord_Meth_Transfers[[#This Row],[ID_Transfers]],"")</f>
        <v/>
      </c>
    </row>
    <row r="1578" spans="1:4" x14ac:dyDescent="0.45">
      <c r="A1578">
        <v>262</v>
      </c>
      <c r="B1578">
        <f t="shared" ca="1" si="24"/>
        <v>194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8" t="str">
        <f ca="1">IF(dict_zuord_Meth_Transfers[[#This Row],[kval_active]],dict_zuord_Meth_Transfers[[#This Row],[ID_Transfers]],"")</f>
        <v/>
      </c>
    </row>
    <row r="1579" spans="1:4" x14ac:dyDescent="0.45">
      <c r="A1579">
        <v>262</v>
      </c>
      <c r="B1579" s="3">
        <f t="shared" ca="1" si="24"/>
        <v>140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9" t="str">
        <f ca="1">IF(dict_zuord_Meth_Transfers[[#This Row],[kval_active]],dict_zuord_Meth_Transfers[[#This Row],[ID_Transfers]],"")</f>
        <v/>
      </c>
    </row>
    <row r="1580" spans="1:4" x14ac:dyDescent="0.45">
      <c r="A1580">
        <v>263</v>
      </c>
      <c r="B1580">
        <f t="shared" ca="1" si="24"/>
        <v>64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0" t="str">
        <f ca="1">IF(dict_zuord_Meth_Transfers[[#This Row],[kval_active]],dict_zuord_Meth_Transfers[[#This Row],[ID_Transfers]],"")</f>
        <v/>
      </c>
    </row>
    <row r="1581" spans="1:4" x14ac:dyDescent="0.45">
      <c r="A1581">
        <v>263</v>
      </c>
      <c r="B1581" s="3">
        <f t="shared" ca="1" si="24"/>
        <v>60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1" t="str">
        <f ca="1">IF(dict_zuord_Meth_Transfers[[#This Row],[kval_active]],dict_zuord_Meth_Transfers[[#This Row],[ID_Transfers]],"")</f>
        <v/>
      </c>
    </row>
    <row r="1582" spans="1:4" x14ac:dyDescent="0.45">
      <c r="A1582">
        <v>263</v>
      </c>
      <c r="B1582" s="3">
        <f t="shared" ca="1" si="24"/>
        <v>38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2" t="str">
        <f ca="1">IF(dict_zuord_Meth_Transfers[[#This Row],[kval_active]],dict_zuord_Meth_Transfers[[#This Row],[ID_Transfers]],"")</f>
        <v/>
      </c>
    </row>
    <row r="1583" spans="1:4" x14ac:dyDescent="0.45">
      <c r="A1583">
        <v>263</v>
      </c>
      <c r="B1583" s="3">
        <f t="shared" ca="1" si="24"/>
        <v>200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3" t="str">
        <f ca="1">IF(dict_zuord_Meth_Transfers[[#This Row],[kval_active]],dict_zuord_Meth_Transfers[[#This Row],[ID_Transfers]],"")</f>
        <v/>
      </c>
    </row>
    <row r="1584" spans="1:4" x14ac:dyDescent="0.45">
      <c r="A1584">
        <v>263</v>
      </c>
      <c r="B1584">
        <f t="shared" ca="1" si="24"/>
        <v>160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4" t="str">
        <f ca="1">IF(dict_zuord_Meth_Transfers[[#This Row],[kval_active]],dict_zuord_Meth_Transfers[[#This Row],[ID_Transfers]],"")</f>
        <v/>
      </c>
    </row>
    <row r="1585" spans="1:4" x14ac:dyDescent="0.45">
      <c r="A1585">
        <v>263</v>
      </c>
      <c r="B1585">
        <f t="shared" ca="1" si="24"/>
        <v>151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5" t="str">
        <f ca="1">IF(dict_zuord_Meth_Transfers[[#This Row],[kval_active]],dict_zuord_Meth_Transfers[[#This Row],[ID_Transfers]],"")</f>
        <v/>
      </c>
    </row>
    <row r="1586" spans="1:4" x14ac:dyDescent="0.45">
      <c r="A1586">
        <v>264</v>
      </c>
      <c r="B1586">
        <f t="shared" ca="1" si="24"/>
        <v>139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6" t="str">
        <f ca="1">IF(dict_zuord_Meth_Transfers[[#This Row],[kval_active]],dict_zuord_Meth_Transfers[[#This Row],[ID_Transfers]],"")</f>
        <v/>
      </c>
    </row>
    <row r="1587" spans="1:4" x14ac:dyDescent="0.45">
      <c r="A1587">
        <v>264</v>
      </c>
      <c r="B1587" s="3">
        <f t="shared" ca="1" si="24"/>
        <v>23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7" t="str">
        <f ca="1">IF(dict_zuord_Meth_Transfers[[#This Row],[kval_active]],dict_zuord_Meth_Transfers[[#This Row],[ID_Transfers]],"")</f>
        <v/>
      </c>
    </row>
    <row r="1588" spans="1:4" x14ac:dyDescent="0.45">
      <c r="A1588">
        <v>264</v>
      </c>
      <c r="B1588">
        <f t="shared" ca="1" si="24"/>
        <v>160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8" t="str">
        <f ca="1">IF(dict_zuord_Meth_Transfers[[#This Row],[kval_active]],dict_zuord_Meth_Transfers[[#This Row],[ID_Transfers]],"")</f>
        <v/>
      </c>
    </row>
    <row r="1589" spans="1:4" x14ac:dyDescent="0.45">
      <c r="A1589">
        <v>264</v>
      </c>
      <c r="B1589">
        <f t="shared" ca="1" si="24"/>
        <v>27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9" t="str">
        <f ca="1">IF(dict_zuord_Meth_Transfers[[#This Row],[kval_active]],dict_zuord_Meth_Transfers[[#This Row],[ID_Transfers]],"")</f>
        <v/>
      </c>
    </row>
    <row r="1590" spans="1:4" x14ac:dyDescent="0.45">
      <c r="A1590">
        <v>264</v>
      </c>
      <c r="B1590" s="3">
        <f t="shared" ca="1" si="24"/>
        <v>173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0" t="str">
        <f ca="1">IF(dict_zuord_Meth_Transfers[[#This Row],[kval_active]],dict_zuord_Meth_Transfers[[#This Row],[ID_Transfers]],"")</f>
        <v/>
      </c>
    </row>
    <row r="1591" spans="1:4" x14ac:dyDescent="0.45">
      <c r="A1591">
        <v>264</v>
      </c>
      <c r="B1591" s="3">
        <f t="shared" ca="1" si="24"/>
        <v>60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1" t="str">
        <f ca="1">IF(dict_zuord_Meth_Transfers[[#This Row],[kval_active]],dict_zuord_Meth_Transfers[[#This Row],[ID_Transfers]],"")</f>
        <v/>
      </c>
    </row>
    <row r="1592" spans="1:4" x14ac:dyDescent="0.45">
      <c r="A1592">
        <v>265</v>
      </c>
      <c r="B1592" s="3">
        <f t="shared" ca="1" si="24"/>
        <v>88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2" t="str">
        <f ca="1">IF(dict_zuord_Meth_Transfers[[#This Row],[kval_active]],dict_zuord_Meth_Transfers[[#This Row],[ID_Transfers]],"")</f>
        <v/>
      </c>
    </row>
    <row r="1593" spans="1:4" x14ac:dyDescent="0.45">
      <c r="A1593">
        <v>265</v>
      </c>
      <c r="B1593">
        <f t="shared" ca="1" si="24"/>
        <v>95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3" t="str">
        <f ca="1">IF(dict_zuord_Meth_Transfers[[#This Row],[kval_active]],dict_zuord_Meth_Transfers[[#This Row],[ID_Transfers]],"")</f>
        <v/>
      </c>
    </row>
    <row r="1594" spans="1:4" x14ac:dyDescent="0.45">
      <c r="A1594">
        <v>265</v>
      </c>
      <c r="B1594" s="3">
        <f t="shared" ca="1" si="24"/>
        <v>179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4" t="str">
        <f ca="1">IF(dict_zuord_Meth_Transfers[[#This Row],[kval_active]],dict_zuord_Meth_Transfers[[#This Row],[ID_Transfers]],"")</f>
        <v/>
      </c>
    </row>
    <row r="1595" spans="1:4" x14ac:dyDescent="0.45">
      <c r="A1595">
        <v>265</v>
      </c>
      <c r="B1595" s="3">
        <f t="shared" ca="1" si="24"/>
        <v>53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5" t="str">
        <f ca="1">IF(dict_zuord_Meth_Transfers[[#This Row],[kval_active]],dict_zuord_Meth_Transfers[[#This Row],[ID_Transfers]],"")</f>
        <v/>
      </c>
    </row>
    <row r="1596" spans="1:4" x14ac:dyDescent="0.45">
      <c r="A1596">
        <v>265</v>
      </c>
      <c r="B1596">
        <f t="shared" ca="1" si="24"/>
        <v>89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6" t="str">
        <f ca="1">IF(dict_zuord_Meth_Transfers[[#This Row],[kval_active]],dict_zuord_Meth_Transfers[[#This Row],[ID_Transfers]],"")</f>
        <v/>
      </c>
    </row>
    <row r="1597" spans="1:4" x14ac:dyDescent="0.45">
      <c r="A1597">
        <v>265</v>
      </c>
      <c r="B1597">
        <f t="shared" ca="1" si="24"/>
        <v>79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7" t="str">
        <f ca="1">IF(dict_zuord_Meth_Transfers[[#This Row],[kval_active]],dict_zuord_Meth_Transfers[[#This Row],[ID_Transfers]],"")</f>
        <v/>
      </c>
    </row>
    <row r="1598" spans="1:4" x14ac:dyDescent="0.45">
      <c r="A1598">
        <v>266</v>
      </c>
      <c r="B1598" s="3">
        <f t="shared" ca="1" si="24"/>
        <v>124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8" t="str">
        <f ca="1">IF(dict_zuord_Meth_Transfers[[#This Row],[kval_active]],dict_zuord_Meth_Transfers[[#This Row],[ID_Transfers]],"")</f>
        <v/>
      </c>
    </row>
    <row r="1599" spans="1:4" x14ac:dyDescent="0.45">
      <c r="A1599">
        <v>266</v>
      </c>
      <c r="B1599" s="3">
        <f t="shared" ca="1" si="24"/>
        <v>142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9" t="str">
        <f ca="1">IF(dict_zuord_Meth_Transfers[[#This Row],[kval_active]],dict_zuord_Meth_Transfers[[#This Row],[ID_Transfers]],"")</f>
        <v/>
      </c>
    </row>
    <row r="1600" spans="1:4" x14ac:dyDescent="0.45">
      <c r="A1600">
        <v>266</v>
      </c>
      <c r="B1600">
        <f t="shared" ca="1" si="24"/>
        <v>76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0" t="str">
        <f ca="1">IF(dict_zuord_Meth_Transfers[[#This Row],[kval_active]],dict_zuord_Meth_Transfers[[#This Row],[ID_Transfers]],"")</f>
        <v/>
      </c>
    </row>
    <row r="1601" spans="1:4" x14ac:dyDescent="0.45">
      <c r="A1601">
        <v>266</v>
      </c>
      <c r="B1601">
        <f t="shared" ca="1" si="24"/>
        <v>141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1" t="str">
        <f ca="1">IF(dict_zuord_Meth_Transfers[[#This Row],[kval_active]],dict_zuord_Meth_Transfers[[#This Row],[ID_Transfers]],"")</f>
        <v/>
      </c>
    </row>
    <row r="1602" spans="1:4" x14ac:dyDescent="0.45">
      <c r="A1602">
        <v>266</v>
      </c>
      <c r="B1602">
        <f t="shared" ref="B1602:B1665" ca="1" si="25">RANDBETWEEN(0,200)</f>
        <v>13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2" t="str">
        <f ca="1">IF(dict_zuord_Meth_Transfers[[#This Row],[kval_active]],dict_zuord_Meth_Transfers[[#This Row],[ID_Transfers]],"")</f>
        <v/>
      </c>
    </row>
    <row r="1603" spans="1:4" x14ac:dyDescent="0.45">
      <c r="A1603">
        <v>266</v>
      </c>
      <c r="B1603" s="3">
        <f t="shared" ca="1" si="25"/>
        <v>155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3" t="str">
        <f ca="1">IF(dict_zuord_Meth_Transfers[[#This Row],[kval_active]],dict_zuord_Meth_Transfers[[#This Row],[ID_Transfers]],"")</f>
        <v/>
      </c>
    </row>
    <row r="1604" spans="1:4" x14ac:dyDescent="0.45">
      <c r="A1604">
        <v>267</v>
      </c>
      <c r="B1604">
        <f t="shared" ca="1" si="25"/>
        <v>25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4" t="str">
        <f ca="1">IF(dict_zuord_Meth_Transfers[[#This Row],[kval_active]],dict_zuord_Meth_Transfers[[#This Row],[ID_Transfers]],"")</f>
        <v/>
      </c>
    </row>
    <row r="1605" spans="1:4" x14ac:dyDescent="0.45">
      <c r="A1605">
        <v>267</v>
      </c>
      <c r="B1605">
        <f t="shared" ca="1" si="25"/>
        <v>92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5" t="str">
        <f ca="1">IF(dict_zuord_Meth_Transfers[[#This Row],[kval_active]],dict_zuord_Meth_Transfers[[#This Row],[ID_Transfers]],"")</f>
        <v/>
      </c>
    </row>
    <row r="1606" spans="1:4" x14ac:dyDescent="0.45">
      <c r="A1606">
        <v>267</v>
      </c>
      <c r="B1606" s="3">
        <f t="shared" ca="1" si="25"/>
        <v>28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6" t="str">
        <f ca="1">IF(dict_zuord_Meth_Transfers[[#This Row],[kval_active]],dict_zuord_Meth_Transfers[[#This Row],[ID_Transfers]],"")</f>
        <v/>
      </c>
    </row>
    <row r="1607" spans="1:4" x14ac:dyDescent="0.45">
      <c r="A1607">
        <v>267</v>
      </c>
      <c r="B1607" s="3">
        <f t="shared" ca="1" si="25"/>
        <v>74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7" t="str">
        <f ca="1">IF(dict_zuord_Meth_Transfers[[#This Row],[kval_active]],dict_zuord_Meth_Transfers[[#This Row],[ID_Transfers]],"")</f>
        <v/>
      </c>
    </row>
    <row r="1608" spans="1:4" x14ac:dyDescent="0.45">
      <c r="A1608">
        <v>267</v>
      </c>
      <c r="B1608" s="3">
        <f t="shared" ca="1" si="25"/>
        <v>12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8" t="str">
        <f ca="1">IF(dict_zuord_Meth_Transfers[[#This Row],[kval_active]],dict_zuord_Meth_Transfers[[#This Row],[ID_Transfers]],"")</f>
        <v/>
      </c>
    </row>
    <row r="1609" spans="1:4" x14ac:dyDescent="0.45">
      <c r="A1609">
        <v>267</v>
      </c>
      <c r="B1609">
        <f t="shared" ca="1" si="25"/>
        <v>60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9" t="str">
        <f ca="1">IF(dict_zuord_Meth_Transfers[[#This Row],[kval_active]],dict_zuord_Meth_Transfers[[#This Row],[ID_Transfers]],"")</f>
        <v/>
      </c>
    </row>
    <row r="1610" spans="1:4" x14ac:dyDescent="0.45">
      <c r="A1610">
        <v>268</v>
      </c>
      <c r="B1610" s="3">
        <f t="shared" ca="1" si="25"/>
        <v>103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0" t="str">
        <f ca="1">IF(dict_zuord_Meth_Transfers[[#This Row],[kval_active]],dict_zuord_Meth_Transfers[[#This Row],[ID_Transfers]],"")</f>
        <v/>
      </c>
    </row>
    <row r="1611" spans="1:4" x14ac:dyDescent="0.45">
      <c r="A1611">
        <v>268</v>
      </c>
      <c r="B1611">
        <f t="shared" ca="1" si="25"/>
        <v>178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1" t="str">
        <f ca="1">IF(dict_zuord_Meth_Transfers[[#This Row],[kval_active]],dict_zuord_Meth_Transfers[[#This Row],[ID_Transfers]],"")</f>
        <v/>
      </c>
    </row>
    <row r="1612" spans="1:4" x14ac:dyDescent="0.45">
      <c r="A1612">
        <v>268</v>
      </c>
      <c r="B1612">
        <f t="shared" ca="1" si="25"/>
        <v>17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2" t="str">
        <f ca="1">IF(dict_zuord_Meth_Transfers[[#This Row],[kval_active]],dict_zuord_Meth_Transfers[[#This Row],[ID_Transfers]],"")</f>
        <v/>
      </c>
    </row>
    <row r="1613" spans="1:4" x14ac:dyDescent="0.45">
      <c r="A1613">
        <v>268</v>
      </c>
      <c r="B1613">
        <f t="shared" ca="1" si="25"/>
        <v>106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3" t="str">
        <f ca="1">IF(dict_zuord_Meth_Transfers[[#This Row],[kval_active]],dict_zuord_Meth_Transfers[[#This Row],[ID_Transfers]],"")</f>
        <v/>
      </c>
    </row>
    <row r="1614" spans="1:4" x14ac:dyDescent="0.45">
      <c r="A1614">
        <v>268</v>
      </c>
      <c r="B1614" s="3">
        <f t="shared" ca="1" si="25"/>
        <v>75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4" t="str">
        <f ca="1">IF(dict_zuord_Meth_Transfers[[#This Row],[kval_active]],dict_zuord_Meth_Transfers[[#This Row],[ID_Transfers]],"")</f>
        <v/>
      </c>
    </row>
    <row r="1615" spans="1:4" x14ac:dyDescent="0.45">
      <c r="A1615">
        <v>268</v>
      </c>
      <c r="B1615" s="3">
        <f t="shared" ca="1" si="25"/>
        <v>26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5" t="str">
        <f ca="1">IF(dict_zuord_Meth_Transfers[[#This Row],[kval_active]],dict_zuord_Meth_Transfers[[#This Row],[ID_Transfers]],"")</f>
        <v/>
      </c>
    </row>
    <row r="1616" spans="1:4" x14ac:dyDescent="0.45">
      <c r="A1616">
        <v>269</v>
      </c>
      <c r="B1616" s="3">
        <f t="shared" ca="1" si="25"/>
        <v>54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6" t="str">
        <f ca="1">IF(dict_zuord_Meth_Transfers[[#This Row],[kval_active]],dict_zuord_Meth_Transfers[[#This Row],[ID_Transfers]],"")</f>
        <v/>
      </c>
    </row>
    <row r="1617" spans="1:4" x14ac:dyDescent="0.45">
      <c r="A1617">
        <v>269</v>
      </c>
      <c r="B1617">
        <f t="shared" ca="1" si="25"/>
        <v>125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7" t="str">
        <f ca="1">IF(dict_zuord_Meth_Transfers[[#This Row],[kval_active]],dict_zuord_Meth_Transfers[[#This Row],[ID_Transfers]],"")</f>
        <v/>
      </c>
    </row>
    <row r="1618" spans="1:4" x14ac:dyDescent="0.45">
      <c r="A1618">
        <v>269</v>
      </c>
      <c r="B1618" s="3">
        <f t="shared" ca="1" si="25"/>
        <v>122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8" t="str">
        <f ca="1">IF(dict_zuord_Meth_Transfers[[#This Row],[kval_active]],dict_zuord_Meth_Transfers[[#This Row],[ID_Transfers]],"")</f>
        <v/>
      </c>
    </row>
    <row r="1619" spans="1:4" x14ac:dyDescent="0.45">
      <c r="A1619">
        <v>269</v>
      </c>
      <c r="B1619" s="3">
        <f t="shared" ca="1" si="25"/>
        <v>153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9" t="str">
        <f ca="1">IF(dict_zuord_Meth_Transfers[[#This Row],[kval_active]],dict_zuord_Meth_Transfers[[#This Row],[ID_Transfers]],"")</f>
        <v/>
      </c>
    </row>
    <row r="1620" spans="1:4" x14ac:dyDescent="0.45">
      <c r="A1620">
        <v>269</v>
      </c>
      <c r="B1620">
        <f t="shared" ca="1" si="25"/>
        <v>51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0" t="str">
        <f ca="1">IF(dict_zuord_Meth_Transfers[[#This Row],[kval_active]],dict_zuord_Meth_Transfers[[#This Row],[ID_Transfers]],"")</f>
        <v/>
      </c>
    </row>
    <row r="1621" spans="1:4" x14ac:dyDescent="0.45">
      <c r="A1621">
        <v>269</v>
      </c>
      <c r="B1621">
        <f t="shared" ca="1" si="25"/>
        <v>95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1" t="str">
        <f ca="1">IF(dict_zuord_Meth_Transfers[[#This Row],[kval_active]],dict_zuord_Meth_Transfers[[#This Row],[ID_Transfers]],"")</f>
        <v/>
      </c>
    </row>
    <row r="1622" spans="1:4" x14ac:dyDescent="0.45">
      <c r="A1622">
        <v>270</v>
      </c>
      <c r="B1622">
        <f t="shared" ca="1" si="25"/>
        <v>132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2" t="str">
        <f ca="1">IF(dict_zuord_Meth_Transfers[[#This Row],[kval_active]],dict_zuord_Meth_Transfers[[#This Row],[ID_Transfers]],"")</f>
        <v/>
      </c>
    </row>
    <row r="1623" spans="1:4" x14ac:dyDescent="0.45">
      <c r="A1623">
        <v>270</v>
      </c>
      <c r="B1623" s="3">
        <f t="shared" ca="1" si="25"/>
        <v>34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3" t="str">
        <f ca="1">IF(dict_zuord_Meth_Transfers[[#This Row],[kval_active]],dict_zuord_Meth_Transfers[[#This Row],[ID_Transfers]],"")</f>
        <v/>
      </c>
    </row>
    <row r="1624" spans="1:4" x14ac:dyDescent="0.45">
      <c r="A1624">
        <v>270</v>
      </c>
      <c r="B1624" s="3">
        <f t="shared" ca="1" si="25"/>
        <v>70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4" t="str">
        <f ca="1">IF(dict_zuord_Meth_Transfers[[#This Row],[kval_active]],dict_zuord_Meth_Transfers[[#This Row],[ID_Transfers]],"")</f>
        <v/>
      </c>
    </row>
    <row r="1625" spans="1:4" x14ac:dyDescent="0.45">
      <c r="A1625">
        <v>270</v>
      </c>
      <c r="B1625">
        <f t="shared" ca="1" si="25"/>
        <v>83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5" t="str">
        <f ca="1">IF(dict_zuord_Meth_Transfers[[#This Row],[kval_active]],dict_zuord_Meth_Transfers[[#This Row],[ID_Transfers]],"")</f>
        <v/>
      </c>
    </row>
    <row r="1626" spans="1:4" x14ac:dyDescent="0.45">
      <c r="A1626">
        <v>270</v>
      </c>
      <c r="B1626">
        <f t="shared" ca="1" si="25"/>
        <v>139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6" t="str">
        <f ca="1">IF(dict_zuord_Meth_Transfers[[#This Row],[kval_active]],dict_zuord_Meth_Transfers[[#This Row],[ID_Transfers]],"")</f>
        <v/>
      </c>
    </row>
    <row r="1627" spans="1:4" x14ac:dyDescent="0.45">
      <c r="A1627">
        <v>270</v>
      </c>
      <c r="B1627" s="3">
        <f t="shared" ca="1" si="25"/>
        <v>91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7" t="str">
        <f ca="1">IF(dict_zuord_Meth_Transfers[[#This Row],[kval_active]],dict_zuord_Meth_Transfers[[#This Row],[ID_Transfers]],"")</f>
        <v/>
      </c>
    </row>
    <row r="1628" spans="1:4" x14ac:dyDescent="0.45">
      <c r="A1628">
        <v>271</v>
      </c>
      <c r="B1628">
        <f t="shared" ca="1" si="25"/>
        <v>142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8" t="str">
        <f ca="1">IF(dict_zuord_Meth_Transfers[[#This Row],[kval_active]],dict_zuord_Meth_Transfers[[#This Row],[ID_Transfers]],"")</f>
        <v/>
      </c>
    </row>
    <row r="1629" spans="1:4" x14ac:dyDescent="0.45">
      <c r="A1629">
        <v>271</v>
      </c>
      <c r="B1629">
        <f t="shared" ca="1" si="25"/>
        <v>40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9" t="str">
        <f ca="1">IF(dict_zuord_Meth_Transfers[[#This Row],[kval_active]],dict_zuord_Meth_Transfers[[#This Row],[ID_Transfers]],"")</f>
        <v/>
      </c>
    </row>
    <row r="1630" spans="1:4" x14ac:dyDescent="0.45">
      <c r="A1630">
        <v>271</v>
      </c>
      <c r="B1630">
        <f t="shared" ca="1" si="25"/>
        <v>145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0" t="str">
        <f ca="1">IF(dict_zuord_Meth_Transfers[[#This Row],[kval_active]],dict_zuord_Meth_Transfers[[#This Row],[ID_Transfers]],"")</f>
        <v/>
      </c>
    </row>
    <row r="1631" spans="1:4" x14ac:dyDescent="0.45">
      <c r="A1631">
        <v>271</v>
      </c>
      <c r="B1631" s="3">
        <f t="shared" ca="1" si="25"/>
        <v>58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1" t="str">
        <f ca="1">IF(dict_zuord_Meth_Transfers[[#This Row],[kval_active]],dict_zuord_Meth_Transfers[[#This Row],[ID_Transfers]],"")</f>
        <v/>
      </c>
    </row>
    <row r="1632" spans="1:4" x14ac:dyDescent="0.45">
      <c r="A1632">
        <v>271</v>
      </c>
      <c r="B1632" s="3">
        <f t="shared" ca="1" si="25"/>
        <v>170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2" t="str">
        <f ca="1">IF(dict_zuord_Meth_Transfers[[#This Row],[kval_active]],dict_zuord_Meth_Transfers[[#This Row],[ID_Transfers]],"")</f>
        <v/>
      </c>
    </row>
    <row r="1633" spans="1:4" x14ac:dyDescent="0.45">
      <c r="A1633">
        <v>271</v>
      </c>
      <c r="B1633" s="3">
        <f t="shared" ca="1" si="25"/>
        <v>197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3" t="str">
        <f ca="1">IF(dict_zuord_Meth_Transfers[[#This Row],[kval_active]],dict_zuord_Meth_Transfers[[#This Row],[ID_Transfers]],"")</f>
        <v/>
      </c>
    </row>
    <row r="1634" spans="1:4" x14ac:dyDescent="0.45">
      <c r="A1634">
        <v>272</v>
      </c>
      <c r="B1634" s="3">
        <f t="shared" ca="1" si="25"/>
        <v>150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4" t="str">
        <f ca="1">IF(dict_zuord_Meth_Transfers[[#This Row],[kval_active]],dict_zuord_Meth_Transfers[[#This Row],[ID_Transfers]],"")</f>
        <v/>
      </c>
    </row>
    <row r="1635" spans="1:4" x14ac:dyDescent="0.45">
      <c r="A1635">
        <v>272</v>
      </c>
      <c r="B1635">
        <f t="shared" ca="1" si="25"/>
        <v>180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5" t="str">
        <f ca="1">IF(dict_zuord_Meth_Transfers[[#This Row],[kval_active]],dict_zuord_Meth_Transfers[[#This Row],[ID_Transfers]],"")</f>
        <v/>
      </c>
    </row>
    <row r="1636" spans="1:4" x14ac:dyDescent="0.45">
      <c r="A1636">
        <v>272</v>
      </c>
      <c r="B1636">
        <f t="shared" ca="1" si="25"/>
        <v>101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6" t="str">
        <f ca="1">IF(dict_zuord_Meth_Transfers[[#This Row],[kval_active]],dict_zuord_Meth_Transfers[[#This Row],[ID_Transfers]],"")</f>
        <v/>
      </c>
    </row>
    <row r="1637" spans="1:4" x14ac:dyDescent="0.45">
      <c r="A1637">
        <v>272</v>
      </c>
      <c r="B1637">
        <f t="shared" ca="1" si="25"/>
        <v>42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7" t="str">
        <f ca="1">IF(dict_zuord_Meth_Transfers[[#This Row],[kval_active]],dict_zuord_Meth_Transfers[[#This Row],[ID_Transfers]],"")</f>
        <v/>
      </c>
    </row>
    <row r="1638" spans="1:4" x14ac:dyDescent="0.45">
      <c r="A1638">
        <v>272</v>
      </c>
      <c r="B1638" s="3">
        <f t="shared" ca="1" si="25"/>
        <v>58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8" t="str">
        <f ca="1">IF(dict_zuord_Meth_Transfers[[#This Row],[kval_active]],dict_zuord_Meth_Transfers[[#This Row],[ID_Transfers]],"")</f>
        <v/>
      </c>
    </row>
    <row r="1639" spans="1:4" x14ac:dyDescent="0.45">
      <c r="A1639">
        <v>272</v>
      </c>
      <c r="B1639" s="3">
        <f t="shared" ca="1" si="25"/>
        <v>127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9" t="str">
        <f ca="1">IF(dict_zuord_Meth_Transfers[[#This Row],[kval_active]],dict_zuord_Meth_Transfers[[#This Row],[ID_Transfers]],"")</f>
        <v/>
      </c>
    </row>
    <row r="1640" spans="1:4" x14ac:dyDescent="0.45">
      <c r="A1640">
        <v>273</v>
      </c>
      <c r="B1640">
        <f t="shared" ca="1" si="25"/>
        <v>31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0" t="str">
        <f ca="1">IF(dict_zuord_Meth_Transfers[[#This Row],[kval_active]],dict_zuord_Meth_Transfers[[#This Row],[ID_Transfers]],"")</f>
        <v/>
      </c>
    </row>
    <row r="1641" spans="1:4" x14ac:dyDescent="0.45">
      <c r="A1641">
        <v>273</v>
      </c>
      <c r="B1641">
        <f t="shared" ca="1" si="25"/>
        <v>55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1" t="str">
        <f ca="1">IF(dict_zuord_Meth_Transfers[[#This Row],[kval_active]],dict_zuord_Meth_Transfers[[#This Row],[ID_Transfers]],"")</f>
        <v/>
      </c>
    </row>
    <row r="1642" spans="1:4" x14ac:dyDescent="0.45">
      <c r="A1642">
        <v>273</v>
      </c>
      <c r="B1642">
        <f t="shared" ca="1" si="25"/>
        <v>158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2" t="str">
        <f ca="1">IF(dict_zuord_Meth_Transfers[[#This Row],[kval_active]],dict_zuord_Meth_Transfers[[#This Row],[ID_Transfers]],"")</f>
        <v/>
      </c>
    </row>
    <row r="1643" spans="1:4" x14ac:dyDescent="0.45">
      <c r="A1643">
        <v>273</v>
      </c>
      <c r="B1643" s="3">
        <f t="shared" ca="1" si="25"/>
        <v>69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3" t="str">
        <f ca="1">IF(dict_zuord_Meth_Transfers[[#This Row],[kval_active]],dict_zuord_Meth_Transfers[[#This Row],[ID_Transfers]],"")</f>
        <v/>
      </c>
    </row>
    <row r="1644" spans="1:4" x14ac:dyDescent="0.45">
      <c r="A1644">
        <v>273</v>
      </c>
      <c r="B1644" s="3">
        <f t="shared" ca="1" si="25"/>
        <v>9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4" t="str">
        <f ca="1">IF(dict_zuord_Meth_Transfers[[#This Row],[kval_active]],dict_zuord_Meth_Transfers[[#This Row],[ID_Transfers]],"")</f>
        <v/>
      </c>
    </row>
    <row r="1645" spans="1:4" x14ac:dyDescent="0.45">
      <c r="A1645">
        <v>273</v>
      </c>
      <c r="B1645" s="3">
        <f t="shared" ca="1" si="25"/>
        <v>69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5" t="str">
        <f ca="1">IF(dict_zuord_Meth_Transfers[[#This Row],[kval_active]],dict_zuord_Meth_Transfers[[#This Row],[ID_Transfers]],"")</f>
        <v/>
      </c>
    </row>
    <row r="1646" spans="1:4" x14ac:dyDescent="0.45">
      <c r="A1646">
        <v>274</v>
      </c>
      <c r="B1646" s="3">
        <f t="shared" ca="1" si="25"/>
        <v>138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6" t="str">
        <f ca="1">IF(dict_zuord_Meth_Transfers[[#This Row],[kval_active]],dict_zuord_Meth_Transfers[[#This Row],[ID_Transfers]],"")</f>
        <v/>
      </c>
    </row>
    <row r="1647" spans="1:4" x14ac:dyDescent="0.45">
      <c r="A1647">
        <v>274</v>
      </c>
      <c r="B1647">
        <f t="shared" ca="1" si="25"/>
        <v>166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7" t="str">
        <f ca="1">IF(dict_zuord_Meth_Transfers[[#This Row],[kval_active]],dict_zuord_Meth_Transfers[[#This Row],[ID_Transfers]],"")</f>
        <v/>
      </c>
    </row>
    <row r="1648" spans="1:4" x14ac:dyDescent="0.45">
      <c r="A1648">
        <v>274</v>
      </c>
      <c r="B1648" s="3">
        <f t="shared" ca="1" si="25"/>
        <v>90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8" t="str">
        <f ca="1">IF(dict_zuord_Meth_Transfers[[#This Row],[kval_active]],dict_zuord_Meth_Transfers[[#This Row],[ID_Transfers]],"")</f>
        <v/>
      </c>
    </row>
    <row r="1649" spans="1:4" x14ac:dyDescent="0.45">
      <c r="A1649">
        <v>274</v>
      </c>
      <c r="B1649">
        <f t="shared" ca="1" si="25"/>
        <v>143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9" t="str">
        <f ca="1">IF(dict_zuord_Meth_Transfers[[#This Row],[kval_active]],dict_zuord_Meth_Transfers[[#This Row],[ID_Transfers]],"")</f>
        <v/>
      </c>
    </row>
    <row r="1650" spans="1:4" x14ac:dyDescent="0.45">
      <c r="A1650">
        <v>274</v>
      </c>
      <c r="B1650" s="3">
        <f t="shared" ca="1" si="25"/>
        <v>30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0" t="str">
        <f ca="1">IF(dict_zuord_Meth_Transfers[[#This Row],[kval_active]],dict_zuord_Meth_Transfers[[#This Row],[ID_Transfers]],"")</f>
        <v/>
      </c>
    </row>
    <row r="1651" spans="1:4" x14ac:dyDescent="0.45">
      <c r="A1651">
        <v>274</v>
      </c>
      <c r="B1651">
        <f t="shared" ca="1" si="25"/>
        <v>59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1" t="str">
        <f ca="1">IF(dict_zuord_Meth_Transfers[[#This Row],[kval_active]],dict_zuord_Meth_Transfers[[#This Row],[ID_Transfers]],"")</f>
        <v/>
      </c>
    </row>
    <row r="1652" spans="1:4" x14ac:dyDescent="0.45">
      <c r="A1652">
        <v>275</v>
      </c>
      <c r="B1652" s="3">
        <f t="shared" ca="1" si="25"/>
        <v>123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2">
        <f ca="1">IF(dict_zuord_Meth_Transfers[[#This Row],[kval_active]],dict_zuord_Meth_Transfers[[#This Row],[ID_Transfers]],"")</f>
        <v>123</v>
      </c>
    </row>
    <row r="1653" spans="1:4" x14ac:dyDescent="0.45">
      <c r="A1653">
        <v>275</v>
      </c>
      <c r="B1653">
        <f t="shared" ca="1" si="25"/>
        <v>108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3">
        <f ca="1">IF(dict_zuord_Meth_Transfers[[#This Row],[kval_active]],dict_zuord_Meth_Transfers[[#This Row],[ID_Transfers]],"")</f>
        <v>108</v>
      </c>
    </row>
    <row r="1654" spans="1:4" x14ac:dyDescent="0.45">
      <c r="A1654">
        <v>275</v>
      </c>
      <c r="B1654">
        <f t="shared" ca="1" si="25"/>
        <v>196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4">
        <f ca="1">IF(dict_zuord_Meth_Transfers[[#This Row],[kval_active]],dict_zuord_Meth_Transfers[[#This Row],[ID_Transfers]],"")</f>
        <v>196</v>
      </c>
    </row>
    <row r="1655" spans="1:4" x14ac:dyDescent="0.45">
      <c r="A1655">
        <v>275</v>
      </c>
      <c r="B1655">
        <f t="shared" ca="1" si="25"/>
        <v>111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5">
        <f ca="1">IF(dict_zuord_Meth_Transfers[[#This Row],[kval_active]],dict_zuord_Meth_Transfers[[#This Row],[ID_Transfers]],"")</f>
        <v>111</v>
      </c>
    </row>
    <row r="1656" spans="1:4" x14ac:dyDescent="0.45">
      <c r="A1656">
        <v>275</v>
      </c>
      <c r="B1656" s="3">
        <f t="shared" ca="1" si="25"/>
        <v>166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6">
        <f ca="1">IF(dict_zuord_Meth_Transfers[[#This Row],[kval_active]],dict_zuord_Meth_Transfers[[#This Row],[ID_Transfers]],"")</f>
        <v>166</v>
      </c>
    </row>
    <row r="1657" spans="1:4" x14ac:dyDescent="0.45">
      <c r="A1657">
        <v>275</v>
      </c>
      <c r="B1657" s="3">
        <f t="shared" ca="1" si="25"/>
        <v>170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7">
        <f ca="1">IF(dict_zuord_Meth_Transfers[[#This Row],[kval_active]],dict_zuord_Meth_Transfers[[#This Row],[ID_Transfers]],"")</f>
        <v>170</v>
      </c>
    </row>
    <row r="1658" spans="1:4" x14ac:dyDescent="0.45">
      <c r="A1658">
        <v>276</v>
      </c>
      <c r="B1658">
        <f t="shared" ca="1" si="25"/>
        <v>127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8" t="str">
        <f ca="1">IF(dict_zuord_Meth_Transfers[[#This Row],[kval_active]],dict_zuord_Meth_Transfers[[#This Row],[ID_Transfers]],"")</f>
        <v/>
      </c>
    </row>
    <row r="1659" spans="1:4" x14ac:dyDescent="0.45">
      <c r="A1659">
        <v>276</v>
      </c>
      <c r="B1659">
        <f t="shared" ca="1" si="25"/>
        <v>15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9" t="str">
        <f ca="1">IF(dict_zuord_Meth_Transfers[[#This Row],[kval_active]],dict_zuord_Meth_Transfers[[#This Row],[ID_Transfers]],"")</f>
        <v/>
      </c>
    </row>
    <row r="1660" spans="1:4" x14ac:dyDescent="0.45">
      <c r="A1660">
        <v>276</v>
      </c>
      <c r="B1660" s="3">
        <f t="shared" ca="1" si="25"/>
        <v>167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0" t="str">
        <f ca="1">IF(dict_zuord_Meth_Transfers[[#This Row],[kval_active]],dict_zuord_Meth_Transfers[[#This Row],[ID_Transfers]],"")</f>
        <v/>
      </c>
    </row>
    <row r="1661" spans="1:4" x14ac:dyDescent="0.45">
      <c r="A1661">
        <v>276</v>
      </c>
      <c r="B1661" s="3">
        <f t="shared" ca="1" si="25"/>
        <v>79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1" t="str">
        <f ca="1">IF(dict_zuord_Meth_Transfers[[#This Row],[kval_active]],dict_zuord_Meth_Transfers[[#This Row],[ID_Transfers]],"")</f>
        <v/>
      </c>
    </row>
    <row r="1662" spans="1:4" x14ac:dyDescent="0.45">
      <c r="A1662">
        <v>276</v>
      </c>
      <c r="B1662">
        <f t="shared" ca="1" si="25"/>
        <v>170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2" t="str">
        <f ca="1">IF(dict_zuord_Meth_Transfers[[#This Row],[kval_active]],dict_zuord_Meth_Transfers[[#This Row],[ID_Transfers]],"")</f>
        <v/>
      </c>
    </row>
    <row r="1663" spans="1:4" x14ac:dyDescent="0.45">
      <c r="A1663">
        <v>276</v>
      </c>
      <c r="B1663" s="3">
        <f t="shared" ca="1" si="25"/>
        <v>11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3" t="str">
        <f ca="1">IF(dict_zuord_Meth_Transfers[[#This Row],[kval_active]],dict_zuord_Meth_Transfers[[#This Row],[ID_Transfers]],"")</f>
        <v/>
      </c>
    </row>
    <row r="1664" spans="1:4" x14ac:dyDescent="0.45">
      <c r="A1664">
        <v>277</v>
      </c>
      <c r="B1664" s="3">
        <f t="shared" ca="1" si="25"/>
        <v>108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4" t="str">
        <f ca="1">IF(dict_zuord_Meth_Transfers[[#This Row],[kval_active]],dict_zuord_Meth_Transfers[[#This Row],[ID_Transfers]],"")</f>
        <v/>
      </c>
    </row>
    <row r="1665" spans="1:4" x14ac:dyDescent="0.45">
      <c r="A1665">
        <v>277</v>
      </c>
      <c r="B1665">
        <f t="shared" ca="1" si="25"/>
        <v>19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5" t="str">
        <f ca="1">IF(dict_zuord_Meth_Transfers[[#This Row],[kval_active]],dict_zuord_Meth_Transfers[[#This Row],[ID_Transfers]],"")</f>
        <v/>
      </c>
    </row>
    <row r="1666" spans="1:4" x14ac:dyDescent="0.45">
      <c r="A1666">
        <v>277</v>
      </c>
      <c r="B1666">
        <f t="shared" ref="B1666:B1729" ca="1" si="26">RANDBETWEEN(0,200)</f>
        <v>33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6" t="str">
        <f ca="1">IF(dict_zuord_Meth_Transfers[[#This Row],[kval_active]],dict_zuord_Meth_Transfers[[#This Row],[ID_Transfers]],"")</f>
        <v/>
      </c>
    </row>
    <row r="1667" spans="1:4" x14ac:dyDescent="0.45">
      <c r="A1667">
        <v>277</v>
      </c>
      <c r="B1667">
        <f t="shared" ca="1" si="26"/>
        <v>41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7" t="str">
        <f ca="1">IF(dict_zuord_Meth_Transfers[[#This Row],[kval_active]],dict_zuord_Meth_Transfers[[#This Row],[ID_Transfers]],"")</f>
        <v/>
      </c>
    </row>
    <row r="1668" spans="1:4" x14ac:dyDescent="0.45">
      <c r="A1668">
        <v>277</v>
      </c>
      <c r="B1668" s="3">
        <f t="shared" ca="1" si="26"/>
        <v>53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8" t="str">
        <f ca="1">IF(dict_zuord_Meth_Transfers[[#This Row],[kval_active]],dict_zuord_Meth_Transfers[[#This Row],[ID_Transfers]],"")</f>
        <v/>
      </c>
    </row>
    <row r="1669" spans="1:4" x14ac:dyDescent="0.45">
      <c r="A1669">
        <v>277</v>
      </c>
      <c r="B1669" s="3">
        <f t="shared" ca="1" si="26"/>
        <v>9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9" t="str">
        <f ca="1">IF(dict_zuord_Meth_Transfers[[#This Row],[kval_active]],dict_zuord_Meth_Transfers[[#This Row],[ID_Transfers]],"")</f>
        <v/>
      </c>
    </row>
    <row r="1670" spans="1:4" x14ac:dyDescent="0.45">
      <c r="A1670">
        <v>278</v>
      </c>
      <c r="B1670" s="3">
        <f t="shared" ca="1" si="26"/>
        <v>24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0" t="str">
        <f ca="1">IF(dict_zuord_Meth_Transfers[[#This Row],[kval_active]],dict_zuord_Meth_Transfers[[#This Row],[ID_Transfers]],"")</f>
        <v/>
      </c>
    </row>
    <row r="1671" spans="1:4" x14ac:dyDescent="0.45">
      <c r="A1671">
        <v>278</v>
      </c>
      <c r="B1671" s="3">
        <f t="shared" ca="1" si="26"/>
        <v>42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1" t="str">
        <f ca="1">IF(dict_zuord_Meth_Transfers[[#This Row],[kval_active]],dict_zuord_Meth_Transfers[[#This Row],[ID_Transfers]],"")</f>
        <v/>
      </c>
    </row>
    <row r="1672" spans="1:4" x14ac:dyDescent="0.45">
      <c r="A1672">
        <v>278</v>
      </c>
      <c r="B1672">
        <f t="shared" ca="1" si="26"/>
        <v>127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2" t="str">
        <f ca="1">IF(dict_zuord_Meth_Transfers[[#This Row],[kval_active]],dict_zuord_Meth_Transfers[[#This Row],[ID_Transfers]],"")</f>
        <v/>
      </c>
    </row>
    <row r="1673" spans="1:4" x14ac:dyDescent="0.45">
      <c r="A1673">
        <v>278</v>
      </c>
      <c r="B1673">
        <f t="shared" ca="1" si="26"/>
        <v>19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3" t="str">
        <f ca="1">IF(dict_zuord_Meth_Transfers[[#This Row],[kval_active]],dict_zuord_Meth_Transfers[[#This Row],[ID_Transfers]],"")</f>
        <v/>
      </c>
    </row>
    <row r="1674" spans="1:4" x14ac:dyDescent="0.45">
      <c r="A1674">
        <v>278</v>
      </c>
      <c r="B1674">
        <f t="shared" ca="1" si="26"/>
        <v>26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4" t="str">
        <f ca="1">IF(dict_zuord_Meth_Transfers[[#This Row],[kval_active]],dict_zuord_Meth_Transfers[[#This Row],[ID_Transfers]],"")</f>
        <v/>
      </c>
    </row>
    <row r="1675" spans="1:4" x14ac:dyDescent="0.45">
      <c r="A1675">
        <v>278</v>
      </c>
      <c r="B1675" s="3">
        <f t="shared" ca="1" si="26"/>
        <v>17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5" t="str">
        <f ca="1">IF(dict_zuord_Meth_Transfers[[#This Row],[kval_active]],dict_zuord_Meth_Transfers[[#This Row],[ID_Transfers]],"")</f>
        <v/>
      </c>
    </row>
    <row r="1676" spans="1:4" x14ac:dyDescent="0.45">
      <c r="A1676">
        <v>279</v>
      </c>
      <c r="B1676" s="3">
        <f t="shared" ca="1" si="26"/>
        <v>6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6" t="str">
        <f ca="1">IF(dict_zuord_Meth_Transfers[[#This Row],[kval_active]],dict_zuord_Meth_Transfers[[#This Row],[ID_Transfers]],"")</f>
        <v/>
      </c>
    </row>
    <row r="1677" spans="1:4" x14ac:dyDescent="0.45">
      <c r="A1677">
        <v>279</v>
      </c>
      <c r="B1677">
        <f t="shared" ca="1" si="26"/>
        <v>45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7" t="str">
        <f ca="1">IF(dict_zuord_Meth_Transfers[[#This Row],[kval_active]],dict_zuord_Meth_Transfers[[#This Row],[ID_Transfers]],"")</f>
        <v/>
      </c>
    </row>
    <row r="1678" spans="1:4" x14ac:dyDescent="0.45">
      <c r="A1678">
        <v>279</v>
      </c>
      <c r="B1678" s="3">
        <f t="shared" ca="1" si="26"/>
        <v>98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8" t="str">
        <f ca="1">IF(dict_zuord_Meth_Transfers[[#This Row],[kval_active]],dict_zuord_Meth_Transfers[[#This Row],[ID_Transfers]],"")</f>
        <v/>
      </c>
    </row>
    <row r="1679" spans="1:4" x14ac:dyDescent="0.45">
      <c r="A1679">
        <v>279</v>
      </c>
      <c r="B1679">
        <f t="shared" ca="1" si="26"/>
        <v>53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9" t="str">
        <f ca="1">IF(dict_zuord_Meth_Transfers[[#This Row],[kval_active]],dict_zuord_Meth_Transfers[[#This Row],[ID_Transfers]],"")</f>
        <v/>
      </c>
    </row>
    <row r="1680" spans="1:4" x14ac:dyDescent="0.45">
      <c r="A1680">
        <v>279</v>
      </c>
      <c r="B1680">
        <f t="shared" ca="1" si="26"/>
        <v>112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0" t="str">
        <f ca="1">IF(dict_zuord_Meth_Transfers[[#This Row],[kval_active]],dict_zuord_Meth_Transfers[[#This Row],[ID_Transfers]],"")</f>
        <v/>
      </c>
    </row>
    <row r="1681" spans="1:4" x14ac:dyDescent="0.45">
      <c r="A1681">
        <v>279</v>
      </c>
      <c r="B1681" s="3">
        <f t="shared" ca="1" si="26"/>
        <v>179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1" t="str">
        <f ca="1">IF(dict_zuord_Meth_Transfers[[#This Row],[kval_active]],dict_zuord_Meth_Transfers[[#This Row],[ID_Transfers]],"")</f>
        <v/>
      </c>
    </row>
    <row r="1682" spans="1:4" x14ac:dyDescent="0.45">
      <c r="A1682">
        <v>280</v>
      </c>
      <c r="B1682" s="3">
        <f t="shared" ca="1" si="26"/>
        <v>156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2" t="str">
        <f ca="1">IF(dict_zuord_Meth_Transfers[[#This Row],[kval_active]],dict_zuord_Meth_Transfers[[#This Row],[ID_Transfers]],"")</f>
        <v/>
      </c>
    </row>
    <row r="1683" spans="1:4" x14ac:dyDescent="0.45">
      <c r="A1683">
        <v>280</v>
      </c>
      <c r="B1683">
        <f t="shared" ca="1" si="26"/>
        <v>87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3" t="str">
        <f ca="1">IF(dict_zuord_Meth_Transfers[[#This Row],[kval_active]],dict_zuord_Meth_Transfers[[#This Row],[ID_Transfers]],"")</f>
        <v/>
      </c>
    </row>
    <row r="1684" spans="1:4" x14ac:dyDescent="0.45">
      <c r="A1684">
        <v>280</v>
      </c>
      <c r="B1684">
        <f t="shared" ca="1" si="26"/>
        <v>87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4" t="str">
        <f ca="1">IF(dict_zuord_Meth_Transfers[[#This Row],[kval_active]],dict_zuord_Meth_Transfers[[#This Row],[ID_Transfers]],"")</f>
        <v/>
      </c>
    </row>
    <row r="1685" spans="1:4" x14ac:dyDescent="0.45">
      <c r="A1685">
        <v>280</v>
      </c>
      <c r="B1685" s="3">
        <f t="shared" ca="1" si="26"/>
        <v>77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5" t="str">
        <f ca="1">IF(dict_zuord_Meth_Transfers[[#This Row],[kval_active]],dict_zuord_Meth_Transfers[[#This Row],[ID_Transfers]],"")</f>
        <v/>
      </c>
    </row>
    <row r="1686" spans="1:4" x14ac:dyDescent="0.45">
      <c r="A1686">
        <v>280</v>
      </c>
      <c r="B1686">
        <f t="shared" ca="1" si="26"/>
        <v>30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6" t="str">
        <f ca="1">IF(dict_zuord_Meth_Transfers[[#This Row],[kval_active]],dict_zuord_Meth_Transfers[[#This Row],[ID_Transfers]],"")</f>
        <v/>
      </c>
    </row>
    <row r="1687" spans="1:4" x14ac:dyDescent="0.45">
      <c r="A1687">
        <v>280</v>
      </c>
      <c r="B1687" s="3">
        <f t="shared" ca="1" si="26"/>
        <v>43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7" t="str">
        <f ca="1">IF(dict_zuord_Meth_Transfers[[#This Row],[kval_active]],dict_zuord_Meth_Transfers[[#This Row],[ID_Transfers]],"")</f>
        <v/>
      </c>
    </row>
    <row r="1688" spans="1:4" x14ac:dyDescent="0.45">
      <c r="A1688">
        <v>281</v>
      </c>
      <c r="B1688">
        <f t="shared" ca="1" si="26"/>
        <v>166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8" t="str">
        <f ca="1">IF(dict_zuord_Meth_Transfers[[#This Row],[kval_active]],dict_zuord_Meth_Transfers[[#This Row],[ID_Transfers]],"")</f>
        <v/>
      </c>
    </row>
    <row r="1689" spans="1:4" x14ac:dyDescent="0.45">
      <c r="A1689">
        <v>281</v>
      </c>
      <c r="B1689" s="3">
        <f t="shared" ca="1" si="26"/>
        <v>171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9" t="str">
        <f ca="1">IF(dict_zuord_Meth_Transfers[[#This Row],[kval_active]],dict_zuord_Meth_Transfers[[#This Row],[ID_Transfers]],"")</f>
        <v/>
      </c>
    </row>
    <row r="1690" spans="1:4" x14ac:dyDescent="0.45">
      <c r="A1690">
        <v>281</v>
      </c>
      <c r="B1690">
        <f t="shared" ca="1" si="26"/>
        <v>145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0" t="str">
        <f ca="1">IF(dict_zuord_Meth_Transfers[[#This Row],[kval_active]],dict_zuord_Meth_Transfers[[#This Row],[ID_Transfers]],"")</f>
        <v/>
      </c>
    </row>
    <row r="1691" spans="1:4" x14ac:dyDescent="0.45">
      <c r="A1691">
        <v>281</v>
      </c>
      <c r="B1691" s="3">
        <f t="shared" ca="1" si="26"/>
        <v>185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1" t="str">
        <f ca="1">IF(dict_zuord_Meth_Transfers[[#This Row],[kval_active]],dict_zuord_Meth_Transfers[[#This Row],[ID_Transfers]],"")</f>
        <v/>
      </c>
    </row>
    <row r="1692" spans="1:4" x14ac:dyDescent="0.45">
      <c r="A1692">
        <v>281</v>
      </c>
      <c r="B1692" s="3">
        <f t="shared" ca="1" si="26"/>
        <v>57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2" t="str">
        <f ca="1">IF(dict_zuord_Meth_Transfers[[#This Row],[kval_active]],dict_zuord_Meth_Transfers[[#This Row],[ID_Transfers]],"")</f>
        <v/>
      </c>
    </row>
    <row r="1693" spans="1:4" x14ac:dyDescent="0.45">
      <c r="A1693">
        <v>281</v>
      </c>
      <c r="B1693">
        <f t="shared" ca="1" si="26"/>
        <v>142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3" t="str">
        <f ca="1">IF(dict_zuord_Meth_Transfers[[#This Row],[kval_active]],dict_zuord_Meth_Transfers[[#This Row],[ID_Transfers]],"")</f>
        <v/>
      </c>
    </row>
    <row r="1694" spans="1:4" x14ac:dyDescent="0.45">
      <c r="A1694">
        <v>282</v>
      </c>
      <c r="B1694" s="3">
        <f t="shared" ca="1" si="26"/>
        <v>117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4" t="str">
        <f ca="1">IF(dict_zuord_Meth_Transfers[[#This Row],[kval_active]],dict_zuord_Meth_Transfers[[#This Row],[ID_Transfers]],"")</f>
        <v/>
      </c>
    </row>
    <row r="1695" spans="1:4" x14ac:dyDescent="0.45">
      <c r="A1695">
        <v>282</v>
      </c>
      <c r="B1695" s="3">
        <f t="shared" ca="1" si="26"/>
        <v>178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5" t="str">
        <f ca="1">IF(dict_zuord_Meth_Transfers[[#This Row],[kval_active]],dict_zuord_Meth_Transfers[[#This Row],[ID_Transfers]],"")</f>
        <v/>
      </c>
    </row>
    <row r="1696" spans="1:4" x14ac:dyDescent="0.45">
      <c r="A1696">
        <v>282</v>
      </c>
      <c r="B1696">
        <f t="shared" ca="1" si="26"/>
        <v>5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6" t="str">
        <f ca="1">IF(dict_zuord_Meth_Transfers[[#This Row],[kval_active]],dict_zuord_Meth_Transfers[[#This Row],[ID_Transfers]],"")</f>
        <v/>
      </c>
    </row>
    <row r="1697" spans="1:4" x14ac:dyDescent="0.45">
      <c r="A1697">
        <v>282</v>
      </c>
      <c r="B1697">
        <f t="shared" ca="1" si="26"/>
        <v>198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7" t="str">
        <f ca="1">IF(dict_zuord_Meth_Transfers[[#This Row],[kval_active]],dict_zuord_Meth_Transfers[[#This Row],[ID_Transfers]],"")</f>
        <v/>
      </c>
    </row>
    <row r="1698" spans="1:4" x14ac:dyDescent="0.45">
      <c r="A1698">
        <v>282</v>
      </c>
      <c r="B1698" s="3">
        <f t="shared" ca="1" si="26"/>
        <v>32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8" t="str">
        <f ca="1">IF(dict_zuord_Meth_Transfers[[#This Row],[kval_active]],dict_zuord_Meth_Transfers[[#This Row],[ID_Transfers]],"")</f>
        <v/>
      </c>
    </row>
    <row r="1699" spans="1:4" x14ac:dyDescent="0.45">
      <c r="A1699">
        <v>282</v>
      </c>
      <c r="B1699">
        <f t="shared" ca="1" si="26"/>
        <v>98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9" t="str">
        <f ca="1">IF(dict_zuord_Meth_Transfers[[#This Row],[kval_active]],dict_zuord_Meth_Transfers[[#This Row],[ID_Transfers]],"")</f>
        <v/>
      </c>
    </row>
    <row r="1700" spans="1:4" x14ac:dyDescent="0.45">
      <c r="A1700">
        <v>283</v>
      </c>
      <c r="B1700" s="3">
        <f t="shared" ca="1" si="26"/>
        <v>196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0" t="str">
        <f ca="1">IF(dict_zuord_Meth_Transfers[[#This Row],[kval_active]],dict_zuord_Meth_Transfers[[#This Row],[ID_Transfers]],"")</f>
        <v/>
      </c>
    </row>
    <row r="1701" spans="1:4" x14ac:dyDescent="0.45">
      <c r="A1701">
        <v>283</v>
      </c>
      <c r="B1701" s="3">
        <f t="shared" ca="1" si="26"/>
        <v>108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1" t="str">
        <f ca="1">IF(dict_zuord_Meth_Transfers[[#This Row],[kval_active]],dict_zuord_Meth_Transfers[[#This Row],[ID_Transfers]],"")</f>
        <v/>
      </c>
    </row>
    <row r="1702" spans="1:4" x14ac:dyDescent="0.45">
      <c r="A1702">
        <v>283</v>
      </c>
      <c r="B1702">
        <f t="shared" ca="1" si="26"/>
        <v>96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2" t="str">
        <f ca="1">IF(dict_zuord_Meth_Transfers[[#This Row],[kval_active]],dict_zuord_Meth_Transfers[[#This Row],[ID_Transfers]],"")</f>
        <v/>
      </c>
    </row>
    <row r="1703" spans="1:4" x14ac:dyDescent="0.45">
      <c r="A1703">
        <v>283</v>
      </c>
      <c r="B1703" s="3">
        <f t="shared" ca="1" si="26"/>
        <v>54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3" t="str">
        <f ca="1">IF(dict_zuord_Meth_Transfers[[#This Row],[kval_active]],dict_zuord_Meth_Transfers[[#This Row],[ID_Transfers]],"")</f>
        <v/>
      </c>
    </row>
    <row r="1704" spans="1:4" x14ac:dyDescent="0.45">
      <c r="A1704">
        <v>283</v>
      </c>
      <c r="B1704">
        <f t="shared" ca="1" si="26"/>
        <v>108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4" t="str">
        <f ca="1">IF(dict_zuord_Meth_Transfers[[#This Row],[kval_active]],dict_zuord_Meth_Transfers[[#This Row],[ID_Transfers]],"")</f>
        <v/>
      </c>
    </row>
    <row r="1705" spans="1:4" x14ac:dyDescent="0.45">
      <c r="A1705">
        <v>283</v>
      </c>
      <c r="B1705">
        <f t="shared" ca="1" si="26"/>
        <v>74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5" t="str">
        <f ca="1">IF(dict_zuord_Meth_Transfers[[#This Row],[kval_active]],dict_zuord_Meth_Transfers[[#This Row],[ID_Transfers]],"")</f>
        <v/>
      </c>
    </row>
    <row r="1706" spans="1:4" x14ac:dyDescent="0.45">
      <c r="A1706">
        <v>284</v>
      </c>
      <c r="B1706" s="3">
        <f t="shared" ca="1" si="26"/>
        <v>127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6">
        <f ca="1">IF(dict_zuord_Meth_Transfers[[#This Row],[kval_active]],dict_zuord_Meth_Transfers[[#This Row],[ID_Transfers]],"")</f>
        <v>127</v>
      </c>
    </row>
    <row r="1707" spans="1:4" x14ac:dyDescent="0.45">
      <c r="A1707">
        <v>284</v>
      </c>
      <c r="B1707">
        <f t="shared" ca="1" si="26"/>
        <v>55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7">
        <f ca="1">IF(dict_zuord_Meth_Transfers[[#This Row],[kval_active]],dict_zuord_Meth_Transfers[[#This Row],[ID_Transfers]],"")</f>
        <v>55</v>
      </c>
    </row>
    <row r="1708" spans="1:4" x14ac:dyDescent="0.45">
      <c r="A1708">
        <v>284</v>
      </c>
      <c r="B1708" s="3">
        <f t="shared" ca="1" si="26"/>
        <v>31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8">
        <f ca="1">IF(dict_zuord_Meth_Transfers[[#This Row],[kval_active]],dict_zuord_Meth_Transfers[[#This Row],[ID_Transfers]],"")</f>
        <v>31</v>
      </c>
    </row>
    <row r="1709" spans="1:4" x14ac:dyDescent="0.45">
      <c r="A1709">
        <v>284</v>
      </c>
      <c r="B1709">
        <f t="shared" ca="1" si="26"/>
        <v>177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9">
        <f ca="1">IF(dict_zuord_Meth_Transfers[[#This Row],[kval_active]],dict_zuord_Meth_Transfers[[#This Row],[ID_Transfers]],"")</f>
        <v>177</v>
      </c>
    </row>
    <row r="1710" spans="1:4" x14ac:dyDescent="0.45">
      <c r="A1710">
        <v>284</v>
      </c>
      <c r="B1710">
        <f t="shared" ca="1" si="26"/>
        <v>197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0">
        <f ca="1">IF(dict_zuord_Meth_Transfers[[#This Row],[kval_active]],dict_zuord_Meth_Transfers[[#This Row],[ID_Transfers]],"")</f>
        <v>197</v>
      </c>
    </row>
    <row r="1711" spans="1:4" x14ac:dyDescent="0.45">
      <c r="A1711">
        <v>284</v>
      </c>
      <c r="B1711" s="3">
        <f t="shared" ca="1" si="26"/>
        <v>121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1">
        <f ca="1">IF(dict_zuord_Meth_Transfers[[#This Row],[kval_active]],dict_zuord_Meth_Transfers[[#This Row],[ID_Transfers]],"")</f>
        <v>121</v>
      </c>
    </row>
    <row r="1712" spans="1:4" x14ac:dyDescent="0.45">
      <c r="A1712">
        <v>285</v>
      </c>
      <c r="B1712">
        <f t="shared" ca="1" si="26"/>
        <v>120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2" t="str">
        <f ca="1">IF(dict_zuord_Meth_Transfers[[#This Row],[kval_active]],dict_zuord_Meth_Transfers[[#This Row],[ID_Transfers]],"")</f>
        <v/>
      </c>
    </row>
    <row r="1713" spans="1:4" x14ac:dyDescent="0.45">
      <c r="A1713">
        <v>285</v>
      </c>
      <c r="B1713">
        <f t="shared" ca="1" si="26"/>
        <v>10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3" t="str">
        <f ca="1">IF(dict_zuord_Meth_Transfers[[#This Row],[kval_active]],dict_zuord_Meth_Transfers[[#This Row],[ID_Transfers]],"")</f>
        <v/>
      </c>
    </row>
    <row r="1714" spans="1:4" x14ac:dyDescent="0.45">
      <c r="A1714">
        <v>285</v>
      </c>
      <c r="B1714" s="3">
        <f t="shared" ca="1" si="26"/>
        <v>12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4" t="str">
        <f ca="1">IF(dict_zuord_Meth_Transfers[[#This Row],[kval_active]],dict_zuord_Meth_Transfers[[#This Row],[ID_Transfers]],"")</f>
        <v/>
      </c>
    </row>
    <row r="1715" spans="1:4" x14ac:dyDescent="0.45">
      <c r="A1715">
        <v>285</v>
      </c>
      <c r="B1715" s="3">
        <f t="shared" ca="1" si="26"/>
        <v>98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5" t="str">
        <f ca="1">IF(dict_zuord_Meth_Transfers[[#This Row],[kval_active]],dict_zuord_Meth_Transfers[[#This Row],[ID_Transfers]],"")</f>
        <v/>
      </c>
    </row>
    <row r="1716" spans="1:4" x14ac:dyDescent="0.45">
      <c r="A1716">
        <v>285</v>
      </c>
      <c r="B1716">
        <f t="shared" ca="1" si="26"/>
        <v>187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6" t="str">
        <f ca="1">IF(dict_zuord_Meth_Transfers[[#This Row],[kval_active]],dict_zuord_Meth_Transfers[[#This Row],[ID_Transfers]],"")</f>
        <v/>
      </c>
    </row>
    <row r="1717" spans="1:4" x14ac:dyDescent="0.45">
      <c r="A1717">
        <v>285</v>
      </c>
      <c r="B1717" s="3">
        <f t="shared" ca="1" si="26"/>
        <v>119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7" t="str">
        <f ca="1">IF(dict_zuord_Meth_Transfers[[#This Row],[kval_active]],dict_zuord_Meth_Transfers[[#This Row],[ID_Transfers]],"")</f>
        <v/>
      </c>
    </row>
    <row r="1718" spans="1:4" x14ac:dyDescent="0.45">
      <c r="A1718">
        <v>286</v>
      </c>
      <c r="B1718" s="3">
        <f t="shared" ca="1" si="26"/>
        <v>135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8" t="str">
        <f ca="1">IF(dict_zuord_Meth_Transfers[[#This Row],[kval_active]],dict_zuord_Meth_Transfers[[#This Row],[ID_Transfers]],"")</f>
        <v/>
      </c>
    </row>
    <row r="1719" spans="1:4" x14ac:dyDescent="0.45">
      <c r="A1719">
        <v>286</v>
      </c>
      <c r="B1719" s="3">
        <f t="shared" ca="1" si="26"/>
        <v>36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9" t="str">
        <f ca="1">IF(dict_zuord_Meth_Transfers[[#This Row],[kval_active]],dict_zuord_Meth_Transfers[[#This Row],[ID_Transfers]],"")</f>
        <v/>
      </c>
    </row>
    <row r="1720" spans="1:4" x14ac:dyDescent="0.45">
      <c r="A1720">
        <v>286</v>
      </c>
      <c r="B1720">
        <f t="shared" ca="1" si="26"/>
        <v>10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0" t="str">
        <f ca="1">IF(dict_zuord_Meth_Transfers[[#This Row],[kval_active]],dict_zuord_Meth_Transfers[[#This Row],[ID_Transfers]],"")</f>
        <v/>
      </c>
    </row>
    <row r="1721" spans="1:4" x14ac:dyDescent="0.45">
      <c r="A1721">
        <v>286</v>
      </c>
      <c r="B1721">
        <f t="shared" ca="1" si="26"/>
        <v>56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1" t="str">
        <f ca="1">IF(dict_zuord_Meth_Transfers[[#This Row],[kval_active]],dict_zuord_Meth_Transfers[[#This Row],[ID_Transfers]],"")</f>
        <v/>
      </c>
    </row>
    <row r="1722" spans="1:4" x14ac:dyDescent="0.45">
      <c r="A1722">
        <v>286</v>
      </c>
      <c r="B1722" s="3">
        <f t="shared" ca="1" si="26"/>
        <v>90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2" t="str">
        <f ca="1">IF(dict_zuord_Meth_Transfers[[#This Row],[kval_active]],dict_zuord_Meth_Transfers[[#This Row],[ID_Transfers]],"")</f>
        <v/>
      </c>
    </row>
    <row r="1723" spans="1:4" x14ac:dyDescent="0.45">
      <c r="A1723">
        <v>286</v>
      </c>
      <c r="B1723">
        <f t="shared" ca="1" si="26"/>
        <v>68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3" t="str">
        <f ca="1">IF(dict_zuord_Meth_Transfers[[#This Row],[kval_active]],dict_zuord_Meth_Transfers[[#This Row],[ID_Transfers]],"")</f>
        <v/>
      </c>
    </row>
    <row r="1724" spans="1:4" x14ac:dyDescent="0.45">
      <c r="A1724">
        <v>287</v>
      </c>
      <c r="B1724">
        <f t="shared" ca="1" si="26"/>
        <v>160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4" t="str">
        <f ca="1">IF(dict_zuord_Meth_Transfers[[#This Row],[kval_active]],dict_zuord_Meth_Transfers[[#This Row],[ID_Transfers]],"")</f>
        <v/>
      </c>
    </row>
    <row r="1725" spans="1:4" x14ac:dyDescent="0.45">
      <c r="A1725">
        <v>287</v>
      </c>
      <c r="B1725" s="3">
        <f t="shared" ca="1" si="26"/>
        <v>78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5" t="str">
        <f ca="1">IF(dict_zuord_Meth_Transfers[[#This Row],[kval_active]],dict_zuord_Meth_Transfers[[#This Row],[ID_Transfers]],"")</f>
        <v/>
      </c>
    </row>
    <row r="1726" spans="1:4" x14ac:dyDescent="0.45">
      <c r="A1726">
        <v>287</v>
      </c>
      <c r="B1726">
        <f t="shared" ca="1" si="26"/>
        <v>10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6" t="str">
        <f ca="1">IF(dict_zuord_Meth_Transfers[[#This Row],[kval_active]],dict_zuord_Meth_Transfers[[#This Row],[ID_Transfers]],"")</f>
        <v/>
      </c>
    </row>
    <row r="1727" spans="1:4" x14ac:dyDescent="0.45">
      <c r="A1727">
        <v>287</v>
      </c>
      <c r="B1727" s="3">
        <f t="shared" ca="1" si="26"/>
        <v>111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7" t="str">
        <f ca="1">IF(dict_zuord_Meth_Transfers[[#This Row],[kval_active]],dict_zuord_Meth_Transfers[[#This Row],[ID_Transfers]],"")</f>
        <v/>
      </c>
    </row>
    <row r="1728" spans="1:4" x14ac:dyDescent="0.45">
      <c r="A1728">
        <v>287</v>
      </c>
      <c r="B1728">
        <f t="shared" ca="1" si="26"/>
        <v>55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8" t="str">
        <f ca="1">IF(dict_zuord_Meth_Transfers[[#This Row],[kval_active]],dict_zuord_Meth_Transfers[[#This Row],[ID_Transfers]],"")</f>
        <v/>
      </c>
    </row>
    <row r="1729" spans="1:4" x14ac:dyDescent="0.45">
      <c r="A1729">
        <v>287</v>
      </c>
      <c r="B1729" s="3">
        <f t="shared" ca="1" si="26"/>
        <v>37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9" t="str">
        <f ca="1">IF(dict_zuord_Meth_Transfers[[#This Row],[kval_active]],dict_zuord_Meth_Transfers[[#This Row],[ID_Transfers]],"")</f>
        <v/>
      </c>
    </row>
    <row r="1730" spans="1:4" x14ac:dyDescent="0.45">
      <c r="A1730">
        <v>288</v>
      </c>
      <c r="B1730" s="3">
        <f t="shared" ref="B1730:B1793" ca="1" si="27">RANDBETWEEN(0,200)</f>
        <v>149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0" t="str">
        <f ca="1">IF(dict_zuord_Meth_Transfers[[#This Row],[kval_active]],dict_zuord_Meth_Transfers[[#This Row],[ID_Transfers]],"")</f>
        <v/>
      </c>
    </row>
    <row r="1731" spans="1:4" x14ac:dyDescent="0.45">
      <c r="A1731">
        <v>288</v>
      </c>
      <c r="B1731">
        <f t="shared" ca="1" si="27"/>
        <v>92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1" t="str">
        <f ca="1">IF(dict_zuord_Meth_Transfers[[#This Row],[kval_active]],dict_zuord_Meth_Transfers[[#This Row],[ID_Transfers]],"")</f>
        <v/>
      </c>
    </row>
    <row r="1732" spans="1:4" x14ac:dyDescent="0.45">
      <c r="A1732">
        <v>288</v>
      </c>
      <c r="B1732" s="3">
        <f t="shared" ca="1" si="27"/>
        <v>191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2" t="str">
        <f ca="1">IF(dict_zuord_Meth_Transfers[[#This Row],[kval_active]],dict_zuord_Meth_Transfers[[#This Row],[ID_Transfers]],"")</f>
        <v/>
      </c>
    </row>
    <row r="1733" spans="1:4" x14ac:dyDescent="0.45">
      <c r="A1733">
        <v>288</v>
      </c>
      <c r="B1733">
        <f t="shared" ca="1" si="27"/>
        <v>161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3" t="str">
        <f ca="1">IF(dict_zuord_Meth_Transfers[[#This Row],[kval_active]],dict_zuord_Meth_Transfers[[#This Row],[ID_Transfers]],"")</f>
        <v/>
      </c>
    </row>
    <row r="1734" spans="1:4" x14ac:dyDescent="0.45">
      <c r="A1734">
        <v>288</v>
      </c>
      <c r="B1734" s="3">
        <f t="shared" ca="1" si="27"/>
        <v>131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4" t="str">
        <f ca="1">IF(dict_zuord_Meth_Transfers[[#This Row],[kval_active]],dict_zuord_Meth_Transfers[[#This Row],[ID_Transfers]],"")</f>
        <v/>
      </c>
    </row>
    <row r="1735" spans="1:4" x14ac:dyDescent="0.45">
      <c r="A1735">
        <v>288</v>
      </c>
      <c r="B1735">
        <f t="shared" ca="1" si="27"/>
        <v>106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5" t="str">
        <f ca="1">IF(dict_zuord_Meth_Transfers[[#This Row],[kval_active]],dict_zuord_Meth_Transfers[[#This Row],[ID_Transfers]],"")</f>
        <v/>
      </c>
    </row>
    <row r="1736" spans="1:4" x14ac:dyDescent="0.45">
      <c r="A1736">
        <v>289</v>
      </c>
      <c r="B1736" s="3">
        <f t="shared" ca="1" si="27"/>
        <v>182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6">
        <f ca="1">IF(dict_zuord_Meth_Transfers[[#This Row],[kval_active]],dict_zuord_Meth_Transfers[[#This Row],[ID_Transfers]],"")</f>
        <v>182</v>
      </c>
    </row>
    <row r="1737" spans="1:4" x14ac:dyDescent="0.45">
      <c r="A1737">
        <v>289</v>
      </c>
      <c r="B1737" s="3">
        <f t="shared" ca="1" si="27"/>
        <v>171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7">
        <f ca="1">IF(dict_zuord_Meth_Transfers[[#This Row],[kval_active]],dict_zuord_Meth_Transfers[[#This Row],[ID_Transfers]],"")</f>
        <v>171</v>
      </c>
    </row>
    <row r="1738" spans="1:4" x14ac:dyDescent="0.45">
      <c r="A1738">
        <v>289</v>
      </c>
      <c r="B1738">
        <f t="shared" ca="1" si="27"/>
        <v>77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8">
        <f ca="1">IF(dict_zuord_Meth_Transfers[[#This Row],[kval_active]],dict_zuord_Meth_Transfers[[#This Row],[ID_Transfers]],"")</f>
        <v>77</v>
      </c>
    </row>
    <row r="1739" spans="1:4" x14ac:dyDescent="0.45">
      <c r="A1739">
        <v>289</v>
      </c>
      <c r="B1739">
        <f t="shared" ca="1" si="27"/>
        <v>13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9">
        <f ca="1">IF(dict_zuord_Meth_Transfers[[#This Row],[kval_active]],dict_zuord_Meth_Transfers[[#This Row],[ID_Transfers]],"")</f>
        <v>13</v>
      </c>
    </row>
    <row r="1740" spans="1:4" x14ac:dyDescent="0.45">
      <c r="A1740">
        <v>289</v>
      </c>
      <c r="B1740">
        <f t="shared" ca="1" si="27"/>
        <v>124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0">
        <f ca="1">IF(dict_zuord_Meth_Transfers[[#This Row],[kval_active]],dict_zuord_Meth_Transfers[[#This Row],[ID_Transfers]],"")</f>
        <v>124</v>
      </c>
    </row>
    <row r="1741" spans="1:4" x14ac:dyDescent="0.45">
      <c r="A1741">
        <v>289</v>
      </c>
      <c r="B1741" s="3">
        <f t="shared" ca="1" si="27"/>
        <v>183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1">
        <f ca="1">IF(dict_zuord_Meth_Transfers[[#This Row],[kval_active]],dict_zuord_Meth_Transfers[[#This Row],[ID_Transfers]],"")</f>
        <v>183</v>
      </c>
    </row>
    <row r="1742" spans="1:4" x14ac:dyDescent="0.45">
      <c r="A1742">
        <v>290</v>
      </c>
      <c r="B1742" s="3">
        <f t="shared" ca="1" si="27"/>
        <v>118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2" t="str">
        <f ca="1">IF(dict_zuord_Meth_Transfers[[#This Row],[kval_active]],dict_zuord_Meth_Transfers[[#This Row],[ID_Transfers]],"")</f>
        <v/>
      </c>
    </row>
    <row r="1743" spans="1:4" x14ac:dyDescent="0.45">
      <c r="A1743">
        <v>290</v>
      </c>
      <c r="B1743" s="3">
        <f t="shared" ca="1" si="27"/>
        <v>137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3" t="str">
        <f ca="1">IF(dict_zuord_Meth_Transfers[[#This Row],[kval_active]],dict_zuord_Meth_Transfers[[#This Row],[ID_Transfers]],"")</f>
        <v/>
      </c>
    </row>
    <row r="1744" spans="1:4" x14ac:dyDescent="0.45">
      <c r="A1744">
        <v>290</v>
      </c>
      <c r="B1744" s="3">
        <f t="shared" ca="1" si="27"/>
        <v>156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4" t="str">
        <f ca="1">IF(dict_zuord_Meth_Transfers[[#This Row],[kval_active]],dict_zuord_Meth_Transfers[[#This Row],[ID_Transfers]],"")</f>
        <v/>
      </c>
    </row>
    <row r="1745" spans="1:4" x14ac:dyDescent="0.45">
      <c r="A1745">
        <v>290</v>
      </c>
      <c r="B1745">
        <f t="shared" ca="1" si="27"/>
        <v>90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5" t="str">
        <f ca="1">IF(dict_zuord_Meth_Transfers[[#This Row],[kval_active]],dict_zuord_Meth_Transfers[[#This Row],[ID_Transfers]],"")</f>
        <v/>
      </c>
    </row>
    <row r="1746" spans="1:4" x14ac:dyDescent="0.45">
      <c r="A1746">
        <v>290</v>
      </c>
      <c r="B1746">
        <f t="shared" ca="1" si="27"/>
        <v>199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6" t="str">
        <f ca="1">IF(dict_zuord_Meth_Transfers[[#This Row],[kval_active]],dict_zuord_Meth_Transfers[[#This Row],[ID_Transfers]],"")</f>
        <v/>
      </c>
    </row>
    <row r="1747" spans="1:4" x14ac:dyDescent="0.45">
      <c r="A1747">
        <v>290</v>
      </c>
      <c r="B1747">
        <f t="shared" ca="1" si="27"/>
        <v>101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7" t="str">
        <f ca="1">IF(dict_zuord_Meth_Transfers[[#This Row],[kval_active]],dict_zuord_Meth_Transfers[[#This Row],[ID_Transfers]],"")</f>
        <v/>
      </c>
    </row>
    <row r="1748" spans="1:4" x14ac:dyDescent="0.45">
      <c r="A1748">
        <v>291</v>
      </c>
      <c r="B1748" s="3">
        <f t="shared" ca="1" si="27"/>
        <v>151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8" t="str">
        <f ca="1">IF(dict_zuord_Meth_Transfers[[#This Row],[kval_active]],dict_zuord_Meth_Transfers[[#This Row],[ID_Transfers]],"")</f>
        <v/>
      </c>
    </row>
    <row r="1749" spans="1:4" x14ac:dyDescent="0.45">
      <c r="A1749">
        <v>291</v>
      </c>
      <c r="B1749">
        <f t="shared" ca="1" si="27"/>
        <v>55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9" t="str">
        <f ca="1">IF(dict_zuord_Meth_Transfers[[#This Row],[kval_active]],dict_zuord_Meth_Transfers[[#This Row],[ID_Transfers]],"")</f>
        <v/>
      </c>
    </row>
    <row r="1750" spans="1:4" x14ac:dyDescent="0.45">
      <c r="A1750">
        <v>291</v>
      </c>
      <c r="B1750">
        <f t="shared" ca="1" si="27"/>
        <v>21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0" t="str">
        <f ca="1">IF(dict_zuord_Meth_Transfers[[#This Row],[kval_active]],dict_zuord_Meth_Transfers[[#This Row],[ID_Transfers]],"")</f>
        <v/>
      </c>
    </row>
    <row r="1751" spans="1:4" x14ac:dyDescent="0.45">
      <c r="A1751">
        <v>291</v>
      </c>
      <c r="B1751">
        <f t="shared" ca="1" si="27"/>
        <v>173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1" t="str">
        <f ca="1">IF(dict_zuord_Meth_Transfers[[#This Row],[kval_active]],dict_zuord_Meth_Transfers[[#This Row],[ID_Transfers]],"")</f>
        <v/>
      </c>
    </row>
    <row r="1752" spans="1:4" x14ac:dyDescent="0.45">
      <c r="A1752">
        <v>291</v>
      </c>
      <c r="B1752" s="3">
        <f t="shared" ca="1" si="27"/>
        <v>4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2" t="str">
        <f ca="1">IF(dict_zuord_Meth_Transfers[[#This Row],[kval_active]],dict_zuord_Meth_Transfers[[#This Row],[ID_Transfers]],"")</f>
        <v/>
      </c>
    </row>
    <row r="1753" spans="1:4" x14ac:dyDescent="0.45">
      <c r="A1753">
        <v>291</v>
      </c>
      <c r="B1753" s="3">
        <f t="shared" ca="1" si="27"/>
        <v>6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3" t="str">
        <f ca="1">IF(dict_zuord_Meth_Transfers[[#This Row],[kval_active]],dict_zuord_Meth_Transfers[[#This Row],[ID_Transfers]],"")</f>
        <v/>
      </c>
    </row>
    <row r="1754" spans="1:4" x14ac:dyDescent="0.45">
      <c r="A1754">
        <v>292</v>
      </c>
      <c r="B1754" s="3">
        <f t="shared" ca="1" si="27"/>
        <v>88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4" t="str">
        <f ca="1">IF(dict_zuord_Meth_Transfers[[#This Row],[kval_active]],dict_zuord_Meth_Transfers[[#This Row],[ID_Transfers]],"")</f>
        <v/>
      </c>
    </row>
    <row r="1755" spans="1:4" x14ac:dyDescent="0.45">
      <c r="A1755">
        <v>292</v>
      </c>
      <c r="B1755" s="3">
        <f t="shared" ca="1" si="27"/>
        <v>124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5" t="str">
        <f ca="1">IF(dict_zuord_Meth_Transfers[[#This Row],[kval_active]],dict_zuord_Meth_Transfers[[#This Row],[ID_Transfers]],"")</f>
        <v/>
      </c>
    </row>
    <row r="1756" spans="1:4" x14ac:dyDescent="0.45">
      <c r="A1756">
        <v>292</v>
      </c>
      <c r="B1756">
        <f t="shared" ca="1" si="27"/>
        <v>122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6" t="str">
        <f ca="1">IF(dict_zuord_Meth_Transfers[[#This Row],[kval_active]],dict_zuord_Meth_Transfers[[#This Row],[ID_Transfers]],"")</f>
        <v/>
      </c>
    </row>
    <row r="1757" spans="1:4" x14ac:dyDescent="0.45">
      <c r="A1757">
        <v>292</v>
      </c>
      <c r="B1757" s="3">
        <f t="shared" ca="1" si="27"/>
        <v>42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7" t="str">
        <f ca="1">IF(dict_zuord_Meth_Transfers[[#This Row],[kval_active]],dict_zuord_Meth_Transfers[[#This Row],[ID_Transfers]],"")</f>
        <v/>
      </c>
    </row>
    <row r="1758" spans="1:4" x14ac:dyDescent="0.45">
      <c r="A1758">
        <v>292</v>
      </c>
      <c r="B1758">
        <f t="shared" ca="1" si="27"/>
        <v>142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8" t="str">
        <f ca="1">IF(dict_zuord_Meth_Transfers[[#This Row],[kval_active]],dict_zuord_Meth_Transfers[[#This Row],[ID_Transfers]],"")</f>
        <v/>
      </c>
    </row>
    <row r="1759" spans="1:4" x14ac:dyDescent="0.45">
      <c r="A1759">
        <v>292</v>
      </c>
      <c r="B1759">
        <f t="shared" ca="1" si="27"/>
        <v>42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9" t="str">
        <f ca="1">IF(dict_zuord_Meth_Transfers[[#This Row],[kval_active]],dict_zuord_Meth_Transfers[[#This Row],[ID_Transfers]],"")</f>
        <v/>
      </c>
    </row>
    <row r="1760" spans="1:4" x14ac:dyDescent="0.45">
      <c r="A1760">
        <v>293</v>
      </c>
      <c r="B1760">
        <f t="shared" ca="1" si="27"/>
        <v>178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0" t="str">
        <f ca="1">IF(dict_zuord_Meth_Transfers[[#This Row],[kval_active]],dict_zuord_Meth_Transfers[[#This Row],[ID_Transfers]],"")</f>
        <v/>
      </c>
    </row>
    <row r="1761" spans="1:4" x14ac:dyDescent="0.45">
      <c r="A1761">
        <v>293</v>
      </c>
      <c r="B1761" s="3">
        <f t="shared" ca="1" si="27"/>
        <v>181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1" t="str">
        <f ca="1">IF(dict_zuord_Meth_Transfers[[#This Row],[kval_active]],dict_zuord_Meth_Transfers[[#This Row],[ID_Transfers]],"")</f>
        <v/>
      </c>
    </row>
    <row r="1762" spans="1:4" x14ac:dyDescent="0.45">
      <c r="A1762">
        <v>293</v>
      </c>
      <c r="B1762">
        <f t="shared" ca="1" si="27"/>
        <v>152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2" t="str">
        <f ca="1">IF(dict_zuord_Meth_Transfers[[#This Row],[kval_active]],dict_zuord_Meth_Transfers[[#This Row],[ID_Transfers]],"")</f>
        <v/>
      </c>
    </row>
    <row r="1763" spans="1:4" x14ac:dyDescent="0.45">
      <c r="A1763">
        <v>293</v>
      </c>
      <c r="B1763">
        <f t="shared" ca="1" si="27"/>
        <v>181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3" t="str">
        <f ca="1">IF(dict_zuord_Meth_Transfers[[#This Row],[kval_active]],dict_zuord_Meth_Transfers[[#This Row],[ID_Transfers]],"")</f>
        <v/>
      </c>
    </row>
    <row r="1764" spans="1:4" x14ac:dyDescent="0.45">
      <c r="A1764">
        <v>293</v>
      </c>
      <c r="B1764" s="3">
        <f t="shared" ca="1" si="27"/>
        <v>89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4" t="str">
        <f ca="1">IF(dict_zuord_Meth_Transfers[[#This Row],[kval_active]],dict_zuord_Meth_Transfers[[#This Row],[ID_Transfers]],"")</f>
        <v/>
      </c>
    </row>
    <row r="1765" spans="1:4" x14ac:dyDescent="0.45">
      <c r="A1765">
        <v>293</v>
      </c>
      <c r="B1765" s="3">
        <f t="shared" ca="1" si="27"/>
        <v>164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5" t="str">
        <f ca="1">IF(dict_zuord_Meth_Transfers[[#This Row],[kval_active]],dict_zuord_Meth_Transfers[[#This Row],[ID_Transfers]],"")</f>
        <v/>
      </c>
    </row>
    <row r="1766" spans="1:4" x14ac:dyDescent="0.45">
      <c r="A1766">
        <v>294</v>
      </c>
      <c r="B1766">
        <f t="shared" ca="1" si="27"/>
        <v>5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6" t="str">
        <f ca="1">IF(dict_zuord_Meth_Transfers[[#This Row],[kval_active]],dict_zuord_Meth_Transfers[[#This Row],[ID_Transfers]],"")</f>
        <v/>
      </c>
    </row>
    <row r="1767" spans="1:4" x14ac:dyDescent="0.45">
      <c r="A1767">
        <v>294</v>
      </c>
      <c r="B1767" s="3">
        <f t="shared" ca="1" si="27"/>
        <v>62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7" t="str">
        <f ca="1">IF(dict_zuord_Meth_Transfers[[#This Row],[kval_active]],dict_zuord_Meth_Transfers[[#This Row],[ID_Transfers]],"")</f>
        <v/>
      </c>
    </row>
    <row r="1768" spans="1:4" x14ac:dyDescent="0.45">
      <c r="A1768">
        <v>294</v>
      </c>
      <c r="B1768" s="3">
        <f t="shared" ca="1" si="27"/>
        <v>61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8" t="str">
        <f ca="1">IF(dict_zuord_Meth_Transfers[[#This Row],[kval_active]],dict_zuord_Meth_Transfers[[#This Row],[ID_Transfers]],"")</f>
        <v/>
      </c>
    </row>
    <row r="1769" spans="1:4" x14ac:dyDescent="0.45">
      <c r="A1769">
        <v>294</v>
      </c>
      <c r="B1769">
        <f t="shared" ca="1" si="27"/>
        <v>40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9" t="str">
        <f ca="1">IF(dict_zuord_Meth_Transfers[[#This Row],[kval_active]],dict_zuord_Meth_Transfers[[#This Row],[ID_Transfers]],"")</f>
        <v/>
      </c>
    </row>
    <row r="1770" spans="1:4" x14ac:dyDescent="0.45">
      <c r="A1770">
        <v>294</v>
      </c>
      <c r="B1770">
        <f t="shared" ca="1" si="27"/>
        <v>61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0" t="str">
        <f ca="1">IF(dict_zuord_Meth_Transfers[[#This Row],[kval_active]],dict_zuord_Meth_Transfers[[#This Row],[ID_Transfers]],"")</f>
        <v/>
      </c>
    </row>
    <row r="1771" spans="1:4" x14ac:dyDescent="0.45">
      <c r="A1771">
        <v>294</v>
      </c>
      <c r="B1771" s="3">
        <f t="shared" ca="1" si="27"/>
        <v>107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1" t="str">
        <f ca="1">IF(dict_zuord_Meth_Transfers[[#This Row],[kval_active]],dict_zuord_Meth_Transfers[[#This Row],[ID_Transfers]],"")</f>
        <v/>
      </c>
    </row>
    <row r="1772" spans="1:4" x14ac:dyDescent="0.45">
      <c r="A1772">
        <v>295</v>
      </c>
      <c r="B1772">
        <f t="shared" ca="1" si="27"/>
        <v>122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2" t="str">
        <f ca="1">IF(dict_zuord_Meth_Transfers[[#This Row],[kval_active]],dict_zuord_Meth_Transfers[[#This Row],[ID_Transfers]],"")</f>
        <v/>
      </c>
    </row>
    <row r="1773" spans="1:4" x14ac:dyDescent="0.45">
      <c r="A1773">
        <v>295</v>
      </c>
      <c r="B1773">
        <f t="shared" ca="1" si="27"/>
        <v>98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3" t="str">
        <f ca="1">IF(dict_zuord_Meth_Transfers[[#This Row],[kval_active]],dict_zuord_Meth_Transfers[[#This Row],[ID_Transfers]],"")</f>
        <v/>
      </c>
    </row>
    <row r="1774" spans="1:4" x14ac:dyDescent="0.45">
      <c r="A1774">
        <v>295</v>
      </c>
      <c r="B1774" s="3">
        <f t="shared" ca="1" si="27"/>
        <v>5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4" t="str">
        <f ca="1">IF(dict_zuord_Meth_Transfers[[#This Row],[kval_active]],dict_zuord_Meth_Transfers[[#This Row],[ID_Transfers]],"")</f>
        <v/>
      </c>
    </row>
    <row r="1775" spans="1:4" x14ac:dyDescent="0.45">
      <c r="A1775">
        <v>295</v>
      </c>
      <c r="B1775" s="3">
        <f t="shared" ca="1" si="27"/>
        <v>184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5" t="str">
        <f ca="1">IF(dict_zuord_Meth_Transfers[[#This Row],[kval_active]],dict_zuord_Meth_Transfers[[#This Row],[ID_Transfers]],"")</f>
        <v/>
      </c>
    </row>
    <row r="1776" spans="1:4" x14ac:dyDescent="0.45">
      <c r="A1776">
        <v>295</v>
      </c>
      <c r="B1776">
        <f t="shared" ca="1" si="27"/>
        <v>81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6" t="str">
        <f ca="1">IF(dict_zuord_Meth_Transfers[[#This Row],[kval_active]],dict_zuord_Meth_Transfers[[#This Row],[ID_Transfers]],"")</f>
        <v/>
      </c>
    </row>
    <row r="1777" spans="1:4" x14ac:dyDescent="0.45">
      <c r="A1777">
        <v>295</v>
      </c>
      <c r="B1777" s="3">
        <f t="shared" ca="1" si="27"/>
        <v>87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7" t="str">
        <f ca="1">IF(dict_zuord_Meth_Transfers[[#This Row],[kval_active]],dict_zuord_Meth_Transfers[[#This Row],[ID_Transfers]],"")</f>
        <v/>
      </c>
    </row>
    <row r="1778" spans="1:4" x14ac:dyDescent="0.45">
      <c r="A1778">
        <v>296</v>
      </c>
      <c r="B1778">
        <f t="shared" ca="1" si="27"/>
        <v>48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8" t="str">
        <f ca="1">IF(dict_zuord_Meth_Transfers[[#This Row],[kval_active]],dict_zuord_Meth_Transfers[[#This Row],[ID_Transfers]],"")</f>
        <v/>
      </c>
    </row>
    <row r="1779" spans="1:4" x14ac:dyDescent="0.45">
      <c r="A1779">
        <v>296</v>
      </c>
      <c r="B1779" s="3">
        <f t="shared" ca="1" si="27"/>
        <v>139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9" t="str">
        <f ca="1">IF(dict_zuord_Meth_Transfers[[#This Row],[kval_active]],dict_zuord_Meth_Transfers[[#This Row],[ID_Transfers]],"")</f>
        <v/>
      </c>
    </row>
    <row r="1780" spans="1:4" x14ac:dyDescent="0.45">
      <c r="A1780">
        <v>296</v>
      </c>
      <c r="B1780" s="3">
        <f t="shared" ca="1" si="27"/>
        <v>151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0" t="str">
        <f ca="1">IF(dict_zuord_Meth_Transfers[[#This Row],[kval_active]],dict_zuord_Meth_Transfers[[#This Row],[ID_Transfers]],"")</f>
        <v/>
      </c>
    </row>
    <row r="1781" spans="1:4" x14ac:dyDescent="0.45">
      <c r="A1781">
        <v>296</v>
      </c>
      <c r="B1781">
        <f t="shared" ca="1" si="27"/>
        <v>119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1" t="str">
        <f ca="1">IF(dict_zuord_Meth_Transfers[[#This Row],[kval_active]],dict_zuord_Meth_Transfers[[#This Row],[ID_Transfers]],"")</f>
        <v/>
      </c>
    </row>
    <row r="1782" spans="1:4" x14ac:dyDescent="0.45">
      <c r="A1782">
        <v>296</v>
      </c>
      <c r="B1782" s="3">
        <f t="shared" ca="1" si="27"/>
        <v>78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2" t="str">
        <f ca="1">IF(dict_zuord_Meth_Transfers[[#This Row],[kval_active]],dict_zuord_Meth_Transfers[[#This Row],[ID_Transfers]],"")</f>
        <v/>
      </c>
    </row>
    <row r="1783" spans="1:4" x14ac:dyDescent="0.45">
      <c r="A1783">
        <v>296</v>
      </c>
      <c r="B1783">
        <f t="shared" ca="1" si="27"/>
        <v>23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3" t="str">
        <f ca="1">IF(dict_zuord_Meth_Transfers[[#This Row],[kval_active]],dict_zuord_Meth_Transfers[[#This Row],[ID_Transfers]],"")</f>
        <v/>
      </c>
    </row>
    <row r="1784" spans="1:4" x14ac:dyDescent="0.45">
      <c r="A1784">
        <v>297</v>
      </c>
      <c r="B1784" s="3">
        <f t="shared" ca="1" si="27"/>
        <v>171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4" t="str">
        <f ca="1">IF(dict_zuord_Meth_Transfers[[#This Row],[kval_active]],dict_zuord_Meth_Transfers[[#This Row],[ID_Transfers]],"")</f>
        <v/>
      </c>
    </row>
    <row r="1785" spans="1:4" x14ac:dyDescent="0.45">
      <c r="A1785">
        <v>297</v>
      </c>
      <c r="B1785">
        <f t="shared" ca="1" si="27"/>
        <v>58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5" t="str">
        <f ca="1">IF(dict_zuord_Meth_Transfers[[#This Row],[kval_active]],dict_zuord_Meth_Transfers[[#This Row],[ID_Transfers]],"")</f>
        <v/>
      </c>
    </row>
    <row r="1786" spans="1:4" x14ac:dyDescent="0.45">
      <c r="A1786">
        <v>297</v>
      </c>
      <c r="B1786" s="3">
        <f t="shared" ca="1" si="27"/>
        <v>36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6" t="str">
        <f ca="1">IF(dict_zuord_Meth_Transfers[[#This Row],[kval_active]],dict_zuord_Meth_Transfers[[#This Row],[ID_Transfers]],"")</f>
        <v/>
      </c>
    </row>
    <row r="1787" spans="1:4" x14ac:dyDescent="0.45">
      <c r="A1787">
        <v>297</v>
      </c>
      <c r="B1787" s="3">
        <f t="shared" ca="1" si="27"/>
        <v>48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7" t="str">
        <f ca="1">IF(dict_zuord_Meth_Transfers[[#This Row],[kval_active]],dict_zuord_Meth_Transfers[[#This Row],[ID_Transfers]],"")</f>
        <v/>
      </c>
    </row>
    <row r="1788" spans="1:4" x14ac:dyDescent="0.45">
      <c r="A1788">
        <v>297</v>
      </c>
      <c r="B1788">
        <f t="shared" ca="1" si="27"/>
        <v>102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8" t="str">
        <f ca="1">IF(dict_zuord_Meth_Transfers[[#This Row],[kval_active]],dict_zuord_Meth_Transfers[[#This Row],[ID_Transfers]],"")</f>
        <v/>
      </c>
    </row>
    <row r="1789" spans="1:4" x14ac:dyDescent="0.45">
      <c r="A1789">
        <v>297</v>
      </c>
      <c r="B1789">
        <f t="shared" ca="1" si="27"/>
        <v>56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9" t="str">
        <f ca="1">IF(dict_zuord_Meth_Transfers[[#This Row],[kval_active]],dict_zuord_Meth_Transfers[[#This Row],[ID_Transfers]],"")</f>
        <v/>
      </c>
    </row>
    <row r="1790" spans="1:4" x14ac:dyDescent="0.45">
      <c r="A1790">
        <v>298</v>
      </c>
      <c r="B1790" s="3">
        <f t="shared" ca="1" si="27"/>
        <v>6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0" t="str">
        <f ca="1">IF(dict_zuord_Meth_Transfers[[#This Row],[kval_active]],dict_zuord_Meth_Transfers[[#This Row],[ID_Transfers]],"")</f>
        <v/>
      </c>
    </row>
    <row r="1791" spans="1:4" x14ac:dyDescent="0.45">
      <c r="A1791">
        <v>298</v>
      </c>
      <c r="B1791" s="3">
        <f t="shared" ca="1" si="27"/>
        <v>179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1" t="str">
        <f ca="1">IF(dict_zuord_Meth_Transfers[[#This Row],[kval_active]],dict_zuord_Meth_Transfers[[#This Row],[ID_Transfers]],"")</f>
        <v/>
      </c>
    </row>
    <row r="1792" spans="1:4" x14ac:dyDescent="0.45">
      <c r="A1792">
        <v>298</v>
      </c>
      <c r="B1792">
        <f t="shared" ca="1" si="27"/>
        <v>20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2" t="str">
        <f ca="1">IF(dict_zuord_Meth_Transfers[[#This Row],[kval_active]],dict_zuord_Meth_Transfers[[#This Row],[ID_Transfers]],"")</f>
        <v/>
      </c>
    </row>
    <row r="1793" spans="1:4" x14ac:dyDescent="0.45">
      <c r="A1793">
        <v>298</v>
      </c>
      <c r="B1793">
        <f t="shared" ca="1" si="27"/>
        <v>8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3" t="str">
        <f ca="1">IF(dict_zuord_Meth_Transfers[[#This Row],[kval_active]],dict_zuord_Meth_Transfers[[#This Row],[ID_Transfers]],"")</f>
        <v/>
      </c>
    </row>
    <row r="1794" spans="1:4" x14ac:dyDescent="0.45">
      <c r="A1794">
        <v>298</v>
      </c>
      <c r="B1794" s="3">
        <f t="shared" ref="B1794:B1857" ca="1" si="28">RANDBETWEEN(0,200)</f>
        <v>200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4" t="str">
        <f ca="1">IF(dict_zuord_Meth_Transfers[[#This Row],[kval_active]],dict_zuord_Meth_Transfers[[#This Row],[ID_Transfers]],"")</f>
        <v/>
      </c>
    </row>
    <row r="1795" spans="1:4" x14ac:dyDescent="0.45">
      <c r="A1795">
        <v>298</v>
      </c>
      <c r="B1795">
        <f t="shared" ca="1" si="28"/>
        <v>184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5" t="str">
        <f ca="1">IF(dict_zuord_Meth_Transfers[[#This Row],[kval_active]],dict_zuord_Meth_Transfers[[#This Row],[ID_Transfers]],"")</f>
        <v/>
      </c>
    </row>
    <row r="1796" spans="1:4" x14ac:dyDescent="0.45">
      <c r="A1796">
        <v>299</v>
      </c>
      <c r="B1796">
        <f t="shared" ca="1" si="28"/>
        <v>118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6" t="str">
        <f ca="1">IF(dict_zuord_Meth_Transfers[[#This Row],[kval_active]],dict_zuord_Meth_Transfers[[#This Row],[ID_Transfers]],"")</f>
        <v/>
      </c>
    </row>
    <row r="1797" spans="1:4" x14ac:dyDescent="0.45">
      <c r="A1797">
        <v>299</v>
      </c>
      <c r="B1797">
        <f t="shared" ca="1" si="28"/>
        <v>10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7" t="str">
        <f ca="1">IF(dict_zuord_Meth_Transfers[[#This Row],[kval_active]],dict_zuord_Meth_Transfers[[#This Row],[ID_Transfers]],"")</f>
        <v/>
      </c>
    </row>
    <row r="1798" spans="1:4" x14ac:dyDescent="0.45">
      <c r="A1798">
        <v>299</v>
      </c>
      <c r="B1798">
        <f t="shared" ca="1" si="28"/>
        <v>164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8" t="str">
        <f ca="1">IF(dict_zuord_Meth_Transfers[[#This Row],[kval_active]],dict_zuord_Meth_Transfers[[#This Row],[ID_Transfers]],"")</f>
        <v/>
      </c>
    </row>
    <row r="1799" spans="1:4" x14ac:dyDescent="0.45">
      <c r="A1799">
        <v>299</v>
      </c>
      <c r="B1799" s="3">
        <f t="shared" ca="1" si="28"/>
        <v>53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9" t="str">
        <f ca="1">IF(dict_zuord_Meth_Transfers[[#This Row],[kval_active]],dict_zuord_Meth_Transfers[[#This Row],[ID_Transfers]],"")</f>
        <v/>
      </c>
    </row>
    <row r="1800" spans="1:4" x14ac:dyDescent="0.45">
      <c r="A1800">
        <v>299</v>
      </c>
      <c r="B1800" s="3">
        <f t="shared" ca="1" si="28"/>
        <v>48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0" t="str">
        <f ca="1">IF(dict_zuord_Meth_Transfers[[#This Row],[kval_active]],dict_zuord_Meth_Transfers[[#This Row],[ID_Transfers]],"")</f>
        <v/>
      </c>
    </row>
    <row r="1801" spans="1:4" x14ac:dyDescent="0.45">
      <c r="A1801">
        <v>299</v>
      </c>
      <c r="B1801" s="3">
        <f t="shared" ca="1" si="28"/>
        <v>59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1" t="str">
        <f ca="1">IF(dict_zuord_Meth_Transfers[[#This Row],[kval_active]],dict_zuord_Meth_Transfers[[#This Row],[ID_Transfers]],"")</f>
        <v/>
      </c>
    </row>
    <row r="1802" spans="1:4" x14ac:dyDescent="0.45">
      <c r="A1802">
        <v>300</v>
      </c>
      <c r="B1802">
        <f t="shared" ca="1" si="28"/>
        <v>89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2" t="str">
        <f ca="1">IF(dict_zuord_Meth_Transfers[[#This Row],[kval_active]],dict_zuord_Meth_Transfers[[#This Row],[ID_Transfers]],"")</f>
        <v/>
      </c>
    </row>
    <row r="1803" spans="1:4" x14ac:dyDescent="0.45">
      <c r="A1803">
        <v>300</v>
      </c>
      <c r="B1803">
        <f t="shared" ca="1" si="28"/>
        <v>78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3" t="str">
        <f ca="1">IF(dict_zuord_Meth_Transfers[[#This Row],[kval_active]],dict_zuord_Meth_Transfers[[#This Row],[ID_Transfers]],"")</f>
        <v/>
      </c>
    </row>
    <row r="1804" spans="1:4" x14ac:dyDescent="0.45">
      <c r="A1804">
        <v>300</v>
      </c>
      <c r="B1804" s="3">
        <f t="shared" ca="1" si="28"/>
        <v>17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4" t="str">
        <f ca="1">IF(dict_zuord_Meth_Transfers[[#This Row],[kval_active]],dict_zuord_Meth_Transfers[[#This Row],[ID_Transfers]],"")</f>
        <v/>
      </c>
    </row>
    <row r="1805" spans="1:4" x14ac:dyDescent="0.45">
      <c r="A1805">
        <v>300</v>
      </c>
      <c r="B1805">
        <f t="shared" ca="1" si="28"/>
        <v>36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5" t="str">
        <f ca="1">IF(dict_zuord_Meth_Transfers[[#This Row],[kval_active]],dict_zuord_Meth_Transfers[[#This Row],[ID_Transfers]],"")</f>
        <v/>
      </c>
    </row>
    <row r="1806" spans="1:4" x14ac:dyDescent="0.45">
      <c r="A1806">
        <v>300</v>
      </c>
      <c r="B1806" s="3">
        <f t="shared" ca="1" si="28"/>
        <v>82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6" t="str">
        <f ca="1">IF(dict_zuord_Meth_Transfers[[#This Row],[kval_active]],dict_zuord_Meth_Transfers[[#This Row],[ID_Transfers]],"")</f>
        <v/>
      </c>
    </row>
    <row r="1807" spans="1:4" x14ac:dyDescent="0.45">
      <c r="A1807">
        <v>300</v>
      </c>
      <c r="B1807" s="3">
        <f t="shared" ca="1" si="28"/>
        <v>58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7" t="str">
        <f ca="1">IF(dict_zuord_Meth_Transfers[[#This Row],[kval_active]],dict_zuord_Meth_Transfers[[#This Row],[ID_Transfers]],"")</f>
        <v/>
      </c>
    </row>
    <row r="1808" spans="1:4" x14ac:dyDescent="0.45">
      <c r="A1808">
        <v>301</v>
      </c>
      <c r="B1808" s="3">
        <f t="shared" ca="1" si="28"/>
        <v>198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8" t="str">
        <f ca="1">IF(dict_zuord_Meth_Transfers[[#This Row],[kval_active]],dict_zuord_Meth_Transfers[[#This Row],[ID_Transfers]],"")</f>
        <v/>
      </c>
    </row>
    <row r="1809" spans="1:4" x14ac:dyDescent="0.45">
      <c r="A1809">
        <v>301</v>
      </c>
      <c r="B1809">
        <f t="shared" ca="1" si="28"/>
        <v>10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9" t="str">
        <f ca="1">IF(dict_zuord_Meth_Transfers[[#This Row],[kval_active]],dict_zuord_Meth_Transfers[[#This Row],[ID_Transfers]],"")</f>
        <v/>
      </c>
    </row>
    <row r="1810" spans="1:4" x14ac:dyDescent="0.45">
      <c r="A1810">
        <v>301</v>
      </c>
      <c r="B1810">
        <f t="shared" ca="1" si="28"/>
        <v>81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0" t="str">
        <f ca="1">IF(dict_zuord_Meth_Transfers[[#This Row],[kval_active]],dict_zuord_Meth_Transfers[[#This Row],[ID_Transfers]],"")</f>
        <v/>
      </c>
    </row>
    <row r="1811" spans="1:4" x14ac:dyDescent="0.45">
      <c r="A1811">
        <v>301</v>
      </c>
      <c r="B1811" s="3">
        <f t="shared" ca="1" si="28"/>
        <v>174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1" t="str">
        <f ca="1">IF(dict_zuord_Meth_Transfers[[#This Row],[kval_active]],dict_zuord_Meth_Transfers[[#This Row],[ID_Transfers]],"")</f>
        <v/>
      </c>
    </row>
    <row r="1812" spans="1:4" x14ac:dyDescent="0.45">
      <c r="A1812">
        <v>301</v>
      </c>
      <c r="B1812" s="3">
        <f t="shared" ca="1" si="28"/>
        <v>142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2" t="str">
        <f ca="1">IF(dict_zuord_Meth_Transfers[[#This Row],[kval_active]],dict_zuord_Meth_Transfers[[#This Row],[ID_Transfers]],"")</f>
        <v/>
      </c>
    </row>
    <row r="1813" spans="1:4" x14ac:dyDescent="0.45">
      <c r="A1813">
        <v>301</v>
      </c>
      <c r="B1813">
        <f t="shared" ca="1" si="28"/>
        <v>33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3" t="str">
        <f ca="1">IF(dict_zuord_Meth_Transfers[[#This Row],[kval_active]],dict_zuord_Meth_Transfers[[#This Row],[ID_Transfers]],"")</f>
        <v/>
      </c>
    </row>
    <row r="1814" spans="1:4" x14ac:dyDescent="0.45">
      <c r="A1814">
        <v>302</v>
      </c>
      <c r="B1814">
        <f t="shared" ca="1" si="28"/>
        <v>174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4" t="str">
        <f ca="1">IF(dict_zuord_Meth_Transfers[[#This Row],[kval_active]],dict_zuord_Meth_Transfers[[#This Row],[ID_Transfers]],"")</f>
        <v/>
      </c>
    </row>
    <row r="1815" spans="1:4" x14ac:dyDescent="0.45">
      <c r="A1815">
        <v>302</v>
      </c>
      <c r="B1815">
        <f t="shared" ca="1" si="28"/>
        <v>90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5" t="str">
        <f ca="1">IF(dict_zuord_Meth_Transfers[[#This Row],[kval_active]],dict_zuord_Meth_Transfers[[#This Row],[ID_Transfers]],"")</f>
        <v/>
      </c>
    </row>
    <row r="1816" spans="1:4" x14ac:dyDescent="0.45">
      <c r="A1816">
        <v>302</v>
      </c>
      <c r="B1816">
        <f t="shared" ca="1" si="28"/>
        <v>83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6" t="str">
        <f ca="1">IF(dict_zuord_Meth_Transfers[[#This Row],[kval_active]],dict_zuord_Meth_Transfers[[#This Row],[ID_Transfers]],"")</f>
        <v/>
      </c>
    </row>
    <row r="1817" spans="1:4" x14ac:dyDescent="0.45">
      <c r="A1817">
        <v>302</v>
      </c>
      <c r="B1817" s="3">
        <f t="shared" ca="1" si="28"/>
        <v>83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7" t="str">
        <f ca="1">IF(dict_zuord_Meth_Transfers[[#This Row],[kval_active]],dict_zuord_Meth_Transfers[[#This Row],[ID_Transfers]],"")</f>
        <v/>
      </c>
    </row>
    <row r="1818" spans="1:4" x14ac:dyDescent="0.45">
      <c r="A1818">
        <v>302</v>
      </c>
      <c r="B1818" s="3">
        <f t="shared" ca="1" si="28"/>
        <v>169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8" t="str">
        <f ca="1">IF(dict_zuord_Meth_Transfers[[#This Row],[kval_active]],dict_zuord_Meth_Transfers[[#This Row],[ID_Transfers]],"")</f>
        <v/>
      </c>
    </row>
    <row r="1819" spans="1:4" x14ac:dyDescent="0.45">
      <c r="A1819">
        <v>302</v>
      </c>
      <c r="B1819" s="3">
        <f t="shared" ca="1" si="28"/>
        <v>46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9" t="str">
        <f ca="1">IF(dict_zuord_Meth_Transfers[[#This Row],[kval_active]],dict_zuord_Meth_Transfers[[#This Row],[ID_Transfers]],"")</f>
        <v/>
      </c>
    </row>
    <row r="1820" spans="1:4" x14ac:dyDescent="0.45">
      <c r="A1820">
        <v>303</v>
      </c>
      <c r="B1820" s="3">
        <f t="shared" ca="1" si="28"/>
        <v>48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0" t="str">
        <f ca="1">IF(dict_zuord_Meth_Transfers[[#This Row],[kval_active]],dict_zuord_Meth_Transfers[[#This Row],[ID_Transfers]],"")</f>
        <v/>
      </c>
    </row>
    <row r="1821" spans="1:4" x14ac:dyDescent="0.45">
      <c r="A1821">
        <v>303</v>
      </c>
      <c r="B1821" s="3">
        <f t="shared" ca="1" si="28"/>
        <v>91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1" t="str">
        <f ca="1">IF(dict_zuord_Meth_Transfers[[#This Row],[kval_active]],dict_zuord_Meth_Transfers[[#This Row],[ID_Transfers]],"")</f>
        <v/>
      </c>
    </row>
    <row r="1822" spans="1:4" x14ac:dyDescent="0.45">
      <c r="A1822">
        <v>303</v>
      </c>
      <c r="B1822">
        <f t="shared" ca="1" si="28"/>
        <v>10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2" t="str">
        <f ca="1">IF(dict_zuord_Meth_Transfers[[#This Row],[kval_active]],dict_zuord_Meth_Transfers[[#This Row],[ID_Transfers]],"")</f>
        <v/>
      </c>
    </row>
    <row r="1823" spans="1:4" x14ac:dyDescent="0.45">
      <c r="A1823">
        <v>303</v>
      </c>
      <c r="B1823">
        <f t="shared" ca="1" si="28"/>
        <v>128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3" t="str">
        <f ca="1">IF(dict_zuord_Meth_Transfers[[#This Row],[kval_active]],dict_zuord_Meth_Transfers[[#This Row],[ID_Transfers]],"")</f>
        <v/>
      </c>
    </row>
    <row r="1824" spans="1:4" x14ac:dyDescent="0.45">
      <c r="A1824">
        <v>303</v>
      </c>
      <c r="B1824">
        <f t="shared" ca="1" si="28"/>
        <v>176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4" t="str">
        <f ca="1">IF(dict_zuord_Meth_Transfers[[#This Row],[kval_active]],dict_zuord_Meth_Transfers[[#This Row],[ID_Transfers]],"")</f>
        <v/>
      </c>
    </row>
    <row r="1825" spans="1:4" x14ac:dyDescent="0.45">
      <c r="A1825">
        <v>303</v>
      </c>
      <c r="B1825" s="3">
        <f t="shared" ca="1" si="28"/>
        <v>42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5" t="str">
        <f ca="1">IF(dict_zuord_Meth_Transfers[[#This Row],[kval_active]],dict_zuord_Meth_Transfers[[#This Row],[ID_Transfers]],"")</f>
        <v/>
      </c>
    </row>
    <row r="1826" spans="1:4" x14ac:dyDescent="0.45">
      <c r="A1826">
        <v>304</v>
      </c>
      <c r="B1826" s="3">
        <f t="shared" ca="1" si="28"/>
        <v>190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6" t="str">
        <f ca="1">IF(dict_zuord_Meth_Transfers[[#This Row],[kval_active]],dict_zuord_Meth_Transfers[[#This Row],[ID_Transfers]],"")</f>
        <v/>
      </c>
    </row>
    <row r="1827" spans="1:4" x14ac:dyDescent="0.45">
      <c r="A1827">
        <v>304</v>
      </c>
      <c r="B1827">
        <f t="shared" ca="1" si="28"/>
        <v>52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7" t="str">
        <f ca="1">IF(dict_zuord_Meth_Transfers[[#This Row],[kval_active]],dict_zuord_Meth_Transfers[[#This Row],[ID_Transfers]],"")</f>
        <v/>
      </c>
    </row>
    <row r="1828" spans="1:4" x14ac:dyDescent="0.45">
      <c r="A1828">
        <v>304</v>
      </c>
      <c r="B1828">
        <f t="shared" ca="1" si="28"/>
        <v>183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8" t="str">
        <f ca="1">IF(dict_zuord_Meth_Transfers[[#This Row],[kval_active]],dict_zuord_Meth_Transfers[[#This Row],[ID_Transfers]],"")</f>
        <v/>
      </c>
    </row>
    <row r="1829" spans="1:4" x14ac:dyDescent="0.45">
      <c r="A1829">
        <v>304</v>
      </c>
      <c r="B1829">
        <f t="shared" ca="1" si="28"/>
        <v>121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9" t="str">
        <f ca="1">IF(dict_zuord_Meth_Transfers[[#This Row],[kval_active]],dict_zuord_Meth_Transfers[[#This Row],[ID_Transfers]],"")</f>
        <v/>
      </c>
    </row>
    <row r="1830" spans="1:4" x14ac:dyDescent="0.45">
      <c r="A1830">
        <v>304</v>
      </c>
      <c r="B1830" s="3">
        <f t="shared" ca="1" si="28"/>
        <v>42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0" t="str">
        <f ca="1">IF(dict_zuord_Meth_Transfers[[#This Row],[kval_active]],dict_zuord_Meth_Transfers[[#This Row],[ID_Transfers]],"")</f>
        <v/>
      </c>
    </row>
    <row r="1831" spans="1:4" x14ac:dyDescent="0.45">
      <c r="A1831">
        <v>304</v>
      </c>
      <c r="B1831" s="3">
        <f t="shared" ca="1" si="28"/>
        <v>5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1" t="str">
        <f ca="1">IF(dict_zuord_Meth_Transfers[[#This Row],[kval_active]],dict_zuord_Meth_Transfers[[#This Row],[ID_Transfers]],"")</f>
        <v/>
      </c>
    </row>
    <row r="1832" spans="1:4" x14ac:dyDescent="0.45">
      <c r="A1832">
        <v>305</v>
      </c>
      <c r="B1832">
        <f t="shared" ca="1" si="28"/>
        <v>33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2" t="str">
        <f ca="1">IF(dict_zuord_Meth_Transfers[[#This Row],[kval_active]],dict_zuord_Meth_Transfers[[#This Row],[ID_Transfers]],"")</f>
        <v/>
      </c>
    </row>
    <row r="1833" spans="1:4" x14ac:dyDescent="0.45">
      <c r="A1833">
        <v>305</v>
      </c>
      <c r="B1833" s="3">
        <f t="shared" ca="1" si="28"/>
        <v>172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3" t="str">
        <f ca="1">IF(dict_zuord_Meth_Transfers[[#This Row],[kval_active]],dict_zuord_Meth_Transfers[[#This Row],[ID_Transfers]],"")</f>
        <v/>
      </c>
    </row>
    <row r="1834" spans="1:4" x14ac:dyDescent="0.45">
      <c r="A1834">
        <v>305</v>
      </c>
      <c r="B1834">
        <f t="shared" ca="1" si="28"/>
        <v>17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4" t="str">
        <f ca="1">IF(dict_zuord_Meth_Transfers[[#This Row],[kval_active]],dict_zuord_Meth_Transfers[[#This Row],[ID_Transfers]],"")</f>
        <v/>
      </c>
    </row>
    <row r="1835" spans="1:4" x14ac:dyDescent="0.45">
      <c r="A1835">
        <v>305</v>
      </c>
      <c r="B1835" s="3">
        <f t="shared" ca="1" si="28"/>
        <v>144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5" t="str">
        <f ca="1">IF(dict_zuord_Meth_Transfers[[#This Row],[kval_active]],dict_zuord_Meth_Transfers[[#This Row],[ID_Transfers]],"")</f>
        <v/>
      </c>
    </row>
    <row r="1836" spans="1:4" x14ac:dyDescent="0.45">
      <c r="A1836">
        <v>305</v>
      </c>
      <c r="B1836" s="3">
        <f t="shared" ca="1" si="28"/>
        <v>11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6" t="str">
        <f ca="1">IF(dict_zuord_Meth_Transfers[[#This Row],[kval_active]],dict_zuord_Meth_Transfers[[#This Row],[ID_Transfers]],"")</f>
        <v/>
      </c>
    </row>
    <row r="1837" spans="1:4" x14ac:dyDescent="0.45">
      <c r="A1837">
        <v>305</v>
      </c>
      <c r="B1837">
        <f t="shared" ca="1" si="28"/>
        <v>86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7" t="str">
        <f ca="1">IF(dict_zuord_Meth_Transfers[[#This Row],[kval_active]],dict_zuord_Meth_Transfers[[#This Row],[ID_Transfers]],"")</f>
        <v/>
      </c>
    </row>
    <row r="1838" spans="1:4" x14ac:dyDescent="0.45">
      <c r="A1838">
        <v>306</v>
      </c>
      <c r="B1838" s="3">
        <f t="shared" ca="1" si="28"/>
        <v>49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8" t="str">
        <f ca="1">IF(dict_zuord_Meth_Transfers[[#This Row],[kval_active]],dict_zuord_Meth_Transfers[[#This Row],[ID_Transfers]],"")</f>
        <v/>
      </c>
    </row>
    <row r="1839" spans="1:4" x14ac:dyDescent="0.45">
      <c r="A1839">
        <v>306</v>
      </c>
      <c r="B1839">
        <f t="shared" ca="1" si="28"/>
        <v>86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9" t="str">
        <f ca="1">IF(dict_zuord_Meth_Transfers[[#This Row],[kval_active]],dict_zuord_Meth_Transfers[[#This Row],[ID_Transfers]],"")</f>
        <v/>
      </c>
    </row>
    <row r="1840" spans="1:4" x14ac:dyDescent="0.45">
      <c r="A1840">
        <v>306</v>
      </c>
      <c r="B1840" s="3">
        <f t="shared" ca="1" si="28"/>
        <v>1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0" t="str">
        <f ca="1">IF(dict_zuord_Meth_Transfers[[#This Row],[kval_active]],dict_zuord_Meth_Transfers[[#This Row],[ID_Transfers]],"")</f>
        <v/>
      </c>
    </row>
    <row r="1841" spans="1:4" x14ac:dyDescent="0.45">
      <c r="A1841">
        <v>306</v>
      </c>
      <c r="B1841">
        <f t="shared" ca="1" si="28"/>
        <v>2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1" t="str">
        <f ca="1">IF(dict_zuord_Meth_Transfers[[#This Row],[kval_active]],dict_zuord_Meth_Transfers[[#This Row],[ID_Transfers]],"")</f>
        <v/>
      </c>
    </row>
    <row r="1842" spans="1:4" x14ac:dyDescent="0.45">
      <c r="A1842">
        <v>306</v>
      </c>
      <c r="B1842">
        <f t="shared" ca="1" si="28"/>
        <v>32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2" t="str">
        <f ca="1">IF(dict_zuord_Meth_Transfers[[#This Row],[kval_active]],dict_zuord_Meth_Transfers[[#This Row],[ID_Transfers]],"")</f>
        <v/>
      </c>
    </row>
    <row r="1843" spans="1:4" x14ac:dyDescent="0.45">
      <c r="A1843">
        <v>306</v>
      </c>
      <c r="B1843" s="3">
        <f t="shared" ca="1" si="28"/>
        <v>173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3" t="str">
        <f ca="1">IF(dict_zuord_Meth_Transfers[[#This Row],[kval_active]],dict_zuord_Meth_Transfers[[#This Row],[ID_Transfers]],"")</f>
        <v/>
      </c>
    </row>
    <row r="1844" spans="1:4" x14ac:dyDescent="0.45">
      <c r="A1844">
        <v>307</v>
      </c>
      <c r="B1844">
        <f t="shared" ca="1" si="28"/>
        <v>156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4" t="str">
        <f ca="1">IF(dict_zuord_Meth_Transfers[[#This Row],[kval_active]],dict_zuord_Meth_Transfers[[#This Row],[ID_Transfers]],"")</f>
        <v/>
      </c>
    </row>
    <row r="1845" spans="1:4" x14ac:dyDescent="0.45">
      <c r="A1845">
        <v>307</v>
      </c>
      <c r="B1845">
        <f t="shared" ca="1" si="28"/>
        <v>51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5" t="str">
        <f ca="1">IF(dict_zuord_Meth_Transfers[[#This Row],[kval_active]],dict_zuord_Meth_Transfers[[#This Row],[ID_Transfers]],"")</f>
        <v/>
      </c>
    </row>
    <row r="1846" spans="1:4" x14ac:dyDescent="0.45">
      <c r="A1846">
        <v>307</v>
      </c>
      <c r="B1846">
        <f t="shared" ca="1" si="28"/>
        <v>189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6" t="str">
        <f ca="1">IF(dict_zuord_Meth_Transfers[[#This Row],[kval_active]],dict_zuord_Meth_Transfers[[#This Row],[ID_Transfers]],"")</f>
        <v/>
      </c>
    </row>
    <row r="1847" spans="1:4" x14ac:dyDescent="0.45">
      <c r="A1847">
        <v>307</v>
      </c>
      <c r="B1847" s="3">
        <f t="shared" ca="1" si="28"/>
        <v>125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7" t="str">
        <f ca="1">IF(dict_zuord_Meth_Transfers[[#This Row],[kval_active]],dict_zuord_Meth_Transfers[[#This Row],[ID_Transfers]],"")</f>
        <v/>
      </c>
    </row>
    <row r="1848" spans="1:4" x14ac:dyDescent="0.45">
      <c r="A1848">
        <v>307</v>
      </c>
      <c r="B1848" s="3">
        <f t="shared" ca="1" si="28"/>
        <v>127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8" t="str">
        <f ca="1">IF(dict_zuord_Meth_Transfers[[#This Row],[kval_active]],dict_zuord_Meth_Transfers[[#This Row],[ID_Transfers]],"")</f>
        <v/>
      </c>
    </row>
    <row r="1849" spans="1:4" x14ac:dyDescent="0.45">
      <c r="A1849">
        <v>307</v>
      </c>
      <c r="B1849" s="3">
        <f t="shared" ca="1" si="28"/>
        <v>150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9" t="str">
        <f ca="1">IF(dict_zuord_Meth_Transfers[[#This Row],[kval_active]],dict_zuord_Meth_Transfers[[#This Row],[ID_Transfers]],"")</f>
        <v/>
      </c>
    </row>
    <row r="1850" spans="1:4" x14ac:dyDescent="0.45">
      <c r="A1850">
        <v>308</v>
      </c>
      <c r="B1850" s="3">
        <f t="shared" ca="1" si="28"/>
        <v>0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0" t="str">
        <f ca="1">IF(dict_zuord_Meth_Transfers[[#This Row],[kval_active]],dict_zuord_Meth_Transfers[[#This Row],[ID_Transfers]],"")</f>
        <v/>
      </c>
    </row>
    <row r="1851" spans="1:4" x14ac:dyDescent="0.45">
      <c r="A1851">
        <v>308</v>
      </c>
      <c r="B1851" s="3">
        <f t="shared" ca="1" si="28"/>
        <v>15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1" t="str">
        <f ca="1">IF(dict_zuord_Meth_Transfers[[#This Row],[kval_active]],dict_zuord_Meth_Transfers[[#This Row],[ID_Transfers]],"")</f>
        <v/>
      </c>
    </row>
    <row r="1852" spans="1:4" x14ac:dyDescent="0.45">
      <c r="A1852">
        <v>308</v>
      </c>
      <c r="B1852">
        <f t="shared" ca="1" si="28"/>
        <v>8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2" t="str">
        <f ca="1">IF(dict_zuord_Meth_Transfers[[#This Row],[kval_active]],dict_zuord_Meth_Transfers[[#This Row],[ID_Transfers]],"")</f>
        <v/>
      </c>
    </row>
    <row r="1853" spans="1:4" x14ac:dyDescent="0.45">
      <c r="A1853">
        <v>308</v>
      </c>
      <c r="B1853">
        <f t="shared" ca="1" si="28"/>
        <v>62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3" t="str">
        <f ca="1">IF(dict_zuord_Meth_Transfers[[#This Row],[kval_active]],dict_zuord_Meth_Transfers[[#This Row],[ID_Transfers]],"")</f>
        <v/>
      </c>
    </row>
    <row r="1854" spans="1:4" x14ac:dyDescent="0.45">
      <c r="A1854">
        <v>308</v>
      </c>
      <c r="B1854" s="3">
        <f t="shared" ca="1" si="28"/>
        <v>139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4" t="str">
        <f ca="1">IF(dict_zuord_Meth_Transfers[[#This Row],[kval_active]],dict_zuord_Meth_Transfers[[#This Row],[ID_Transfers]],"")</f>
        <v/>
      </c>
    </row>
    <row r="1855" spans="1:4" x14ac:dyDescent="0.45">
      <c r="A1855">
        <v>308</v>
      </c>
      <c r="B1855">
        <f t="shared" ca="1" si="28"/>
        <v>198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5" t="str">
        <f ca="1">IF(dict_zuord_Meth_Transfers[[#This Row],[kval_active]],dict_zuord_Meth_Transfers[[#This Row],[ID_Transfers]],"")</f>
        <v/>
      </c>
    </row>
    <row r="1856" spans="1:4" x14ac:dyDescent="0.45">
      <c r="A1856">
        <v>309</v>
      </c>
      <c r="B1856">
        <f t="shared" ca="1" si="28"/>
        <v>163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6" t="str">
        <f ca="1">IF(dict_zuord_Meth_Transfers[[#This Row],[kval_active]],dict_zuord_Meth_Transfers[[#This Row],[ID_Transfers]],"")</f>
        <v/>
      </c>
    </row>
    <row r="1857" spans="1:4" x14ac:dyDescent="0.45">
      <c r="A1857">
        <v>309</v>
      </c>
      <c r="B1857">
        <f t="shared" ca="1" si="28"/>
        <v>192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7" t="str">
        <f ca="1">IF(dict_zuord_Meth_Transfers[[#This Row],[kval_active]],dict_zuord_Meth_Transfers[[#This Row],[ID_Transfers]],"")</f>
        <v/>
      </c>
    </row>
    <row r="1858" spans="1:4" x14ac:dyDescent="0.45">
      <c r="A1858">
        <v>309</v>
      </c>
      <c r="B1858" s="3">
        <f t="shared" ref="B1858:B1921" ca="1" si="29">RANDBETWEEN(0,200)</f>
        <v>187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8" t="str">
        <f ca="1">IF(dict_zuord_Meth_Transfers[[#This Row],[kval_active]],dict_zuord_Meth_Transfers[[#This Row],[ID_Transfers]],"")</f>
        <v/>
      </c>
    </row>
    <row r="1859" spans="1:4" x14ac:dyDescent="0.45">
      <c r="A1859">
        <v>309</v>
      </c>
      <c r="B1859" s="3">
        <f t="shared" ca="1" si="29"/>
        <v>174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9" t="str">
        <f ca="1">IF(dict_zuord_Meth_Transfers[[#This Row],[kval_active]],dict_zuord_Meth_Transfers[[#This Row],[ID_Transfers]],"")</f>
        <v/>
      </c>
    </row>
    <row r="1860" spans="1:4" x14ac:dyDescent="0.45">
      <c r="A1860">
        <v>309</v>
      </c>
      <c r="B1860" s="3">
        <f t="shared" ca="1" si="29"/>
        <v>154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0" t="str">
        <f ca="1">IF(dict_zuord_Meth_Transfers[[#This Row],[kval_active]],dict_zuord_Meth_Transfers[[#This Row],[ID_Transfers]],"")</f>
        <v/>
      </c>
    </row>
    <row r="1861" spans="1:4" x14ac:dyDescent="0.45">
      <c r="A1861">
        <v>309</v>
      </c>
      <c r="B1861">
        <f t="shared" ca="1" si="29"/>
        <v>120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1" t="str">
        <f ca="1">IF(dict_zuord_Meth_Transfers[[#This Row],[kval_active]],dict_zuord_Meth_Transfers[[#This Row],[ID_Transfers]],"")</f>
        <v/>
      </c>
    </row>
    <row r="1862" spans="1:4" x14ac:dyDescent="0.45">
      <c r="A1862">
        <v>310</v>
      </c>
      <c r="B1862" s="3">
        <f t="shared" ca="1" si="29"/>
        <v>10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2" t="str">
        <f ca="1">IF(dict_zuord_Meth_Transfers[[#This Row],[kval_active]],dict_zuord_Meth_Transfers[[#This Row],[ID_Transfers]],"")</f>
        <v/>
      </c>
    </row>
    <row r="1863" spans="1:4" x14ac:dyDescent="0.45">
      <c r="A1863">
        <v>310</v>
      </c>
      <c r="B1863" s="3">
        <f t="shared" ca="1" si="29"/>
        <v>28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3" t="str">
        <f ca="1">IF(dict_zuord_Meth_Transfers[[#This Row],[kval_active]],dict_zuord_Meth_Transfers[[#This Row],[ID_Transfers]],"")</f>
        <v/>
      </c>
    </row>
    <row r="1864" spans="1:4" x14ac:dyDescent="0.45">
      <c r="A1864">
        <v>310</v>
      </c>
      <c r="B1864" s="3">
        <f t="shared" ca="1" si="29"/>
        <v>156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4" t="str">
        <f ca="1">IF(dict_zuord_Meth_Transfers[[#This Row],[kval_active]],dict_zuord_Meth_Transfers[[#This Row],[ID_Transfers]],"")</f>
        <v/>
      </c>
    </row>
    <row r="1865" spans="1:4" x14ac:dyDescent="0.45">
      <c r="A1865">
        <v>310</v>
      </c>
      <c r="B1865">
        <f t="shared" ca="1" si="29"/>
        <v>158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5" t="str">
        <f ca="1">IF(dict_zuord_Meth_Transfers[[#This Row],[kval_active]],dict_zuord_Meth_Transfers[[#This Row],[ID_Transfers]],"")</f>
        <v/>
      </c>
    </row>
    <row r="1866" spans="1:4" x14ac:dyDescent="0.45">
      <c r="A1866">
        <v>310</v>
      </c>
      <c r="B1866">
        <f t="shared" ca="1" si="29"/>
        <v>135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6" t="str">
        <f ca="1">IF(dict_zuord_Meth_Transfers[[#This Row],[kval_active]],dict_zuord_Meth_Transfers[[#This Row],[ID_Transfers]],"")</f>
        <v/>
      </c>
    </row>
    <row r="1867" spans="1:4" x14ac:dyDescent="0.45">
      <c r="A1867">
        <v>310</v>
      </c>
      <c r="B1867">
        <f t="shared" ca="1" si="29"/>
        <v>127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7" t="str">
        <f ca="1">IF(dict_zuord_Meth_Transfers[[#This Row],[kval_active]],dict_zuord_Meth_Transfers[[#This Row],[ID_Transfers]],"")</f>
        <v/>
      </c>
    </row>
    <row r="1868" spans="1:4" x14ac:dyDescent="0.45">
      <c r="A1868">
        <v>311</v>
      </c>
      <c r="B1868" s="3">
        <f t="shared" ca="1" si="29"/>
        <v>45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8" t="str">
        <f ca="1">IF(dict_zuord_Meth_Transfers[[#This Row],[kval_active]],dict_zuord_Meth_Transfers[[#This Row],[ID_Transfers]],"")</f>
        <v/>
      </c>
    </row>
    <row r="1869" spans="1:4" x14ac:dyDescent="0.45">
      <c r="A1869">
        <v>311</v>
      </c>
      <c r="B1869">
        <f t="shared" ca="1" si="29"/>
        <v>158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9" t="str">
        <f ca="1">IF(dict_zuord_Meth_Transfers[[#This Row],[kval_active]],dict_zuord_Meth_Transfers[[#This Row],[ID_Transfers]],"")</f>
        <v/>
      </c>
    </row>
    <row r="1870" spans="1:4" x14ac:dyDescent="0.45">
      <c r="A1870">
        <v>311</v>
      </c>
      <c r="B1870" s="3">
        <f t="shared" ca="1" si="29"/>
        <v>123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0" t="str">
        <f ca="1">IF(dict_zuord_Meth_Transfers[[#This Row],[kval_active]],dict_zuord_Meth_Transfers[[#This Row],[ID_Transfers]],"")</f>
        <v/>
      </c>
    </row>
    <row r="1871" spans="1:4" x14ac:dyDescent="0.45">
      <c r="A1871">
        <v>311</v>
      </c>
      <c r="B1871">
        <f t="shared" ca="1" si="29"/>
        <v>37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1" t="str">
        <f ca="1">IF(dict_zuord_Meth_Transfers[[#This Row],[kval_active]],dict_zuord_Meth_Transfers[[#This Row],[ID_Transfers]],"")</f>
        <v/>
      </c>
    </row>
    <row r="1872" spans="1:4" x14ac:dyDescent="0.45">
      <c r="A1872">
        <v>311</v>
      </c>
      <c r="B1872" s="3">
        <f t="shared" ca="1" si="29"/>
        <v>120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2" t="str">
        <f ca="1">IF(dict_zuord_Meth_Transfers[[#This Row],[kval_active]],dict_zuord_Meth_Transfers[[#This Row],[ID_Transfers]],"")</f>
        <v/>
      </c>
    </row>
    <row r="1873" spans="1:4" x14ac:dyDescent="0.45">
      <c r="A1873">
        <v>311</v>
      </c>
      <c r="B1873">
        <f t="shared" ca="1" si="29"/>
        <v>2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3" t="str">
        <f ca="1">IF(dict_zuord_Meth_Transfers[[#This Row],[kval_active]],dict_zuord_Meth_Transfers[[#This Row],[ID_Transfers]],"")</f>
        <v/>
      </c>
    </row>
    <row r="1874" spans="1:4" x14ac:dyDescent="0.45">
      <c r="A1874">
        <v>312</v>
      </c>
      <c r="B1874" s="3">
        <f t="shared" ca="1" si="29"/>
        <v>66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4" t="str">
        <f ca="1">IF(dict_zuord_Meth_Transfers[[#This Row],[kval_active]],dict_zuord_Meth_Transfers[[#This Row],[ID_Transfers]],"")</f>
        <v/>
      </c>
    </row>
    <row r="1875" spans="1:4" x14ac:dyDescent="0.45">
      <c r="A1875">
        <v>312</v>
      </c>
      <c r="B1875">
        <f t="shared" ca="1" si="29"/>
        <v>25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5" t="str">
        <f ca="1">IF(dict_zuord_Meth_Transfers[[#This Row],[kval_active]],dict_zuord_Meth_Transfers[[#This Row],[ID_Transfers]],"")</f>
        <v/>
      </c>
    </row>
    <row r="1876" spans="1:4" x14ac:dyDescent="0.45">
      <c r="A1876">
        <v>312</v>
      </c>
      <c r="B1876">
        <f t="shared" ca="1" si="29"/>
        <v>188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6" t="str">
        <f ca="1">IF(dict_zuord_Meth_Transfers[[#This Row],[kval_active]],dict_zuord_Meth_Transfers[[#This Row],[ID_Transfers]],"")</f>
        <v/>
      </c>
    </row>
    <row r="1877" spans="1:4" x14ac:dyDescent="0.45">
      <c r="A1877">
        <v>312</v>
      </c>
      <c r="B1877" s="3">
        <f t="shared" ca="1" si="29"/>
        <v>28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7" t="str">
        <f ca="1">IF(dict_zuord_Meth_Transfers[[#This Row],[kval_active]],dict_zuord_Meth_Transfers[[#This Row],[ID_Transfers]],"")</f>
        <v/>
      </c>
    </row>
    <row r="1878" spans="1:4" x14ac:dyDescent="0.45">
      <c r="A1878">
        <v>312</v>
      </c>
      <c r="B1878" s="3">
        <f t="shared" ca="1" si="29"/>
        <v>93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8" t="str">
        <f ca="1">IF(dict_zuord_Meth_Transfers[[#This Row],[kval_active]],dict_zuord_Meth_Transfers[[#This Row],[ID_Transfers]],"")</f>
        <v/>
      </c>
    </row>
    <row r="1879" spans="1:4" x14ac:dyDescent="0.45">
      <c r="A1879">
        <v>312</v>
      </c>
      <c r="B1879">
        <f t="shared" ca="1" si="29"/>
        <v>23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9" t="str">
        <f ca="1">IF(dict_zuord_Meth_Transfers[[#This Row],[kval_active]],dict_zuord_Meth_Transfers[[#This Row],[ID_Transfers]],"")</f>
        <v/>
      </c>
    </row>
    <row r="1880" spans="1:4" x14ac:dyDescent="0.45">
      <c r="A1880">
        <v>313</v>
      </c>
      <c r="B1880">
        <f t="shared" ca="1" si="29"/>
        <v>86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0" t="str">
        <f ca="1">IF(dict_zuord_Meth_Transfers[[#This Row],[kval_active]],dict_zuord_Meth_Transfers[[#This Row],[ID_Transfers]],"")</f>
        <v/>
      </c>
    </row>
    <row r="1881" spans="1:4" x14ac:dyDescent="0.45">
      <c r="A1881">
        <v>313</v>
      </c>
      <c r="B1881">
        <f t="shared" ca="1" si="29"/>
        <v>153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1" t="str">
        <f ca="1">IF(dict_zuord_Meth_Transfers[[#This Row],[kval_active]],dict_zuord_Meth_Transfers[[#This Row],[ID_Transfers]],"")</f>
        <v/>
      </c>
    </row>
    <row r="1882" spans="1:4" x14ac:dyDescent="0.45">
      <c r="A1882">
        <v>313</v>
      </c>
      <c r="B1882" s="3">
        <f t="shared" ca="1" si="29"/>
        <v>29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2" t="str">
        <f ca="1">IF(dict_zuord_Meth_Transfers[[#This Row],[kval_active]],dict_zuord_Meth_Transfers[[#This Row],[ID_Transfers]],"")</f>
        <v/>
      </c>
    </row>
    <row r="1883" spans="1:4" x14ac:dyDescent="0.45">
      <c r="A1883">
        <v>313</v>
      </c>
      <c r="B1883">
        <f t="shared" ca="1" si="29"/>
        <v>88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3" t="str">
        <f ca="1">IF(dict_zuord_Meth_Transfers[[#This Row],[kval_active]],dict_zuord_Meth_Transfers[[#This Row],[ID_Transfers]],"")</f>
        <v/>
      </c>
    </row>
    <row r="1884" spans="1:4" x14ac:dyDescent="0.45">
      <c r="A1884">
        <v>313</v>
      </c>
      <c r="B1884" s="3">
        <f t="shared" ca="1" si="29"/>
        <v>174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4" t="str">
        <f ca="1">IF(dict_zuord_Meth_Transfers[[#This Row],[kval_active]],dict_zuord_Meth_Transfers[[#This Row],[ID_Transfers]],"")</f>
        <v/>
      </c>
    </row>
    <row r="1885" spans="1:4" x14ac:dyDescent="0.45">
      <c r="A1885">
        <v>313</v>
      </c>
      <c r="B1885" s="3">
        <f t="shared" ca="1" si="29"/>
        <v>197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5" t="str">
        <f ca="1">IF(dict_zuord_Meth_Transfers[[#This Row],[kval_active]],dict_zuord_Meth_Transfers[[#This Row],[ID_Transfers]],"")</f>
        <v/>
      </c>
    </row>
    <row r="1886" spans="1:4" x14ac:dyDescent="0.45">
      <c r="A1886">
        <v>314</v>
      </c>
      <c r="B1886" s="3">
        <f t="shared" ca="1" si="29"/>
        <v>164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6" t="str">
        <f ca="1">IF(dict_zuord_Meth_Transfers[[#This Row],[kval_active]],dict_zuord_Meth_Transfers[[#This Row],[ID_Transfers]],"")</f>
        <v/>
      </c>
    </row>
    <row r="1887" spans="1:4" x14ac:dyDescent="0.45">
      <c r="A1887">
        <v>314</v>
      </c>
      <c r="B1887">
        <f t="shared" ca="1" si="29"/>
        <v>101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7" t="str">
        <f ca="1">IF(dict_zuord_Meth_Transfers[[#This Row],[kval_active]],dict_zuord_Meth_Transfers[[#This Row],[ID_Transfers]],"")</f>
        <v/>
      </c>
    </row>
    <row r="1888" spans="1:4" x14ac:dyDescent="0.45">
      <c r="A1888">
        <v>314</v>
      </c>
      <c r="B1888" s="3">
        <f t="shared" ca="1" si="29"/>
        <v>18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8" t="str">
        <f ca="1">IF(dict_zuord_Meth_Transfers[[#This Row],[kval_active]],dict_zuord_Meth_Transfers[[#This Row],[ID_Transfers]],"")</f>
        <v/>
      </c>
    </row>
    <row r="1889" spans="1:4" x14ac:dyDescent="0.45">
      <c r="A1889">
        <v>314</v>
      </c>
      <c r="B1889">
        <f t="shared" ca="1" si="29"/>
        <v>132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9" t="str">
        <f ca="1">IF(dict_zuord_Meth_Transfers[[#This Row],[kval_active]],dict_zuord_Meth_Transfers[[#This Row],[ID_Transfers]],"")</f>
        <v/>
      </c>
    </row>
    <row r="1890" spans="1:4" x14ac:dyDescent="0.45">
      <c r="A1890">
        <v>314</v>
      </c>
      <c r="B1890" s="3">
        <f t="shared" ca="1" si="29"/>
        <v>103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0" t="str">
        <f ca="1">IF(dict_zuord_Meth_Transfers[[#This Row],[kval_active]],dict_zuord_Meth_Transfers[[#This Row],[ID_Transfers]],"")</f>
        <v/>
      </c>
    </row>
    <row r="1891" spans="1:4" x14ac:dyDescent="0.45">
      <c r="A1891">
        <v>314</v>
      </c>
      <c r="B1891">
        <f t="shared" ca="1" si="29"/>
        <v>34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1" t="str">
        <f ca="1">IF(dict_zuord_Meth_Transfers[[#This Row],[kval_active]],dict_zuord_Meth_Transfers[[#This Row],[ID_Transfers]],"")</f>
        <v/>
      </c>
    </row>
    <row r="1892" spans="1:4" x14ac:dyDescent="0.45">
      <c r="A1892">
        <v>315</v>
      </c>
      <c r="B1892">
        <f t="shared" ca="1" si="29"/>
        <v>172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2" t="str">
        <f ca="1">IF(dict_zuord_Meth_Transfers[[#This Row],[kval_active]],dict_zuord_Meth_Transfers[[#This Row],[ID_Transfers]],"")</f>
        <v/>
      </c>
    </row>
    <row r="1893" spans="1:4" x14ac:dyDescent="0.45">
      <c r="A1893">
        <v>315</v>
      </c>
      <c r="B1893">
        <f t="shared" ca="1" si="29"/>
        <v>55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3" t="str">
        <f ca="1">IF(dict_zuord_Meth_Transfers[[#This Row],[kval_active]],dict_zuord_Meth_Transfers[[#This Row],[ID_Transfers]],"")</f>
        <v/>
      </c>
    </row>
    <row r="1894" spans="1:4" x14ac:dyDescent="0.45">
      <c r="A1894">
        <v>315</v>
      </c>
      <c r="B1894" s="3">
        <f t="shared" ca="1" si="29"/>
        <v>40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4" t="str">
        <f ca="1">IF(dict_zuord_Meth_Transfers[[#This Row],[kval_active]],dict_zuord_Meth_Transfers[[#This Row],[ID_Transfers]],"")</f>
        <v/>
      </c>
    </row>
    <row r="1895" spans="1:4" x14ac:dyDescent="0.45">
      <c r="A1895">
        <v>315</v>
      </c>
      <c r="B1895" s="3">
        <f t="shared" ca="1" si="29"/>
        <v>188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5" t="str">
        <f ca="1">IF(dict_zuord_Meth_Transfers[[#This Row],[kval_active]],dict_zuord_Meth_Transfers[[#This Row],[ID_Transfers]],"")</f>
        <v/>
      </c>
    </row>
    <row r="1896" spans="1:4" x14ac:dyDescent="0.45">
      <c r="A1896">
        <v>315</v>
      </c>
      <c r="B1896">
        <f t="shared" ca="1" si="29"/>
        <v>8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6" t="str">
        <f ca="1">IF(dict_zuord_Meth_Transfers[[#This Row],[kval_active]],dict_zuord_Meth_Transfers[[#This Row],[ID_Transfers]],"")</f>
        <v/>
      </c>
    </row>
    <row r="1897" spans="1:4" x14ac:dyDescent="0.45">
      <c r="A1897">
        <v>315</v>
      </c>
      <c r="B1897" s="3">
        <f t="shared" ca="1" si="29"/>
        <v>83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7" t="str">
        <f ca="1">IF(dict_zuord_Meth_Transfers[[#This Row],[kval_active]],dict_zuord_Meth_Transfers[[#This Row],[ID_Transfers]],"")</f>
        <v/>
      </c>
    </row>
    <row r="1898" spans="1:4" x14ac:dyDescent="0.45">
      <c r="A1898">
        <v>316</v>
      </c>
      <c r="B1898" s="3">
        <f t="shared" ca="1" si="29"/>
        <v>136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8" t="str">
        <f ca="1">IF(dict_zuord_Meth_Transfers[[#This Row],[kval_active]],dict_zuord_Meth_Transfers[[#This Row],[ID_Transfers]],"")</f>
        <v/>
      </c>
    </row>
    <row r="1899" spans="1:4" x14ac:dyDescent="0.45">
      <c r="A1899">
        <v>316</v>
      </c>
      <c r="B1899">
        <f t="shared" ca="1" si="29"/>
        <v>7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9" t="str">
        <f ca="1">IF(dict_zuord_Meth_Transfers[[#This Row],[kval_active]],dict_zuord_Meth_Transfers[[#This Row],[ID_Transfers]],"")</f>
        <v/>
      </c>
    </row>
    <row r="1900" spans="1:4" x14ac:dyDescent="0.45">
      <c r="A1900">
        <v>316</v>
      </c>
      <c r="B1900">
        <f t="shared" ca="1" si="29"/>
        <v>76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0" t="str">
        <f ca="1">IF(dict_zuord_Meth_Transfers[[#This Row],[kval_active]],dict_zuord_Meth_Transfers[[#This Row],[ID_Transfers]],"")</f>
        <v/>
      </c>
    </row>
    <row r="1901" spans="1:4" x14ac:dyDescent="0.45">
      <c r="A1901">
        <v>316</v>
      </c>
      <c r="B1901">
        <f t="shared" ca="1" si="29"/>
        <v>46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1" t="str">
        <f ca="1">IF(dict_zuord_Meth_Transfers[[#This Row],[kval_active]],dict_zuord_Meth_Transfers[[#This Row],[ID_Transfers]],"")</f>
        <v/>
      </c>
    </row>
    <row r="1902" spans="1:4" x14ac:dyDescent="0.45">
      <c r="A1902">
        <v>316</v>
      </c>
      <c r="B1902" s="3">
        <f t="shared" ca="1" si="29"/>
        <v>49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2" t="str">
        <f ca="1">IF(dict_zuord_Meth_Transfers[[#This Row],[kval_active]],dict_zuord_Meth_Transfers[[#This Row],[ID_Transfers]],"")</f>
        <v/>
      </c>
    </row>
    <row r="1903" spans="1:4" x14ac:dyDescent="0.45">
      <c r="A1903">
        <v>316</v>
      </c>
      <c r="B1903" s="3">
        <f t="shared" ca="1" si="29"/>
        <v>95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3" t="str">
        <f ca="1">IF(dict_zuord_Meth_Transfers[[#This Row],[kval_active]],dict_zuord_Meth_Transfers[[#This Row],[ID_Transfers]],"")</f>
        <v/>
      </c>
    </row>
    <row r="1904" spans="1:4" x14ac:dyDescent="0.45">
      <c r="A1904">
        <v>317</v>
      </c>
      <c r="B1904" s="3">
        <f t="shared" ca="1" si="29"/>
        <v>65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4" t="str">
        <f ca="1">IF(dict_zuord_Meth_Transfers[[#This Row],[kval_active]],dict_zuord_Meth_Transfers[[#This Row],[ID_Transfers]],"")</f>
        <v/>
      </c>
    </row>
    <row r="1905" spans="1:4" x14ac:dyDescent="0.45">
      <c r="A1905">
        <v>317</v>
      </c>
      <c r="B1905" s="3">
        <f t="shared" ca="1" si="29"/>
        <v>3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5" t="str">
        <f ca="1">IF(dict_zuord_Meth_Transfers[[#This Row],[kval_active]],dict_zuord_Meth_Transfers[[#This Row],[ID_Transfers]],"")</f>
        <v/>
      </c>
    </row>
    <row r="1906" spans="1:4" x14ac:dyDescent="0.45">
      <c r="A1906">
        <v>317</v>
      </c>
      <c r="B1906">
        <f t="shared" ca="1" si="29"/>
        <v>177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6" t="str">
        <f ca="1">IF(dict_zuord_Meth_Transfers[[#This Row],[kval_active]],dict_zuord_Meth_Transfers[[#This Row],[ID_Transfers]],"")</f>
        <v/>
      </c>
    </row>
    <row r="1907" spans="1:4" x14ac:dyDescent="0.45">
      <c r="A1907">
        <v>317</v>
      </c>
      <c r="B1907">
        <f t="shared" ca="1" si="29"/>
        <v>34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7" t="str">
        <f ca="1">IF(dict_zuord_Meth_Transfers[[#This Row],[kval_active]],dict_zuord_Meth_Transfers[[#This Row],[ID_Transfers]],"")</f>
        <v/>
      </c>
    </row>
    <row r="1908" spans="1:4" x14ac:dyDescent="0.45">
      <c r="A1908">
        <v>317</v>
      </c>
      <c r="B1908" s="3">
        <f t="shared" ca="1" si="29"/>
        <v>117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8" t="str">
        <f ca="1">IF(dict_zuord_Meth_Transfers[[#This Row],[kval_active]],dict_zuord_Meth_Transfers[[#This Row],[ID_Transfers]],"")</f>
        <v/>
      </c>
    </row>
    <row r="1909" spans="1:4" x14ac:dyDescent="0.45">
      <c r="A1909">
        <v>317</v>
      </c>
      <c r="B1909">
        <f t="shared" ca="1" si="29"/>
        <v>137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9" t="str">
        <f ca="1">IF(dict_zuord_Meth_Transfers[[#This Row],[kval_active]],dict_zuord_Meth_Transfers[[#This Row],[ID_Transfers]],"")</f>
        <v/>
      </c>
    </row>
    <row r="1910" spans="1:4" x14ac:dyDescent="0.45">
      <c r="A1910">
        <v>318</v>
      </c>
      <c r="B1910" s="3">
        <f t="shared" ca="1" si="29"/>
        <v>125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0" t="str">
        <f ca="1">IF(dict_zuord_Meth_Transfers[[#This Row],[kval_active]],dict_zuord_Meth_Transfers[[#This Row],[ID_Transfers]],"")</f>
        <v/>
      </c>
    </row>
    <row r="1911" spans="1:4" x14ac:dyDescent="0.45">
      <c r="A1911">
        <v>318</v>
      </c>
      <c r="B1911" s="3">
        <f t="shared" ca="1" si="29"/>
        <v>48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1" t="str">
        <f ca="1">IF(dict_zuord_Meth_Transfers[[#This Row],[kval_active]],dict_zuord_Meth_Transfers[[#This Row],[ID_Transfers]],"")</f>
        <v/>
      </c>
    </row>
    <row r="1912" spans="1:4" x14ac:dyDescent="0.45">
      <c r="A1912">
        <v>318</v>
      </c>
      <c r="B1912">
        <f t="shared" ca="1" si="29"/>
        <v>114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2" t="str">
        <f ca="1">IF(dict_zuord_Meth_Transfers[[#This Row],[kval_active]],dict_zuord_Meth_Transfers[[#This Row],[ID_Transfers]],"")</f>
        <v/>
      </c>
    </row>
    <row r="1913" spans="1:4" x14ac:dyDescent="0.45">
      <c r="A1913">
        <v>318</v>
      </c>
      <c r="B1913">
        <f t="shared" ca="1" si="29"/>
        <v>21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3" t="str">
        <f ca="1">IF(dict_zuord_Meth_Transfers[[#This Row],[kval_active]],dict_zuord_Meth_Transfers[[#This Row],[ID_Transfers]],"")</f>
        <v/>
      </c>
    </row>
    <row r="1914" spans="1:4" x14ac:dyDescent="0.45">
      <c r="A1914">
        <v>318</v>
      </c>
      <c r="B1914" s="3">
        <f t="shared" ca="1" si="29"/>
        <v>99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4" t="str">
        <f ca="1">IF(dict_zuord_Meth_Transfers[[#This Row],[kval_active]],dict_zuord_Meth_Transfers[[#This Row],[ID_Transfers]],"")</f>
        <v/>
      </c>
    </row>
    <row r="1915" spans="1:4" x14ac:dyDescent="0.45">
      <c r="A1915">
        <v>318</v>
      </c>
      <c r="B1915">
        <f t="shared" ca="1" si="29"/>
        <v>37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5" t="str">
        <f ca="1">IF(dict_zuord_Meth_Transfers[[#This Row],[kval_active]],dict_zuord_Meth_Transfers[[#This Row],[ID_Transfers]],"")</f>
        <v/>
      </c>
    </row>
    <row r="1916" spans="1:4" x14ac:dyDescent="0.45">
      <c r="A1916">
        <v>319</v>
      </c>
      <c r="B1916" s="3">
        <f t="shared" ca="1" si="29"/>
        <v>192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6" t="str">
        <f ca="1">IF(dict_zuord_Meth_Transfers[[#This Row],[kval_active]],dict_zuord_Meth_Transfers[[#This Row],[ID_Transfers]],"")</f>
        <v/>
      </c>
    </row>
    <row r="1917" spans="1:4" x14ac:dyDescent="0.45">
      <c r="A1917">
        <v>319</v>
      </c>
      <c r="B1917">
        <f t="shared" ca="1" si="29"/>
        <v>133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7" t="str">
        <f ca="1">IF(dict_zuord_Meth_Transfers[[#This Row],[kval_active]],dict_zuord_Meth_Transfers[[#This Row],[ID_Transfers]],"")</f>
        <v/>
      </c>
    </row>
    <row r="1918" spans="1:4" x14ac:dyDescent="0.45">
      <c r="A1918">
        <v>319</v>
      </c>
      <c r="B1918">
        <f t="shared" ca="1" si="29"/>
        <v>95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8" t="str">
        <f ca="1">IF(dict_zuord_Meth_Transfers[[#This Row],[kval_active]],dict_zuord_Meth_Transfers[[#This Row],[ID_Transfers]],"")</f>
        <v/>
      </c>
    </row>
    <row r="1919" spans="1:4" x14ac:dyDescent="0.45">
      <c r="A1919">
        <v>319</v>
      </c>
      <c r="B1919">
        <f t="shared" ca="1" si="29"/>
        <v>56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9" t="str">
        <f ca="1">IF(dict_zuord_Meth_Transfers[[#This Row],[kval_active]],dict_zuord_Meth_Transfers[[#This Row],[ID_Transfers]],"")</f>
        <v/>
      </c>
    </row>
    <row r="1920" spans="1:4" x14ac:dyDescent="0.45">
      <c r="A1920">
        <v>319</v>
      </c>
      <c r="B1920" s="3">
        <f t="shared" ca="1" si="29"/>
        <v>177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0" t="str">
        <f ca="1">IF(dict_zuord_Meth_Transfers[[#This Row],[kval_active]],dict_zuord_Meth_Transfers[[#This Row],[ID_Transfers]],"")</f>
        <v/>
      </c>
    </row>
    <row r="1921" spans="1:4" x14ac:dyDescent="0.45">
      <c r="A1921">
        <v>319</v>
      </c>
      <c r="B1921" s="3">
        <f t="shared" ca="1" si="29"/>
        <v>20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1" t="str">
        <f ca="1">IF(dict_zuord_Meth_Transfers[[#This Row],[kval_active]],dict_zuord_Meth_Transfers[[#This Row],[ID_Transfers]],"")</f>
        <v/>
      </c>
    </row>
    <row r="1922" spans="1:4" x14ac:dyDescent="0.45">
      <c r="A1922">
        <v>320</v>
      </c>
      <c r="B1922">
        <f t="shared" ref="B1922:B1985" ca="1" si="30">RANDBETWEEN(0,200)</f>
        <v>153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2" t="str">
        <f ca="1">IF(dict_zuord_Meth_Transfers[[#This Row],[kval_active]],dict_zuord_Meth_Transfers[[#This Row],[ID_Transfers]],"")</f>
        <v/>
      </c>
    </row>
    <row r="1923" spans="1:4" x14ac:dyDescent="0.45">
      <c r="A1923">
        <v>320</v>
      </c>
      <c r="B1923" s="3">
        <f t="shared" ca="1" si="30"/>
        <v>139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3" t="str">
        <f ca="1">IF(dict_zuord_Meth_Transfers[[#This Row],[kval_active]],dict_zuord_Meth_Transfers[[#This Row],[ID_Transfers]],"")</f>
        <v/>
      </c>
    </row>
    <row r="1924" spans="1:4" x14ac:dyDescent="0.45">
      <c r="A1924">
        <v>320</v>
      </c>
      <c r="B1924">
        <f t="shared" ca="1" si="30"/>
        <v>28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4" t="str">
        <f ca="1">IF(dict_zuord_Meth_Transfers[[#This Row],[kval_active]],dict_zuord_Meth_Transfers[[#This Row],[ID_Transfers]],"")</f>
        <v/>
      </c>
    </row>
    <row r="1925" spans="1:4" x14ac:dyDescent="0.45">
      <c r="A1925">
        <v>320</v>
      </c>
      <c r="B1925">
        <f t="shared" ca="1" si="30"/>
        <v>122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5" t="str">
        <f ca="1">IF(dict_zuord_Meth_Transfers[[#This Row],[kval_active]],dict_zuord_Meth_Transfers[[#This Row],[ID_Transfers]],"")</f>
        <v/>
      </c>
    </row>
    <row r="1926" spans="1:4" x14ac:dyDescent="0.45">
      <c r="A1926">
        <v>320</v>
      </c>
      <c r="B1926" s="3">
        <f t="shared" ca="1" si="30"/>
        <v>28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6" t="str">
        <f ca="1">IF(dict_zuord_Meth_Transfers[[#This Row],[kval_active]],dict_zuord_Meth_Transfers[[#This Row],[ID_Transfers]],"")</f>
        <v/>
      </c>
    </row>
    <row r="1927" spans="1:4" x14ac:dyDescent="0.45">
      <c r="A1927">
        <v>320</v>
      </c>
      <c r="B1927" s="3">
        <f t="shared" ca="1" si="30"/>
        <v>160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7" t="str">
        <f ca="1">IF(dict_zuord_Meth_Transfers[[#This Row],[kval_active]],dict_zuord_Meth_Transfers[[#This Row],[ID_Transfers]],"")</f>
        <v/>
      </c>
    </row>
    <row r="1928" spans="1:4" x14ac:dyDescent="0.45">
      <c r="A1928">
        <v>321</v>
      </c>
      <c r="B1928" s="3">
        <f t="shared" ca="1" si="30"/>
        <v>25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8" t="str">
        <f ca="1">IF(dict_zuord_Meth_Transfers[[#This Row],[kval_active]],dict_zuord_Meth_Transfers[[#This Row],[ID_Transfers]],"")</f>
        <v/>
      </c>
    </row>
    <row r="1929" spans="1:4" x14ac:dyDescent="0.45">
      <c r="A1929">
        <v>321</v>
      </c>
      <c r="B1929" s="3">
        <f t="shared" ca="1" si="30"/>
        <v>132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9" t="str">
        <f ca="1">IF(dict_zuord_Meth_Transfers[[#This Row],[kval_active]],dict_zuord_Meth_Transfers[[#This Row],[ID_Transfers]],"")</f>
        <v/>
      </c>
    </row>
    <row r="1930" spans="1:4" x14ac:dyDescent="0.45">
      <c r="A1930">
        <v>321</v>
      </c>
      <c r="B1930">
        <f t="shared" ca="1" si="30"/>
        <v>173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0" t="str">
        <f ca="1">IF(dict_zuord_Meth_Transfers[[#This Row],[kval_active]],dict_zuord_Meth_Transfers[[#This Row],[ID_Transfers]],"")</f>
        <v/>
      </c>
    </row>
    <row r="1931" spans="1:4" x14ac:dyDescent="0.45">
      <c r="A1931">
        <v>321</v>
      </c>
      <c r="B1931">
        <f t="shared" ca="1" si="30"/>
        <v>184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1" t="str">
        <f ca="1">IF(dict_zuord_Meth_Transfers[[#This Row],[kval_active]],dict_zuord_Meth_Transfers[[#This Row],[ID_Transfers]],"")</f>
        <v/>
      </c>
    </row>
    <row r="1932" spans="1:4" x14ac:dyDescent="0.45">
      <c r="A1932">
        <v>321</v>
      </c>
      <c r="B1932">
        <f t="shared" ca="1" si="30"/>
        <v>156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2" t="str">
        <f ca="1">IF(dict_zuord_Meth_Transfers[[#This Row],[kval_active]],dict_zuord_Meth_Transfers[[#This Row],[ID_Transfers]],"")</f>
        <v/>
      </c>
    </row>
    <row r="1933" spans="1:4" x14ac:dyDescent="0.45">
      <c r="A1933">
        <v>321</v>
      </c>
      <c r="B1933" s="3">
        <f t="shared" ca="1" si="30"/>
        <v>115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3" t="str">
        <f ca="1">IF(dict_zuord_Meth_Transfers[[#This Row],[kval_active]],dict_zuord_Meth_Transfers[[#This Row],[ID_Transfers]],"")</f>
        <v/>
      </c>
    </row>
    <row r="1934" spans="1:4" x14ac:dyDescent="0.45">
      <c r="A1934">
        <v>322</v>
      </c>
      <c r="B1934" s="3">
        <f t="shared" ca="1" si="30"/>
        <v>0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4" t="str">
        <f ca="1">IF(dict_zuord_Meth_Transfers[[#This Row],[kval_active]],dict_zuord_Meth_Transfers[[#This Row],[ID_Transfers]],"")</f>
        <v/>
      </c>
    </row>
    <row r="1935" spans="1:4" x14ac:dyDescent="0.45">
      <c r="A1935">
        <v>322</v>
      </c>
      <c r="B1935" s="3">
        <f t="shared" ca="1" si="30"/>
        <v>93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5" t="str">
        <f ca="1">IF(dict_zuord_Meth_Transfers[[#This Row],[kval_active]],dict_zuord_Meth_Transfers[[#This Row],[ID_Transfers]],"")</f>
        <v/>
      </c>
    </row>
    <row r="1936" spans="1:4" x14ac:dyDescent="0.45">
      <c r="A1936">
        <v>322</v>
      </c>
      <c r="B1936" s="3">
        <f t="shared" ca="1" si="30"/>
        <v>0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6" t="str">
        <f ca="1">IF(dict_zuord_Meth_Transfers[[#This Row],[kval_active]],dict_zuord_Meth_Transfers[[#This Row],[ID_Transfers]],"")</f>
        <v/>
      </c>
    </row>
    <row r="1937" spans="1:4" x14ac:dyDescent="0.45">
      <c r="A1937">
        <v>322</v>
      </c>
      <c r="B1937">
        <f t="shared" ca="1" si="30"/>
        <v>198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7" t="str">
        <f ca="1">IF(dict_zuord_Meth_Transfers[[#This Row],[kval_active]],dict_zuord_Meth_Transfers[[#This Row],[ID_Transfers]],"")</f>
        <v/>
      </c>
    </row>
    <row r="1938" spans="1:4" x14ac:dyDescent="0.45">
      <c r="A1938">
        <v>322</v>
      </c>
      <c r="B1938">
        <f t="shared" ca="1" si="30"/>
        <v>200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8" t="str">
        <f ca="1">IF(dict_zuord_Meth_Transfers[[#This Row],[kval_active]],dict_zuord_Meth_Transfers[[#This Row],[ID_Transfers]],"")</f>
        <v/>
      </c>
    </row>
    <row r="1939" spans="1:4" x14ac:dyDescent="0.45">
      <c r="A1939">
        <v>322</v>
      </c>
      <c r="B1939">
        <f t="shared" ca="1" si="30"/>
        <v>128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9" t="str">
        <f ca="1">IF(dict_zuord_Meth_Transfers[[#This Row],[kval_active]],dict_zuord_Meth_Transfers[[#This Row],[ID_Transfers]],"")</f>
        <v/>
      </c>
    </row>
    <row r="1940" spans="1:4" x14ac:dyDescent="0.45">
      <c r="A1940">
        <v>323</v>
      </c>
      <c r="B1940" s="3">
        <f t="shared" ca="1" si="30"/>
        <v>156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0" t="str">
        <f ca="1">IF(dict_zuord_Meth_Transfers[[#This Row],[kval_active]],dict_zuord_Meth_Transfers[[#This Row],[ID_Transfers]],"")</f>
        <v/>
      </c>
    </row>
    <row r="1941" spans="1:4" x14ac:dyDescent="0.45">
      <c r="A1941">
        <v>323</v>
      </c>
      <c r="B1941">
        <f t="shared" ca="1" si="30"/>
        <v>57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1" t="str">
        <f ca="1">IF(dict_zuord_Meth_Transfers[[#This Row],[kval_active]],dict_zuord_Meth_Transfers[[#This Row],[ID_Transfers]],"")</f>
        <v/>
      </c>
    </row>
    <row r="1942" spans="1:4" x14ac:dyDescent="0.45">
      <c r="A1942">
        <v>323</v>
      </c>
      <c r="B1942" s="3">
        <f t="shared" ca="1" si="30"/>
        <v>101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2" t="str">
        <f ca="1">IF(dict_zuord_Meth_Transfers[[#This Row],[kval_active]],dict_zuord_Meth_Transfers[[#This Row],[ID_Transfers]],"")</f>
        <v/>
      </c>
    </row>
    <row r="1943" spans="1:4" x14ac:dyDescent="0.45">
      <c r="A1943">
        <v>323</v>
      </c>
      <c r="B1943">
        <f t="shared" ca="1" si="30"/>
        <v>132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3" t="str">
        <f ca="1">IF(dict_zuord_Meth_Transfers[[#This Row],[kval_active]],dict_zuord_Meth_Transfers[[#This Row],[ID_Transfers]],"")</f>
        <v/>
      </c>
    </row>
    <row r="1944" spans="1:4" x14ac:dyDescent="0.45">
      <c r="A1944">
        <v>323</v>
      </c>
      <c r="B1944" s="3">
        <f t="shared" ca="1" si="30"/>
        <v>157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4" t="str">
        <f ca="1">IF(dict_zuord_Meth_Transfers[[#This Row],[kval_active]],dict_zuord_Meth_Transfers[[#This Row],[ID_Transfers]],"")</f>
        <v/>
      </c>
    </row>
    <row r="1945" spans="1:4" x14ac:dyDescent="0.45">
      <c r="A1945">
        <v>323</v>
      </c>
      <c r="B1945">
        <f t="shared" ca="1" si="30"/>
        <v>138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5" t="str">
        <f ca="1">IF(dict_zuord_Meth_Transfers[[#This Row],[kval_active]],dict_zuord_Meth_Transfers[[#This Row],[ID_Transfers]],"")</f>
        <v/>
      </c>
    </row>
    <row r="1946" spans="1:4" x14ac:dyDescent="0.45">
      <c r="A1946">
        <v>324</v>
      </c>
      <c r="B1946" s="3">
        <f t="shared" ca="1" si="30"/>
        <v>132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6" t="str">
        <f ca="1">IF(dict_zuord_Meth_Transfers[[#This Row],[kval_active]],dict_zuord_Meth_Transfers[[#This Row],[ID_Transfers]],"")</f>
        <v/>
      </c>
    </row>
    <row r="1947" spans="1:4" x14ac:dyDescent="0.45">
      <c r="A1947">
        <v>324</v>
      </c>
      <c r="B1947">
        <f t="shared" ca="1" si="30"/>
        <v>44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7" t="str">
        <f ca="1">IF(dict_zuord_Meth_Transfers[[#This Row],[kval_active]],dict_zuord_Meth_Transfers[[#This Row],[ID_Transfers]],"")</f>
        <v/>
      </c>
    </row>
    <row r="1948" spans="1:4" x14ac:dyDescent="0.45">
      <c r="A1948">
        <v>324</v>
      </c>
      <c r="B1948" s="3">
        <f t="shared" ca="1" si="30"/>
        <v>163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8" t="str">
        <f ca="1">IF(dict_zuord_Meth_Transfers[[#This Row],[kval_active]],dict_zuord_Meth_Transfers[[#This Row],[ID_Transfers]],"")</f>
        <v/>
      </c>
    </row>
    <row r="1949" spans="1:4" x14ac:dyDescent="0.45">
      <c r="A1949">
        <v>324</v>
      </c>
      <c r="B1949" s="3">
        <f t="shared" ca="1" si="30"/>
        <v>61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9" t="str">
        <f ca="1">IF(dict_zuord_Meth_Transfers[[#This Row],[kval_active]],dict_zuord_Meth_Transfers[[#This Row],[ID_Transfers]],"")</f>
        <v/>
      </c>
    </row>
    <row r="1950" spans="1:4" x14ac:dyDescent="0.45">
      <c r="A1950">
        <v>324</v>
      </c>
      <c r="B1950">
        <f t="shared" ca="1" si="30"/>
        <v>100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0" t="str">
        <f ca="1">IF(dict_zuord_Meth_Transfers[[#This Row],[kval_active]],dict_zuord_Meth_Transfers[[#This Row],[ID_Transfers]],"")</f>
        <v/>
      </c>
    </row>
    <row r="1951" spans="1:4" x14ac:dyDescent="0.45">
      <c r="A1951">
        <v>324</v>
      </c>
      <c r="B1951">
        <f t="shared" ca="1" si="30"/>
        <v>194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1" t="str">
        <f ca="1">IF(dict_zuord_Meth_Transfers[[#This Row],[kval_active]],dict_zuord_Meth_Transfers[[#This Row],[ID_Transfers]],"")</f>
        <v/>
      </c>
    </row>
    <row r="1952" spans="1:4" x14ac:dyDescent="0.45">
      <c r="A1952">
        <v>325</v>
      </c>
      <c r="B1952" s="3">
        <f t="shared" ca="1" si="30"/>
        <v>152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2" t="str">
        <f ca="1">IF(dict_zuord_Meth_Transfers[[#This Row],[kval_active]],dict_zuord_Meth_Transfers[[#This Row],[ID_Transfers]],"")</f>
        <v/>
      </c>
    </row>
    <row r="1953" spans="1:4" x14ac:dyDescent="0.45">
      <c r="A1953">
        <v>325</v>
      </c>
      <c r="B1953" s="3">
        <f t="shared" ca="1" si="30"/>
        <v>73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3" t="str">
        <f ca="1">IF(dict_zuord_Meth_Transfers[[#This Row],[kval_active]],dict_zuord_Meth_Transfers[[#This Row],[ID_Transfers]],"")</f>
        <v/>
      </c>
    </row>
    <row r="1954" spans="1:4" x14ac:dyDescent="0.45">
      <c r="A1954">
        <v>325</v>
      </c>
      <c r="B1954">
        <f t="shared" ca="1" si="30"/>
        <v>194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4" t="str">
        <f ca="1">IF(dict_zuord_Meth_Transfers[[#This Row],[kval_active]],dict_zuord_Meth_Transfers[[#This Row],[ID_Transfers]],"")</f>
        <v/>
      </c>
    </row>
    <row r="1955" spans="1:4" x14ac:dyDescent="0.45">
      <c r="A1955">
        <v>325</v>
      </c>
      <c r="B1955" s="3">
        <f t="shared" ca="1" si="30"/>
        <v>154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5" t="str">
        <f ca="1">IF(dict_zuord_Meth_Transfers[[#This Row],[kval_active]],dict_zuord_Meth_Transfers[[#This Row],[ID_Transfers]],"")</f>
        <v/>
      </c>
    </row>
    <row r="1956" spans="1:4" x14ac:dyDescent="0.45">
      <c r="A1956">
        <v>325</v>
      </c>
      <c r="B1956">
        <f t="shared" ca="1" si="30"/>
        <v>102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6" t="str">
        <f ca="1">IF(dict_zuord_Meth_Transfers[[#This Row],[kval_active]],dict_zuord_Meth_Transfers[[#This Row],[ID_Transfers]],"")</f>
        <v/>
      </c>
    </row>
    <row r="1957" spans="1:4" x14ac:dyDescent="0.45">
      <c r="A1957">
        <v>325</v>
      </c>
      <c r="B1957">
        <f t="shared" ca="1" si="30"/>
        <v>59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7" t="str">
        <f ca="1">IF(dict_zuord_Meth_Transfers[[#This Row],[kval_active]],dict_zuord_Meth_Transfers[[#This Row],[ID_Transfers]],"")</f>
        <v/>
      </c>
    </row>
    <row r="1958" spans="1:4" x14ac:dyDescent="0.45">
      <c r="A1958">
        <v>326</v>
      </c>
      <c r="B1958" s="3">
        <f t="shared" ca="1" si="30"/>
        <v>81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8" t="str">
        <f ca="1">IF(dict_zuord_Meth_Transfers[[#This Row],[kval_active]],dict_zuord_Meth_Transfers[[#This Row],[ID_Transfers]],"")</f>
        <v/>
      </c>
    </row>
    <row r="1959" spans="1:4" x14ac:dyDescent="0.45">
      <c r="A1959">
        <v>326</v>
      </c>
      <c r="B1959" s="3">
        <f t="shared" ca="1" si="30"/>
        <v>180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9" t="str">
        <f ca="1">IF(dict_zuord_Meth_Transfers[[#This Row],[kval_active]],dict_zuord_Meth_Transfers[[#This Row],[ID_Transfers]],"")</f>
        <v/>
      </c>
    </row>
    <row r="1960" spans="1:4" x14ac:dyDescent="0.45">
      <c r="A1960">
        <v>326</v>
      </c>
      <c r="B1960">
        <f t="shared" ca="1" si="30"/>
        <v>122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0" t="str">
        <f ca="1">IF(dict_zuord_Meth_Transfers[[#This Row],[kval_active]],dict_zuord_Meth_Transfers[[#This Row],[ID_Transfers]],"")</f>
        <v/>
      </c>
    </row>
    <row r="1961" spans="1:4" x14ac:dyDescent="0.45">
      <c r="A1961">
        <v>326</v>
      </c>
      <c r="B1961" s="3">
        <f t="shared" ca="1" si="30"/>
        <v>41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1" t="str">
        <f ca="1">IF(dict_zuord_Meth_Transfers[[#This Row],[kval_active]],dict_zuord_Meth_Transfers[[#This Row],[ID_Transfers]],"")</f>
        <v/>
      </c>
    </row>
    <row r="1962" spans="1:4" x14ac:dyDescent="0.45">
      <c r="A1962">
        <v>326</v>
      </c>
      <c r="B1962">
        <f t="shared" ca="1" si="30"/>
        <v>197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2" t="str">
        <f ca="1">IF(dict_zuord_Meth_Transfers[[#This Row],[kval_active]],dict_zuord_Meth_Transfers[[#This Row],[ID_Transfers]],"")</f>
        <v/>
      </c>
    </row>
    <row r="1963" spans="1:4" x14ac:dyDescent="0.45">
      <c r="A1963">
        <v>326</v>
      </c>
      <c r="B1963">
        <f t="shared" ca="1" si="30"/>
        <v>36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3" t="str">
        <f ca="1">IF(dict_zuord_Meth_Transfers[[#This Row],[kval_active]],dict_zuord_Meth_Transfers[[#This Row],[ID_Transfers]],"")</f>
        <v/>
      </c>
    </row>
    <row r="1964" spans="1:4" x14ac:dyDescent="0.45">
      <c r="A1964">
        <v>327</v>
      </c>
      <c r="B1964" s="3">
        <f t="shared" ca="1" si="30"/>
        <v>86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4" t="str">
        <f ca="1">IF(dict_zuord_Meth_Transfers[[#This Row],[kval_active]],dict_zuord_Meth_Transfers[[#This Row],[ID_Transfers]],"")</f>
        <v/>
      </c>
    </row>
    <row r="1965" spans="1:4" x14ac:dyDescent="0.45">
      <c r="A1965">
        <v>327</v>
      </c>
      <c r="B1965">
        <f t="shared" ca="1" si="30"/>
        <v>45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5" t="str">
        <f ca="1">IF(dict_zuord_Meth_Transfers[[#This Row],[kval_active]],dict_zuord_Meth_Transfers[[#This Row],[ID_Transfers]],"")</f>
        <v/>
      </c>
    </row>
    <row r="1966" spans="1:4" x14ac:dyDescent="0.45">
      <c r="A1966">
        <v>327</v>
      </c>
      <c r="B1966">
        <f t="shared" ca="1" si="30"/>
        <v>127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6" t="str">
        <f ca="1">IF(dict_zuord_Meth_Transfers[[#This Row],[kval_active]],dict_zuord_Meth_Transfers[[#This Row],[ID_Transfers]],"")</f>
        <v/>
      </c>
    </row>
    <row r="1967" spans="1:4" x14ac:dyDescent="0.45">
      <c r="A1967">
        <v>327</v>
      </c>
      <c r="B1967" s="3">
        <f t="shared" ca="1" si="30"/>
        <v>63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7" t="str">
        <f ca="1">IF(dict_zuord_Meth_Transfers[[#This Row],[kval_active]],dict_zuord_Meth_Transfers[[#This Row],[ID_Transfers]],"")</f>
        <v/>
      </c>
    </row>
    <row r="1968" spans="1:4" x14ac:dyDescent="0.45">
      <c r="A1968">
        <v>327</v>
      </c>
      <c r="B1968">
        <f t="shared" ca="1" si="30"/>
        <v>57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8" t="str">
        <f ca="1">IF(dict_zuord_Meth_Transfers[[#This Row],[kval_active]],dict_zuord_Meth_Transfers[[#This Row],[ID_Transfers]],"")</f>
        <v/>
      </c>
    </row>
    <row r="1969" spans="1:4" x14ac:dyDescent="0.45">
      <c r="A1969">
        <v>327</v>
      </c>
      <c r="B1969" s="3">
        <f t="shared" ca="1" si="30"/>
        <v>33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9" t="str">
        <f ca="1">IF(dict_zuord_Meth_Transfers[[#This Row],[kval_active]],dict_zuord_Meth_Transfers[[#This Row],[ID_Transfers]],"")</f>
        <v/>
      </c>
    </row>
    <row r="1970" spans="1:4" x14ac:dyDescent="0.45">
      <c r="A1970">
        <v>328</v>
      </c>
      <c r="B1970">
        <f t="shared" ca="1" si="30"/>
        <v>183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0" t="str">
        <f ca="1">IF(dict_zuord_Meth_Transfers[[#This Row],[kval_active]],dict_zuord_Meth_Transfers[[#This Row],[ID_Transfers]],"")</f>
        <v/>
      </c>
    </row>
    <row r="1971" spans="1:4" x14ac:dyDescent="0.45">
      <c r="A1971">
        <v>328</v>
      </c>
      <c r="B1971">
        <f t="shared" ca="1" si="30"/>
        <v>155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1" t="str">
        <f ca="1">IF(dict_zuord_Meth_Transfers[[#This Row],[kval_active]],dict_zuord_Meth_Transfers[[#This Row],[ID_Transfers]],"")</f>
        <v/>
      </c>
    </row>
    <row r="1972" spans="1:4" x14ac:dyDescent="0.45">
      <c r="A1972">
        <v>328</v>
      </c>
      <c r="B1972">
        <f t="shared" ca="1" si="30"/>
        <v>71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2" t="str">
        <f ca="1">IF(dict_zuord_Meth_Transfers[[#This Row],[kval_active]],dict_zuord_Meth_Transfers[[#This Row],[ID_Transfers]],"")</f>
        <v/>
      </c>
    </row>
    <row r="1973" spans="1:4" x14ac:dyDescent="0.45">
      <c r="A1973">
        <v>328</v>
      </c>
      <c r="B1973" s="3">
        <f t="shared" ca="1" si="30"/>
        <v>66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3" t="str">
        <f ca="1">IF(dict_zuord_Meth_Transfers[[#This Row],[kval_active]],dict_zuord_Meth_Transfers[[#This Row],[ID_Transfers]],"")</f>
        <v/>
      </c>
    </row>
    <row r="1974" spans="1:4" x14ac:dyDescent="0.45">
      <c r="A1974">
        <v>328</v>
      </c>
      <c r="B1974" s="3">
        <f t="shared" ca="1" si="30"/>
        <v>65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4" t="str">
        <f ca="1">IF(dict_zuord_Meth_Transfers[[#This Row],[kval_active]],dict_zuord_Meth_Transfers[[#This Row],[ID_Transfers]],"")</f>
        <v/>
      </c>
    </row>
    <row r="1975" spans="1:4" x14ac:dyDescent="0.45">
      <c r="A1975">
        <v>328</v>
      </c>
      <c r="B1975" s="3">
        <f t="shared" ca="1" si="30"/>
        <v>178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5" t="str">
        <f ca="1">IF(dict_zuord_Meth_Transfers[[#This Row],[kval_active]],dict_zuord_Meth_Transfers[[#This Row],[ID_Transfers]],"")</f>
        <v/>
      </c>
    </row>
    <row r="1976" spans="1:4" x14ac:dyDescent="0.45">
      <c r="A1976">
        <v>329</v>
      </c>
      <c r="B1976" s="3">
        <f t="shared" ca="1" si="30"/>
        <v>102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6" t="str">
        <f ca="1">IF(dict_zuord_Meth_Transfers[[#This Row],[kval_active]],dict_zuord_Meth_Transfers[[#This Row],[ID_Transfers]],"")</f>
        <v/>
      </c>
    </row>
    <row r="1977" spans="1:4" x14ac:dyDescent="0.45">
      <c r="A1977">
        <v>329</v>
      </c>
      <c r="B1977">
        <f t="shared" ca="1" si="30"/>
        <v>162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7" t="str">
        <f ca="1">IF(dict_zuord_Meth_Transfers[[#This Row],[kval_active]],dict_zuord_Meth_Transfers[[#This Row],[ID_Transfers]],"")</f>
        <v/>
      </c>
    </row>
    <row r="1978" spans="1:4" x14ac:dyDescent="0.45">
      <c r="A1978">
        <v>329</v>
      </c>
      <c r="B1978">
        <f t="shared" ca="1" si="30"/>
        <v>128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8" t="str">
        <f ca="1">IF(dict_zuord_Meth_Transfers[[#This Row],[kval_active]],dict_zuord_Meth_Transfers[[#This Row],[ID_Transfers]],"")</f>
        <v/>
      </c>
    </row>
    <row r="1979" spans="1:4" x14ac:dyDescent="0.45">
      <c r="A1979">
        <v>329</v>
      </c>
      <c r="B1979" s="3">
        <f t="shared" ca="1" si="30"/>
        <v>157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9" t="str">
        <f ca="1">IF(dict_zuord_Meth_Transfers[[#This Row],[kval_active]],dict_zuord_Meth_Transfers[[#This Row],[ID_Transfers]],"")</f>
        <v/>
      </c>
    </row>
    <row r="1980" spans="1:4" x14ac:dyDescent="0.45">
      <c r="A1980">
        <v>329</v>
      </c>
      <c r="B1980">
        <f t="shared" ca="1" si="30"/>
        <v>128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0" t="str">
        <f ca="1">IF(dict_zuord_Meth_Transfers[[#This Row],[kval_active]],dict_zuord_Meth_Transfers[[#This Row],[ID_Transfers]],"")</f>
        <v/>
      </c>
    </row>
    <row r="1981" spans="1:4" x14ac:dyDescent="0.45">
      <c r="A1981">
        <v>329</v>
      </c>
      <c r="B1981" s="3">
        <f t="shared" ca="1" si="30"/>
        <v>3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1" t="str">
        <f ca="1">IF(dict_zuord_Meth_Transfers[[#This Row],[kval_active]],dict_zuord_Meth_Transfers[[#This Row],[ID_Transfers]],"")</f>
        <v/>
      </c>
    </row>
    <row r="1982" spans="1:4" x14ac:dyDescent="0.45">
      <c r="A1982">
        <v>330</v>
      </c>
      <c r="B1982" s="3">
        <f t="shared" ca="1" si="30"/>
        <v>0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2" t="str">
        <f ca="1">IF(dict_zuord_Meth_Transfers[[#This Row],[kval_active]],dict_zuord_Meth_Transfers[[#This Row],[ID_Transfers]],"")</f>
        <v/>
      </c>
    </row>
    <row r="1983" spans="1:4" x14ac:dyDescent="0.45">
      <c r="A1983">
        <v>330</v>
      </c>
      <c r="B1983">
        <f t="shared" ca="1" si="30"/>
        <v>53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3" t="str">
        <f ca="1">IF(dict_zuord_Meth_Transfers[[#This Row],[kval_active]],dict_zuord_Meth_Transfers[[#This Row],[ID_Transfers]],"")</f>
        <v/>
      </c>
    </row>
    <row r="1984" spans="1:4" x14ac:dyDescent="0.45">
      <c r="A1984">
        <v>330</v>
      </c>
      <c r="B1984">
        <f t="shared" ca="1" si="30"/>
        <v>21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4" t="str">
        <f ca="1">IF(dict_zuord_Meth_Transfers[[#This Row],[kval_active]],dict_zuord_Meth_Transfers[[#This Row],[ID_Transfers]],"")</f>
        <v/>
      </c>
    </row>
    <row r="1985" spans="1:4" x14ac:dyDescent="0.45">
      <c r="A1985">
        <v>330</v>
      </c>
      <c r="B1985" s="3">
        <f t="shared" ca="1" si="30"/>
        <v>114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5" t="str">
        <f ca="1">IF(dict_zuord_Meth_Transfers[[#This Row],[kval_active]],dict_zuord_Meth_Transfers[[#This Row],[ID_Transfers]],"")</f>
        <v/>
      </c>
    </row>
    <row r="1986" spans="1:4" x14ac:dyDescent="0.45">
      <c r="A1986">
        <v>330</v>
      </c>
      <c r="B1986">
        <f t="shared" ref="B1986:B2049" ca="1" si="31">RANDBETWEEN(0,200)</f>
        <v>18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6" t="str">
        <f ca="1">IF(dict_zuord_Meth_Transfers[[#This Row],[kval_active]],dict_zuord_Meth_Transfers[[#This Row],[ID_Transfers]],"")</f>
        <v/>
      </c>
    </row>
    <row r="1987" spans="1:4" x14ac:dyDescent="0.45">
      <c r="A1987">
        <v>330</v>
      </c>
      <c r="B1987" s="3">
        <f t="shared" ca="1" si="31"/>
        <v>0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7" t="str">
        <f ca="1">IF(dict_zuord_Meth_Transfers[[#This Row],[kval_active]],dict_zuord_Meth_Transfers[[#This Row],[ID_Transfers]],"")</f>
        <v/>
      </c>
    </row>
    <row r="1988" spans="1:4" x14ac:dyDescent="0.45">
      <c r="A1988">
        <v>331</v>
      </c>
      <c r="B1988">
        <f t="shared" ca="1" si="31"/>
        <v>39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8" t="str">
        <f ca="1">IF(dict_zuord_Meth_Transfers[[#This Row],[kval_active]],dict_zuord_Meth_Transfers[[#This Row],[ID_Transfers]],"")</f>
        <v/>
      </c>
    </row>
    <row r="1989" spans="1:4" x14ac:dyDescent="0.45">
      <c r="A1989">
        <v>331</v>
      </c>
      <c r="B1989" s="3">
        <f t="shared" ca="1" si="31"/>
        <v>30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9" t="str">
        <f ca="1">IF(dict_zuord_Meth_Transfers[[#This Row],[kval_active]],dict_zuord_Meth_Transfers[[#This Row],[ID_Transfers]],"")</f>
        <v/>
      </c>
    </row>
    <row r="1990" spans="1:4" x14ac:dyDescent="0.45">
      <c r="A1990">
        <v>331</v>
      </c>
      <c r="B1990">
        <f t="shared" ca="1" si="31"/>
        <v>158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0" t="str">
        <f ca="1">IF(dict_zuord_Meth_Transfers[[#This Row],[kval_active]],dict_zuord_Meth_Transfers[[#This Row],[ID_Transfers]],"")</f>
        <v/>
      </c>
    </row>
    <row r="1991" spans="1:4" x14ac:dyDescent="0.45">
      <c r="A1991">
        <v>331</v>
      </c>
      <c r="B1991">
        <f t="shared" ca="1" si="31"/>
        <v>110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1" t="str">
        <f ca="1">IF(dict_zuord_Meth_Transfers[[#This Row],[kval_active]],dict_zuord_Meth_Transfers[[#This Row],[ID_Transfers]],"")</f>
        <v/>
      </c>
    </row>
    <row r="1992" spans="1:4" x14ac:dyDescent="0.45">
      <c r="A1992">
        <v>331</v>
      </c>
      <c r="B1992" s="3">
        <f t="shared" ca="1" si="31"/>
        <v>33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2" t="str">
        <f ca="1">IF(dict_zuord_Meth_Transfers[[#This Row],[kval_active]],dict_zuord_Meth_Transfers[[#This Row],[ID_Transfers]],"")</f>
        <v/>
      </c>
    </row>
    <row r="1993" spans="1:4" x14ac:dyDescent="0.45">
      <c r="A1993">
        <v>331</v>
      </c>
      <c r="B1993" s="3">
        <f t="shared" ca="1" si="31"/>
        <v>199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3" t="str">
        <f ca="1">IF(dict_zuord_Meth_Transfers[[#This Row],[kval_active]],dict_zuord_Meth_Transfers[[#This Row],[ID_Transfers]],"")</f>
        <v/>
      </c>
    </row>
    <row r="1994" spans="1:4" x14ac:dyDescent="0.45">
      <c r="A1994">
        <v>332</v>
      </c>
      <c r="B1994" s="3">
        <f t="shared" ca="1" si="31"/>
        <v>91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4" t="str">
        <f ca="1">IF(dict_zuord_Meth_Transfers[[#This Row],[kval_active]],dict_zuord_Meth_Transfers[[#This Row],[ID_Transfers]],"")</f>
        <v/>
      </c>
    </row>
    <row r="1995" spans="1:4" x14ac:dyDescent="0.45">
      <c r="A1995">
        <v>332</v>
      </c>
      <c r="B1995" s="3">
        <f t="shared" ca="1" si="31"/>
        <v>195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5" t="str">
        <f ca="1">IF(dict_zuord_Meth_Transfers[[#This Row],[kval_active]],dict_zuord_Meth_Transfers[[#This Row],[ID_Transfers]],"")</f>
        <v/>
      </c>
    </row>
    <row r="1996" spans="1:4" x14ac:dyDescent="0.45">
      <c r="A1996">
        <v>332</v>
      </c>
      <c r="B1996">
        <f t="shared" ca="1" si="31"/>
        <v>122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6" t="str">
        <f ca="1">IF(dict_zuord_Meth_Transfers[[#This Row],[kval_active]],dict_zuord_Meth_Transfers[[#This Row],[ID_Transfers]],"")</f>
        <v/>
      </c>
    </row>
    <row r="1997" spans="1:4" x14ac:dyDescent="0.45">
      <c r="A1997">
        <v>332</v>
      </c>
      <c r="B1997" s="3">
        <f t="shared" ca="1" si="31"/>
        <v>186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7" t="str">
        <f ca="1">IF(dict_zuord_Meth_Transfers[[#This Row],[kval_active]],dict_zuord_Meth_Transfers[[#This Row],[ID_Transfers]],"")</f>
        <v/>
      </c>
    </row>
    <row r="1998" spans="1:4" x14ac:dyDescent="0.45">
      <c r="A1998">
        <v>332</v>
      </c>
      <c r="B1998">
        <f t="shared" ca="1" si="31"/>
        <v>22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8" t="str">
        <f ca="1">IF(dict_zuord_Meth_Transfers[[#This Row],[kval_active]],dict_zuord_Meth_Transfers[[#This Row],[ID_Transfers]],"")</f>
        <v/>
      </c>
    </row>
    <row r="1999" spans="1:4" x14ac:dyDescent="0.45">
      <c r="A1999">
        <v>332</v>
      </c>
      <c r="B1999">
        <f t="shared" ca="1" si="31"/>
        <v>162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9" t="str">
        <f ca="1">IF(dict_zuord_Meth_Transfers[[#This Row],[kval_active]],dict_zuord_Meth_Transfers[[#This Row],[ID_Transfers]],"")</f>
        <v/>
      </c>
    </row>
    <row r="2000" spans="1:4" x14ac:dyDescent="0.45">
      <c r="A2000">
        <v>333</v>
      </c>
      <c r="B2000" s="3">
        <f t="shared" ca="1" si="31"/>
        <v>36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0" t="str">
        <f ca="1">IF(dict_zuord_Meth_Transfers[[#This Row],[kval_active]],dict_zuord_Meth_Transfers[[#This Row],[ID_Transfers]],"")</f>
        <v/>
      </c>
    </row>
    <row r="2001" spans="1:4" x14ac:dyDescent="0.45">
      <c r="A2001">
        <v>333</v>
      </c>
      <c r="B2001" s="3">
        <f t="shared" ca="1" si="31"/>
        <v>106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1" t="str">
        <f ca="1">IF(dict_zuord_Meth_Transfers[[#This Row],[kval_active]],dict_zuord_Meth_Transfers[[#This Row],[ID_Transfers]],"")</f>
        <v/>
      </c>
    </row>
    <row r="2002" spans="1:4" x14ac:dyDescent="0.45">
      <c r="A2002">
        <v>333</v>
      </c>
      <c r="B2002">
        <f t="shared" ca="1" si="31"/>
        <v>66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2" t="str">
        <f ca="1">IF(dict_zuord_Meth_Transfers[[#This Row],[kval_active]],dict_zuord_Meth_Transfers[[#This Row],[ID_Transfers]],"")</f>
        <v/>
      </c>
    </row>
    <row r="2003" spans="1:4" x14ac:dyDescent="0.45">
      <c r="A2003">
        <v>333</v>
      </c>
      <c r="B2003" s="3">
        <f t="shared" ca="1" si="31"/>
        <v>57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3" t="str">
        <f ca="1">IF(dict_zuord_Meth_Transfers[[#This Row],[kval_active]],dict_zuord_Meth_Transfers[[#This Row],[ID_Transfers]],"")</f>
        <v/>
      </c>
    </row>
    <row r="2004" spans="1:4" x14ac:dyDescent="0.45">
      <c r="A2004">
        <v>333</v>
      </c>
      <c r="B2004">
        <f t="shared" ca="1" si="31"/>
        <v>97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4" t="str">
        <f ca="1">IF(dict_zuord_Meth_Transfers[[#This Row],[kval_active]],dict_zuord_Meth_Transfers[[#This Row],[ID_Transfers]],"")</f>
        <v/>
      </c>
    </row>
    <row r="2005" spans="1:4" x14ac:dyDescent="0.45">
      <c r="A2005">
        <v>333</v>
      </c>
      <c r="B2005">
        <f t="shared" ca="1" si="31"/>
        <v>179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5" t="str">
        <f ca="1">IF(dict_zuord_Meth_Transfers[[#This Row],[kval_active]],dict_zuord_Meth_Transfers[[#This Row],[ID_Transfers]],"")</f>
        <v/>
      </c>
    </row>
    <row r="2006" spans="1:4" x14ac:dyDescent="0.45">
      <c r="A2006">
        <v>334</v>
      </c>
      <c r="B2006" s="3">
        <f t="shared" ca="1" si="31"/>
        <v>164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6" t="str">
        <f ca="1">IF(dict_zuord_Meth_Transfers[[#This Row],[kval_active]],dict_zuord_Meth_Transfers[[#This Row],[ID_Transfers]],"")</f>
        <v/>
      </c>
    </row>
    <row r="2007" spans="1:4" x14ac:dyDescent="0.45">
      <c r="A2007">
        <v>334</v>
      </c>
      <c r="B2007">
        <f t="shared" ca="1" si="31"/>
        <v>188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7" t="str">
        <f ca="1">IF(dict_zuord_Meth_Transfers[[#This Row],[kval_active]],dict_zuord_Meth_Transfers[[#This Row],[ID_Transfers]],"")</f>
        <v/>
      </c>
    </row>
    <row r="2008" spans="1:4" x14ac:dyDescent="0.45">
      <c r="A2008">
        <v>334</v>
      </c>
      <c r="B2008" s="3">
        <f t="shared" ca="1" si="31"/>
        <v>6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8" t="str">
        <f ca="1">IF(dict_zuord_Meth_Transfers[[#This Row],[kval_active]],dict_zuord_Meth_Transfers[[#This Row],[ID_Transfers]],"")</f>
        <v/>
      </c>
    </row>
    <row r="2009" spans="1:4" x14ac:dyDescent="0.45">
      <c r="A2009">
        <v>334</v>
      </c>
      <c r="B2009">
        <f t="shared" ca="1" si="31"/>
        <v>127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9" t="str">
        <f ca="1">IF(dict_zuord_Meth_Transfers[[#This Row],[kval_active]],dict_zuord_Meth_Transfers[[#This Row],[ID_Transfers]],"")</f>
        <v/>
      </c>
    </row>
    <row r="2010" spans="1:4" x14ac:dyDescent="0.45">
      <c r="A2010">
        <v>334</v>
      </c>
      <c r="B2010" s="3">
        <f t="shared" ca="1" si="31"/>
        <v>189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0" t="str">
        <f ca="1">IF(dict_zuord_Meth_Transfers[[#This Row],[kval_active]],dict_zuord_Meth_Transfers[[#This Row],[ID_Transfers]],"")</f>
        <v/>
      </c>
    </row>
    <row r="2011" spans="1:4" x14ac:dyDescent="0.45">
      <c r="A2011">
        <v>334</v>
      </c>
      <c r="B2011">
        <f t="shared" ca="1" si="31"/>
        <v>35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1" t="str">
        <f ca="1">IF(dict_zuord_Meth_Transfers[[#This Row],[kval_active]],dict_zuord_Meth_Transfers[[#This Row],[ID_Transfers]],"")</f>
        <v/>
      </c>
    </row>
    <row r="2012" spans="1:4" x14ac:dyDescent="0.45">
      <c r="A2012">
        <v>335</v>
      </c>
      <c r="B2012">
        <f t="shared" ca="1" si="31"/>
        <v>9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2" t="str">
        <f ca="1">IF(dict_zuord_Meth_Transfers[[#This Row],[kval_active]],dict_zuord_Meth_Transfers[[#This Row],[ID_Transfers]],"")</f>
        <v/>
      </c>
    </row>
    <row r="2013" spans="1:4" x14ac:dyDescent="0.45">
      <c r="A2013">
        <v>335</v>
      </c>
      <c r="B2013" s="3">
        <f t="shared" ca="1" si="31"/>
        <v>185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3" t="str">
        <f ca="1">IF(dict_zuord_Meth_Transfers[[#This Row],[kval_active]],dict_zuord_Meth_Transfers[[#This Row],[ID_Transfers]],"")</f>
        <v/>
      </c>
    </row>
    <row r="2014" spans="1:4" x14ac:dyDescent="0.45">
      <c r="A2014">
        <v>335</v>
      </c>
      <c r="B2014">
        <f t="shared" ca="1" si="31"/>
        <v>145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4" t="str">
        <f ca="1">IF(dict_zuord_Meth_Transfers[[#This Row],[kval_active]],dict_zuord_Meth_Transfers[[#This Row],[ID_Transfers]],"")</f>
        <v/>
      </c>
    </row>
    <row r="2015" spans="1:4" x14ac:dyDescent="0.45">
      <c r="A2015">
        <v>335</v>
      </c>
      <c r="B2015" s="3">
        <f t="shared" ca="1" si="31"/>
        <v>52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5" t="str">
        <f ca="1">IF(dict_zuord_Meth_Transfers[[#This Row],[kval_active]],dict_zuord_Meth_Transfers[[#This Row],[ID_Transfers]],"")</f>
        <v/>
      </c>
    </row>
    <row r="2016" spans="1:4" x14ac:dyDescent="0.45">
      <c r="A2016">
        <v>335</v>
      </c>
      <c r="B2016" s="3">
        <f t="shared" ca="1" si="31"/>
        <v>70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6" t="str">
        <f ca="1">IF(dict_zuord_Meth_Transfers[[#This Row],[kval_active]],dict_zuord_Meth_Transfers[[#This Row],[ID_Transfers]],"")</f>
        <v/>
      </c>
    </row>
    <row r="2017" spans="1:4" x14ac:dyDescent="0.45">
      <c r="A2017">
        <v>335</v>
      </c>
      <c r="B2017">
        <f t="shared" ca="1" si="31"/>
        <v>100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7" t="str">
        <f ca="1">IF(dict_zuord_Meth_Transfers[[#This Row],[kval_active]],dict_zuord_Meth_Transfers[[#This Row],[ID_Transfers]],"")</f>
        <v/>
      </c>
    </row>
    <row r="2018" spans="1:4" x14ac:dyDescent="0.45">
      <c r="A2018">
        <v>336</v>
      </c>
      <c r="B2018" s="3">
        <f t="shared" ca="1" si="31"/>
        <v>31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8" t="str">
        <f ca="1">IF(dict_zuord_Meth_Transfers[[#This Row],[kval_active]],dict_zuord_Meth_Transfers[[#This Row],[ID_Transfers]],"")</f>
        <v/>
      </c>
    </row>
    <row r="2019" spans="1:4" x14ac:dyDescent="0.45">
      <c r="A2019">
        <v>336</v>
      </c>
      <c r="B2019">
        <f t="shared" ca="1" si="31"/>
        <v>0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9" t="str">
        <f ca="1">IF(dict_zuord_Meth_Transfers[[#This Row],[kval_active]],dict_zuord_Meth_Transfers[[#This Row],[ID_Transfers]],"")</f>
        <v/>
      </c>
    </row>
    <row r="2020" spans="1:4" x14ac:dyDescent="0.45">
      <c r="A2020">
        <v>336</v>
      </c>
      <c r="B2020">
        <f t="shared" ca="1" si="31"/>
        <v>2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0" t="str">
        <f ca="1">IF(dict_zuord_Meth_Transfers[[#This Row],[kval_active]],dict_zuord_Meth_Transfers[[#This Row],[ID_Transfers]],"")</f>
        <v/>
      </c>
    </row>
    <row r="2021" spans="1:4" x14ac:dyDescent="0.45">
      <c r="A2021">
        <v>336</v>
      </c>
      <c r="B2021" s="3">
        <f t="shared" ca="1" si="31"/>
        <v>38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1" t="str">
        <f ca="1">IF(dict_zuord_Meth_Transfers[[#This Row],[kval_active]],dict_zuord_Meth_Transfers[[#This Row],[ID_Transfers]],"")</f>
        <v/>
      </c>
    </row>
    <row r="2022" spans="1:4" x14ac:dyDescent="0.45">
      <c r="A2022">
        <v>336</v>
      </c>
      <c r="B2022">
        <f t="shared" ca="1" si="31"/>
        <v>72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2" t="str">
        <f ca="1">IF(dict_zuord_Meth_Transfers[[#This Row],[kval_active]],dict_zuord_Meth_Transfers[[#This Row],[ID_Transfers]],"")</f>
        <v/>
      </c>
    </row>
    <row r="2023" spans="1:4" x14ac:dyDescent="0.45">
      <c r="A2023">
        <v>336</v>
      </c>
      <c r="B2023" s="3">
        <f t="shared" ca="1" si="31"/>
        <v>142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3" t="str">
        <f ca="1">IF(dict_zuord_Meth_Transfers[[#This Row],[kval_active]],dict_zuord_Meth_Transfers[[#This Row],[ID_Transfers]],"")</f>
        <v/>
      </c>
    </row>
    <row r="2024" spans="1:4" x14ac:dyDescent="0.45">
      <c r="A2024">
        <v>337</v>
      </c>
      <c r="B2024" s="3">
        <f t="shared" ca="1" si="31"/>
        <v>59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4" t="str">
        <f ca="1">IF(dict_zuord_Meth_Transfers[[#This Row],[kval_active]],dict_zuord_Meth_Transfers[[#This Row],[ID_Transfers]],"")</f>
        <v/>
      </c>
    </row>
    <row r="2025" spans="1:4" x14ac:dyDescent="0.45">
      <c r="A2025">
        <v>337</v>
      </c>
      <c r="B2025">
        <f t="shared" ca="1" si="31"/>
        <v>198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5" t="str">
        <f ca="1">IF(dict_zuord_Meth_Transfers[[#This Row],[kval_active]],dict_zuord_Meth_Transfers[[#This Row],[ID_Transfers]],"")</f>
        <v/>
      </c>
    </row>
    <row r="2026" spans="1:4" x14ac:dyDescent="0.45">
      <c r="A2026">
        <v>337</v>
      </c>
      <c r="B2026" s="3">
        <f t="shared" ca="1" si="31"/>
        <v>194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6" t="str">
        <f ca="1">IF(dict_zuord_Meth_Transfers[[#This Row],[kval_active]],dict_zuord_Meth_Transfers[[#This Row],[ID_Transfers]],"")</f>
        <v/>
      </c>
    </row>
    <row r="2027" spans="1:4" x14ac:dyDescent="0.45">
      <c r="A2027">
        <v>337</v>
      </c>
      <c r="B2027">
        <f t="shared" ca="1" si="31"/>
        <v>23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7" t="str">
        <f ca="1">IF(dict_zuord_Meth_Transfers[[#This Row],[kval_active]],dict_zuord_Meth_Transfers[[#This Row],[ID_Transfers]],"")</f>
        <v/>
      </c>
    </row>
    <row r="2028" spans="1:4" x14ac:dyDescent="0.45">
      <c r="A2028">
        <v>337</v>
      </c>
      <c r="B2028" s="3">
        <f t="shared" ca="1" si="31"/>
        <v>78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8" t="str">
        <f ca="1">IF(dict_zuord_Meth_Transfers[[#This Row],[kval_active]],dict_zuord_Meth_Transfers[[#This Row],[ID_Transfers]],"")</f>
        <v/>
      </c>
    </row>
    <row r="2029" spans="1:4" x14ac:dyDescent="0.45">
      <c r="A2029">
        <v>337</v>
      </c>
      <c r="B2029">
        <f t="shared" ca="1" si="31"/>
        <v>171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9" t="str">
        <f ca="1">IF(dict_zuord_Meth_Transfers[[#This Row],[kval_active]],dict_zuord_Meth_Transfers[[#This Row],[ID_Transfers]],"")</f>
        <v/>
      </c>
    </row>
    <row r="2030" spans="1:4" x14ac:dyDescent="0.45">
      <c r="A2030">
        <v>338</v>
      </c>
      <c r="B2030" s="3">
        <f t="shared" ca="1" si="31"/>
        <v>61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0" t="str">
        <f ca="1">IF(dict_zuord_Meth_Transfers[[#This Row],[kval_active]],dict_zuord_Meth_Transfers[[#This Row],[ID_Transfers]],"")</f>
        <v/>
      </c>
    </row>
    <row r="2031" spans="1:4" x14ac:dyDescent="0.45">
      <c r="A2031">
        <v>338</v>
      </c>
      <c r="B2031" s="3">
        <f t="shared" ca="1" si="31"/>
        <v>196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1" t="str">
        <f ca="1">IF(dict_zuord_Meth_Transfers[[#This Row],[kval_active]],dict_zuord_Meth_Transfers[[#This Row],[ID_Transfers]],"")</f>
        <v/>
      </c>
    </row>
    <row r="2032" spans="1:4" x14ac:dyDescent="0.45">
      <c r="A2032">
        <v>338</v>
      </c>
      <c r="B2032">
        <f t="shared" ca="1" si="31"/>
        <v>31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2" t="str">
        <f ca="1">IF(dict_zuord_Meth_Transfers[[#This Row],[kval_active]],dict_zuord_Meth_Transfers[[#This Row],[ID_Transfers]],"")</f>
        <v/>
      </c>
    </row>
    <row r="2033" spans="1:4" x14ac:dyDescent="0.45">
      <c r="A2033">
        <v>338</v>
      </c>
      <c r="B2033">
        <f t="shared" ca="1" si="31"/>
        <v>6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3" t="str">
        <f ca="1">IF(dict_zuord_Meth_Transfers[[#This Row],[kval_active]],dict_zuord_Meth_Transfers[[#This Row],[ID_Transfers]],"")</f>
        <v/>
      </c>
    </row>
    <row r="2034" spans="1:4" x14ac:dyDescent="0.45">
      <c r="A2034">
        <v>338</v>
      </c>
      <c r="B2034">
        <f t="shared" ca="1" si="31"/>
        <v>38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4" t="str">
        <f ca="1">IF(dict_zuord_Meth_Transfers[[#This Row],[kval_active]],dict_zuord_Meth_Transfers[[#This Row],[ID_Transfers]],"")</f>
        <v/>
      </c>
    </row>
    <row r="2035" spans="1:4" x14ac:dyDescent="0.45">
      <c r="A2035">
        <v>338</v>
      </c>
      <c r="B2035" s="3">
        <f t="shared" ca="1" si="31"/>
        <v>134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5" t="str">
        <f ca="1">IF(dict_zuord_Meth_Transfers[[#This Row],[kval_active]],dict_zuord_Meth_Transfers[[#This Row],[ID_Transfers]],"")</f>
        <v/>
      </c>
    </row>
    <row r="2036" spans="1:4" x14ac:dyDescent="0.45">
      <c r="A2036">
        <v>339</v>
      </c>
      <c r="B2036" s="3">
        <f t="shared" ca="1" si="31"/>
        <v>177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6" t="str">
        <f ca="1">IF(dict_zuord_Meth_Transfers[[#This Row],[kval_active]],dict_zuord_Meth_Transfers[[#This Row],[ID_Transfers]],"")</f>
        <v/>
      </c>
    </row>
    <row r="2037" spans="1:4" x14ac:dyDescent="0.45">
      <c r="A2037">
        <v>339</v>
      </c>
      <c r="B2037">
        <f t="shared" ca="1" si="31"/>
        <v>130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7" t="str">
        <f ca="1">IF(dict_zuord_Meth_Transfers[[#This Row],[kval_active]],dict_zuord_Meth_Transfers[[#This Row],[ID_Transfers]],"")</f>
        <v/>
      </c>
    </row>
    <row r="2038" spans="1:4" x14ac:dyDescent="0.45">
      <c r="A2038">
        <v>339</v>
      </c>
      <c r="B2038" s="3">
        <f t="shared" ca="1" si="31"/>
        <v>103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8" t="str">
        <f ca="1">IF(dict_zuord_Meth_Transfers[[#This Row],[kval_active]],dict_zuord_Meth_Transfers[[#This Row],[ID_Transfers]],"")</f>
        <v/>
      </c>
    </row>
    <row r="2039" spans="1:4" x14ac:dyDescent="0.45">
      <c r="A2039">
        <v>339</v>
      </c>
      <c r="B2039" s="3">
        <f t="shared" ca="1" si="31"/>
        <v>15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9" t="str">
        <f ca="1">IF(dict_zuord_Meth_Transfers[[#This Row],[kval_active]],dict_zuord_Meth_Transfers[[#This Row],[ID_Transfers]],"")</f>
        <v/>
      </c>
    </row>
    <row r="2040" spans="1:4" x14ac:dyDescent="0.45">
      <c r="A2040">
        <v>339</v>
      </c>
      <c r="B2040">
        <f t="shared" ca="1" si="31"/>
        <v>52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0" t="str">
        <f ca="1">IF(dict_zuord_Meth_Transfers[[#This Row],[kval_active]],dict_zuord_Meth_Transfers[[#This Row],[ID_Transfers]],"")</f>
        <v/>
      </c>
    </row>
    <row r="2041" spans="1:4" x14ac:dyDescent="0.45">
      <c r="A2041">
        <v>339</v>
      </c>
      <c r="B2041">
        <f t="shared" ca="1" si="31"/>
        <v>98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1" t="str">
        <f ca="1">IF(dict_zuord_Meth_Transfers[[#This Row],[kval_active]],dict_zuord_Meth_Transfers[[#This Row],[ID_Transfers]],"")</f>
        <v/>
      </c>
    </row>
    <row r="2042" spans="1:4" x14ac:dyDescent="0.45">
      <c r="A2042">
        <v>340</v>
      </c>
      <c r="B2042">
        <f t="shared" ca="1" si="31"/>
        <v>44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2" t="str">
        <f ca="1">IF(dict_zuord_Meth_Transfers[[#This Row],[kval_active]],dict_zuord_Meth_Transfers[[#This Row],[ID_Transfers]],"")</f>
        <v/>
      </c>
    </row>
    <row r="2043" spans="1:4" x14ac:dyDescent="0.45">
      <c r="A2043">
        <v>340</v>
      </c>
      <c r="B2043">
        <f t="shared" ca="1" si="31"/>
        <v>87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3" t="str">
        <f ca="1">IF(dict_zuord_Meth_Transfers[[#This Row],[kval_active]],dict_zuord_Meth_Transfers[[#This Row],[ID_Transfers]],"")</f>
        <v/>
      </c>
    </row>
    <row r="2044" spans="1:4" x14ac:dyDescent="0.45">
      <c r="A2044">
        <v>340</v>
      </c>
      <c r="B2044" s="3">
        <f t="shared" ca="1" si="31"/>
        <v>90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4" t="str">
        <f ca="1">IF(dict_zuord_Meth_Transfers[[#This Row],[kval_active]],dict_zuord_Meth_Transfers[[#This Row],[ID_Transfers]],"")</f>
        <v/>
      </c>
    </row>
    <row r="2045" spans="1:4" x14ac:dyDescent="0.45">
      <c r="A2045">
        <v>340</v>
      </c>
      <c r="B2045">
        <f t="shared" ca="1" si="31"/>
        <v>108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5" t="str">
        <f ca="1">IF(dict_zuord_Meth_Transfers[[#This Row],[kval_active]],dict_zuord_Meth_Transfers[[#This Row],[ID_Transfers]],"")</f>
        <v/>
      </c>
    </row>
    <row r="2046" spans="1:4" x14ac:dyDescent="0.45">
      <c r="A2046">
        <v>340</v>
      </c>
      <c r="B2046" s="3">
        <f t="shared" ca="1" si="31"/>
        <v>101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6" t="str">
        <f ca="1">IF(dict_zuord_Meth_Transfers[[#This Row],[kval_active]],dict_zuord_Meth_Transfers[[#This Row],[ID_Transfers]],"")</f>
        <v/>
      </c>
    </row>
    <row r="2047" spans="1:4" x14ac:dyDescent="0.45">
      <c r="A2047">
        <v>340</v>
      </c>
      <c r="B2047" s="3">
        <f t="shared" ca="1" si="31"/>
        <v>52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7" t="str">
        <f ca="1">IF(dict_zuord_Meth_Transfers[[#This Row],[kval_active]],dict_zuord_Meth_Transfers[[#This Row],[ID_Transfers]],"")</f>
        <v/>
      </c>
    </row>
    <row r="2048" spans="1:4" x14ac:dyDescent="0.45">
      <c r="A2048">
        <v>341</v>
      </c>
      <c r="B2048" s="3">
        <f t="shared" ca="1" si="31"/>
        <v>129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8" t="str">
        <f ca="1">IF(dict_zuord_Meth_Transfers[[#This Row],[kval_active]],dict_zuord_Meth_Transfers[[#This Row],[ID_Transfers]],"")</f>
        <v/>
      </c>
    </row>
    <row r="2049" spans="1:4" x14ac:dyDescent="0.45">
      <c r="A2049">
        <v>341</v>
      </c>
      <c r="B2049">
        <f t="shared" ca="1" si="31"/>
        <v>178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9" t="str">
        <f ca="1">IF(dict_zuord_Meth_Transfers[[#This Row],[kval_active]],dict_zuord_Meth_Transfers[[#This Row],[ID_Transfers]],"")</f>
        <v/>
      </c>
    </row>
    <row r="2050" spans="1:4" x14ac:dyDescent="0.45">
      <c r="A2050">
        <v>341</v>
      </c>
      <c r="B2050" s="3">
        <f t="shared" ref="B2050:B2113" ca="1" si="32">RANDBETWEEN(0,200)</f>
        <v>97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0" t="str">
        <f ca="1">IF(dict_zuord_Meth_Transfers[[#This Row],[kval_active]],dict_zuord_Meth_Transfers[[#This Row],[ID_Transfers]],"")</f>
        <v/>
      </c>
    </row>
    <row r="2051" spans="1:4" x14ac:dyDescent="0.45">
      <c r="A2051">
        <v>341</v>
      </c>
      <c r="B2051" s="3">
        <f t="shared" ca="1" si="32"/>
        <v>112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1" t="str">
        <f ca="1">IF(dict_zuord_Meth_Transfers[[#This Row],[kval_active]],dict_zuord_Meth_Transfers[[#This Row],[ID_Transfers]],"")</f>
        <v/>
      </c>
    </row>
    <row r="2052" spans="1:4" x14ac:dyDescent="0.45">
      <c r="A2052">
        <v>341</v>
      </c>
      <c r="B2052">
        <f t="shared" ca="1" si="32"/>
        <v>105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2" t="str">
        <f ca="1">IF(dict_zuord_Meth_Transfers[[#This Row],[kval_active]],dict_zuord_Meth_Transfers[[#This Row],[ID_Transfers]],"")</f>
        <v/>
      </c>
    </row>
    <row r="2053" spans="1:4" x14ac:dyDescent="0.45">
      <c r="A2053">
        <v>341</v>
      </c>
      <c r="B2053">
        <f t="shared" ca="1" si="32"/>
        <v>80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3" t="str">
        <f ca="1">IF(dict_zuord_Meth_Transfers[[#This Row],[kval_active]],dict_zuord_Meth_Transfers[[#This Row],[ID_Transfers]],"")</f>
        <v/>
      </c>
    </row>
    <row r="2054" spans="1:4" x14ac:dyDescent="0.45">
      <c r="A2054">
        <v>342</v>
      </c>
      <c r="B2054">
        <f t="shared" ca="1" si="32"/>
        <v>150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4" t="str">
        <f ca="1">IF(dict_zuord_Meth_Transfers[[#This Row],[kval_active]],dict_zuord_Meth_Transfers[[#This Row],[ID_Transfers]],"")</f>
        <v/>
      </c>
    </row>
    <row r="2055" spans="1:4" x14ac:dyDescent="0.45">
      <c r="A2055">
        <v>342</v>
      </c>
      <c r="B2055">
        <f t="shared" ca="1" si="32"/>
        <v>64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5" t="str">
        <f ca="1">IF(dict_zuord_Meth_Transfers[[#This Row],[kval_active]],dict_zuord_Meth_Transfers[[#This Row],[ID_Transfers]],"")</f>
        <v/>
      </c>
    </row>
    <row r="2056" spans="1:4" x14ac:dyDescent="0.45">
      <c r="A2056">
        <v>342</v>
      </c>
      <c r="B2056">
        <f t="shared" ca="1" si="32"/>
        <v>35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6" t="str">
        <f ca="1">IF(dict_zuord_Meth_Transfers[[#This Row],[kval_active]],dict_zuord_Meth_Transfers[[#This Row],[ID_Transfers]],"")</f>
        <v/>
      </c>
    </row>
    <row r="2057" spans="1:4" x14ac:dyDescent="0.45">
      <c r="A2057">
        <v>342</v>
      </c>
      <c r="B2057" s="3">
        <f t="shared" ca="1" si="32"/>
        <v>41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7" t="str">
        <f ca="1">IF(dict_zuord_Meth_Transfers[[#This Row],[kval_active]],dict_zuord_Meth_Transfers[[#This Row],[ID_Transfers]],"")</f>
        <v/>
      </c>
    </row>
    <row r="2058" spans="1:4" x14ac:dyDescent="0.45">
      <c r="A2058">
        <v>342</v>
      </c>
      <c r="B2058" s="3">
        <f t="shared" ca="1" si="32"/>
        <v>18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8" t="str">
        <f ca="1">IF(dict_zuord_Meth_Transfers[[#This Row],[kval_active]],dict_zuord_Meth_Transfers[[#This Row],[ID_Transfers]],"")</f>
        <v/>
      </c>
    </row>
    <row r="2059" spans="1:4" x14ac:dyDescent="0.45">
      <c r="A2059">
        <v>342</v>
      </c>
      <c r="B2059" s="3">
        <f t="shared" ca="1" si="32"/>
        <v>111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9" t="str">
        <f ca="1">IF(dict_zuord_Meth_Transfers[[#This Row],[kval_active]],dict_zuord_Meth_Transfers[[#This Row],[ID_Transfers]],"")</f>
        <v/>
      </c>
    </row>
    <row r="2060" spans="1:4" x14ac:dyDescent="0.45">
      <c r="A2060">
        <v>343</v>
      </c>
      <c r="B2060" s="3">
        <f t="shared" ca="1" si="32"/>
        <v>41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0" t="str">
        <f ca="1">IF(dict_zuord_Meth_Transfers[[#This Row],[kval_active]],dict_zuord_Meth_Transfers[[#This Row],[ID_Transfers]],"")</f>
        <v/>
      </c>
    </row>
    <row r="2061" spans="1:4" x14ac:dyDescent="0.45">
      <c r="A2061">
        <v>343</v>
      </c>
      <c r="B2061" s="3">
        <f t="shared" ca="1" si="32"/>
        <v>71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1" t="str">
        <f ca="1">IF(dict_zuord_Meth_Transfers[[#This Row],[kval_active]],dict_zuord_Meth_Transfers[[#This Row],[ID_Transfers]],"")</f>
        <v/>
      </c>
    </row>
    <row r="2062" spans="1:4" x14ac:dyDescent="0.45">
      <c r="A2062">
        <v>343</v>
      </c>
      <c r="B2062">
        <f t="shared" ca="1" si="32"/>
        <v>16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2" t="str">
        <f ca="1">IF(dict_zuord_Meth_Transfers[[#This Row],[kval_active]],dict_zuord_Meth_Transfers[[#This Row],[ID_Transfers]],"")</f>
        <v/>
      </c>
    </row>
    <row r="2063" spans="1:4" x14ac:dyDescent="0.45">
      <c r="A2063">
        <v>343</v>
      </c>
      <c r="B2063">
        <f t="shared" ca="1" si="32"/>
        <v>199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3" t="str">
        <f ca="1">IF(dict_zuord_Meth_Transfers[[#This Row],[kval_active]],dict_zuord_Meth_Transfers[[#This Row],[ID_Transfers]],"")</f>
        <v/>
      </c>
    </row>
    <row r="2064" spans="1:4" x14ac:dyDescent="0.45">
      <c r="A2064">
        <v>343</v>
      </c>
      <c r="B2064">
        <f t="shared" ca="1" si="32"/>
        <v>54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4" t="str">
        <f ca="1">IF(dict_zuord_Meth_Transfers[[#This Row],[kval_active]],dict_zuord_Meth_Transfers[[#This Row],[ID_Transfers]],"")</f>
        <v/>
      </c>
    </row>
    <row r="2065" spans="1:4" x14ac:dyDescent="0.45">
      <c r="A2065">
        <v>343</v>
      </c>
      <c r="B2065" s="3">
        <f t="shared" ca="1" si="32"/>
        <v>89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5" t="str">
        <f ca="1">IF(dict_zuord_Meth_Transfers[[#This Row],[kval_active]],dict_zuord_Meth_Transfers[[#This Row],[ID_Transfers]],"")</f>
        <v/>
      </c>
    </row>
    <row r="2066" spans="1:4" x14ac:dyDescent="0.45">
      <c r="A2066">
        <v>344</v>
      </c>
      <c r="B2066" s="3">
        <f t="shared" ca="1" si="32"/>
        <v>177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6" t="str">
        <f ca="1">IF(dict_zuord_Meth_Transfers[[#This Row],[kval_active]],dict_zuord_Meth_Transfers[[#This Row],[ID_Transfers]],"")</f>
        <v/>
      </c>
    </row>
    <row r="2067" spans="1:4" x14ac:dyDescent="0.45">
      <c r="A2067">
        <v>344</v>
      </c>
      <c r="B2067">
        <f t="shared" ca="1" si="32"/>
        <v>79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7" t="str">
        <f ca="1">IF(dict_zuord_Meth_Transfers[[#This Row],[kval_active]],dict_zuord_Meth_Transfers[[#This Row],[ID_Transfers]],"")</f>
        <v/>
      </c>
    </row>
    <row r="2068" spans="1:4" x14ac:dyDescent="0.45">
      <c r="A2068">
        <v>344</v>
      </c>
      <c r="B2068">
        <f t="shared" ca="1" si="32"/>
        <v>62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8" t="str">
        <f ca="1">IF(dict_zuord_Meth_Transfers[[#This Row],[kval_active]],dict_zuord_Meth_Transfers[[#This Row],[ID_Transfers]],"")</f>
        <v/>
      </c>
    </row>
    <row r="2069" spans="1:4" x14ac:dyDescent="0.45">
      <c r="A2069">
        <v>344</v>
      </c>
      <c r="B2069">
        <f t="shared" ca="1" si="32"/>
        <v>153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9" t="str">
        <f ca="1">IF(dict_zuord_Meth_Transfers[[#This Row],[kval_active]],dict_zuord_Meth_Transfers[[#This Row],[ID_Transfers]],"")</f>
        <v/>
      </c>
    </row>
    <row r="2070" spans="1:4" x14ac:dyDescent="0.45">
      <c r="A2070">
        <v>344</v>
      </c>
      <c r="B2070" s="3">
        <f t="shared" ca="1" si="32"/>
        <v>80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0" t="str">
        <f ca="1">IF(dict_zuord_Meth_Transfers[[#This Row],[kval_active]],dict_zuord_Meth_Transfers[[#This Row],[ID_Transfers]],"")</f>
        <v/>
      </c>
    </row>
    <row r="2071" spans="1:4" x14ac:dyDescent="0.45">
      <c r="A2071">
        <v>344</v>
      </c>
      <c r="B2071" s="3">
        <f t="shared" ca="1" si="32"/>
        <v>47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1" t="str">
        <f ca="1">IF(dict_zuord_Meth_Transfers[[#This Row],[kval_active]],dict_zuord_Meth_Transfers[[#This Row],[ID_Transfers]],"")</f>
        <v/>
      </c>
    </row>
    <row r="2072" spans="1:4" x14ac:dyDescent="0.45">
      <c r="A2072">
        <v>345</v>
      </c>
      <c r="B2072">
        <f t="shared" ca="1" si="32"/>
        <v>148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2" t="str">
        <f ca="1">IF(dict_zuord_Meth_Transfers[[#This Row],[kval_active]],dict_zuord_Meth_Transfers[[#This Row],[ID_Transfers]],"")</f>
        <v/>
      </c>
    </row>
    <row r="2073" spans="1:4" x14ac:dyDescent="0.45">
      <c r="A2073">
        <v>345</v>
      </c>
      <c r="B2073">
        <f t="shared" ca="1" si="32"/>
        <v>116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3" t="str">
        <f ca="1">IF(dict_zuord_Meth_Transfers[[#This Row],[kval_active]],dict_zuord_Meth_Transfers[[#This Row],[ID_Transfers]],"")</f>
        <v/>
      </c>
    </row>
    <row r="2074" spans="1:4" x14ac:dyDescent="0.45">
      <c r="A2074">
        <v>345</v>
      </c>
      <c r="B2074">
        <f t="shared" ca="1" si="32"/>
        <v>41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4" t="str">
        <f ca="1">IF(dict_zuord_Meth_Transfers[[#This Row],[kval_active]],dict_zuord_Meth_Transfers[[#This Row],[ID_Transfers]],"")</f>
        <v/>
      </c>
    </row>
    <row r="2075" spans="1:4" x14ac:dyDescent="0.45">
      <c r="A2075">
        <v>345</v>
      </c>
      <c r="B2075" s="3">
        <f t="shared" ca="1" si="32"/>
        <v>187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5" t="str">
        <f ca="1">IF(dict_zuord_Meth_Transfers[[#This Row],[kval_active]],dict_zuord_Meth_Transfers[[#This Row],[ID_Transfers]],"")</f>
        <v/>
      </c>
    </row>
    <row r="2076" spans="1:4" x14ac:dyDescent="0.45">
      <c r="A2076">
        <v>345</v>
      </c>
      <c r="B2076" s="3">
        <f t="shared" ca="1" si="32"/>
        <v>50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6" t="str">
        <f ca="1">IF(dict_zuord_Meth_Transfers[[#This Row],[kval_active]],dict_zuord_Meth_Transfers[[#This Row],[ID_Transfers]],"")</f>
        <v/>
      </c>
    </row>
    <row r="2077" spans="1:4" x14ac:dyDescent="0.45">
      <c r="A2077">
        <v>345</v>
      </c>
      <c r="B2077" s="3">
        <f t="shared" ca="1" si="32"/>
        <v>185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7" t="str">
        <f ca="1">IF(dict_zuord_Meth_Transfers[[#This Row],[kval_active]],dict_zuord_Meth_Transfers[[#This Row],[ID_Transfers]],"")</f>
        <v/>
      </c>
    </row>
    <row r="2078" spans="1:4" x14ac:dyDescent="0.45">
      <c r="A2078">
        <v>346</v>
      </c>
      <c r="B2078" s="3">
        <f t="shared" ca="1" si="32"/>
        <v>153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8" t="str">
        <f ca="1">IF(dict_zuord_Meth_Transfers[[#This Row],[kval_active]],dict_zuord_Meth_Transfers[[#This Row],[ID_Transfers]],"")</f>
        <v/>
      </c>
    </row>
    <row r="2079" spans="1:4" x14ac:dyDescent="0.45">
      <c r="A2079">
        <v>346</v>
      </c>
      <c r="B2079">
        <f t="shared" ca="1" si="32"/>
        <v>96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9" t="str">
        <f ca="1">IF(dict_zuord_Meth_Transfers[[#This Row],[kval_active]],dict_zuord_Meth_Transfers[[#This Row],[ID_Transfers]],"")</f>
        <v/>
      </c>
    </row>
    <row r="2080" spans="1:4" x14ac:dyDescent="0.45">
      <c r="A2080">
        <v>346</v>
      </c>
      <c r="B2080">
        <f t="shared" ca="1" si="32"/>
        <v>151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0" t="str">
        <f ca="1">IF(dict_zuord_Meth_Transfers[[#This Row],[kval_active]],dict_zuord_Meth_Transfers[[#This Row],[ID_Transfers]],"")</f>
        <v/>
      </c>
    </row>
    <row r="2081" spans="1:4" x14ac:dyDescent="0.45">
      <c r="A2081">
        <v>346</v>
      </c>
      <c r="B2081" s="3">
        <f t="shared" ca="1" si="32"/>
        <v>170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1" t="str">
        <f ca="1">IF(dict_zuord_Meth_Transfers[[#This Row],[kval_active]],dict_zuord_Meth_Transfers[[#This Row],[ID_Transfers]],"")</f>
        <v/>
      </c>
    </row>
    <row r="2082" spans="1:4" x14ac:dyDescent="0.45">
      <c r="A2082">
        <v>346</v>
      </c>
      <c r="B2082">
        <f t="shared" ca="1" si="32"/>
        <v>129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2" t="str">
        <f ca="1">IF(dict_zuord_Meth_Transfers[[#This Row],[kval_active]],dict_zuord_Meth_Transfers[[#This Row],[ID_Transfers]],"")</f>
        <v/>
      </c>
    </row>
    <row r="2083" spans="1:4" x14ac:dyDescent="0.45">
      <c r="A2083">
        <v>346</v>
      </c>
      <c r="B2083" s="3">
        <f t="shared" ca="1" si="32"/>
        <v>147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3" t="str">
        <f ca="1">IF(dict_zuord_Meth_Transfers[[#This Row],[kval_active]],dict_zuord_Meth_Transfers[[#This Row],[ID_Transfers]],"")</f>
        <v/>
      </c>
    </row>
    <row r="2084" spans="1:4" x14ac:dyDescent="0.45">
      <c r="A2084">
        <v>347</v>
      </c>
      <c r="B2084">
        <f t="shared" ca="1" si="32"/>
        <v>127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4" t="str">
        <f ca="1">IF(dict_zuord_Meth_Transfers[[#This Row],[kval_active]],dict_zuord_Meth_Transfers[[#This Row],[ID_Transfers]],"")</f>
        <v/>
      </c>
    </row>
    <row r="2085" spans="1:4" x14ac:dyDescent="0.45">
      <c r="A2085">
        <v>347</v>
      </c>
      <c r="B2085">
        <f t="shared" ca="1" si="32"/>
        <v>45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5" t="str">
        <f ca="1">IF(dict_zuord_Meth_Transfers[[#This Row],[kval_active]],dict_zuord_Meth_Transfers[[#This Row],[ID_Transfers]],"")</f>
        <v/>
      </c>
    </row>
    <row r="2086" spans="1:4" x14ac:dyDescent="0.45">
      <c r="A2086">
        <v>347</v>
      </c>
      <c r="B2086">
        <f t="shared" ca="1" si="32"/>
        <v>132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6" t="str">
        <f ca="1">IF(dict_zuord_Meth_Transfers[[#This Row],[kval_active]],dict_zuord_Meth_Transfers[[#This Row],[ID_Transfers]],"")</f>
        <v/>
      </c>
    </row>
    <row r="2087" spans="1:4" x14ac:dyDescent="0.45">
      <c r="A2087">
        <v>347</v>
      </c>
      <c r="B2087" s="3">
        <f t="shared" ca="1" si="32"/>
        <v>30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7" t="str">
        <f ca="1">IF(dict_zuord_Meth_Transfers[[#This Row],[kval_active]],dict_zuord_Meth_Transfers[[#This Row],[ID_Transfers]],"")</f>
        <v/>
      </c>
    </row>
    <row r="2088" spans="1:4" x14ac:dyDescent="0.45">
      <c r="A2088">
        <v>347</v>
      </c>
      <c r="B2088" s="3">
        <f t="shared" ca="1" si="32"/>
        <v>129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8" t="str">
        <f ca="1">IF(dict_zuord_Meth_Transfers[[#This Row],[kval_active]],dict_zuord_Meth_Transfers[[#This Row],[ID_Transfers]],"")</f>
        <v/>
      </c>
    </row>
    <row r="2089" spans="1:4" x14ac:dyDescent="0.45">
      <c r="A2089">
        <v>347</v>
      </c>
      <c r="B2089" s="3">
        <f t="shared" ca="1" si="32"/>
        <v>32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9" t="str">
        <f ca="1">IF(dict_zuord_Meth_Transfers[[#This Row],[kval_active]],dict_zuord_Meth_Transfers[[#This Row],[ID_Transfers]],"")</f>
        <v/>
      </c>
    </row>
    <row r="2090" spans="1:4" x14ac:dyDescent="0.45">
      <c r="A2090">
        <v>348</v>
      </c>
      <c r="B2090">
        <f t="shared" ca="1" si="32"/>
        <v>106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0" t="str">
        <f ca="1">IF(dict_zuord_Meth_Transfers[[#This Row],[kval_active]],dict_zuord_Meth_Transfers[[#This Row],[ID_Transfers]],"")</f>
        <v/>
      </c>
    </row>
    <row r="2091" spans="1:4" x14ac:dyDescent="0.45">
      <c r="A2091">
        <v>348</v>
      </c>
      <c r="B2091" s="3">
        <f t="shared" ca="1" si="32"/>
        <v>59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1" t="str">
        <f ca="1">IF(dict_zuord_Meth_Transfers[[#This Row],[kval_active]],dict_zuord_Meth_Transfers[[#This Row],[ID_Transfers]],"")</f>
        <v/>
      </c>
    </row>
    <row r="2092" spans="1:4" x14ac:dyDescent="0.45">
      <c r="A2092">
        <v>348</v>
      </c>
      <c r="B2092" s="3">
        <f t="shared" ca="1" si="32"/>
        <v>106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2" t="str">
        <f ca="1">IF(dict_zuord_Meth_Transfers[[#This Row],[kval_active]],dict_zuord_Meth_Transfers[[#This Row],[ID_Transfers]],"")</f>
        <v/>
      </c>
    </row>
    <row r="2093" spans="1:4" x14ac:dyDescent="0.45">
      <c r="A2093">
        <v>348</v>
      </c>
      <c r="B2093" s="3">
        <f t="shared" ca="1" si="32"/>
        <v>190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3" t="str">
        <f ca="1">IF(dict_zuord_Meth_Transfers[[#This Row],[kval_active]],dict_zuord_Meth_Transfers[[#This Row],[ID_Transfers]],"")</f>
        <v/>
      </c>
    </row>
    <row r="2094" spans="1:4" x14ac:dyDescent="0.45">
      <c r="A2094">
        <v>348</v>
      </c>
      <c r="B2094">
        <f t="shared" ca="1" si="32"/>
        <v>94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4" t="str">
        <f ca="1">IF(dict_zuord_Meth_Transfers[[#This Row],[kval_active]],dict_zuord_Meth_Transfers[[#This Row],[ID_Transfers]],"")</f>
        <v/>
      </c>
    </row>
    <row r="2095" spans="1:4" x14ac:dyDescent="0.45">
      <c r="A2095">
        <v>348</v>
      </c>
      <c r="B2095">
        <f t="shared" ca="1" si="32"/>
        <v>41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5" t="str">
        <f ca="1">IF(dict_zuord_Meth_Transfers[[#This Row],[kval_active]],dict_zuord_Meth_Transfers[[#This Row],[ID_Transfers]],"")</f>
        <v/>
      </c>
    </row>
    <row r="2096" spans="1:4" x14ac:dyDescent="0.45">
      <c r="A2096">
        <v>349</v>
      </c>
      <c r="B2096">
        <f t="shared" ca="1" si="32"/>
        <v>194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6" t="str">
        <f ca="1">IF(dict_zuord_Meth_Transfers[[#This Row],[kval_active]],dict_zuord_Meth_Transfers[[#This Row],[ID_Transfers]],"")</f>
        <v/>
      </c>
    </row>
    <row r="2097" spans="1:4" x14ac:dyDescent="0.45">
      <c r="A2097">
        <v>349</v>
      </c>
      <c r="B2097" s="3">
        <f t="shared" ca="1" si="32"/>
        <v>97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7" t="str">
        <f ca="1">IF(dict_zuord_Meth_Transfers[[#This Row],[kval_active]],dict_zuord_Meth_Transfers[[#This Row],[ID_Transfers]],"")</f>
        <v/>
      </c>
    </row>
    <row r="2098" spans="1:4" x14ac:dyDescent="0.45">
      <c r="A2098">
        <v>349</v>
      </c>
      <c r="B2098">
        <f t="shared" ca="1" si="32"/>
        <v>118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8" t="str">
        <f ca="1">IF(dict_zuord_Meth_Transfers[[#This Row],[kval_active]],dict_zuord_Meth_Transfers[[#This Row],[ID_Transfers]],"")</f>
        <v/>
      </c>
    </row>
    <row r="2099" spans="1:4" x14ac:dyDescent="0.45">
      <c r="A2099">
        <v>349</v>
      </c>
      <c r="B2099" s="3">
        <f t="shared" ca="1" si="32"/>
        <v>161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9" t="str">
        <f ca="1">IF(dict_zuord_Meth_Transfers[[#This Row],[kval_active]],dict_zuord_Meth_Transfers[[#This Row],[ID_Transfers]],"")</f>
        <v/>
      </c>
    </row>
    <row r="2100" spans="1:4" x14ac:dyDescent="0.45">
      <c r="A2100">
        <v>349</v>
      </c>
      <c r="B2100" s="3">
        <f t="shared" ca="1" si="32"/>
        <v>171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0" t="str">
        <f ca="1">IF(dict_zuord_Meth_Transfers[[#This Row],[kval_active]],dict_zuord_Meth_Transfers[[#This Row],[ID_Transfers]],"")</f>
        <v/>
      </c>
    </row>
    <row r="2101" spans="1:4" x14ac:dyDescent="0.45">
      <c r="A2101">
        <v>349</v>
      </c>
      <c r="B2101">
        <f t="shared" ca="1" si="32"/>
        <v>184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1" t="str">
        <f ca="1">IF(dict_zuord_Meth_Transfers[[#This Row],[kval_active]],dict_zuord_Meth_Transfers[[#This Row],[ID_Transfers]],"")</f>
        <v/>
      </c>
    </row>
    <row r="2102" spans="1:4" x14ac:dyDescent="0.45">
      <c r="A2102">
        <v>350</v>
      </c>
      <c r="B2102" s="3">
        <f t="shared" ca="1" si="32"/>
        <v>160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2" t="str">
        <f ca="1">IF(dict_zuord_Meth_Transfers[[#This Row],[kval_active]],dict_zuord_Meth_Transfers[[#This Row],[ID_Transfers]],"")</f>
        <v/>
      </c>
    </row>
    <row r="2103" spans="1:4" x14ac:dyDescent="0.45">
      <c r="A2103">
        <v>350</v>
      </c>
      <c r="B2103" s="3">
        <f t="shared" ca="1" si="32"/>
        <v>135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3" t="str">
        <f ca="1">IF(dict_zuord_Meth_Transfers[[#This Row],[kval_active]],dict_zuord_Meth_Transfers[[#This Row],[ID_Transfers]],"")</f>
        <v/>
      </c>
    </row>
    <row r="2104" spans="1:4" x14ac:dyDescent="0.45">
      <c r="A2104">
        <v>350</v>
      </c>
      <c r="B2104">
        <f t="shared" ca="1" si="32"/>
        <v>8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4" t="str">
        <f ca="1">IF(dict_zuord_Meth_Transfers[[#This Row],[kval_active]],dict_zuord_Meth_Transfers[[#This Row],[ID_Transfers]],"")</f>
        <v/>
      </c>
    </row>
    <row r="2105" spans="1:4" x14ac:dyDescent="0.45">
      <c r="A2105">
        <v>350</v>
      </c>
      <c r="B2105">
        <f t="shared" ca="1" si="32"/>
        <v>188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5" t="str">
        <f ca="1">IF(dict_zuord_Meth_Transfers[[#This Row],[kval_active]],dict_zuord_Meth_Transfers[[#This Row],[ID_Transfers]],"")</f>
        <v/>
      </c>
    </row>
    <row r="2106" spans="1:4" x14ac:dyDescent="0.45">
      <c r="A2106">
        <v>350</v>
      </c>
      <c r="B2106" s="3">
        <f t="shared" ca="1" si="32"/>
        <v>84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6" t="str">
        <f ca="1">IF(dict_zuord_Meth_Transfers[[#This Row],[kval_active]],dict_zuord_Meth_Transfers[[#This Row],[ID_Transfers]],"")</f>
        <v/>
      </c>
    </row>
    <row r="2107" spans="1:4" x14ac:dyDescent="0.45">
      <c r="A2107">
        <v>350</v>
      </c>
      <c r="B2107">
        <f t="shared" ca="1" si="32"/>
        <v>52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7" t="str">
        <f ca="1">IF(dict_zuord_Meth_Transfers[[#This Row],[kval_active]],dict_zuord_Meth_Transfers[[#This Row],[ID_Transfers]],"")</f>
        <v/>
      </c>
    </row>
    <row r="2108" spans="1:4" x14ac:dyDescent="0.45">
      <c r="A2108">
        <v>351</v>
      </c>
      <c r="B2108" s="3">
        <f t="shared" ca="1" si="32"/>
        <v>187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8" t="str">
        <f ca="1">IF(dict_zuord_Meth_Transfers[[#This Row],[kval_active]],dict_zuord_Meth_Transfers[[#This Row],[ID_Transfers]],"")</f>
        <v/>
      </c>
    </row>
    <row r="2109" spans="1:4" x14ac:dyDescent="0.45">
      <c r="A2109">
        <v>351</v>
      </c>
      <c r="B2109" s="3">
        <f t="shared" ca="1" si="32"/>
        <v>145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9" t="str">
        <f ca="1">IF(dict_zuord_Meth_Transfers[[#This Row],[kval_active]],dict_zuord_Meth_Transfers[[#This Row],[ID_Transfers]],"")</f>
        <v/>
      </c>
    </row>
    <row r="2110" spans="1:4" x14ac:dyDescent="0.45">
      <c r="A2110">
        <v>351</v>
      </c>
      <c r="B2110">
        <f t="shared" ca="1" si="32"/>
        <v>51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0" t="str">
        <f ca="1">IF(dict_zuord_Meth_Transfers[[#This Row],[kval_active]],dict_zuord_Meth_Transfers[[#This Row],[ID_Transfers]],"")</f>
        <v/>
      </c>
    </row>
    <row r="2111" spans="1:4" x14ac:dyDescent="0.45">
      <c r="A2111">
        <v>351</v>
      </c>
      <c r="B2111">
        <f t="shared" ca="1" si="32"/>
        <v>17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1" t="str">
        <f ca="1">IF(dict_zuord_Meth_Transfers[[#This Row],[kval_active]],dict_zuord_Meth_Transfers[[#This Row],[ID_Transfers]],"")</f>
        <v/>
      </c>
    </row>
    <row r="2112" spans="1:4" x14ac:dyDescent="0.45">
      <c r="A2112">
        <v>351</v>
      </c>
      <c r="B2112">
        <f t="shared" ca="1" si="32"/>
        <v>196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2" t="str">
        <f ca="1">IF(dict_zuord_Meth_Transfers[[#This Row],[kval_active]],dict_zuord_Meth_Transfers[[#This Row],[ID_Transfers]],"")</f>
        <v/>
      </c>
    </row>
    <row r="2113" spans="1:4" x14ac:dyDescent="0.45">
      <c r="A2113">
        <v>351</v>
      </c>
      <c r="B2113" s="3">
        <f t="shared" ca="1" si="32"/>
        <v>135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3" t="str">
        <f ca="1">IF(dict_zuord_Meth_Transfers[[#This Row],[kval_active]],dict_zuord_Meth_Transfers[[#This Row],[ID_Transfers]],"")</f>
        <v/>
      </c>
    </row>
    <row r="2114" spans="1:4" x14ac:dyDescent="0.45">
      <c r="A2114">
        <v>352</v>
      </c>
      <c r="B2114">
        <f t="shared" ref="B2114:B2177" ca="1" si="33">RANDBETWEEN(0,200)</f>
        <v>50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4" t="str">
        <f ca="1">IF(dict_zuord_Meth_Transfers[[#This Row],[kval_active]],dict_zuord_Meth_Transfers[[#This Row],[ID_Transfers]],"")</f>
        <v/>
      </c>
    </row>
    <row r="2115" spans="1:4" x14ac:dyDescent="0.45">
      <c r="A2115">
        <v>352</v>
      </c>
      <c r="B2115">
        <f t="shared" ca="1" si="33"/>
        <v>142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5" t="str">
        <f ca="1">IF(dict_zuord_Meth_Transfers[[#This Row],[kval_active]],dict_zuord_Meth_Transfers[[#This Row],[ID_Transfers]],"")</f>
        <v/>
      </c>
    </row>
    <row r="2116" spans="1:4" x14ac:dyDescent="0.45">
      <c r="A2116">
        <v>352</v>
      </c>
      <c r="B2116" s="3">
        <f t="shared" ca="1" si="33"/>
        <v>108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6" t="str">
        <f ca="1">IF(dict_zuord_Meth_Transfers[[#This Row],[kval_active]],dict_zuord_Meth_Transfers[[#This Row],[ID_Transfers]],"")</f>
        <v/>
      </c>
    </row>
    <row r="2117" spans="1:4" x14ac:dyDescent="0.45">
      <c r="A2117">
        <v>352</v>
      </c>
      <c r="B2117" s="3">
        <f t="shared" ca="1" si="33"/>
        <v>181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7" t="str">
        <f ca="1">IF(dict_zuord_Meth_Transfers[[#This Row],[kval_active]],dict_zuord_Meth_Transfers[[#This Row],[ID_Transfers]],"")</f>
        <v/>
      </c>
    </row>
    <row r="2118" spans="1:4" x14ac:dyDescent="0.45">
      <c r="A2118">
        <v>352</v>
      </c>
      <c r="B2118" s="3">
        <f t="shared" ca="1" si="33"/>
        <v>163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8" t="str">
        <f ca="1">IF(dict_zuord_Meth_Transfers[[#This Row],[kval_active]],dict_zuord_Meth_Transfers[[#This Row],[ID_Transfers]],"")</f>
        <v/>
      </c>
    </row>
    <row r="2119" spans="1:4" x14ac:dyDescent="0.45">
      <c r="A2119">
        <v>352</v>
      </c>
      <c r="B2119">
        <f t="shared" ca="1" si="33"/>
        <v>41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9" t="str">
        <f ca="1">IF(dict_zuord_Meth_Transfers[[#This Row],[kval_active]],dict_zuord_Meth_Transfers[[#This Row],[ID_Transfers]],"")</f>
        <v/>
      </c>
    </row>
    <row r="2120" spans="1:4" x14ac:dyDescent="0.45">
      <c r="A2120">
        <v>353</v>
      </c>
      <c r="B2120">
        <f t="shared" ca="1" si="33"/>
        <v>134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0" t="str">
        <f ca="1">IF(dict_zuord_Meth_Transfers[[#This Row],[kval_active]],dict_zuord_Meth_Transfers[[#This Row],[ID_Transfers]],"")</f>
        <v/>
      </c>
    </row>
    <row r="2121" spans="1:4" x14ac:dyDescent="0.45">
      <c r="A2121">
        <v>353</v>
      </c>
      <c r="B2121" s="3">
        <f t="shared" ca="1" si="33"/>
        <v>40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1" t="str">
        <f ca="1">IF(dict_zuord_Meth_Transfers[[#This Row],[kval_active]],dict_zuord_Meth_Transfers[[#This Row],[ID_Transfers]],"")</f>
        <v/>
      </c>
    </row>
    <row r="2122" spans="1:4" x14ac:dyDescent="0.45">
      <c r="A2122">
        <v>353</v>
      </c>
      <c r="B2122">
        <f t="shared" ca="1" si="33"/>
        <v>119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2" t="str">
        <f ca="1">IF(dict_zuord_Meth_Transfers[[#This Row],[kval_active]],dict_zuord_Meth_Transfers[[#This Row],[ID_Transfers]],"")</f>
        <v/>
      </c>
    </row>
    <row r="2123" spans="1:4" x14ac:dyDescent="0.45">
      <c r="A2123">
        <v>353</v>
      </c>
      <c r="B2123" s="3">
        <f t="shared" ca="1" si="33"/>
        <v>123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3" t="str">
        <f ca="1">IF(dict_zuord_Meth_Transfers[[#This Row],[kval_active]],dict_zuord_Meth_Transfers[[#This Row],[ID_Transfers]],"")</f>
        <v/>
      </c>
    </row>
    <row r="2124" spans="1:4" x14ac:dyDescent="0.45">
      <c r="A2124">
        <v>353</v>
      </c>
      <c r="B2124" s="3">
        <f t="shared" ca="1" si="33"/>
        <v>124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4" t="str">
        <f ca="1">IF(dict_zuord_Meth_Transfers[[#This Row],[kval_active]],dict_zuord_Meth_Transfers[[#This Row],[ID_Transfers]],"")</f>
        <v/>
      </c>
    </row>
    <row r="2125" spans="1:4" x14ac:dyDescent="0.45">
      <c r="A2125">
        <v>353</v>
      </c>
      <c r="B2125">
        <f t="shared" ca="1" si="33"/>
        <v>68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5" t="str">
        <f ca="1">IF(dict_zuord_Meth_Transfers[[#This Row],[kval_active]],dict_zuord_Meth_Transfers[[#This Row],[ID_Transfers]],"")</f>
        <v/>
      </c>
    </row>
    <row r="2126" spans="1:4" x14ac:dyDescent="0.45">
      <c r="A2126">
        <v>354</v>
      </c>
      <c r="B2126" s="3">
        <f t="shared" ca="1" si="33"/>
        <v>117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6" t="str">
        <f ca="1">IF(dict_zuord_Meth_Transfers[[#This Row],[kval_active]],dict_zuord_Meth_Transfers[[#This Row],[ID_Transfers]],"")</f>
        <v/>
      </c>
    </row>
    <row r="2127" spans="1:4" x14ac:dyDescent="0.45">
      <c r="A2127">
        <v>354</v>
      </c>
      <c r="B2127">
        <f t="shared" ca="1" si="33"/>
        <v>34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7" t="str">
        <f ca="1">IF(dict_zuord_Meth_Transfers[[#This Row],[kval_active]],dict_zuord_Meth_Transfers[[#This Row],[ID_Transfers]],"")</f>
        <v/>
      </c>
    </row>
    <row r="2128" spans="1:4" x14ac:dyDescent="0.45">
      <c r="A2128">
        <v>354</v>
      </c>
      <c r="B2128" s="3">
        <f t="shared" ca="1" si="33"/>
        <v>87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8" t="str">
        <f ca="1">IF(dict_zuord_Meth_Transfers[[#This Row],[kval_active]],dict_zuord_Meth_Transfers[[#This Row],[ID_Transfers]],"")</f>
        <v/>
      </c>
    </row>
    <row r="2129" spans="1:4" x14ac:dyDescent="0.45">
      <c r="A2129">
        <v>354</v>
      </c>
      <c r="B2129">
        <f t="shared" ca="1" si="33"/>
        <v>44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9" t="str">
        <f ca="1">IF(dict_zuord_Meth_Transfers[[#This Row],[kval_active]],dict_zuord_Meth_Transfers[[#This Row],[ID_Transfers]],"")</f>
        <v/>
      </c>
    </row>
    <row r="2130" spans="1:4" x14ac:dyDescent="0.45">
      <c r="A2130">
        <v>354</v>
      </c>
      <c r="B2130" s="3">
        <f t="shared" ca="1" si="33"/>
        <v>27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0" t="str">
        <f ca="1">IF(dict_zuord_Meth_Transfers[[#This Row],[kval_active]],dict_zuord_Meth_Transfers[[#This Row],[ID_Transfers]],"")</f>
        <v/>
      </c>
    </row>
    <row r="2131" spans="1:4" x14ac:dyDescent="0.45">
      <c r="A2131">
        <v>354</v>
      </c>
      <c r="B2131">
        <f t="shared" ca="1" si="33"/>
        <v>180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1" t="str">
        <f ca="1">IF(dict_zuord_Meth_Transfers[[#This Row],[kval_active]],dict_zuord_Meth_Transfers[[#This Row],[ID_Transfers]],"")</f>
        <v/>
      </c>
    </row>
    <row r="2132" spans="1:4" x14ac:dyDescent="0.45">
      <c r="A2132">
        <v>355</v>
      </c>
      <c r="B2132" s="3">
        <f t="shared" ca="1" si="33"/>
        <v>53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2" t="str">
        <f ca="1">IF(dict_zuord_Meth_Transfers[[#This Row],[kval_active]],dict_zuord_Meth_Transfers[[#This Row],[ID_Transfers]],"")</f>
        <v/>
      </c>
    </row>
    <row r="2133" spans="1:4" x14ac:dyDescent="0.45">
      <c r="A2133">
        <v>355</v>
      </c>
      <c r="B2133">
        <f t="shared" ca="1" si="33"/>
        <v>134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3" t="str">
        <f ca="1">IF(dict_zuord_Meth_Transfers[[#This Row],[kval_active]],dict_zuord_Meth_Transfers[[#This Row],[ID_Transfers]],"")</f>
        <v/>
      </c>
    </row>
    <row r="2134" spans="1:4" x14ac:dyDescent="0.45">
      <c r="A2134">
        <v>355</v>
      </c>
      <c r="B2134">
        <f t="shared" ca="1" si="33"/>
        <v>131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4" t="str">
        <f ca="1">IF(dict_zuord_Meth_Transfers[[#This Row],[kval_active]],dict_zuord_Meth_Transfers[[#This Row],[ID_Transfers]],"")</f>
        <v/>
      </c>
    </row>
    <row r="2135" spans="1:4" x14ac:dyDescent="0.45">
      <c r="A2135">
        <v>355</v>
      </c>
      <c r="B2135">
        <f t="shared" ca="1" si="33"/>
        <v>28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5" t="str">
        <f ca="1">IF(dict_zuord_Meth_Transfers[[#This Row],[kval_active]],dict_zuord_Meth_Transfers[[#This Row],[ID_Transfers]],"")</f>
        <v/>
      </c>
    </row>
    <row r="2136" spans="1:4" x14ac:dyDescent="0.45">
      <c r="A2136">
        <v>355</v>
      </c>
      <c r="B2136" s="3">
        <f t="shared" ca="1" si="33"/>
        <v>76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6" t="str">
        <f ca="1">IF(dict_zuord_Meth_Transfers[[#This Row],[kval_active]],dict_zuord_Meth_Transfers[[#This Row],[ID_Transfers]],"")</f>
        <v/>
      </c>
    </row>
    <row r="2137" spans="1:4" x14ac:dyDescent="0.45">
      <c r="A2137">
        <v>355</v>
      </c>
      <c r="B2137" s="3">
        <f t="shared" ca="1" si="33"/>
        <v>152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7" t="str">
        <f ca="1">IF(dict_zuord_Meth_Transfers[[#This Row],[kval_active]],dict_zuord_Meth_Transfers[[#This Row],[ID_Transfers]],"")</f>
        <v/>
      </c>
    </row>
    <row r="2138" spans="1:4" x14ac:dyDescent="0.45">
      <c r="A2138">
        <v>356</v>
      </c>
      <c r="B2138" s="3">
        <f t="shared" ca="1" si="33"/>
        <v>87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8" t="str">
        <f ca="1">IF(dict_zuord_Meth_Transfers[[#This Row],[kval_active]],dict_zuord_Meth_Transfers[[#This Row],[ID_Transfers]],"")</f>
        <v/>
      </c>
    </row>
    <row r="2139" spans="1:4" x14ac:dyDescent="0.45">
      <c r="A2139">
        <v>356</v>
      </c>
      <c r="B2139">
        <f t="shared" ca="1" si="33"/>
        <v>31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9" t="str">
        <f ca="1">IF(dict_zuord_Meth_Transfers[[#This Row],[kval_active]],dict_zuord_Meth_Transfers[[#This Row],[ID_Transfers]],"")</f>
        <v/>
      </c>
    </row>
    <row r="2140" spans="1:4" x14ac:dyDescent="0.45">
      <c r="A2140">
        <v>356</v>
      </c>
      <c r="B2140">
        <f t="shared" ca="1" si="33"/>
        <v>196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0" t="str">
        <f ca="1">IF(dict_zuord_Meth_Transfers[[#This Row],[kval_active]],dict_zuord_Meth_Transfers[[#This Row],[ID_Transfers]],"")</f>
        <v/>
      </c>
    </row>
    <row r="2141" spans="1:4" x14ac:dyDescent="0.45">
      <c r="A2141">
        <v>356</v>
      </c>
      <c r="B2141" s="3">
        <f t="shared" ca="1" si="33"/>
        <v>133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1" t="str">
        <f ca="1">IF(dict_zuord_Meth_Transfers[[#This Row],[kval_active]],dict_zuord_Meth_Transfers[[#This Row],[ID_Transfers]],"")</f>
        <v/>
      </c>
    </row>
    <row r="2142" spans="1:4" x14ac:dyDescent="0.45">
      <c r="A2142">
        <v>356</v>
      </c>
      <c r="B2142" s="3">
        <f t="shared" ca="1" si="33"/>
        <v>113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2" t="str">
        <f ca="1">IF(dict_zuord_Meth_Transfers[[#This Row],[kval_active]],dict_zuord_Meth_Transfers[[#This Row],[ID_Transfers]],"")</f>
        <v/>
      </c>
    </row>
    <row r="2143" spans="1:4" x14ac:dyDescent="0.45">
      <c r="A2143">
        <v>356</v>
      </c>
      <c r="B2143">
        <f t="shared" ca="1" si="33"/>
        <v>140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3" t="str">
        <f ca="1">IF(dict_zuord_Meth_Transfers[[#This Row],[kval_active]],dict_zuord_Meth_Transfers[[#This Row],[ID_Transfers]],"")</f>
        <v/>
      </c>
    </row>
    <row r="2144" spans="1:4" x14ac:dyDescent="0.45">
      <c r="A2144">
        <v>357</v>
      </c>
      <c r="B2144">
        <f t="shared" ca="1" si="33"/>
        <v>69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4" t="str">
        <f ca="1">IF(dict_zuord_Meth_Transfers[[#This Row],[kval_active]],dict_zuord_Meth_Transfers[[#This Row],[ID_Transfers]],"")</f>
        <v/>
      </c>
    </row>
    <row r="2145" spans="1:4" x14ac:dyDescent="0.45">
      <c r="A2145">
        <v>357</v>
      </c>
      <c r="B2145">
        <f t="shared" ca="1" si="33"/>
        <v>92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5" t="str">
        <f ca="1">IF(dict_zuord_Meth_Transfers[[#This Row],[kval_active]],dict_zuord_Meth_Transfers[[#This Row],[ID_Transfers]],"")</f>
        <v/>
      </c>
    </row>
    <row r="2146" spans="1:4" x14ac:dyDescent="0.45">
      <c r="A2146">
        <v>357</v>
      </c>
      <c r="B2146">
        <f t="shared" ca="1" si="33"/>
        <v>64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6" t="str">
        <f ca="1">IF(dict_zuord_Meth_Transfers[[#This Row],[kval_active]],dict_zuord_Meth_Transfers[[#This Row],[ID_Transfers]],"")</f>
        <v/>
      </c>
    </row>
    <row r="2147" spans="1:4" x14ac:dyDescent="0.45">
      <c r="A2147">
        <v>357</v>
      </c>
      <c r="B2147" s="3">
        <f t="shared" ca="1" si="33"/>
        <v>109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7" t="str">
        <f ca="1">IF(dict_zuord_Meth_Transfers[[#This Row],[kval_active]],dict_zuord_Meth_Transfers[[#This Row],[ID_Transfers]],"")</f>
        <v/>
      </c>
    </row>
    <row r="2148" spans="1:4" x14ac:dyDescent="0.45">
      <c r="A2148">
        <v>357</v>
      </c>
      <c r="B2148" s="3">
        <f t="shared" ca="1" si="33"/>
        <v>102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8" t="str">
        <f ca="1">IF(dict_zuord_Meth_Transfers[[#This Row],[kval_active]],dict_zuord_Meth_Transfers[[#This Row],[ID_Transfers]],"")</f>
        <v/>
      </c>
    </row>
    <row r="2149" spans="1:4" x14ac:dyDescent="0.45">
      <c r="A2149">
        <v>357</v>
      </c>
      <c r="B2149" s="3">
        <f t="shared" ca="1" si="33"/>
        <v>134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9" t="str">
        <f ca="1">IF(dict_zuord_Meth_Transfers[[#This Row],[kval_active]],dict_zuord_Meth_Transfers[[#This Row],[ID_Transfers]],"")</f>
        <v/>
      </c>
    </row>
    <row r="2150" spans="1:4" x14ac:dyDescent="0.45">
      <c r="A2150">
        <v>358</v>
      </c>
      <c r="B2150" s="3">
        <f t="shared" ca="1" si="33"/>
        <v>78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0" t="str">
        <f ca="1">IF(dict_zuord_Meth_Transfers[[#This Row],[kval_active]],dict_zuord_Meth_Transfers[[#This Row],[ID_Transfers]],"")</f>
        <v/>
      </c>
    </row>
    <row r="2151" spans="1:4" x14ac:dyDescent="0.45">
      <c r="A2151">
        <v>358</v>
      </c>
      <c r="B2151" s="3">
        <f t="shared" ca="1" si="33"/>
        <v>84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1" t="str">
        <f ca="1">IF(dict_zuord_Meth_Transfers[[#This Row],[kval_active]],dict_zuord_Meth_Transfers[[#This Row],[ID_Transfers]],"")</f>
        <v/>
      </c>
    </row>
    <row r="2152" spans="1:4" x14ac:dyDescent="0.45">
      <c r="A2152">
        <v>358</v>
      </c>
      <c r="B2152">
        <f t="shared" ca="1" si="33"/>
        <v>170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2" t="str">
        <f ca="1">IF(dict_zuord_Meth_Transfers[[#This Row],[kval_active]],dict_zuord_Meth_Transfers[[#This Row],[ID_Transfers]],"")</f>
        <v/>
      </c>
    </row>
    <row r="2153" spans="1:4" x14ac:dyDescent="0.45">
      <c r="A2153">
        <v>358</v>
      </c>
      <c r="B2153" s="3">
        <f t="shared" ca="1" si="33"/>
        <v>66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3" t="str">
        <f ca="1">IF(dict_zuord_Meth_Transfers[[#This Row],[kval_active]],dict_zuord_Meth_Transfers[[#This Row],[ID_Transfers]],"")</f>
        <v/>
      </c>
    </row>
    <row r="2154" spans="1:4" x14ac:dyDescent="0.45">
      <c r="A2154">
        <v>358</v>
      </c>
      <c r="B2154">
        <f t="shared" ca="1" si="33"/>
        <v>7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4" t="str">
        <f ca="1">IF(dict_zuord_Meth_Transfers[[#This Row],[kval_active]],dict_zuord_Meth_Transfers[[#This Row],[ID_Transfers]],"")</f>
        <v/>
      </c>
    </row>
    <row r="2155" spans="1:4" x14ac:dyDescent="0.45">
      <c r="A2155">
        <v>358</v>
      </c>
      <c r="B2155">
        <f t="shared" ca="1" si="33"/>
        <v>93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5" t="str">
        <f ca="1">IF(dict_zuord_Meth_Transfers[[#This Row],[kval_active]],dict_zuord_Meth_Transfers[[#This Row],[ID_Transfers]],"")</f>
        <v/>
      </c>
    </row>
    <row r="2156" spans="1:4" x14ac:dyDescent="0.45">
      <c r="A2156">
        <v>359</v>
      </c>
      <c r="B2156">
        <f t="shared" ca="1" si="33"/>
        <v>35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6" t="str">
        <f ca="1">IF(dict_zuord_Meth_Transfers[[#This Row],[kval_active]],dict_zuord_Meth_Transfers[[#This Row],[ID_Transfers]],"")</f>
        <v/>
      </c>
    </row>
    <row r="2157" spans="1:4" x14ac:dyDescent="0.45">
      <c r="A2157">
        <v>359</v>
      </c>
      <c r="B2157">
        <f t="shared" ca="1" si="33"/>
        <v>68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7" t="str">
        <f ca="1">IF(dict_zuord_Meth_Transfers[[#This Row],[kval_active]],dict_zuord_Meth_Transfers[[#This Row],[ID_Transfers]],"")</f>
        <v/>
      </c>
    </row>
    <row r="2158" spans="1:4" x14ac:dyDescent="0.45">
      <c r="A2158">
        <v>359</v>
      </c>
      <c r="B2158" s="3">
        <f t="shared" ca="1" si="33"/>
        <v>1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8" t="str">
        <f ca="1">IF(dict_zuord_Meth_Transfers[[#This Row],[kval_active]],dict_zuord_Meth_Transfers[[#This Row],[ID_Transfers]],"")</f>
        <v/>
      </c>
    </row>
    <row r="2159" spans="1:4" x14ac:dyDescent="0.45">
      <c r="A2159">
        <v>359</v>
      </c>
      <c r="B2159" s="3">
        <f t="shared" ca="1" si="33"/>
        <v>6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9" t="str">
        <f ca="1">IF(dict_zuord_Meth_Transfers[[#This Row],[kval_active]],dict_zuord_Meth_Transfers[[#This Row],[ID_Transfers]],"")</f>
        <v/>
      </c>
    </row>
    <row r="2160" spans="1:4" x14ac:dyDescent="0.45">
      <c r="A2160">
        <v>359</v>
      </c>
      <c r="B2160" s="3">
        <f t="shared" ca="1" si="33"/>
        <v>123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0" t="str">
        <f ca="1">IF(dict_zuord_Meth_Transfers[[#This Row],[kval_active]],dict_zuord_Meth_Transfers[[#This Row],[ID_Transfers]],"")</f>
        <v/>
      </c>
    </row>
    <row r="2161" spans="1:4" x14ac:dyDescent="0.45">
      <c r="A2161">
        <v>359</v>
      </c>
      <c r="B2161">
        <f t="shared" ca="1" si="33"/>
        <v>140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1" t="str">
        <f ca="1">IF(dict_zuord_Meth_Transfers[[#This Row],[kval_active]],dict_zuord_Meth_Transfers[[#This Row],[ID_Transfers]],"")</f>
        <v/>
      </c>
    </row>
    <row r="2162" spans="1:4" x14ac:dyDescent="0.45">
      <c r="A2162">
        <v>360</v>
      </c>
      <c r="B2162">
        <f t="shared" ca="1" si="33"/>
        <v>26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2" t="str">
        <f ca="1">IF(dict_zuord_Meth_Transfers[[#This Row],[kval_active]],dict_zuord_Meth_Transfers[[#This Row],[ID_Transfers]],"")</f>
        <v/>
      </c>
    </row>
    <row r="2163" spans="1:4" x14ac:dyDescent="0.45">
      <c r="A2163">
        <v>360</v>
      </c>
      <c r="B2163" s="3">
        <f t="shared" ca="1" si="33"/>
        <v>3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3" t="str">
        <f ca="1">IF(dict_zuord_Meth_Transfers[[#This Row],[kval_active]],dict_zuord_Meth_Transfers[[#This Row],[ID_Transfers]],"")</f>
        <v/>
      </c>
    </row>
    <row r="2164" spans="1:4" x14ac:dyDescent="0.45">
      <c r="A2164">
        <v>360</v>
      </c>
      <c r="B2164">
        <f t="shared" ca="1" si="33"/>
        <v>50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4" t="str">
        <f ca="1">IF(dict_zuord_Meth_Transfers[[#This Row],[kval_active]],dict_zuord_Meth_Transfers[[#This Row],[ID_Transfers]],"")</f>
        <v/>
      </c>
    </row>
    <row r="2165" spans="1:4" x14ac:dyDescent="0.45">
      <c r="A2165">
        <v>360</v>
      </c>
      <c r="B2165">
        <f t="shared" ca="1" si="33"/>
        <v>13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5" t="str">
        <f ca="1">IF(dict_zuord_Meth_Transfers[[#This Row],[kval_active]],dict_zuord_Meth_Transfers[[#This Row],[ID_Transfers]],"")</f>
        <v/>
      </c>
    </row>
    <row r="2166" spans="1:4" x14ac:dyDescent="0.45">
      <c r="A2166">
        <v>360</v>
      </c>
      <c r="B2166" s="3">
        <f t="shared" ca="1" si="33"/>
        <v>40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6" t="str">
        <f ca="1">IF(dict_zuord_Meth_Transfers[[#This Row],[kval_active]],dict_zuord_Meth_Transfers[[#This Row],[ID_Transfers]],"")</f>
        <v/>
      </c>
    </row>
    <row r="2167" spans="1:4" x14ac:dyDescent="0.45">
      <c r="A2167">
        <v>360</v>
      </c>
      <c r="B2167" s="3">
        <f t="shared" ca="1" si="33"/>
        <v>122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7" t="str">
        <f ca="1">IF(dict_zuord_Meth_Transfers[[#This Row],[kval_active]],dict_zuord_Meth_Transfers[[#This Row],[ID_Transfers]],"")</f>
        <v/>
      </c>
    </row>
    <row r="2168" spans="1:4" x14ac:dyDescent="0.45">
      <c r="A2168">
        <v>361</v>
      </c>
      <c r="B2168">
        <f t="shared" ca="1" si="33"/>
        <v>66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8" t="str">
        <f ca="1">IF(dict_zuord_Meth_Transfers[[#This Row],[kval_active]],dict_zuord_Meth_Transfers[[#This Row],[ID_Transfers]],"")</f>
        <v/>
      </c>
    </row>
    <row r="2169" spans="1:4" x14ac:dyDescent="0.45">
      <c r="A2169">
        <v>361</v>
      </c>
      <c r="B2169" s="3">
        <f t="shared" ca="1" si="33"/>
        <v>78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9" t="str">
        <f ca="1">IF(dict_zuord_Meth_Transfers[[#This Row],[kval_active]],dict_zuord_Meth_Transfers[[#This Row],[ID_Transfers]],"")</f>
        <v/>
      </c>
    </row>
    <row r="2170" spans="1:4" x14ac:dyDescent="0.45">
      <c r="A2170">
        <v>361</v>
      </c>
      <c r="B2170" s="3">
        <f t="shared" ca="1" si="33"/>
        <v>100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0" t="str">
        <f ca="1">IF(dict_zuord_Meth_Transfers[[#This Row],[kval_active]],dict_zuord_Meth_Transfers[[#This Row],[ID_Transfers]],"")</f>
        <v/>
      </c>
    </row>
    <row r="2171" spans="1:4" x14ac:dyDescent="0.45">
      <c r="A2171">
        <v>361</v>
      </c>
      <c r="B2171" s="3">
        <f t="shared" ca="1" si="33"/>
        <v>37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1" t="str">
        <f ca="1">IF(dict_zuord_Meth_Transfers[[#This Row],[kval_active]],dict_zuord_Meth_Transfers[[#This Row],[ID_Transfers]],"")</f>
        <v/>
      </c>
    </row>
    <row r="2172" spans="1:4" x14ac:dyDescent="0.45">
      <c r="A2172">
        <v>361</v>
      </c>
      <c r="B2172">
        <f t="shared" ca="1" si="33"/>
        <v>135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2" t="str">
        <f ca="1">IF(dict_zuord_Meth_Transfers[[#This Row],[kval_active]],dict_zuord_Meth_Transfers[[#This Row],[ID_Transfers]],"")</f>
        <v/>
      </c>
    </row>
    <row r="2173" spans="1:4" x14ac:dyDescent="0.45">
      <c r="A2173">
        <v>361</v>
      </c>
      <c r="B2173">
        <f t="shared" ca="1" si="33"/>
        <v>185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3" t="str">
        <f ca="1">IF(dict_zuord_Meth_Transfers[[#This Row],[kval_active]],dict_zuord_Meth_Transfers[[#This Row],[ID_Transfers]],"")</f>
        <v/>
      </c>
    </row>
    <row r="2174" spans="1:4" x14ac:dyDescent="0.45">
      <c r="A2174">
        <v>362</v>
      </c>
      <c r="B2174" s="3">
        <f t="shared" ca="1" si="33"/>
        <v>151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4" t="str">
        <f ca="1">IF(dict_zuord_Meth_Transfers[[#This Row],[kval_active]],dict_zuord_Meth_Transfers[[#This Row],[ID_Transfers]],"")</f>
        <v/>
      </c>
    </row>
    <row r="2175" spans="1:4" x14ac:dyDescent="0.45">
      <c r="A2175">
        <v>362</v>
      </c>
      <c r="B2175" s="3">
        <f t="shared" ca="1" si="33"/>
        <v>19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5" t="str">
        <f ca="1">IF(dict_zuord_Meth_Transfers[[#This Row],[kval_active]],dict_zuord_Meth_Transfers[[#This Row],[ID_Transfers]],"")</f>
        <v/>
      </c>
    </row>
    <row r="2176" spans="1:4" x14ac:dyDescent="0.45">
      <c r="A2176">
        <v>362</v>
      </c>
      <c r="B2176">
        <f t="shared" ca="1" si="33"/>
        <v>45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6" t="str">
        <f ca="1">IF(dict_zuord_Meth_Transfers[[#This Row],[kval_active]],dict_zuord_Meth_Transfers[[#This Row],[ID_Transfers]],"")</f>
        <v/>
      </c>
    </row>
    <row r="2177" spans="1:4" x14ac:dyDescent="0.45">
      <c r="A2177">
        <v>362</v>
      </c>
      <c r="B2177">
        <f t="shared" ca="1" si="33"/>
        <v>161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7" t="str">
        <f ca="1">IF(dict_zuord_Meth_Transfers[[#This Row],[kval_active]],dict_zuord_Meth_Transfers[[#This Row],[ID_Transfers]],"")</f>
        <v/>
      </c>
    </row>
    <row r="2178" spans="1:4" x14ac:dyDescent="0.45">
      <c r="A2178">
        <v>362</v>
      </c>
      <c r="B2178">
        <f t="shared" ref="B2178:B2241" ca="1" si="34">RANDBETWEEN(0,200)</f>
        <v>69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8" t="str">
        <f ca="1">IF(dict_zuord_Meth_Transfers[[#This Row],[kval_active]],dict_zuord_Meth_Transfers[[#This Row],[ID_Transfers]],"")</f>
        <v/>
      </c>
    </row>
    <row r="2179" spans="1:4" x14ac:dyDescent="0.45">
      <c r="A2179">
        <v>362</v>
      </c>
      <c r="B2179" s="3">
        <f t="shared" ca="1" si="34"/>
        <v>103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9" t="str">
        <f ca="1">IF(dict_zuord_Meth_Transfers[[#This Row],[kval_active]],dict_zuord_Meth_Transfers[[#This Row],[ID_Transfers]],"")</f>
        <v/>
      </c>
    </row>
    <row r="2180" spans="1:4" x14ac:dyDescent="0.45">
      <c r="A2180">
        <v>363</v>
      </c>
      <c r="B2180" s="3">
        <f t="shared" ca="1" si="34"/>
        <v>162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0" t="str">
        <f ca="1">IF(dict_zuord_Meth_Transfers[[#This Row],[kval_active]],dict_zuord_Meth_Transfers[[#This Row],[ID_Transfers]],"")</f>
        <v/>
      </c>
    </row>
    <row r="2181" spans="1:4" x14ac:dyDescent="0.45">
      <c r="A2181">
        <v>363</v>
      </c>
      <c r="B2181" s="3">
        <f t="shared" ca="1" si="34"/>
        <v>164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1" t="str">
        <f ca="1">IF(dict_zuord_Meth_Transfers[[#This Row],[kval_active]],dict_zuord_Meth_Transfers[[#This Row],[ID_Transfers]],"")</f>
        <v/>
      </c>
    </row>
    <row r="2182" spans="1:4" x14ac:dyDescent="0.45">
      <c r="A2182">
        <v>363</v>
      </c>
      <c r="B2182">
        <f t="shared" ca="1" si="34"/>
        <v>77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2" t="str">
        <f ca="1">IF(dict_zuord_Meth_Transfers[[#This Row],[kval_active]],dict_zuord_Meth_Transfers[[#This Row],[ID_Transfers]],"")</f>
        <v/>
      </c>
    </row>
    <row r="2183" spans="1:4" x14ac:dyDescent="0.45">
      <c r="A2183">
        <v>363</v>
      </c>
      <c r="B2183" s="3">
        <f t="shared" ca="1" si="34"/>
        <v>197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3" t="str">
        <f ca="1">IF(dict_zuord_Meth_Transfers[[#This Row],[kval_active]],dict_zuord_Meth_Transfers[[#This Row],[ID_Transfers]],"")</f>
        <v/>
      </c>
    </row>
    <row r="2184" spans="1:4" x14ac:dyDescent="0.45">
      <c r="A2184">
        <v>363</v>
      </c>
      <c r="B2184">
        <f t="shared" ca="1" si="34"/>
        <v>183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4" t="str">
        <f ca="1">IF(dict_zuord_Meth_Transfers[[#This Row],[kval_active]],dict_zuord_Meth_Transfers[[#This Row],[ID_Transfers]],"")</f>
        <v/>
      </c>
    </row>
    <row r="2185" spans="1:4" x14ac:dyDescent="0.45">
      <c r="A2185">
        <v>363</v>
      </c>
      <c r="B2185">
        <f t="shared" ca="1" si="34"/>
        <v>105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5" t="str">
        <f ca="1">IF(dict_zuord_Meth_Transfers[[#This Row],[kval_active]],dict_zuord_Meth_Transfers[[#This Row],[ID_Transfers]],"")</f>
        <v/>
      </c>
    </row>
    <row r="2186" spans="1:4" x14ac:dyDescent="0.45">
      <c r="A2186">
        <v>364</v>
      </c>
      <c r="B2186" s="3">
        <f t="shared" ca="1" si="34"/>
        <v>88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6">
        <f ca="1">IF(dict_zuord_Meth_Transfers[[#This Row],[kval_active]],dict_zuord_Meth_Transfers[[#This Row],[ID_Transfers]],"")</f>
        <v>88</v>
      </c>
    </row>
    <row r="2187" spans="1:4" x14ac:dyDescent="0.45">
      <c r="A2187">
        <v>364</v>
      </c>
      <c r="B2187">
        <f t="shared" ca="1" si="34"/>
        <v>50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7">
        <f ca="1">IF(dict_zuord_Meth_Transfers[[#This Row],[kval_active]],dict_zuord_Meth_Transfers[[#This Row],[ID_Transfers]],"")</f>
        <v>50</v>
      </c>
    </row>
    <row r="2188" spans="1:4" x14ac:dyDescent="0.45">
      <c r="A2188">
        <v>364</v>
      </c>
      <c r="B2188">
        <f t="shared" ca="1" si="34"/>
        <v>78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8">
        <f ca="1">IF(dict_zuord_Meth_Transfers[[#This Row],[kval_active]],dict_zuord_Meth_Transfers[[#This Row],[ID_Transfers]],"")</f>
        <v>78</v>
      </c>
    </row>
    <row r="2189" spans="1:4" x14ac:dyDescent="0.45">
      <c r="A2189">
        <v>364</v>
      </c>
      <c r="B2189" s="3">
        <f t="shared" ca="1" si="34"/>
        <v>46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9">
        <f ca="1">IF(dict_zuord_Meth_Transfers[[#This Row],[kval_active]],dict_zuord_Meth_Transfers[[#This Row],[ID_Transfers]],"")</f>
        <v>46</v>
      </c>
    </row>
    <row r="2190" spans="1:4" x14ac:dyDescent="0.45">
      <c r="A2190">
        <v>364</v>
      </c>
      <c r="B2190">
        <f t="shared" ca="1" si="34"/>
        <v>12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0">
        <f ca="1">IF(dict_zuord_Meth_Transfers[[#This Row],[kval_active]],dict_zuord_Meth_Transfers[[#This Row],[ID_Transfers]],"")</f>
        <v>12</v>
      </c>
    </row>
    <row r="2191" spans="1:4" x14ac:dyDescent="0.45">
      <c r="A2191">
        <v>364</v>
      </c>
      <c r="B2191" s="3">
        <f t="shared" ca="1" si="34"/>
        <v>124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1">
        <f ca="1">IF(dict_zuord_Meth_Transfers[[#This Row],[kval_active]],dict_zuord_Meth_Transfers[[#This Row],[ID_Transfers]],"")</f>
        <v>124</v>
      </c>
    </row>
    <row r="2192" spans="1:4" x14ac:dyDescent="0.45">
      <c r="A2192">
        <v>365</v>
      </c>
      <c r="B2192">
        <f t="shared" ca="1" si="34"/>
        <v>21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2">
        <f ca="1">IF(dict_zuord_Meth_Transfers[[#This Row],[kval_active]],dict_zuord_Meth_Transfers[[#This Row],[ID_Transfers]],"")</f>
        <v>21</v>
      </c>
    </row>
    <row r="2193" spans="1:4" x14ac:dyDescent="0.45">
      <c r="A2193">
        <v>365</v>
      </c>
      <c r="B2193">
        <f t="shared" ca="1" si="34"/>
        <v>8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3">
        <f ca="1">IF(dict_zuord_Meth_Transfers[[#This Row],[kval_active]],dict_zuord_Meth_Transfers[[#This Row],[ID_Transfers]],"")</f>
        <v>8</v>
      </c>
    </row>
    <row r="2194" spans="1:4" x14ac:dyDescent="0.45">
      <c r="A2194">
        <v>365</v>
      </c>
      <c r="B2194" s="3">
        <f t="shared" ca="1" si="34"/>
        <v>31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4">
        <f ca="1">IF(dict_zuord_Meth_Transfers[[#This Row],[kval_active]],dict_zuord_Meth_Transfers[[#This Row],[ID_Transfers]],"")</f>
        <v>31</v>
      </c>
    </row>
    <row r="2195" spans="1:4" x14ac:dyDescent="0.45">
      <c r="A2195">
        <v>365</v>
      </c>
      <c r="B2195">
        <f t="shared" ca="1" si="34"/>
        <v>12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5">
        <f ca="1">IF(dict_zuord_Meth_Transfers[[#This Row],[kval_active]],dict_zuord_Meth_Transfers[[#This Row],[ID_Transfers]],"")</f>
        <v>12</v>
      </c>
    </row>
    <row r="2196" spans="1:4" x14ac:dyDescent="0.45">
      <c r="A2196">
        <v>365</v>
      </c>
      <c r="B2196" s="3">
        <f t="shared" ca="1" si="34"/>
        <v>0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6">
        <f ca="1">IF(dict_zuord_Meth_Transfers[[#This Row],[kval_active]],dict_zuord_Meth_Transfers[[#This Row],[ID_Transfers]],"")</f>
        <v>0</v>
      </c>
    </row>
    <row r="2197" spans="1:4" x14ac:dyDescent="0.45">
      <c r="A2197">
        <v>365</v>
      </c>
      <c r="B2197" s="3">
        <f t="shared" ca="1" si="34"/>
        <v>61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7">
        <f ca="1">IF(dict_zuord_Meth_Transfers[[#This Row],[kval_active]],dict_zuord_Meth_Transfers[[#This Row],[ID_Transfers]],"")</f>
        <v>61</v>
      </c>
    </row>
    <row r="2198" spans="1:4" x14ac:dyDescent="0.45">
      <c r="A2198">
        <v>366</v>
      </c>
      <c r="B2198" s="3">
        <f t="shared" ca="1" si="34"/>
        <v>75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8" t="str">
        <f ca="1">IF(dict_zuord_Meth_Transfers[[#This Row],[kval_active]],dict_zuord_Meth_Transfers[[#This Row],[ID_Transfers]],"")</f>
        <v/>
      </c>
    </row>
    <row r="2199" spans="1:4" x14ac:dyDescent="0.45">
      <c r="A2199">
        <v>366</v>
      </c>
      <c r="B2199" s="3">
        <f t="shared" ca="1" si="34"/>
        <v>168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9" t="str">
        <f ca="1">IF(dict_zuord_Meth_Transfers[[#This Row],[kval_active]],dict_zuord_Meth_Transfers[[#This Row],[ID_Transfers]],"")</f>
        <v/>
      </c>
    </row>
    <row r="2200" spans="1:4" x14ac:dyDescent="0.45">
      <c r="A2200">
        <v>366</v>
      </c>
      <c r="B2200">
        <f t="shared" ca="1" si="34"/>
        <v>40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0" t="str">
        <f ca="1">IF(dict_zuord_Meth_Transfers[[#This Row],[kval_active]],dict_zuord_Meth_Transfers[[#This Row],[ID_Transfers]],"")</f>
        <v/>
      </c>
    </row>
    <row r="2201" spans="1:4" x14ac:dyDescent="0.45">
      <c r="A2201">
        <v>366</v>
      </c>
      <c r="B2201" s="3">
        <f t="shared" ca="1" si="34"/>
        <v>183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1" t="str">
        <f ca="1">IF(dict_zuord_Meth_Transfers[[#This Row],[kval_active]],dict_zuord_Meth_Transfers[[#This Row],[ID_Transfers]],"")</f>
        <v/>
      </c>
    </row>
    <row r="2202" spans="1:4" x14ac:dyDescent="0.45">
      <c r="A2202">
        <v>366</v>
      </c>
      <c r="B2202">
        <f t="shared" ca="1" si="34"/>
        <v>167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2" t="str">
        <f ca="1">IF(dict_zuord_Meth_Transfers[[#This Row],[kval_active]],dict_zuord_Meth_Transfers[[#This Row],[ID_Transfers]],"")</f>
        <v/>
      </c>
    </row>
    <row r="2203" spans="1:4" x14ac:dyDescent="0.45">
      <c r="A2203">
        <v>366</v>
      </c>
      <c r="B2203">
        <f t="shared" ca="1" si="34"/>
        <v>153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3" t="str">
        <f ca="1">IF(dict_zuord_Meth_Transfers[[#This Row],[kval_active]],dict_zuord_Meth_Transfers[[#This Row],[ID_Transfers]],"")</f>
        <v/>
      </c>
    </row>
    <row r="2204" spans="1:4" x14ac:dyDescent="0.45">
      <c r="A2204">
        <v>367</v>
      </c>
      <c r="B2204" s="3">
        <f t="shared" ca="1" si="34"/>
        <v>81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4" t="str">
        <f ca="1">IF(dict_zuord_Meth_Transfers[[#This Row],[kval_active]],dict_zuord_Meth_Transfers[[#This Row],[ID_Transfers]],"")</f>
        <v/>
      </c>
    </row>
    <row r="2205" spans="1:4" x14ac:dyDescent="0.45">
      <c r="A2205">
        <v>367</v>
      </c>
      <c r="B2205">
        <f t="shared" ca="1" si="34"/>
        <v>101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5" t="str">
        <f ca="1">IF(dict_zuord_Meth_Transfers[[#This Row],[kval_active]],dict_zuord_Meth_Transfers[[#This Row],[ID_Transfers]],"")</f>
        <v/>
      </c>
    </row>
    <row r="2206" spans="1:4" x14ac:dyDescent="0.45">
      <c r="A2206">
        <v>367</v>
      </c>
      <c r="B2206" s="3">
        <f t="shared" ca="1" si="34"/>
        <v>22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6" t="str">
        <f ca="1">IF(dict_zuord_Meth_Transfers[[#This Row],[kval_active]],dict_zuord_Meth_Transfers[[#This Row],[ID_Transfers]],"")</f>
        <v/>
      </c>
    </row>
    <row r="2207" spans="1:4" x14ac:dyDescent="0.45">
      <c r="A2207">
        <v>367</v>
      </c>
      <c r="B2207">
        <f t="shared" ca="1" si="34"/>
        <v>121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7" t="str">
        <f ca="1">IF(dict_zuord_Meth_Transfers[[#This Row],[kval_active]],dict_zuord_Meth_Transfers[[#This Row],[ID_Transfers]],"")</f>
        <v/>
      </c>
    </row>
    <row r="2208" spans="1:4" x14ac:dyDescent="0.45">
      <c r="A2208">
        <v>367</v>
      </c>
      <c r="B2208">
        <f t="shared" ca="1" si="34"/>
        <v>28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8" t="str">
        <f ca="1">IF(dict_zuord_Meth_Transfers[[#This Row],[kval_active]],dict_zuord_Meth_Transfers[[#This Row],[ID_Transfers]],"")</f>
        <v/>
      </c>
    </row>
    <row r="2209" spans="1:4" x14ac:dyDescent="0.45">
      <c r="A2209">
        <v>367</v>
      </c>
      <c r="B2209" s="3">
        <f t="shared" ca="1" si="34"/>
        <v>161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9" t="str">
        <f ca="1">IF(dict_zuord_Meth_Transfers[[#This Row],[kval_active]],dict_zuord_Meth_Transfers[[#This Row],[ID_Transfers]],"")</f>
        <v/>
      </c>
    </row>
    <row r="2210" spans="1:4" x14ac:dyDescent="0.45">
      <c r="A2210">
        <v>368</v>
      </c>
      <c r="B2210">
        <f t="shared" ca="1" si="34"/>
        <v>43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0" t="str">
        <f ca="1">IF(dict_zuord_Meth_Transfers[[#This Row],[kval_active]],dict_zuord_Meth_Transfers[[#This Row],[ID_Transfers]],"")</f>
        <v/>
      </c>
    </row>
    <row r="2211" spans="1:4" x14ac:dyDescent="0.45">
      <c r="A2211">
        <v>368</v>
      </c>
      <c r="B2211" s="3">
        <f t="shared" ca="1" si="34"/>
        <v>148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1" t="str">
        <f ca="1">IF(dict_zuord_Meth_Transfers[[#This Row],[kval_active]],dict_zuord_Meth_Transfers[[#This Row],[ID_Transfers]],"")</f>
        <v/>
      </c>
    </row>
    <row r="2212" spans="1:4" x14ac:dyDescent="0.45">
      <c r="A2212">
        <v>368</v>
      </c>
      <c r="B2212" s="3">
        <f t="shared" ca="1" si="34"/>
        <v>121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2" t="str">
        <f ca="1">IF(dict_zuord_Meth_Transfers[[#This Row],[kval_active]],dict_zuord_Meth_Transfers[[#This Row],[ID_Transfers]],"")</f>
        <v/>
      </c>
    </row>
    <row r="2213" spans="1:4" x14ac:dyDescent="0.45">
      <c r="A2213">
        <v>368</v>
      </c>
      <c r="B2213">
        <f t="shared" ca="1" si="34"/>
        <v>153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3" t="str">
        <f ca="1">IF(dict_zuord_Meth_Transfers[[#This Row],[kval_active]],dict_zuord_Meth_Transfers[[#This Row],[ID_Transfers]],"")</f>
        <v/>
      </c>
    </row>
    <row r="2214" spans="1:4" x14ac:dyDescent="0.45">
      <c r="A2214">
        <v>368</v>
      </c>
      <c r="B2214">
        <f t="shared" ca="1" si="34"/>
        <v>138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4" t="str">
        <f ca="1">IF(dict_zuord_Meth_Transfers[[#This Row],[kval_active]],dict_zuord_Meth_Transfers[[#This Row],[ID_Transfers]],"")</f>
        <v/>
      </c>
    </row>
    <row r="2215" spans="1:4" x14ac:dyDescent="0.45">
      <c r="A2215">
        <v>368</v>
      </c>
      <c r="B2215" s="3">
        <f t="shared" ca="1" si="34"/>
        <v>40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5" t="str">
        <f ca="1">IF(dict_zuord_Meth_Transfers[[#This Row],[kval_active]],dict_zuord_Meth_Transfers[[#This Row],[ID_Transfers]],"")</f>
        <v/>
      </c>
    </row>
    <row r="2216" spans="1:4" x14ac:dyDescent="0.45">
      <c r="A2216">
        <v>369</v>
      </c>
      <c r="B2216" s="3">
        <f t="shared" ca="1" si="34"/>
        <v>185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6" t="str">
        <f ca="1">IF(dict_zuord_Meth_Transfers[[#This Row],[kval_active]],dict_zuord_Meth_Transfers[[#This Row],[ID_Transfers]],"")</f>
        <v/>
      </c>
    </row>
    <row r="2217" spans="1:4" x14ac:dyDescent="0.45">
      <c r="A2217">
        <v>369</v>
      </c>
      <c r="B2217">
        <f t="shared" ca="1" si="34"/>
        <v>158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7" t="str">
        <f ca="1">IF(dict_zuord_Meth_Transfers[[#This Row],[kval_active]],dict_zuord_Meth_Transfers[[#This Row],[ID_Transfers]],"")</f>
        <v/>
      </c>
    </row>
    <row r="2218" spans="1:4" x14ac:dyDescent="0.45">
      <c r="A2218">
        <v>369</v>
      </c>
      <c r="B2218">
        <f t="shared" ca="1" si="34"/>
        <v>198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8" t="str">
        <f ca="1">IF(dict_zuord_Meth_Transfers[[#This Row],[kval_active]],dict_zuord_Meth_Transfers[[#This Row],[ID_Transfers]],"")</f>
        <v/>
      </c>
    </row>
    <row r="2219" spans="1:4" x14ac:dyDescent="0.45">
      <c r="A2219">
        <v>369</v>
      </c>
      <c r="B2219" s="3">
        <f t="shared" ca="1" si="34"/>
        <v>2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9" t="str">
        <f ca="1">IF(dict_zuord_Meth_Transfers[[#This Row],[kval_active]],dict_zuord_Meth_Transfers[[#This Row],[ID_Transfers]],"")</f>
        <v/>
      </c>
    </row>
    <row r="2220" spans="1:4" x14ac:dyDescent="0.45">
      <c r="A2220">
        <v>369</v>
      </c>
      <c r="B2220" s="3">
        <f t="shared" ca="1" si="34"/>
        <v>97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0" t="str">
        <f ca="1">IF(dict_zuord_Meth_Transfers[[#This Row],[kval_active]],dict_zuord_Meth_Transfers[[#This Row],[ID_Transfers]],"")</f>
        <v/>
      </c>
    </row>
    <row r="2221" spans="1:4" x14ac:dyDescent="0.45">
      <c r="A2221">
        <v>369</v>
      </c>
      <c r="B2221">
        <f t="shared" ca="1" si="34"/>
        <v>83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1" t="str">
        <f ca="1">IF(dict_zuord_Meth_Transfers[[#This Row],[kval_active]],dict_zuord_Meth_Transfers[[#This Row],[ID_Transfers]],"")</f>
        <v/>
      </c>
    </row>
    <row r="2222" spans="1:4" x14ac:dyDescent="0.45">
      <c r="A2222">
        <v>370</v>
      </c>
      <c r="B2222">
        <f t="shared" ca="1" si="34"/>
        <v>34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2" t="str">
        <f ca="1">IF(dict_zuord_Meth_Transfers[[#This Row],[kval_active]],dict_zuord_Meth_Transfers[[#This Row],[ID_Transfers]],"")</f>
        <v/>
      </c>
    </row>
    <row r="2223" spans="1:4" x14ac:dyDescent="0.45">
      <c r="A2223">
        <v>370</v>
      </c>
      <c r="B2223">
        <f t="shared" ca="1" si="34"/>
        <v>61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3" t="str">
        <f ca="1">IF(dict_zuord_Meth_Transfers[[#This Row],[kval_active]],dict_zuord_Meth_Transfers[[#This Row],[ID_Transfers]],"")</f>
        <v/>
      </c>
    </row>
    <row r="2224" spans="1:4" x14ac:dyDescent="0.45">
      <c r="A2224">
        <v>370</v>
      </c>
      <c r="B2224" s="3">
        <f t="shared" ca="1" si="34"/>
        <v>2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4" t="str">
        <f ca="1">IF(dict_zuord_Meth_Transfers[[#This Row],[kval_active]],dict_zuord_Meth_Transfers[[#This Row],[ID_Transfers]],"")</f>
        <v/>
      </c>
    </row>
    <row r="2225" spans="1:4" x14ac:dyDescent="0.45">
      <c r="A2225">
        <v>370</v>
      </c>
      <c r="B2225" s="3">
        <f t="shared" ca="1" si="34"/>
        <v>156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5" t="str">
        <f ca="1">IF(dict_zuord_Meth_Transfers[[#This Row],[kval_active]],dict_zuord_Meth_Transfers[[#This Row],[ID_Transfers]],"")</f>
        <v/>
      </c>
    </row>
    <row r="2226" spans="1:4" x14ac:dyDescent="0.45">
      <c r="A2226">
        <v>370</v>
      </c>
      <c r="B2226" s="3">
        <f t="shared" ca="1" si="34"/>
        <v>117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6" t="str">
        <f ca="1">IF(dict_zuord_Meth_Transfers[[#This Row],[kval_active]],dict_zuord_Meth_Transfers[[#This Row],[ID_Transfers]],"")</f>
        <v/>
      </c>
    </row>
    <row r="2227" spans="1:4" x14ac:dyDescent="0.45">
      <c r="A2227">
        <v>370</v>
      </c>
      <c r="B2227">
        <f t="shared" ca="1" si="34"/>
        <v>5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7" t="str">
        <f ca="1">IF(dict_zuord_Meth_Transfers[[#This Row],[kval_active]],dict_zuord_Meth_Transfers[[#This Row],[ID_Transfers]],"")</f>
        <v/>
      </c>
    </row>
    <row r="2228" spans="1:4" x14ac:dyDescent="0.45">
      <c r="A2228">
        <v>371</v>
      </c>
      <c r="B2228">
        <f t="shared" ca="1" si="34"/>
        <v>107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8">
        <f ca="1">IF(dict_zuord_Meth_Transfers[[#This Row],[kval_active]],dict_zuord_Meth_Transfers[[#This Row],[ID_Transfers]],"")</f>
        <v>107</v>
      </c>
    </row>
    <row r="2229" spans="1:4" x14ac:dyDescent="0.45">
      <c r="A2229">
        <v>371</v>
      </c>
      <c r="B2229">
        <f t="shared" ca="1" si="34"/>
        <v>138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9">
        <f ca="1">IF(dict_zuord_Meth_Transfers[[#This Row],[kval_active]],dict_zuord_Meth_Transfers[[#This Row],[ID_Transfers]],"")</f>
        <v>138</v>
      </c>
    </row>
    <row r="2230" spans="1:4" x14ac:dyDescent="0.45">
      <c r="A2230">
        <v>371</v>
      </c>
      <c r="B2230">
        <f t="shared" ca="1" si="34"/>
        <v>165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0">
        <f ca="1">IF(dict_zuord_Meth_Transfers[[#This Row],[kval_active]],dict_zuord_Meth_Transfers[[#This Row],[ID_Transfers]],"")</f>
        <v>165</v>
      </c>
    </row>
    <row r="2231" spans="1:4" x14ac:dyDescent="0.45">
      <c r="A2231">
        <v>371</v>
      </c>
      <c r="B2231" s="3">
        <f t="shared" ca="1" si="34"/>
        <v>68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1">
        <f ca="1">IF(dict_zuord_Meth_Transfers[[#This Row],[kval_active]],dict_zuord_Meth_Transfers[[#This Row],[ID_Transfers]],"")</f>
        <v>68</v>
      </c>
    </row>
    <row r="2232" spans="1:4" x14ac:dyDescent="0.45">
      <c r="A2232">
        <v>371</v>
      </c>
      <c r="B2232" s="3">
        <f t="shared" ca="1" si="34"/>
        <v>105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2">
        <f ca="1">IF(dict_zuord_Meth_Transfers[[#This Row],[kval_active]],dict_zuord_Meth_Transfers[[#This Row],[ID_Transfers]],"")</f>
        <v>105</v>
      </c>
    </row>
    <row r="2233" spans="1:4" x14ac:dyDescent="0.45">
      <c r="A2233">
        <v>371</v>
      </c>
      <c r="B2233" s="3">
        <f t="shared" ca="1" si="34"/>
        <v>132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3">
        <f ca="1">IF(dict_zuord_Meth_Transfers[[#This Row],[kval_active]],dict_zuord_Meth_Transfers[[#This Row],[ID_Transfers]],"")</f>
        <v>132</v>
      </c>
    </row>
    <row r="2234" spans="1:4" x14ac:dyDescent="0.45">
      <c r="A2234">
        <v>372</v>
      </c>
      <c r="B2234">
        <f t="shared" ca="1" si="34"/>
        <v>157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4" t="str">
        <f ca="1">IF(dict_zuord_Meth_Transfers[[#This Row],[kval_active]],dict_zuord_Meth_Transfers[[#This Row],[ID_Transfers]],"")</f>
        <v/>
      </c>
    </row>
    <row r="2235" spans="1:4" x14ac:dyDescent="0.45">
      <c r="A2235">
        <v>372</v>
      </c>
      <c r="B2235" s="3">
        <f t="shared" ca="1" si="34"/>
        <v>4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5" t="str">
        <f ca="1">IF(dict_zuord_Meth_Transfers[[#This Row],[kval_active]],dict_zuord_Meth_Transfers[[#This Row],[ID_Transfers]],"")</f>
        <v/>
      </c>
    </row>
    <row r="2236" spans="1:4" x14ac:dyDescent="0.45">
      <c r="A2236">
        <v>372</v>
      </c>
      <c r="B2236" s="3">
        <f t="shared" ca="1" si="34"/>
        <v>197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6" t="str">
        <f ca="1">IF(dict_zuord_Meth_Transfers[[#This Row],[kval_active]],dict_zuord_Meth_Transfers[[#This Row],[ID_Transfers]],"")</f>
        <v/>
      </c>
    </row>
    <row r="2237" spans="1:4" x14ac:dyDescent="0.45">
      <c r="A2237">
        <v>372</v>
      </c>
      <c r="B2237">
        <f t="shared" ca="1" si="34"/>
        <v>148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7" t="str">
        <f ca="1">IF(dict_zuord_Meth_Transfers[[#This Row],[kval_active]],dict_zuord_Meth_Transfers[[#This Row],[ID_Transfers]],"")</f>
        <v/>
      </c>
    </row>
    <row r="2238" spans="1:4" x14ac:dyDescent="0.45">
      <c r="A2238">
        <v>372</v>
      </c>
      <c r="B2238">
        <f t="shared" ca="1" si="34"/>
        <v>106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8" t="str">
        <f ca="1">IF(dict_zuord_Meth_Transfers[[#This Row],[kval_active]],dict_zuord_Meth_Transfers[[#This Row],[ID_Transfers]],"")</f>
        <v/>
      </c>
    </row>
    <row r="2239" spans="1:4" x14ac:dyDescent="0.45">
      <c r="A2239">
        <v>372</v>
      </c>
      <c r="B2239" s="3">
        <f t="shared" ca="1" si="34"/>
        <v>170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9" t="str">
        <f ca="1">IF(dict_zuord_Meth_Transfers[[#This Row],[kval_active]],dict_zuord_Meth_Transfers[[#This Row],[ID_Transfers]],"")</f>
        <v/>
      </c>
    </row>
    <row r="2240" spans="1:4" x14ac:dyDescent="0.45">
      <c r="A2240">
        <v>373</v>
      </c>
      <c r="B2240" s="3">
        <f t="shared" ca="1" si="34"/>
        <v>84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0" t="str">
        <f ca="1">IF(dict_zuord_Meth_Transfers[[#This Row],[kval_active]],dict_zuord_Meth_Transfers[[#This Row],[ID_Transfers]],"")</f>
        <v/>
      </c>
    </row>
    <row r="2241" spans="1:4" x14ac:dyDescent="0.45">
      <c r="A2241">
        <v>373</v>
      </c>
      <c r="B2241" s="3">
        <f t="shared" ca="1" si="34"/>
        <v>166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1" t="str">
        <f ca="1">IF(dict_zuord_Meth_Transfers[[#This Row],[kval_active]],dict_zuord_Meth_Transfers[[#This Row],[ID_Transfers]],"")</f>
        <v/>
      </c>
    </row>
    <row r="2242" spans="1:4" x14ac:dyDescent="0.45">
      <c r="A2242">
        <v>373</v>
      </c>
      <c r="B2242">
        <f t="shared" ref="B2242:B2305" ca="1" si="35">RANDBETWEEN(0,200)</f>
        <v>15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2" t="str">
        <f ca="1">IF(dict_zuord_Meth_Transfers[[#This Row],[kval_active]],dict_zuord_Meth_Transfers[[#This Row],[ID_Transfers]],"")</f>
        <v/>
      </c>
    </row>
    <row r="2243" spans="1:4" x14ac:dyDescent="0.45">
      <c r="A2243">
        <v>373</v>
      </c>
      <c r="B2243">
        <f t="shared" ca="1" si="35"/>
        <v>62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3" t="str">
        <f ca="1">IF(dict_zuord_Meth_Transfers[[#This Row],[kval_active]],dict_zuord_Meth_Transfers[[#This Row],[ID_Transfers]],"")</f>
        <v/>
      </c>
    </row>
    <row r="2244" spans="1:4" x14ac:dyDescent="0.45">
      <c r="A2244">
        <v>373</v>
      </c>
      <c r="B2244" s="3">
        <f t="shared" ca="1" si="35"/>
        <v>9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4" t="str">
        <f ca="1">IF(dict_zuord_Meth_Transfers[[#This Row],[kval_active]],dict_zuord_Meth_Transfers[[#This Row],[ID_Transfers]],"")</f>
        <v/>
      </c>
    </row>
    <row r="2245" spans="1:4" x14ac:dyDescent="0.45">
      <c r="A2245">
        <v>373</v>
      </c>
      <c r="B2245">
        <f t="shared" ca="1" si="35"/>
        <v>26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5" t="str">
        <f ca="1">IF(dict_zuord_Meth_Transfers[[#This Row],[kval_active]],dict_zuord_Meth_Transfers[[#This Row],[ID_Transfers]],"")</f>
        <v/>
      </c>
    </row>
    <row r="2246" spans="1:4" x14ac:dyDescent="0.45">
      <c r="A2246">
        <v>374</v>
      </c>
      <c r="B2246" s="3">
        <f t="shared" ca="1" si="35"/>
        <v>85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6" t="str">
        <f ca="1">IF(dict_zuord_Meth_Transfers[[#This Row],[kval_active]],dict_zuord_Meth_Transfers[[#This Row],[ID_Transfers]],"")</f>
        <v/>
      </c>
    </row>
    <row r="2247" spans="1:4" x14ac:dyDescent="0.45">
      <c r="A2247">
        <v>374</v>
      </c>
      <c r="B2247" s="3">
        <f t="shared" ca="1" si="35"/>
        <v>9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7" t="str">
        <f ca="1">IF(dict_zuord_Meth_Transfers[[#This Row],[kval_active]],dict_zuord_Meth_Transfers[[#This Row],[ID_Transfers]],"")</f>
        <v/>
      </c>
    </row>
    <row r="2248" spans="1:4" x14ac:dyDescent="0.45">
      <c r="A2248">
        <v>374</v>
      </c>
      <c r="B2248">
        <f t="shared" ca="1" si="35"/>
        <v>149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8" t="str">
        <f ca="1">IF(dict_zuord_Meth_Transfers[[#This Row],[kval_active]],dict_zuord_Meth_Transfers[[#This Row],[ID_Transfers]],"")</f>
        <v/>
      </c>
    </row>
    <row r="2249" spans="1:4" x14ac:dyDescent="0.45">
      <c r="A2249">
        <v>374</v>
      </c>
      <c r="B2249">
        <f t="shared" ca="1" si="35"/>
        <v>134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9" t="str">
        <f ca="1">IF(dict_zuord_Meth_Transfers[[#This Row],[kval_active]],dict_zuord_Meth_Transfers[[#This Row],[ID_Transfers]],"")</f>
        <v/>
      </c>
    </row>
    <row r="2250" spans="1:4" x14ac:dyDescent="0.45">
      <c r="A2250">
        <v>374</v>
      </c>
      <c r="B2250">
        <f t="shared" ca="1" si="35"/>
        <v>184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0" t="str">
        <f ca="1">IF(dict_zuord_Meth_Transfers[[#This Row],[kval_active]],dict_zuord_Meth_Transfers[[#This Row],[ID_Transfers]],"")</f>
        <v/>
      </c>
    </row>
    <row r="2251" spans="1:4" x14ac:dyDescent="0.45">
      <c r="A2251">
        <v>374</v>
      </c>
      <c r="B2251" s="3">
        <f t="shared" ca="1" si="35"/>
        <v>16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1" t="str">
        <f ca="1">IF(dict_zuord_Meth_Transfers[[#This Row],[kval_active]],dict_zuord_Meth_Transfers[[#This Row],[ID_Transfers]],"")</f>
        <v/>
      </c>
    </row>
    <row r="2252" spans="1:4" x14ac:dyDescent="0.45">
      <c r="A2252">
        <v>375</v>
      </c>
      <c r="B2252">
        <f t="shared" ca="1" si="35"/>
        <v>123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2" t="str">
        <f ca="1">IF(dict_zuord_Meth_Transfers[[#This Row],[kval_active]],dict_zuord_Meth_Transfers[[#This Row],[ID_Transfers]],"")</f>
        <v/>
      </c>
    </row>
    <row r="2253" spans="1:4" x14ac:dyDescent="0.45">
      <c r="A2253">
        <v>375</v>
      </c>
      <c r="B2253" s="3">
        <f t="shared" ca="1" si="35"/>
        <v>104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3" t="str">
        <f ca="1">IF(dict_zuord_Meth_Transfers[[#This Row],[kval_active]],dict_zuord_Meth_Transfers[[#This Row],[ID_Transfers]],"")</f>
        <v/>
      </c>
    </row>
    <row r="2254" spans="1:4" x14ac:dyDescent="0.45">
      <c r="A2254">
        <v>375</v>
      </c>
      <c r="B2254" s="3">
        <f t="shared" ca="1" si="35"/>
        <v>161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4" t="str">
        <f ca="1">IF(dict_zuord_Meth_Transfers[[#This Row],[kval_active]],dict_zuord_Meth_Transfers[[#This Row],[ID_Transfers]],"")</f>
        <v/>
      </c>
    </row>
    <row r="2255" spans="1:4" x14ac:dyDescent="0.45">
      <c r="A2255">
        <v>375</v>
      </c>
      <c r="B2255" s="3">
        <f t="shared" ca="1" si="35"/>
        <v>125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5" t="str">
        <f ca="1">IF(dict_zuord_Meth_Transfers[[#This Row],[kval_active]],dict_zuord_Meth_Transfers[[#This Row],[ID_Transfers]],"")</f>
        <v/>
      </c>
    </row>
    <row r="2256" spans="1:4" x14ac:dyDescent="0.45">
      <c r="A2256">
        <v>375</v>
      </c>
      <c r="B2256">
        <f t="shared" ca="1" si="35"/>
        <v>118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6" t="str">
        <f ca="1">IF(dict_zuord_Meth_Transfers[[#This Row],[kval_active]],dict_zuord_Meth_Transfers[[#This Row],[ID_Transfers]],"")</f>
        <v/>
      </c>
    </row>
    <row r="2257" spans="1:4" x14ac:dyDescent="0.45">
      <c r="A2257">
        <v>375</v>
      </c>
      <c r="B2257">
        <f t="shared" ca="1" si="35"/>
        <v>15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7" t="str">
        <f ca="1">IF(dict_zuord_Meth_Transfers[[#This Row],[kval_active]],dict_zuord_Meth_Transfers[[#This Row],[ID_Transfers]],"")</f>
        <v/>
      </c>
    </row>
    <row r="2258" spans="1:4" x14ac:dyDescent="0.45">
      <c r="A2258">
        <v>376</v>
      </c>
      <c r="B2258">
        <f t="shared" ca="1" si="35"/>
        <v>117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8" t="str">
        <f ca="1">IF(dict_zuord_Meth_Transfers[[#This Row],[kval_active]],dict_zuord_Meth_Transfers[[#This Row],[ID_Transfers]],"")</f>
        <v/>
      </c>
    </row>
    <row r="2259" spans="1:4" x14ac:dyDescent="0.45">
      <c r="A2259">
        <v>376</v>
      </c>
      <c r="B2259">
        <f t="shared" ca="1" si="35"/>
        <v>173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9" t="str">
        <f ca="1">IF(dict_zuord_Meth_Transfers[[#This Row],[kval_active]],dict_zuord_Meth_Transfers[[#This Row],[ID_Transfers]],"")</f>
        <v/>
      </c>
    </row>
    <row r="2260" spans="1:4" x14ac:dyDescent="0.45">
      <c r="A2260">
        <v>376</v>
      </c>
      <c r="B2260">
        <f t="shared" ca="1" si="35"/>
        <v>191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0" t="str">
        <f ca="1">IF(dict_zuord_Meth_Transfers[[#This Row],[kval_active]],dict_zuord_Meth_Transfers[[#This Row],[ID_Transfers]],"")</f>
        <v/>
      </c>
    </row>
    <row r="2261" spans="1:4" x14ac:dyDescent="0.45">
      <c r="A2261">
        <v>376</v>
      </c>
      <c r="B2261" s="3">
        <f t="shared" ca="1" si="35"/>
        <v>80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1" t="str">
        <f ca="1">IF(dict_zuord_Meth_Transfers[[#This Row],[kval_active]],dict_zuord_Meth_Transfers[[#This Row],[ID_Transfers]],"")</f>
        <v/>
      </c>
    </row>
    <row r="2262" spans="1:4" x14ac:dyDescent="0.45">
      <c r="A2262">
        <v>376</v>
      </c>
      <c r="B2262" s="3">
        <f t="shared" ca="1" si="35"/>
        <v>151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2" t="str">
        <f ca="1">IF(dict_zuord_Meth_Transfers[[#This Row],[kval_active]],dict_zuord_Meth_Transfers[[#This Row],[ID_Transfers]],"")</f>
        <v/>
      </c>
    </row>
    <row r="2263" spans="1:4" x14ac:dyDescent="0.45">
      <c r="A2263">
        <v>376</v>
      </c>
      <c r="B2263" s="3">
        <f t="shared" ca="1" si="35"/>
        <v>111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3" t="str">
        <f ca="1">IF(dict_zuord_Meth_Transfers[[#This Row],[kval_active]],dict_zuord_Meth_Transfers[[#This Row],[ID_Transfers]],"")</f>
        <v/>
      </c>
    </row>
    <row r="2264" spans="1:4" x14ac:dyDescent="0.45">
      <c r="A2264">
        <v>377</v>
      </c>
      <c r="B2264" s="3">
        <f t="shared" ca="1" si="35"/>
        <v>41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4" t="str">
        <f ca="1">IF(dict_zuord_Meth_Transfers[[#This Row],[kval_active]],dict_zuord_Meth_Transfers[[#This Row],[ID_Transfers]],"")</f>
        <v/>
      </c>
    </row>
    <row r="2265" spans="1:4" x14ac:dyDescent="0.45">
      <c r="A2265">
        <v>377</v>
      </c>
      <c r="B2265">
        <f t="shared" ca="1" si="35"/>
        <v>127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5" t="str">
        <f ca="1">IF(dict_zuord_Meth_Transfers[[#This Row],[kval_active]],dict_zuord_Meth_Transfers[[#This Row],[ID_Transfers]],"")</f>
        <v/>
      </c>
    </row>
    <row r="2266" spans="1:4" x14ac:dyDescent="0.45">
      <c r="A2266">
        <v>377</v>
      </c>
      <c r="B2266">
        <f t="shared" ca="1" si="35"/>
        <v>153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6" t="str">
        <f ca="1">IF(dict_zuord_Meth_Transfers[[#This Row],[kval_active]],dict_zuord_Meth_Transfers[[#This Row],[ID_Transfers]],"")</f>
        <v/>
      </c>
    </row>
    <row r="2267" spans="1:4" x14ac:dyDescent="0.45">
      <c r="A2267">
        <v>377</v>
      </c>
      <c r="B2267">
        <f t="shared" ca="1" si="35"/>
        <v>9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7" t="str">
        <f ca="1">IF(dict_zuord_Meth_Transfers[[#This Row],[kval_active]],dict_zuord_Meth_Transfers[[#This Row],[ID_Transfers]],"")</f>
        <v/>
      </c>
    </row>
    <row r="2268" spans="1:4" x14ac:dyDescent="0.45">
      <c r="A2268">
        <v>377</v>
      </c>
      <c r="B2268" s="3">
        <f t="shared" ca="1" si="35"/>
        <v>103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8" t="str">
        <f ca="1">IF(dict_zuord_Meth_Transfers[[#This Row],[kval_active]],dict_zuord_Meth_Transfers[[#This Row],[ID_Transfers]],"")</f>
        <v/>
      </c>
    </row>
    <row r="2269" spans="1:4" x14ac:dyDescent="0.45">
      <c r="A2269">
        <v>377</v>
      </c>
      <c r="B2269" s="3">
        <f t="shared" ca="1" si="35"/>
        <v>148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9" t="str">
        <f ca="1">IF(dict_zuord_Meth_Transfers[[#This Row],[kval_active]],dict_zuord_Meth_Transfers[[#This Row],[ID_Transfers]],"")</f>
        <v/>
      </c>
    </row>
    <row r="2270" spans="1:4" x14ac:dyDescent="0.45">
      <c r="A2270">
        <v>378</v>
      </c>
      <c r="B2270">
        <f t="shared" ca="1" si="35"/>
        <v>39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0">
        <f ca="1">IF(dict_zuord_Meth_Transfers[[#This Row],[kval_active]],dict_zuord_Meth_Transfers[[#This Row],[ID_Transfers]],"")</f>
        <v>39</v>
      </c>
    </row>
    <row r="2271" spans="1:4" x14ac:dyDescent="0.45">
      <c r="A2271">
        <v>378</v>
      </c>
      <c r="B2271">
        <f t="shared" ca="1" si="35"/>
        <v>191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1">
        <f ca="1">IF(dict_zuord_Meth_Transfers[[#This Row],[kval_active]],dict_zuord_Meth_Transfers[[#This Row],[ID_Transfers]],"")</f>
        <v>191</v>
      </c>
    </row>
    <row r="2272" spans="1:4" x14ac:dyDescent="0.45">
      <c r="A2272">
        <v>378</v>
      </c>
      <c r="B2272" s="3">
        <f t="shared" ca="1" si="35"/>
        <v>68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2">
        <f ca="1">IF(dict_zuord_Meth_Transfers[[#This Row],[kval_active]],dict_zuord_Meth_Transfers[[#This Row],[ID_Transfers]],"")</f>
        <v>68</v>
      </c>
    </row>
    <row r="2273" spans="1:4" x14ac:dyDescent="0.45">
      <c r="A2273">
        <v>378</v>
      </c>
      <c r="B2273" s="3">
        <f t="shared" ca="1" si="35"/>
        <v>114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3">
        <f ca="1">IF(dict_zuord_Meth_Transfers[[#This Row],[kval_active]],dict_zuord_Meth_Transfers[[#This Row],[ID_Transfers]],"")</f>
        <v>114</v>
      </c>
    </row>
    <row r="2274" spans="1:4" x14ac:dyDescent="0.45">
      <c r="A2274">
        <v>378</v>
      </c>
      <c r="B2274" s="3">
        <f t="shared" ca="1" si="35"/>
        <v>75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4">
        <f ca="1">IF(dict_zuord_Meth_Transfers[[#This Row],[kval_active]],dict_zuord_Meth_Transfers[[#This Row],[ID_Transfers]],"")</f>
        <v>75</v>
      </c>
    </row>
    <row r="2275" spans="1:4" x14ac:dyDescent="0.45">
      <c r="A2275">
        <v>378</v>
      </c>
      <c r="B2275">
        <f t="shared" ca="1" si="35"/>
        <v>195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5">
        <f ca="1">IF(dict_zuord_Meth_Transfers[[#This Row],[kval_active]],dict_zuord_Meth_Transfers[[#This Row],[ID_Transfers]],"")</f>
        <v>195</v>
      </c>
    </row>
    <row r="2276" spans="1:4" x14ac:dyDescent="0.45">
      <c r="A2276">
        <v>379</v>
      </c>
      <c r="B2276">
        <f t="shared" ca="1" si="35"/>
        <v>58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6" t="str">
        <f ca="1">IF(dict_zuord_Meth_Transfers[[#This Row],[kval_active]],dict_zuord_Meth_Transfers[[#This Row],[ID_Transfers]],"")</f>
        <v/>
      </c>
    </row>
    <row r="2277" spans="1:4" x14ac:dyDescent="0.45">
      <c r="A2277">
        <v>379</v>
      </c>
      <c r="B2277" s="3">
        <f t="shared" ca="1" si="35"/>
        <v>43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7" t="str">
        <f ca="1">IF(dict_zuord_Meth_Transfers[[#This Row],[kval_active]],dict_zuord_Meth_Transfers[[#This Row],[ID_Transfers]],"")</f>
        <v/>
      </c>
    </row>
    <row r="2278" spans="1:4" x14ac:dyDescent="0.45">
      <c r="A2278">
        <v>379</v>
      </c>
      <c r="B2278" s="3">
        <f t="shared" ca="1" si="35"/>
        <v>11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8" t="str">
        <f ca="1">IF(dict_zuord_Meth_Transfers[[#This Row],[kval_active]],dict_zuord_Meth_Transfers[[#This Row],[ID_Transfers]],"")</f>
        <v/>
      </c>
    </row>
    <row r="2279" spans="1:4" x14ac:dyDescent="0.45">
      <c r="A2279">
        <v>379</v>
      </c>
      <c r="B2279">
        <f t="shared" ca="1" si="35"/>
        <v>150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9" t="str">
        <f ca="1">IF(dict_zuord_Meth_Transfers[[#This Row],[kval_active]],dict_zuord_Meth_Transfers[[#This Row],[ID_Transfers]],"")</f>
        <v/>
      </c>
    </row>
    <row r="2280" spans="1:4" x14ac:dyDescent="0.45">
      <c r="A2280">
        <v>379</v>
      </c>
      <c r="B2280">
        <f t="shared" ca="1" si="35"/>
        <v>161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0" t="str">
        <f ca="1">IF(dict_zuord_Meth_Transfers[[#This Row],[kval_active]],dict_zuord_Meth_Transfers[[#This Row],[ID_Transfers]],"")</f>
        <v/>
      </c>
    </row>
    <row r="2281" spans="1:4" x14ac:dyDescent="0.45">
      <c r="A2281">
        <v>379</v>
      </c>
      <c r="B2281" s="3">
        <f t="shared" ca="1" si="35"/>
        <v>19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1" t="str">
        <f ca="1">IF(dict_zuord_Meth_Transfers[[#This Row],[kval_active]],dict_zuord_Meth_Transfers[[#This Row],[ID_Transfers]],"")</f>
        <v/>
      </c>
    </row>
    <row r="2282" spans="1:4" x14ac:dyDescent="0.45">
      <c r="A2282">
        <v>380</v>
      </c>
      <c r="B2282">
        <f t="shared" ca="1" si="35"/>
        <v>180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2" t="str">
        <f ca="1">IF(dict_zuord_Meth_Transfers[[#This Row],[kval_active]],dict_zuord_Meth_Transfers[[#This Row],[ID_Transfers]],"")</f>
        <v/>
      </c>
    </row>
    <row r="2283" spans="1:4" x14ac:dyDescent="0.45">
      <c r="A2283">
        <v>380</v>
      </c>
      <c r="B2283" s="3">
        <f t="shared" ca="1" si="35"/>
        <v>118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3" t="str">
        <f ca="1">IF(dict_zuord_Meth_Transfers[[#This Row],[kval_active]],dict_zuord_Meth_Transfers[[#This Row],[ID_Transfers]],"")</f>
        <v/>
      </c>
    </row>
    <row r="2284" spans="1:4" x14ac:dyDescent="0.45">
      <c r="A2284">
        <v>380</v>
      </c>
      <c r="B2284">
        <f t="shared" ca="1" si="35"/>
        <v>87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4" t="str">
        <f ca="1">IF(dict_zuord_Meth_Transfers[[#This Row],[kval_active]],dict_zuord_Meth_Transfers[[#This Row],[ID_Transfers]],"")</f>
        <v/>
      </c>
    </row>
    <row r="2285" spans="1:4" x14ac:dyDescent="0.45">
      <c r="A2285">
        <v>380</v>
      </c>
      <c r="B2285" s="3">
        <f t="shared" ca="1" si="35"/>
        <v>8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5" t="str">
        <f ca="1">IF(dict_zuord_Meth_Transfers[[#This Row],[kval_active]],dict_zuord_Meth_Transfers[[#This Row],[ID_Transfers]],"")</f>
        <v/>
      </c>
    </row>
    <row r="2286" spans="1:4" x14ac:dyDescent="0.45">
      <c r="A2286">
        <v>380</v>
      </c>
      <c r="B2286" s="3">
        <f t="shared" ca="1" si="35"/>
        <v>8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6" t="str">
        <f ca="1">IF(dict_zuord_Meth_Transfers[[#This Row],[kval_active]],dict_zuord_Meth_Transfers[[#This Row],[ID_Transfers]],"")</f>
        <v/>
      </c>
    </row>
    <row r="2287" spans="1:4" x14ac:dyDescent="0.45">
      <c r="A2287">
        <v>380</v>
      </c>
      <c r="B2287">
        <f t="shared" ca="1" si="35"/>
        <v>62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7" t="str">
        <f ca="1">IF(dict_zuord_Meth_Transfers[[#This Row],[kval_active]],dict_zuord_Meth_Transfers[[#This Row],[ID_Transfers]],"")</f>
        <v/>
      </c>
    </row>
    <row r="2288" spans="1:4" x14ac:dyDescent="0.45">
      <c r="A2288">
        <v>381</v>
      </c>
      <c r="B2288">
        <f t="shared" ca="1" si="35"/>
        <v>179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8" t="str">
        <f ca="1">IF(dict_zuord_Meth_Transfers[[#This Row],[kval_active]],dict_zuord_Meth_Transfers[[#This Row],[ID_Transfers]],"")</f>
        <v/>
      </c>
    </row>
    <row r="2289" spans="1:4" x14ac:dyDescent="0.45">
      <c r="A2289">
        <v>381</v>
      </c>
      <c r="B2289" s="3">
        <f t="shared" ca="1" si="35"/>
        <v>87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9" t="str">
        <f ca="1">IF(dict_zuord_Meth_Transfers[[#This Row],[kval_active]],dict_zuord_Meth_Transfers[[#This Row],[ID_Transfers]],"")</f>
        <v/>
      </c>
    </row>
    <row r="2290" spans="1:4" x14ac:dyDescent="0.45">
      <c r="A2290">
        <v>381</v>
      </c>
      <c r="B2290" s="3">
        <f t="shared" ca="1" si="35"/>
        <v>17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0" t="str">
        <f ca="1">IF(dict_zuord_Meth_Transfers[[#This Row],[kval_active]],dict_zuord_Meth_Transfers[[#This Row],[ID_Transfers]],"")</f>
        <v/>
      </c>
    </row>
    <row r="2291" spans="1:4" x14ac:dyDescent="0.45">
      <c r="A2291">
        <v>381</v>
      </c>
      <c r="B2291" s="3">
        <f t="shared" ca="1" si="35"/>
        <v>96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1" t="str">
        <f ca="1">IF(dict_zuord_Meth_Transfers[[#This Row],[kval_active]],dict_zuord_Meth_Transfers[[#This Row],[ID_Transfers]],"")</f>
        <v/>
      </c>
    </row>
    <row r="2292" spans="1:4" x14ac:dyDescent="0.45">
      <c r="A2292">
        <v>381</v>
      </c>
      <c r="B2292">
        <f t="shared" ca="1" si="35"/>
        <v>170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2" t="str">
        <f ca="1">IF(dict_zuord_Meth_Transfers[[#This Row],[kval_active]],dict_zuord_Meth_Transfers[[#This Row],[ID_Transfers]],"")</f>
        <v/>
      </c>
    </row>
    <row r="2293" spans="1:4" x14ac:dyDescent="0.45">
      <c r="A2293">
        <v>381</v>
      </c>
      <c r="B2293">
        <f t="shared" ca="1" si="35"/>
        <v>198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3" t="str">
        <f ca="1">IF(dict_zuord_Meth_Transfers[[#This Row],[kval_active]],dict_zuord_Meth_Transfers[[#This Row],[ID_Transfers]],"")</f>
        <v/>
      </c>
    </row>
    <row r="2294" spans="1:4" x14ac:dyDescent="0.45">
      <c r="A2294">
        <v>382</v>
      </c>
      <c r="B2294">
        <f t="shared" ca="1" si="35"/>
        <v>184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4" t="str">
        <f ca="1">IF(dict_zuord_Meth_Transfers[[#This Row],[kval_active]],dict_zuord_Meth_Transfers[[#This Row],[ID_Transfers]],"")</f>
        <v/>
      </c>
    </row>
    <row r="2295" spans="1:4" x14ac:dyDescent="0.45">
      <c r="A2295">
        <v>382</v>
      </c>
      <c r="B2295" s="3">
        <f t="shared" ca="1" si="35"/>
        <v>160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5" t="str">
        <f ca="1">IF(dict_zuord_Meth_Transfers[[#This Row],[kval_active]],dict_zuord_Meth_Transfers[[#This Row],[ID_Transfers]],"")</f>
        <v/>
      </c>
    </row>
    <row r="2296" spans="1:4" x14ac:dyDescent="0.45">
      <c r="A2296">
        <v>382</v>
      </c>
      <c r="B2296">
        <f t="shared" ca="1" si="35"/>
        <v>6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6" t="str">
        <f ca="1">IF(dict_zuord_Meth_Transfers[[#This Row],[kval_active]],dict_zuord_Meth_Transfers[[#This Row],[ID_Transfers]],"")</f>
        <v/>
      </c>
    </row>
    <row r="2297" spans="1:4" x14ac:dyDescent="0.45">
      <c r="A2297">
        <v>382</v>
      </c>
      <c r="B2297">
        <f t="shared" ca="1" si="35"/>
        <v>125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7" t="str">
        <f ca="1">IF(dict_zuord_Meth_Transfers[[#This Row],[kval_active]],dict_zuord_Meth_Transfers[[#This Row],[ID_Transfers]],"")</f>
        <v/>
      </c>
    </row>
    <row r="2298" spans="1:4" x14ac:dyDescent="0.45">
      <c r="A2298">
        <v>382</v>
      </c>
      <c r="B2298" s="3">
        <f t="shared" ca="1" si="35"/>
        <v>64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8" t="str">
        <f ca="1">IF(dict_zuord_Meth_Transfers[[#This Row],[kval_active]],dict_zuord_Meth_Transfers[[#This Row],[ID_Transfers]],"")</f>
        <v/>
      </c>
    </row>
    <row r="2299" spans="1:4" x14ac:dyDescent="0.45">
      <c r="A2299">
        <v>382</v>
      </c>
      <c r="B2299" s="3">
        <f t="shared" ca="1" si="35"/>
        <v>135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9" t="str">
        <f ca="1">IF(dict_zuord_Meth_Transfers[[#This Row],[kval_active]],dict_zuord_Meth_Transfers[[#This Row],[ID_Transfers]],"")</f>
        <v/>
      </c>
    </row>
    <row r="2300" spans="1:4" x14ac:dyDescent="0.45">
      <c r="A2300">
        <v>383</v>
      </c>
      <c r="B2300">
        <f t="shared" ca="1" si="35"/>
        <v>47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0" t="str">
        <f ca="1">IF(dict_zuord_Meth_Transfers[[#This Row],[kval_active]],dict_zuord_Meth_Transfers[[#This Row],[ID_Transfers]],"")</f>
        <v/>
      </c>
    </row>
    <row r="2301" spans="1:4" x14ac:dyDescent="0.45">
      <c r="A2301">
        <v>383</v>
      </c>
      <c r="B2301">
        <f t="shared" ca="1" si="35"/>
        <v>163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1" t="str">
        <f ca="1">IF(dict_zuord_Meth_Transfers[[#This Row],[kval_active]],dict_zuord_Meth_Transfers[[#This Row],[ID_Transfers]],"")</f>
        <v/>
      </c>
    </row>
    <row r="2302" spans="1:4" x14ac:dyDescent="0.45">
      <c r="A2302">
        <v>383</v>
      </c>
      <c r="B2302" s="3">
        <f t="shared" ca="1" si="35"/>
        <v>158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2" t="str">
        <f ca="1">IF(dict_zuord_Meth_Transfers[[#This Row],[kval_active]],dict_zuord_Meth_Transfers[[#This Row],[ID_Transfers]],"")</f>
        <v/>
      </c>
    </row>
    <row r="2303" spans="1:4" x14ac:dyDescent="0.45">
      <c r="A2303">
        <v>383</v>
      </c>
      <c r="B2303" s="3">
        <f t="shared" ca="1" si="35"/>
        <v>27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3" t="str">
        <f ca="1">IF(dict_zuord_Meth_Transfers[[#This Row],[kval_active]],dict_zuord_Meth_Transfers[[#This Row],[ID_Transfers]],"")</f>
        <v/>
      </c>
    </row>
    <row r="2304" spans="1:4" x14ac:dyDescent="0.45">
      <c r="A2304">
        <v>383</v>
      </c>
      <c r="B2304" s="3">
        <f t="shared" ca="1" si="35"/>
        <v>90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4" t="str">
        <f ca="1">IF(dict_zuord_Meth_Transfers[[#This Row],[kval_active]],dict_zuord_Meth_Transfers[[#This Row],[ID_Transfers]],"")</f>
        <v/>
      </c>
    </row>
    <row r="2305" spans="1:4" x14ac:dyDescent="0.45">
      <c r="A2305">
        <v>383</v>
      </c>
      <c r="B2305">
        <f t="shared" ca="1" si="35"/>
        <v>91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5" t="str">
        <f ca="1">IF(dict_zuord_Meth_Transfers[[#This Row],[kval_active]],dict_zuord_Meth_Transfers[[#This Row],[ID_Transfers]],"")</f>
        <v/>
      </c>
    </row>
    <row r="2306" spans="1:4" x14ac:dyDescent="0.45">
      <c r="A2306">
        <v>384</v>
      </c>
      <c r="B2306" s="3">
        <f t="shared" ref="B2306:B2369" ca="1" si="36">RANDBETWEEN(0,200)</f>
        <v>140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6" t="str">
        <f ca="1">IF(dict_zuord_Meth_Transfers[[#This Row],[kval_active]],dict_zuord_Meth_Transfers[[#This Row],[ID_Transfers]],"")</f>
        <v/>
      </c>
    </row>
    <row r="2307" spans="1:4" x14ac:dyDescent="0.45">
      <c r="A2307">
        <v>384</v>
      </c>
      <c r="B2307">
        <f t="shared" ca="1" si="36"/>
        <v>141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7" t="str">
        <f ca="1">IF(dict_zuord_Meth_Transfers[[#This Row],[kval_active]],dict_zuord_Meth_Transfers[[#This Row],[ID_Transfers]],"")</f>
        <v/>
      </c>
    </row>
    <row r="2308" spans="1:4" x14ac:dyDescent="0.45">
      <c r="A2308">
        <v>384</v>
      </c>
      <c r="B2308" s="3">
        <f t="shared" ca="1" si="36"/>
        <v>143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8" t="str">
        <f ca="1">IF(dict_zuord_Meth_Transfers[[#This Row],[kval_active]],dict_zuord_Meth_Transfers[[#This Row],[ID_Transfers]],"")</f>
        <v/>
      </c>
    </row>
    <row r="2309" spans="1:4" x14ac:dyDescent="0.45">
      <c r="A2309">
        <v>384</v>
      </c>
      <c r="B2309" s="3">
        <f t="shared" ca="1" si="36"/>
        <v>63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9" t="str">
        <f ca="1">IF(dict_zuord_Meth_Transfers[[#This Row],[kval_active]],dict_zuord_Meth_Transfers[[#This Row],[ID_Transfers]],"")</f>
        <v/>
      </c>
    </row>
    <row r="2310" spans="1:4" x14ac:dyDescent="0.45">
      <c r="A2310">
        <v>384</v>
      </c>
      <c r="B2310">
        <f t="shared" ca="1" si="36"/>
        <v>144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0" t="str">
        <f ca="1">IF(dict_zuord_Meth_Transfers[[#This Row],[kval_active]],dict_zuord_Meth_Transfers[[#This Row],[ID_Transfers]],"")</f>
        <v/>
      </c>
    </row>
    <row r="2311" spans="1:4" x14ac:dyDescent="0.45">
      <c r="A2311">
        <v>384</v>
      </c>
      <c r="B2311">
        <f t="shared" ca="1" si="36"/>
        <v>70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1" t="str">
        <f ca="1">IF(dict_zuord_Meth_Transfers[[#This Row],[kval_active]],dict_zuord_Meth_Transfers[[#This Row],[ID_Transfers]],"")</f>
        <v/>
      </c>
    </row>
    <row r="2312" spans="1:4" x14ac:dyDescent="0.45">
      <c r="A2312">
        <v>385</v>
      </c>
      <c r="B2312">
        <f t="shared" ca="1" si="36"/>
        <v>147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2" t="str">
        <f ca="1">IF(dict_zuord_Meth_Transfers[[#This Row],[kval_active]],dict_zuord_Meth_Transfers[[#This Row],[ID_Transfers]],"")</f>
        <v/>
      </c>
    </row>
    <row r="2313" spans="1:4" x14ac:dyDescent="0.45">
      <c r="A2313">
        <v>385</v>
      </c>
      <c r="B2313" s="3">
        <f t="shared" ca="1" si="36"/>
        <v>171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3" t="str">
        <f ca="1">IF(dict_zuord_Meth_Transfers[[#This Row],[kval_active]],dict_zuord_Meth_Transfers[[#This Row],[ID_Transfers]],"")</f>
        <v/>
      </c>
    </row>
    <row r="2314" spans="1:4" x14ac:dyDescent="0.45">
      <c r="A2314">
        <v>385</v>
      </c>
      <c r="B2314" s="3">
        <f t="shared" ca="1" si="36"/>
        <v>141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4" t="str">
        <f ca="1">IF(dict_zuord_Meth_Transfers[[#This Row],[kval_active]],dict_zuord_Meth_Transfers[[#This Row],[ID_Transfers]],"")</f>
        <v/>
      </c>
    </row>
    <row r="2315" spans="1:4" x14ac:dyDescent="0.45">
      <c r="A2315">
        <v>385</v>
      </c>
      <c r="B2315">
        <f t="shared" ca="1" si="36"/>
        <v>38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5" t="str">
        <f ca="1">IF(dict_zuord_Meth_Transfers[[#This Row],[kval_active]],dict_zuord_Meth_Transfers[[#This Row],[ID_Transfers]],"")</f>
        <v/>
      </c>
    </row>
    <row r="2316" spans="1:4" x14ac:dyDescent="0.45">
      <c r="A2316">
        <v>385</v>
      </c>
      <c r="B2316" s="3">
        <f t="shared" ca="1" si="36"/>
        <v>60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6" t="str">
        <f ca="1">IF(dict_zuord_Meth_Transfers[[#This Row],[kval_active]],dict_zuord_Meth_Transfers[[#This Row],[ID_Transfers]],"")</f>
        <v/>
      </c>
    </row>
    <row r="2317" spans="1:4" x14ac:dyDescent="0.45">
      <c r="A2317">
        <v>385</v>
      </c>
      <c r="B2317">
        <f t="shared" ca="1" si="36"/>
        <v>13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7" t="str">
        <f ca="1">IF(dict_zuord_Meth_Transfers[[#This Row],[kval_active]],dict_zuord_Meth_Transfers[[#This Row],[ID_Transfers]],"")</f>
        <v/>
      </c>
    </row>
    <row r="2318" spans="1:4" x14ac:dyDescent="0.45">
      <c r="A2318">
        <v>386</v>
      </c>
      <c r="B2318" s="3">
        <f t="shared" ca="1" si="36"/>
        <v>6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8" t="str">
        <f ca="1">IF(dict_zuord_Meth_Transfers[[#This Row],[kval_active]],dict_zuord_Meth_Transfers[[#This Row],[ID_Transfers]],"")</f>
        <v/>
      </c>
    </row>
    <row r="2319" spans="1:4" x14ac:dyDescent="0.45">
      <c r="A2319">
        <v>386</v>
      </c>
      <c r="B2319">
        <f t="shared" ca="1" si="36"/>
        <v>165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9" t="str">
        <f ca="1">IF(dict_zuord_Meth_Transfers[[#This Row],[kval_active]],dict_zuord_Meth_Transfers[[#This Row],[ID_Transfers]],"")</f>
        <v/>
      </c>
    </row>
    <row r="2320" spans="1:4" x14ac:dyDescent="0.45">
      <c r="A2320">
        <v>386</v>
      </c>
      <c r="B2320" s="3">
        <f t="shared" ca="1" si="36"/>
        <v>192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0" t="str">
        <f ca="1">IF(dict_zuord_Meth_Transfers[[#This Row],[kval_active]],dict_zuord_Meth_Transfers[[#This Row],[ID_Transfers]],"")</f>
        <v/>
      </c>
    </row>
    <row r="2321" spans="1:4" x14ac:dyDescent="0.45">
      <c r="A2321">
        <v>386</v>
      </c>
      <c r="B2321" s="3">
        <f t="shared" ca="1" si="36"/>
        <v>106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1" t="str">
        <f ca="1">IF(dict_zuord_Meth_Transfers[[#This Row],[kval_active]],dict_zuord_Meth_Transfers[[#This Row],[ID_Transfers]],"")</f>
        <v/>
      </c>
    </row>
    <row r="2322" spans="1:4" x14ac:dyDescent="0.45">
      <c r="A2322">
        <v>386</v>
      </c>
      <c r="B2322">
        <f t="shared" ca="1" si="36"/>
        <v>145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2" t="str">
        <f ca="1">IF(dict_zuord_Meth_Transfers[[#This Row],[kval_active]],dict_zuord_Meth_Transfers[[#This Row],[ID_Transfers]],"")</f>
        <v/>
      </c>
    </row>
    <row r="2323" spans="1:4" x14ac:dyDescent="0.45">
      <c r="A2323">
        <v>386</v>
      </c>
      <c r="B2323">
        <f t="shared" ca="1" si="36"/>
        <v>102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3" t="str">
        <f ca="1">IF(dict_zuord_Meth_Transfers[[#This Row],[kval_active]],dict_zuord_Meth_Transfers[[#This Row],[ID_Transfers]],"")</f>
        <v/>
      </c>
    </row>
    <row r="2324" spans="1:4" x14ac:dyDescent="0.45">
      <c r="A2324">
        <v>387</v>
      </c>
      <c r="B2324" s="3">
        <f t="shared" ca="1" si="36"/>
        <v>118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4" t="str">
        <f ca="1">IF(dict_zuord_Meth_Transfers[[#This Row],[kval_active]],dict_zuord_Meth_Transfers[[#This Row],[ID_Transfers]],"")</f>
        <v/>
      </c>
    </row>
    <row r="2325" spans="1:4" x14ac:dyDescent="0.45">
      <c r="A2325">
        <v>387</v>
      </c>
      <c r="B2325">
        <f t="shared" ca="1" si="36"/>
        <v>134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5" t="str">
        <f ca="1">IF(dict_zuord_Meth_Transfers[[#This Row],[kval_active]],dict_zuord_Meth_Transfers[[#This Row],[ID_Transfers]],"")</f>
        <v/>
      </c>
    </row>
    <row r="2326" spans="1:4" x14ac:dyDescent="0.45">
      <c r="A2326">
        <v>387</v>
      </c>
      <c r="B2326" s="3">
        <f t="shared" ca="1" si="36"/>
        <v>35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6" t="str">
        <f ca="1">IF(dict_zuord_Meth_Transfers[[#This Row],[kval_active]],dict_zuord_Meth_Transfers[[#This Row],[ID_Transfers]],"")</f>
        <v/>
      </c>
    </row>
    <row r="2327" spans="1:4" x14ac:dyDescent="0.45">
      <c r="A2327">
        <v>387</v>
      </c>
      <c r="B2327">
        <f t="shared" ca="1" si="36"/>
        <v>53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7" t="str">
        <f ca="1">IF(dict_zuord_Meth_Transfers[[#This Row],[kval_active]],dict_zuord_Meth_Transfers[[#This Row],[ID_Transfers]],"")</f>
        <v/>
      </c>
    </row>
    <row r="2328" spans="1:4" x14ac:dyDescent="0.45">
      <c r="A2328">
        <v>387</v>
      </c>
      <c r="B2328" s="3">
        <f t="shared" ca="1" si="36"/>
        <v>9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8" t="str">
        <f ca="1">IF(dict_zuord_Meth_Transfers[[#This Row],[kval_active]],dict_zuord_Meth_Transfers[[#This Row],[ID_Transfers]],"")</f>
        <v/>
      </c>
    </row>
    <row r="2329" spans="1:4" x14ac:dyDescent="0.45">
      <c r="A2329">
        <v>387</v>
      </c>
      <c r="B2329">
        <f t="shared" ca="1" si="36"/>
        <v>156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9" t="str">
        <f ca="1">IF(dict_zuord_Meth_Transfers[[#This Row],[kval_active]],dict_zuord_Meth_Transfers[[#This Row],[ID_Transfers]],"")</f>
        <v/>
      </c>
    </row>
    <row r="2330" spans="1:4" x14ac:dyDescent="0.45">
      <c r="A2330">
        <v>388</v>
      </c>
      <c r="B2330" s="3">
        <f t="shared" ca="1" si="36"/>
        <v>44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0" t="str">
        <f ca="1">IF(dict_zuord_Meth_Transfers[[#This Row],[kval_active]],dict_zuord_Meth_Transfers[[#This Row],[ID_Transfers]],"")</f>
        <v/>
      </c>
    </row>
    <row r="2331" spans="1:4" x14ac:dyDescent="0.45">
      <c r="A2331">
        <v>388</v>
      </c>
      <c r="B2331">
        <f t="shared" ca="1" si="36"/>
        <v>65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1" t="str">
        <f ca="1">IF(dict_zuord_Meth_Transfers[[#This Row],[kval_active]],dict_zuord_Meth_Transfers[[#This Row],[ID_Transfers]],"")</f>
        <v/>
      </c>
    </row>
    <row r="2332" spans="1:4" x14ac:dyDescent="0.45">
      <c r="A2332">
        <v>388</v>
      </c>
      <c r="B2332" s="3">
        <f t="shared" ca="1" si="36"/>
        <v>101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2" t="str">
        <f ca="1">IF(dict_zuord_Meth_Transfers[[#This Row],[kval_active]],dict_zuord_Meth_Transfers[[#This Row],[ID_Transfers]],"")</f>
        <v/>
      </c>
    </row>
    <row r="2333" spans="1:4" x14ac:dyDescent="0.45">
      <c r="A2333">
        <v>388</v>
      </c>
      <c r="B2333">
        <f t="shared" ca="1" si="36"/>
        <v>85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3" t="str">
        <f ca="1">IF(dict_zuord_Meth_Transfers[[#This Row],[kval_active]],dict_zuord_Meth_Transfers[[#This Row],[ID_Transfers]],"")</f>
        <v/>
      </c>
    </row>
    <row r="2334" spans="1:4" x14ac:dyDescent="0.45">
      <c r="A2334">
        <v>388</v>
      </c>
      <c r="B2334">
        <f t="shared" ca="1" si="36"/>
        <v>187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4" t="str">
        <f ca="1">IF(dict_zuord_Meth_Transfers[[#This Row],[kval_active]],dict_zuord_Meth_Transfers[[#This Row],[ID_Transfers]],"")</f>
        <v/>
      </c>
    </row>
    <row r="2335" spans="1:4" x14ac:dyDescent="0.45">
      <c r="A2335">
        <v>388</v>
      </c>
      <c r="B2335" s="3">
        <f t="shared" ca="1" si="36"/>
        <v>96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5" t="str">
        <f ca="1">IF(dict_zuord_Meth_Transfers[[#This Row],[kval_active]],dict_zuord_Meth_Transfers[[#This Row],[ID_Transfers]],"")</f>
        <v/>
      </c>
    </row>
    <row r="2336" spans="1:4" x14ac:dyDescent="0.45">
      <c r="A2336">
        <v>389</v>
      </c>
      <c r="B2336">
        <f t="shared" ca="1" si="36"/>
        <v>53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6" t="str">
        <f ca="1">IF(dict_zuord_Meth_Transfers[[#This Row],[kval_active]],dict_zuord_Meth_Transfers[[#This Row],[ID_Transfers]],"")</f>
        <v/>
      </c>
    </row>
    <row r="2337" spans="1:4" x14ac:dyDescent="0.45">
      <c r="A2337">
        <v>389</v>
      </c>
      <c r="B2337">
        <f t="shared" ca="1" si="36"/>
        <v>15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7" t="str">
        <f ca="1">IF(dict_zuord_Meth_Transfers[[#This Row],[kval_active]],dict_zuord_Meth_Transfers[[#This Row],[ID_Transfers]],"")</f>
        <v/>
      </c>
    </row>
    <row r="2338" spans="1:4" x14ac:dyDescent="0.45">
      <c r="A2338">
        <v>389</v>
      </c>
      <c r="B2338" s="3">
        <f t="shared" ca="1" si="36"/>
        <v>67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8" t="str">
        <f ca="1">IF(dict_zuord_Meth_Transfers[[#This Row],[kval_active]],dict_zuord_Meth_Transfers[[#This Row],[ID_Transfers]],"")</f>
        <v/>
      </c>
    </row>
    <row r="2339" spans="1:4" x14ac:dyDescent="0.45">
      <c r="A2339">
        <v>389</v>
      </c>
      <c r="B2339" s="3">
        <f t="shared" ca="1" si="36"/>
        <v>105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9" t="str">
        <f ca="1">IF(dict_zuord_Meth_Transfers[[#This Row],[kval_active]],dict_zuord_Meth_Transfers[[#This Row],[ID_Transfers]],"")</f>
        <v/>
      </c>
    </row>
    <row r="2340" spans="1:4" x14ac:dyDescent="0.45">
      <c r="A2340">
        <v>389</v>
      </c>
      <c r="B2340" s="3">
        <f t="shared" ca="1" si="36"/>
        <v>163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0" t="str">
        <f ca="1">IF(dict_zuord_Meth_Transfers[[#This Row],[kval_active]],dict_zuord_Meth_Transfers[[#This Row],[ID_Transfers]],"")</f>
        <v/>
      </c>
    </row>
    <row r="2341" spans="1:4" x14ac:dyDescent="0.45">
      <c r="A2341">
        <v>389</v>
      </c>
      <c r="B2341">
        <f t="shared" ca="1" si="36"/>
        <v>75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1" t="str">
        <f ca="1">IF(dict_zuord_Meth_Transfers[[#This Row],[kval_active]],dict_zuord_Meth_Transfers[[#This Row],[ID_Transfers]],"")</f>
        <v/>
      </c>
    </row>
    <row r="2342" spans="1:4" x14ac:dyDescent="0.45">
      <c r="A2342">
        <v>390</v>
      </c>
      <c r="B2342">
        <f t="shared" ca="1" si="36"/>
        <v>6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2" t="str">
        <f ca="1">IF(dict_zuord_Meth_Transfers[[#This Row],[kval_active]],dict_zuord_Meth_Transfers[[#This Row],[ID_Transfers]],"")</f>
        <v/>
      </c>
    </row>
    <row r="2343" spans="1:4" x14ac:dyDescent="0.45">
      <c r="A2343">
        <v>390</v>
      </c>
      <c r="B2343">
        <f t="shared" ca="1" si="36"/>
        <v>174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3" t="str">
        <f ca="1">IF(dict_zuord_Meth_Transfers[[#This Row],[kval_active]],dict_zuord_Meth_Transfers[[#This Row],[ID_Transfers]],"")</f>
        <v/>
      </c>
    </row>
    <row r="2344" spans="1:4" x14ac:dyDescent="0.45">
      <c r="A2344">
        <v>390</v>
      </c>
      <c r="B2344" s="3">
        <f t="shared" ca="1" si="36"/>
        <v>142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4" t="str">
        <f ca="1">IF(dict_zuord_Meth_Transfers[[#This Row],[kval_active]],dict_zuord_Meth_Transfers[[#This Row],[ID_Transfers]],"")</f>
        <v/>
      </c>
    </row>
    <row r="2345" spans="1:4" x14ac:dyDescent="0.45">
      <c r="A2345">
        <v>390</v>
      </c>
      <c r="B2345" s="3">
        <f t="shared" ca="1" si="36"/>
        <v>40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5" t="str">
        <f ca="1">IF(dict_zuord_Meth_Transfers[[#This Row],[kval_active]],dict_zuord_Meth_Transfers[[#This Row],[ID_Transfers]],"")</f>
        <v/>
      </c>
    </row>
    <row r="2346" spans="1:4" x14ac:dyDescent="0.45">
      <c r="A2346">
        <v>390</v>
      </c>
      <c r="B2346">
        <f t="shared" ca="1" si="36"/>
        <v>77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6" t="str">
        <f ca="1">IF(dict_zuord_Meth_Transfers[[#This Row],[kval_active]],dict_zuord_Meth_Transfers[[#This Row],[ID_Transfers]],"")</f>
        <v/>
      </c>
    </row>
    <row r="2347" spans="1:4" x14ac:dyDescent="0.45">
      <c r="A2347">
        <v>390</v>
      </c>
      <c r="B2347" s="3">
        <f t="shared" ca="1" si="36"/>
        <v>96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7" t="str">
        <f ca="1">IF(dict_zuord_Meth_Transfers[[#This Row],[kval_active]],dict_zuord_Meth_Transfers[[#This Row],[ID_Transfers]],"")</f>
        <v/>
      </c>
    </row>
    <row r="2348" spans="1:4" x14ac:dyDescent="0.45">
      <c r="A2348">
        <v>391</v>
      </c>
      <c r="B2348" s="3">
        <f t="shared" ca="1" si="36"/>
        <v>191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8" t="str">
        <f ca="1">IF(dict_zuord_Meth_Transfers[[#This Row],[kval_active]],dict_zuord_Meth_Transfers[[#This Row],[ID_Transfers]],"")</f>
        <v/>
      </c>
    </row>
    <row r="2349" spans="1:4" x14ac:dyDescent="0.45">
      <c r="A2349">
        <v>391</v>
      </c>
      <c r="B2349">
        <f t="shared" ca="1" si="36"/>
        <v>120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9" t="str">
        <f ca="1">IF(dict_zuord_Meth_Transfers[[#This Row],[kval_active]],dict_zuord_Meth_Transfers[[#This Row],[ID_Transfers]],"")</f>
        <v/>
      </c>
    </row>
    <row r="2350" spans="1:4" x14ac:dyDescent="0.45">
      <c r="A2350">
        <v>391</v>
      </c>
      <c r="B2350">
        <f t="shared" ca="1" si="36"/>
        <v>60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0" t="str">
        <f ca="1">IF(dict_zuord_Meth_Transfers[[#This Row],[kval_active]],dict_zuord_Meth_Transfers[[#This Row],[ID_Transfers]],"")</f>
        <v/>
      </c>
    </row>
    <row r="2351" spans="1:4" x14ac:dyDescent="0.45">
      <c r="A2351">
        <v>391</v>
      </c>
      <c r="B2351" s="3">
        <f t="shared" ca="1" si="36"/>
        <v>94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1" t="str">
        <f ca="1">IF(dict_zuord_Meth_Transfers[[#This Row],[kval_active]],dict_zuord_Meth_Transfers[[#This Row],[ID_Transfers]],"")</f>
        <v/>
      </c>
    </row>
    <row r="2352" spans="1:4" x14ac:dyDescent="0.45">
      <c r="A2352">
        <v>391</v>
      </c>
      <c r="B2352" s="3">
        <f t="shared" ca="1" si="36"/>
        <v>79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2" t="str">
        <f ca="1">IF(dict_zuord_Meth_Transfers[[#This Row],[kval_active]],dict_zuord_Meth_Transfers[[#This Row],[ID_Transfers]],"")</f>
        <v/>
      </c>
    </row>
    <row r="2353" spans="1:4" x14ac:dyDescent="0.45">
      <c r="A2353">
        <v>391</v>
      </c>
      <c r="B2353">
        <f t="shared" ca="1" si="36"/>
        <v>165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3" t="str">
        <f ca="1">IF(dict_zuord_Meth_Transfers[[#This Row],[kval_active]],dict_zuord_Meth_Transfers[[#This Row],[ID_Transfers]],"")</f>
        <v/>
      </c>
    </row>
    <row r="2354" spans="1:4" x14ac:dyDescent="0.45">
      <c r="A2354">
        <v>392</v>
      </c>
      <c r="B2354" s="3">
        <f t="shared" ca="1" si="36"/>
        <v>115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4" t="str">
        <f ca="1">IF(dict_zuord_Meth_Transfers[[#This Row],[kval_active]],dict_zuord_Meth_Transfers[[#This Row],[ID_Transfers]],"")</f>
        <v/>
      </c>
    </row>
    <row r="2355" spans="1:4" x14ac:dyDescent="0.45">
      <c r="A2355">
        <v>392</v>
      </c>
      <c r="B2355">
        <f t="shared" ca="1" si="36"/>
        <v>13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5" t="str">
        <f ca="1">IF(dict_zuord_Meth_Transfers[[#This Row],[kval_active]],dict_zuord_Meth_Transfers[[#This Row],[ID_Transfers]],"")</f>
        <v/>
      </c>
    </row>
    <row r="2356" spans="1:4" x14ac:dyDescent="0.45">
      <c r="A2356">
        <v>392</v>
      </c>
      <c r="B2356">
        <f t="shared" ca="1" si="36"/>
        <v>3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6" t="str">
        <f ca="1">IF(dict_zuord_Meth_Transfers[[#This Row],[kval_active]],dict_zuord_Meth_Transfers[[#This Row],[ID_Transfers]],"")</f>
        <v/>
      </c>
    </row>
    <row r="2357" spans="1:4" x14ac:dyDescent="0.45">
      <c r="A2357">
        <v>392</v>
      </c>
      <c r="B2357">
        <f t="shared" ca="1" si="36"/>
        <v>59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7" t="str">
        <f ca="1">IF(dict_zuord_Meth_Transfers[[#This Row],[kval_active]],dict_zuord_Meth_Transfers[[#This Row],[ID_Transfers]],"")</f>
        <v/>
      </c>
    </row>
    <row r="2358" spans="1:4" x14ac:dyDescent="0.45">
      <c r="A2358">
        <v>392</v>
      </c>
      <c r="B2358" s="3">
        <f t="shared" ca="1" si="36"/>
        <v>104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8" t="str">
        <f ca="1">IF(dict_zuord_Meth_Transfers[[#This Row],[kval_active]],dict_zuord_Meth_Transfers[[#This Row],[ID_Transfers]],"")</f>
        <v/>
      </c>
    </row>
    <row r="2359" spans="1:4" x14ac:dyDescent="0.45">
      <c r="A2359">
        <v>392</v>
      </c>
      <c r="B2359" s="3">
        <f t="shared" ca="1" si="36"/>
        <v>171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9" t="str">
        <f ca="1">IF(dict_zuord_Meth_Transfers[[#This Row],[kval_active]],dict_zuord_Meth_Transfers[[#This Row],[ID_Transfers]],"")</f>
        <v/>
      </c>
    </row>
    <row r="2360" spans="1:4" x14ac:dyDescent="0.45">
      <c r="A2360">
        <v>393</v>
      </c>
      <c r="B2360" s="3">
        <f t="shared" ca="1" si="36"/>
        <v>54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0" t="str">
        <f ca="1">IF(dict_zuord_Meth_Transfers[[#This Row],[kval_active]],dict_zuord_Meth_Transfers[[#This Row],[ID_Transfers]],"")</f>
        <v/>
      </c>
    </row>
    <row r="2361" spans="1:4" x14ac:dyDescent="0.45">
      <c r="A2361">
        <v>393</v>
      </c>
      <c r="B2361">
        <f t="shared" ca="1" si="36"/>
        <v>97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1" t="str">
        <f ca="1">IF(dict_zuord_Meth_Transfers[[#This Row],[kval_active]],dict_zuord_Meth_Transfers[[#This Row],[ID_Transfers]],"")</f>
        <v/>
      </c>
    </row>
    <row r="2362" spans="1:4" x14ac:dyDescent="0.45">
      <c r="A2362">
        <v>393</v>
      </c>
      <c r="B2362" s="3">
        <f t="shared" ca="1" si="36"/>
        <v>49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2" t="str">
        <f ca="1">IF(dict_zuord_Meth_Transfers[[#This Row],[kval_active]],dict_zuord_Meth_Transfers[[#This Row],[ID_Transfers]],"")</f>
        <v/>
      </c>
    </row>
    <row r="2363" spans="1:4" x14ac:dyDescent="0.45">
      <c r="A2363">
        <v>393</v>
      </c>
      <c r="B2363">
        <f t="shared" ca="1" si="36"/>
        <v>149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3" t="str">
        <f ca="1">IF(dict_zuord_Meth_Transfers[[#This Row],[kval_active]],dict_zuord_Meth_Transfers[[#This Row],[ID_Transfers]],"")</f>
        <v/>
      </c>
    </row>
    <row r="2364" spans="1:4" x14ac:dyDescent="0.45">
      <c r="A2364">
        <v>393</v>
      </c>
      <c r="B2364">
        <f t="shared" ca="1" si="36"/>
        <v>151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4" t="str">
        <f ca="1">IF(dict_zuord_Meth_Transfers[[#This Row],[kval_active]],dict_zuord_Meth_Transfers[[#This Row],[ID_Transfers]],"")</f>
        <v/>
      </c>
    </row>
    <row r="2365" spans="1:4" x14ac:dyDescent="0.45">
      <c r="A2365">
        <v>393</v>
      </c>
      <c r="B2365" s="3">
        <f t="shared" ca="1" si="36"/>
        <v>102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5" t="str">
        <f ca="1">IF(dict_zuord_Meth_Transfers[[#This Row],[kval_active]],dict_zuord_Meth_Transfers[[#This Row],[ID_Transfers]],"")</f>
        <v/>
      </c>
    </row>
    <row r="2366" spans="1:4" x14ac:dyDescent="0.45">
      <c r="A2366">
        <v>394</v>
      </c>
      <c r="B2366" s="3">
        <f t="shared" ca="1" si="36"/>
        <v>145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6" t="str">
        <f ca="1">IF(dict_zuord_Meth_Transfers[[#This Row],[kval_active]],dict_zuord_Meth_Transfers[[#This Row],[ID_Transfers]],"")</f>
        <v/>
      </c>
    </row>
    <row r="2367" spans="1:4" x14ac:dyDescent="0.45">
      <c r="A2367">
        <v>394</v>
      </c>
      <c r="B2367" s="3">
        <f t="shared" ca="1" si="36"/>
        <v>37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7" t="str">
        <f ca="1">IF(dict_zuord_Meth_Transfers[[#This Row],[kval_active]],dict_zuord_Meth_Transfers[[#This Row],[ID_Transfers]],"")</f>
        <v/>
      </c>
    </row>
    <row r="2368" spans="1:4" x14ac:dyDescent="0.45">
      <c r="A2368">
        <v>394</v>
      </c>
      <c r="B2368">
        <f t="shared" ca="1" si="36"/>
        <v>25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8" t="str">
        <f ca="1">IF(dict_zuord_Meth_Transfers[[#This Row],[kval_active]],dict_zuord_Meth_Transfers[[#This Row],[ID_Transfers]],"")</f>
        <v/>
      </c>
    </row>
    <row r="2369" spans="1:4" x14ac:dyDescent="0.45">
      <c r="A2369">
        <v>394</v>
      </c>
      <c r="B2369" s="3">
        <f t="shared" ca="1" si="36"/>
        <v>53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9" t="str">
        <f ca="1">IF(dict_zuord_Meth_Transfers[[#This Row],[kval_active]],dict_zuord_Meth_Transfers[[#This Row],[ID_Transfers]],"")</f>
        <v/>
      </c>
    </row>
    <row r="2370" spans="1:4" x14ac:dyDescent="0.45">
      <c r="A2370">
        <v>394</v>
      </c>
      <c r="B2370">
        <f t="shared" ref="B2370:B2433" ca="1" si="37">RANDBETWEEN(0,200)</f>
        <v>27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0" t="str">
        <f ca="1">IF(dict_zuord_Meth_Transfers[[#This Row],[kval_active]],dict_zuord_Meth_Transfers[[#This Row],[ID_Transfers]],"")</f>
        <v/>
      </c>
    </row>
    <row r="2371" spans="1:4" x14ac:dyDescent="0.45">
      <c r="A2371">
        <v>394</v>
      </c>
      <c r="B2371">
        <f t="shared" ca="1" si="37"/>
        <v>58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1" t="str">
        <f ca="1">IF(dict_zuord_Meth_Transfers[[#This Row],[kval_active]],dict_zuord_Meth_Transfers[[#This Row],[ID_Transfers]],"")</f>
        <v/>
      </c>
    </row>
    <row r="2372" spans="1:4" x14ac:dyDescent="0.45">
      <c r="A2372">
        <v>395</v>
      </c>
      <c r="B2372">
        <f t="shared" ca="1" si="37"/>
        <v>19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2" t="str">
        <f ca="1">IF(dict_zuord_Meth_Transfers[[#This Row],[kval_active]],dict_zuord_Meth_Transfers[[#This Row],[ID_Transfers]],"")</f>
        <v/>
      </c>
    </row>
    <row r="2373" spans="1:4" x14ac:dyDescent="0.45">
      <c r="A2373">
        <v>395</v>
      </c>
      <c r="B2373" s="3">
        <f t="shared" ca="1" si="37"/>
        <v>34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3" t="str">
        <f ca="1">IF(dict_zuord_Meth_Transfers[[#This Row],[kval_active]],dict_zuord_Meth_Transfers[[#This Row],[ID_Transfers]],"")</f>
        <v/>
      </c>
    </row>
    <row r="2374" spans="1:4" x14ac:dyDescent="0.45">
      <c r="A2374">
        <v>395</v>
      </c>
      <c r="B2374">
        <f t="shared" ca="1" si="37"/>
        <v>2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4" t="str">
        <f ca="1">IF(dict_zuord_Meth_Transfers[[#This Row],[kval_active]],dict_zuord_Meth_Transfers[[#This Row],[ID_Transfers]],"")</f>
        <v/>
      </c>
    </row>
    <row r="2375" spans="1:4" x14ac:dyDescent="0.45">
      <c r="A2375">
        <v>395</v>
      </c>
      <c r="B2375">
        <f t="shared" ca="1" si="37"/>
        <v>128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5" t="str">
        <f ca="1">IF(dict_zuord_Meth_Transfers[[#This Row],[kval_active]],dict_zuord_Meth_Transfers[[#This Row],[ID_Transfers]],"")</f>
        <v/>
      </c>
    </row>
    <row r="2376" spans="1:4" x14ac:dyDescent="0.45">
      <c r="A2376">
        <v>395</v>
      </c>
      <c r="B2376" s="3">
        <f t="shared" ca="1" si="37"/>
        <v>26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6" t="str">
        <f ca="1">IF(dict_zuord_Meth_Transfers[[#This Row],[kval_active]],dict_zuord_Meth_Transfers[[#This Row],[ID_Transfers]],"")</f>
        <v/>
      </c>
    </row>
    <row r="2377" spans="1:4" x14ac:dyDescent="0.45">
      <c r="A2377">
        <v>395</v>
      </c>
      <c r="B2377" s="3">
        <f t="shared" ca="1" si="37"/>
        <v>60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7" t="str">
        <f ca="1">IF(dict_zuord_Meth_Transfers[[#This Row],[kval_active]],dict_zuord_Meth_Transfers[[#This Row],[ID_Transfers]],"")</f>
        <v/>
      </c>
    </row>
    <row r="2378" spans="1:4" x14ac:dyDescent="0.45">
      <c r="A2378">
        <v>396</v>
      </c>
      <c r="B2378">
        <f t="shared" ca="1" si="37"/>
        <v>187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8" t="str">
        <f ca="1">IF(dict_zuord_Meth_Transfers[[#This Row],[kval_active]],dict_zuord_Meth_Transfers[[#This Row],[ID_Transfers]],"")</f>
        <v/>
      </c>
    </row>
    <row r="2379" spans="1:4" x14ac:dyDescent="0.45">
      <c r="A2379">
        <v>396</v>
      </c>
      <c r="B2379" s="3">
        <f t="shared" ca="1" si="37"/>
        <v>61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9" t="str">
        <f ca="1">IF(dict_zuord_Meth_Transfers[[#This Row],[kval_active]],dict_zuord_Meth_Transfers[[#This Row],[ID_Transfers]],"")</f>
        <v/>
      </c>
    </row>
    <row r="2380" spans="1:4" x14ac:dyDescent="0.45">
      <c r="A2380">
        <v>396</v>
      </c>
      <c r="B2380" s="3">
        <f t="shared" ca="1" si="37"/>
        <v>146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0" t="str">
        <f ca="1">IF(dict_zuord_Meth_Transfers[[#This Row],[kval_active]],dict_zuord_Meth_Transfers[[#This Row],[ID_Transfers]],"")</f>
        <v/>
      </c>
    </row>
    <row r="2381" spans="1:4" x14ac:dyDescent="0.45">
      <c r="A2381">
        <v>396</v>
      </c>
      <c r="B2381">
        <f t="shared" ca="1" si="37"/>
        <v>7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1" t="str">
        <f ca="1">IF(dict_zuord_Meth_Transfers[[#This Row],[kval_active]],dict_zuord_Meth_Transfers[[#This Row],[ID_Transfers]],"")</f>
        <v/>
      </c>
    </row>
    <row r="2382" spans="1:4" x14ac:dyDescent="0.45">
      <c r="A2382">
        <v>396</v>
      </c>
      <c r="B2382">
        <f t="shared" ca="1" si="37"/>
        <v>46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2" t="str">
        <f ca="1">IF(dict_zuord_Meth_Transfers[[#This Row],[kval_active]],dict_zuord_Meth_Transfers[[#This Row],[ID_Transfers]],"")</f>
        <v/>
      </c>
    </row>
    <row r="2383" spans="1:4" x14ac:dyDescent="0.45">
      <c r="A2383">
        <v>396</v>
      </c>
      <c r="B2383" s="3">
        <f t="shared" ca="1" si="37"/>
        <v>16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3" t="str">
        <f ca="1">IF(dict_zuord_Meth_Transfers[[#This Row],[kval_active]],dict_zuord_Meth_Transfers[[#This Row],[ID_Transfers]],"")</f>
        <v/>
      </c>
    </row>
    <row r="2384" spans="1:4" x14ac:dyDescent="0.45">
      <c r="A2384">
        <v>397</v>
      </c>
      <c r="B2384">
        <f t="shared" ca="1" si="37"/>
        <v>142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4" t="str">
        <f ca="1">IF(dict_zuord_Meth_Transfers[[#This Row],[kval_active]],dict_zuord_Meth_Transfers[[#This Row],[ID_Transfers]],"")</f>
        <v/>
      </c>
    </row>
    <row r="2385" spans="1:4" x14ac:dyDescent="0.45">
      <c r="A2385">
        <v>397</v>
      </c>
      <c r="B2385" s="3">
        <f t="shared" ca="1" si="37"/>
        <v>99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5" t="str">
        <f ca="1">IF(dict_zuord_Meth_Transfers[[#This Row],[kval_active]],dict_zuord_Meth_Transfers[[#This Row],[ID_Transfers]],"")</f>
        <v/>
      </c>
    </row>
    <row r="2386" spans="1:4" x14ac:dyDescent="0.45">
      <c r="A2386">
        <v>397</v>
      </c>
      <c r="B2386" s="3">
        <f t="shared" ca="1" si="37"/>
        <v>44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6" t="str">
        <f ca="1">IF(dict_zuord_Meth_Transfers[[#This Row],[kval_active]],dict_zuord_Meth_Transfers[[#This Row],[ID_Transfers]],"")</f>
        <v/>
      </c>
    </row>
    <row r="2387" spans="1:4" x14ac:dyDescent="0.45">
      <c r="A2387">
        <v>397</v>
      </c>
      <c r="B2387">
        <f t="shared" ca="1" si="37"/>
        <v>61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7" t="str">
        <f ca="1">IF(dict_zuord_Meth_Transfers[[#This Row],[kval_active]],dict_zuord_Meth_Transfers[[#This Row],[ID_Transfers]],"")</f>
        <v/>
      </c>
    </row>
    <row r="2388" spans="1:4" x14ac:dyDescent="0.45">
      <c r="A2388">
        <v>397</v>
      </c>
      <c r="B2388" s="3">
        <f t="shared" ca="1" si="37"/>
        <v>70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8" t="str">
        <f ca="1">IF(dict_zuord_Meth_Transfers[[#This Row],[kval_active]],dict_zuord_Meth_Transfers[[#This Row],[ID_Transfers]],"")</f>
        <v/>
      </c>
    </row>
    <row r="2389" spans="1:4" x14ac:dyDescent="0.45">
      <c r="A2389">
        <v>397</v>
      </c>
      <c r="B2389">
        <f t="shared" ca="1" si="37"/>
        <v>64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9" t="str">
        <f ca="1">IF(dict_zuord_Meth_Transfers[[#This Row],[kval_active]],dict_zuord_Meth_Transfers[[#This Row],[ID_Transfers]],"")</f>
        <v/>
      </c>
    </row>
    <row r="2390" spans="1:4" x14ac:dyDescent="0.45">
      <c r="A2390">
        <v>398</v>
      </c>
      <c r="B2390">
        <f t="shared" ca="1" si="37"/>
        <v>9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0" t="str">
        <f ca="1">IF(dict_zuord_Meth_Transfers[[#This Row],[kval_active]],dict_zuord_Meth_Transfers[[#This Row],[ID_Transfers]],"")</f>
        <v/>
      </c>
    </row>
    <row r="2391" spans="1:4" x14ac:dyDescent="0.45">
      <c r="A2391">
        <v>398</v>
      </c>
      <c r="B2391" s="3">
        <f t="shared" ca="1" si="37"/>
        <v>23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1" t="str">
        <f ca="1">IF(dict_zuord_Meth_Transfers[[#This Row],[kval_active]],dict_zuord_Meth_Transfers[[#This Row],[ID_Transfers]],"")</f>
        <v/>
      </c>
    </row>
    <row r="2392" spans="1:4" x14ac:dyDescent="0.45">
      <c r="A2392">
        <v>398</v>
      </c>
      <c r="B2392" s="3">
        <f t="shared" ca="1" si="37"/>
        <v>138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2" t="str">
        <f ca="1">IF(dict_zuord_Meth_Transfers[[#This Row],[kval_active]],dict_zuord_Meth_Transfers[[#This Row],[ID_Transfers]],"")</f>
        <v/>
      </c>
    </row>
    <row r="2393" spans="1:4" x14ac:dyDescent="0.45">
      <c r="A2393">
        <v>398</v>
      </c>
      <c r="B2393">
        <f t="shared" ca="1" si="37"/>
        <v>54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3" t="str">
        <f ca="1">IF(dict_zuord_Meth_Transfers[[#This Row],[kval_active]],dict_zuord_Meth_Transfers[[#This Row],[ID_Transfers]],"")</f>
        <v/>
      </c>
    </row>
    <row r="2394" spans="1:4" x14ac:dyDescent="0.45">
      <c r="A2394">
        <v>398</v>
      </c>
      <c r="B2394" s="3">
        <f t="shared" ca="1" si="37"/>
        <v>113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4" t="str">
        <f ca="1">IF(dict_zuord_Meth_Transfers[[#This Row],[kval_active]],dict_zuord_Meth_Transfers[[#This Row],[ID_Transfers]],"")</f>
        <v/>
      </c>
    </row>
    <row r="2395" spans="1:4" x14ac:dyDescent="0.45">
      <c r="A2395">
        <v>398</v>
      </c>
      <c r="B2395">
        <f t="shared" ca="1" si="37"/>
        <v>144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5" t="str">
        <f ca="1">IF(dict_zuord_Meth_Transfers[[#This Row],[kval_active]],dict_zuord_Meth_Transfers[[#This Row],[ID_Transfers]],"")</f>
        <v/>
      </c>
    </row>
    <row r="2396" spans="1:4" x14ac:dyDescent="0.45">
      <c r="A2396">
        <v>399</v>
      </c>
      <c r="B2396" s="3">
        <f t="shared" ca="1" si="37"/>
        <v>151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6" t="str">
        <f ca="1">IF(dict_zuord_Meth_Transfers[[#This Row],[kval_active]],dict_zuord_Meth_Transfers[[#This Row],[ID_Transfers]],"")</f>
        <v/>
      </c>
    </row>
    <row r="2397" spans="1:4" x14ac:dyDescent="0.45">
      <c r="A2397">
        <v>399</v>
      </c>
      <c r="B2397" s="3">
        <f t="shared" ca="1" si="37"/>
        <v>65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7" t="str">
        <f ca="1">IF(dict_zuord_Meth_Transfers[[#This Row],[kval_active]],dict_zuord_Meth_Transfers[[#This Row],[ID_Transfers]],"")</f>
        <v/>
      </c>
    </row>
    <row r="2398" spans="1:4" x14ac:dyDescent="0.45">
      <c r="A2398">
        <v>399</v>
      </c>
      <c r="B2398" s="3">
        <f t="shared" ca="1" si="37"/>
        <v>84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8" t="str">
        <f ca="1">IF(dict_zuord_Meth_Transfers[[#This Row],[kval_active]],dict_zuord_Meth_Transfers[[#This Row],[ID_Transfers]],"")</f>
        <v/>
      </c>
    </row>
    <row r="2399" spans="1:4" x14ac:dyDescent="0.45">
      <c r="A2399">
        <v>399</v>
      </c>
      <c r="B2399">
        <f t="shared" ca="1" si="37"/>
        <v>66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9" t="str">
        <f ca="1">IF(dict_zuord_Meth_Transfers[[#This Row],[kval_active]],dict_zuord_Meth_Transfers[[#This Row],[ID_Transfers]],"")</f>
        <v/>
      </c>
    </row>
    <row r="2400" spans="1:4" x14ac:dyDescent="0.45">
      <c r="A2400">
        <v>399</v>
      </c>
      <c r="B2400">
        <f t="shared" ca="1" si="37"/>
        <v>84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0" t="str">
        <f ca="1">IF(dict_zuord_Meth_Transfers[[#This Row],[kval_active]],dict_zuord_Meth_Transfers[[#This Row],[ID_Transfers]],"")</f>
        <v/>
      </c>
    </row>
    <row r="2401" spans="1:4" x14ac:dyDescent="0.45">
      <c r="A2401">
        <v>399</v>
      </c>
      <c r="B2401">
        <f t="shared" ca="1" si="37"/>
        <v>99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1" t="str">
        <f ca="1">IF(dict_zuord_Meth_Transfers[[#This Row],[kval_active]],dict_zuord_Meth_Transfers[[#This Row],[ID_Transfers]],"")</f>
        <v/>
      </c>
    </row>
    <row r="2402" spans="1:4" x14ac:dyDescent="0.45">
      <c r="A2402">
        <v>400</v>
      </c>
      <c r="B2402" s="3">
        <f t="shared" ca="1" si="37"/>
        <v>135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2">
        <f ca="1">IF(dict_zuord_Meth_Transfers[[#This Row],[kval_active]],dict_zuord_Meth_Transfers[[#This Row],[ID_Transfers]],"")</f>
        <v>135</v>
      </c>
    </row>
    <row r="2403" spans="1:4" x14ac:dyDescent="0.45">
      <c r="A2403">
        <v>400</v>
      </c>
      <c r="B2403">
        <f t="shared" ca="1" si="37"/>
        <v>54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3">
        <f ca="1">IF(dict_zuord_Meth_Transfers[[#This Row],[kval_active]],dict_zuord_Meth_Transfers[[#This Row],[ID_Transfers]],"")</f>
        <v>54</v>
      </c>
    </row>
    <row r="2404" spans="1:4" x14ac:dyDescent="0.45">
      <c r="A2404">
        <v>400</v>
      </c>
      <c r="B2404" s="3">
        <f t="shared" ca="1" si="37"/>
        <v>90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4">
        <f ca="1">IF(dict_zuord_Meth_Transfers[[#This Row],[kval_active]],dict_zuord_Meth_Transfers[[#This Row],[ID_Transfers]],"")</f>
        <v>90</v>
      </c>
    </row>
    <row r="2405" spans="1:4" x14ac:dyDescent="0.45">
      <c r="A2405">
        <v>400</v>
      </c>
      <c r="B2405">
        <f t="shared" ca="1" si="37"/>
        <v>138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5">
        <f ca="1">IF(dict_zuord_Meth_Transfers[[#This Row],[kval_active]],dict_zuord_Meth_Transfers[[#This Row],[ID_Transfers]],"")</f>
        <v>138</v>
      </c>
    </row>
    <row r="2406" spans="1:4" x14ac:dyDescent="0.45">
      <c r="A2406">
        <v>400</v>
      </c>
      <c r="B2406" s="3">
        <f t="shared" ca="1" si="37"/>
        <v>4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6">
        <f ca="1">IF(dict_zuord_Meth_Transfers[[#This Row],[kval_active]],dict_zuord_Meth_Transfers[[#This Row],[ID_Transfers]],"")</f>
        <v>4</v>
      </c>
    </row>
    <row r="2407" spans="1:4" x14ac:dyDescent="0.45">
      <c r="A2407">
        <v>400</v>
      </c>
      <c r="B2407">
        <f t="shared" ca="1" si="37"/>
        <v>32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7">
        <f ca="1">IF(dict_zuord_Meth_Transfers[[#This Row],[kval_active]],dict_zuord_Meth_Transfers[[#This Row],[ID_Transfers]],"")</f>
        <v>32</v>
      </c>
    </row>
    <row r="2408" spans="1:4" x14ac:dyDescent="0.45">
      <c r="A2408">
        <v>401</v>
      </c>
      <c r="B2408">
        <f t="shared" ca="1" si="37"/>
        <v>52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8" t="str">
        <f ca="1">IF(dict_zuord_Meth_Transfers[[#This Row],[kval_active]],dict_zuord_Meth_Transfers[[#This Row],[ID_Transfers]],"")</f>
        <v/>
      </c>
    </row>
    <row r="2409" spans="1:4" x14ac:dyDescent="0.45">
      <c r="A2409">
        <v>401</v>
      </c>
      <c r="B2409">
        <f t="shared" ca="1" si="37"/>
        <v>173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9" t="str">
        <f ca="1">IF(dict_zuord_Meth_Transfers[[#This Row],[kval_active]],dict_zuord_Meth_Transfers[[#This Row],[ID_Transfers]],"")</f>
        <v/>
      </c>
    </row>
    <row r="2410" spans="1:4" x14ac:dyDescent="0.45">
      <c r="A2410">
        <v>401</v>
      </c>
      <c r="B2410" s="3">
        <f t="shared" ca="1" si="37"/>
        <v>175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0" t="str">
        <f ca="1">IF(dict_zuord_Meth_Transfers[[#This Row],[kval_active]],dict_zuord_Meth_Transfers[[#This Row],[ID_Transfers]],"")</f>
        <v/>
      </c>
    </row>
    <row r="2411" spans="1:4" x14ac:dyDescent="0.45">
      <c r="A2411">
        <v>401</v>
      </c>
      <c r="B2411">
        <f t="shared" ca="1" si="37"/>
        <v>31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1" t="str">
        <f ca="1">IF(dict_zuord_Meth_Transfers[[#This Row],[kval_active]],dict_zuord_Meth_Transfers[[#This Row],[ID_Transfers]],"")</f>
        <v/>
      </c>
    </row>
    <row r="2412" spans="1:4" x14ac:dyDescent="0.45">
      <c r="A2412">
        <v>401</v>
      </c>
      <c r="B2412" s="3">
        <f t="shared" ca="1" si="37"/>
        <v>157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2" t="str">
        <f ca="1">IF(dict_zuord_Meth_Transfers[[#This Row],[kval_active]],dict_zuord_Meth_Transfers[[#This Row],[ID_Transfers]],"")</f>
        <v/>
      </c>
    </row>
    <row r="2413" spans="1:4" x14ac:dyDescent="0.45">
      <c r="A2413">
        <v>401</v>
      </c>
      <c r="B2413" s="3">
        <f t="shared" ca="1" si="37"/>
        <v>76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3" t="str">
        <f ca="1">IF(dict_zuord_Meth_Transfers[[#This Row],[kval_active]],dict_zuord_Meth_Transfers[[#This Row],[ID_Transfers]],"")</f>
        <v/>
      </c>
    </row>
    <row r="2414" spans="1:4" x14ac:dyDescent="0.45">
      <c r="A2414">
        <v>402</v>
      </c>
      <c r="B2414" s="3">
        <f t="shared" ca="1" si="37"/>
        <v>104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4" t="str">
        <f ca="1">IF(dict_zuord_Meth_Transfers[[#This Row],[kval_active]],dict_zuord_Meth_Transfers[[#This Row],[ID_Transfers]],"")</f>
        <v/>
      </c>
    </row>
    <row r="2415" spans="1:4" x14ac:dyDescent="0.45">
      <c r="A2415">
        <v>402</v>
      </c>
      <c r="B2415" s="3">
        <f t="shared" ca="1" si="37"/>
        <v>82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5" t="str">
        <f ca="1">IF(dict_zuord_Meth_Transfers[[#This Row],[kval_active]],dict_zuord_Meth_Transfers[[#This Row],[ID_Transfers]],"")</f>
        <v/>
      </c>
    </row>
    <row r="2416" spans="1:4" x14ac:dyDescent="0.45">
      <c r="A2416">
        <v>402</v>
      </c>
      <c r="B2416">
        <f t="shared" ca="1" si="37"/>
        <v>72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6" t="str">
        <f ca="1">IF(dict_zuord_Meth_Transfers[[#This Row],[kval_active]],dict_zuord_Meth_Transfers[[#This Row],[ID_Transfers]],"")</f>
        <v/>
      </c>
    </row>
    <row r="2417" spans="1:4" x14ac:dyDescent="0.45">
      <c r="A2417">
        <v>402</v>
      </c>
      <c r="B2417">
        <f t="shared" ca="1" si="37"/>
        <v>0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7" t="str">
        <f ca="1">IF(dict_zuord_Meth_Transfers[[#This Row],[kval_active]],dict_zuord_Meth_Transfers[[#This Row],[ID_Transfers]],"")</f>
        <v/>
      </c>
    </row>
    <row r="2418" spans="1:4" x14ac:dyDescent="0.45">
      <c r="A2418">
        <v>402</v>
      </c>
      <c r="B2418">
        <f t="shared" ca="1" si="37"/>
        <v>82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8" t="str">
        <f ca="1">IF(dict_zuord_Meth_Transfers[[#This Row],[kval_active]],dict_zuord_Meth_Transfers[[#This Row],[ID_Transfers]],"")</f>
        <v/>
      </c>
    </row>
    <row r="2419" spans="1:4" x14ac:dyDescent="0.45">
      <c r="A2419">
        <v>402</v>
      </c>
      <c r="B2419" s="3">
        <f t="shared" ca="1" si="37"/>
        <v>14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9" t="str">
        <f ca="1">IF(dict_zuord_Meth_Transfers[[#This Row],[kval_active]],dict_zuord_Meth_Transfers[[#This Row],[ID_Transfers]],"")</f>
        <v/>
      </c>
    </row>
    <row r="2420" spans="1:4" x14ac:dyDescent="0.45">
      <c r="A2420">
        <v>403</v>
      </c>
      <c r="B2420" s="3">
        <f t="shared" ca="1" si="37"/>
        <v>168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0">
        <f ca="1">IF(dict_zuord_Meth_Transfers[[#This Row],[kval_active]],dict_zuord_Meth_Transfers[[#This Row],[ID_Transfers]],"")</f>
        <v>168</v>
      </c>
    </row>
    <row r="2421" spans="1:4" x14ac:dyDescent="0.45">
      <c r="A2421">
        <v>403</v>
      </c>
      <c r="B2421">
        <f t="shared" ca="1" si="37"/>
        <v>183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1">
        <f ca="1">IF(dict_zuord_Meth_Transfers[[#This Row],[kval_active]],dict_zuord_Meth_Transfers[[#This Row],[ID_Transfers]],"")</f>
        <v>183</v>
      </c>
    </row>
    <row r="2422" spans="1:4" x14ac:dyDescent="0.45">
      <c r="A2422">
        <v>403</v>
      </c>
      <c r="B2422">
        <f t="shared" ca="1" si="37"/>
        <v>69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2">
        <f ca="1">IF(dict_zuord_Meth_Transfers[[#This Row],[kval_active]],dict_zuord_Meth_Transfers[[#This Row],[ID_Transfers]],"")</f>
        <v>69</v>
      </c>
    </row>
    <row r="2423" spans="1:4" x14ac:dyDescent="0.45">
      <c r="A2423">
        <v>403</v>
      </c>
      <c r="B2423">
        <f t="shared" ca="1" si="37"/>
        <v>176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3">
        <f ca="1">IF(dict_zuord_Meth_Transfers[[#This Row],[kval_active]],dict_zuord_Meth_Transfers[[#This Row],[ID_Transfers]],"")</f>
        <v>176</v>
      </c>
    </row>
    <row r="2424" spans="1:4" x14ac:dyDescent="0.45">
      <c r="A2424">
        <v>403</v>
      </c>
      <c r="B2424" s="3">
        <f t="shared" ca="1" si="37"/>
        <v>53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4">
        <f ca="1">IF(dict_zuord_Meth_Transfers[[#This Row],[kval_active]],dict_zuord_Meth_Transfers[[#This Row],[ID_Transfers]],"")</f>
        <v>53</v>
      </c>
    </row>
    <row r="2425" spans="1:4" x14ac:dyDescent="0.45">
      <c r="A2425">
        <v>403</v>
      </c>
      <c r="B2425" s="3">
        <f t="shared" ca="1" si="37"/>
        <v>68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5">
        <f ca="1">IF(dict_zuord_Meth_Transfers[[#This Row],[kval_active]],dict_zuord_Meth_Transfers[[#This Row],[ID_Transfers]],"")</f>
        <v>68</v>
      </c>
    </row>
    <row r="2426" spans="1:4" x14ac:dyDescent="0.45">
      <c r="A2426">
        <v>404</v>
      </c>
      <c r="B2426">
        <f t="shared" ca="1" si="37"/>
        <v>142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6" t="str">
        <f ca="1">IF(dict_zuord_Meth_Transfers[[#This Row],[kval_active]],dict_zuord_Meth_Transfers[[#This Row],[ID_Transfers]],"")</f>
        <v/>
      </c>
    </row>
    <row r="2427" spans="1:4" x14ac:dyDescent="0.45">
      <c r="A2427">
        <v>404</v>
      </c>
      <c r="B2427" s="3">
        <f t="shared" ca="1" si="37"/>
        <v>160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7" t="str">
        <f ca="1">IF(dict_zuord_Meth_Transfers[[#This Row],[kval_active]],dict_zuord_Meth_Transfers[[#This Row],[ID_Transfers]],"")</f>
        <v/>
      </c>
    </row>
    <row r="2428" spans="1:4" x14ac:dyDescent="0.45">
      <c r="A2428">
        <v>404</v>
      </c>
      <c r="B2428" s="3">
        <f t="shared" ca="1" si="37"/>
        <v>20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8" t="str">
        <f ca="1">IF(dict_zuord_Meth_Transfers[[#This Row],[kval_active]],dict_zuord_Meth_Transfers[[#This Row],[ID_Transfers]],"")</f>
        <v/>
      </c>
    </row>
    <row r="2429" spans="1:4" x14ac:dyDescent="0.45">
      <c r="A2429">
        <v>404</v>
      </c>
      <c r="B2429">
        <f t="shared" ca="1" si="37"/>
        <v>155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9" t="str">
        <f ca="1">IF(dict_zuord_Meth_Transfers[[#This Row],[kval_active]],dict_zuord_Meth_Transfers[[#This Row],[ID_Transfers]],"")</f>
        <v/>
      </c>
    </row>
    <row r="2430" spans="1:4" x14ac:dyDescent="0.45">
      <c r="A2430">
        <v>404</v>
      </c>
      <c r="B2430" s="3">
        <f t="shared" ca="1" si="37"/>
        <v>134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0" t="str">
        <f ca="1">IF(dict_zuord_Meth_Transfers[[#This Row],[kval_active]],dict_zuord_Meth_Transfers[[#This Row],[ID_Transfers]],"")</f>
        <v/>
      </c>
    </row>
    <row r="2431" spans="1:4" x14ac:dyDescent="0.45">
      <c r="A2431">
        <v>404</v>
      </c>
      <c r="B2431">
        <f t="shared" ca="1" si="37"/>
        <v>197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1" t="str">
        <f ca="1">IF(dict_zuord_Meth_Transfers[[#This Row],[kval_active]],dict_zuord_Meth_Transfers[[#This Row],[ID_Transfers]],"")</f>
        <v/>
      </c>
    </row>
    <row r="2432" spans="1:4" x14ac:dyDescent="0.45">
      <c r="A2432">
        <v>405</v>
      </c>
      <c r="B2432" s="3">
        <f t="shared" ca="1" si="37"/>
        <v>77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2" t="str">
        <f ca="1">IF(dict_zuord_Meth_Transfers[[#This Row],[kval_active]],dict_zuord_Meth_Transfers[[#This Row],[ID_Transfers]],"")</f>
        <v/>
      </c>
    </row>
    <row r="2433" spans="1:4" x14ac:dyDescent="0.45">
      <c r="A2433">
        <v>405</v>
      </c>
      <c r="B2433">
        <f t="shared" ca="1" si="37"/>
        <v>131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3" t="str">
        <f ca="1">IF(dict_zuord_Meth_Transfers[[#This Row],[kval_active]],dict_zuord_Meth_Transfers[[#This Row],[ID_Transfers]],"")</f>
        <v/>
      </c>
    </row>
    <row r="2434" spans="1:4" x14ac:dyDescent="0.45">
      <c r="A2434">
        <v>405</v>
      </c>
      <c r="B2434">
        <f t="shared" ref="B2434:B2497" ca="1" si="38">RANDBETWEEN(0,200)</f>
        <v>1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4" t="str">
        <f ca="1">IF(dict_zuord_Meth_Transfers[[#This Row],[kval_active]],dict_zuord_Meth_Transfers[[#This Row],[ID_Transfers]],"")</f>
        <v/>
      </c>
    </row>
    <row r="2435" spans="1:4" x14ac:dyDescent="0.45">
      <c r="A2435">
        <v>405</v>
      </c>
      <c r="B2435" s="3">
        <f t="shared" ca="1" si="38"/>
        <v>194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5" t="str">
        <f ca="1">IF(dict_zuord_Meth_Transfers[[#This Row],[kval_active]],dict_zuord_Meth_Transfers[[#This Row],[ID_Transfers]],"")</f>
        <v/>
      </c>
    </row>
    <row r="2436" spans="1:4" x14ac:dyDescent="0.45">
      <c r="A2436">
        <v>405</v>
      </c>
      <c r="B2436">
        <f t="shared" ca="1" si="38"/>
        <v>96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6" t="str">
        <f ca="1">IF(dict_zuord_Meth_Transfers[[#This Row],[kval_active]],dict_zuord_Meth_Transfers[[#This Row],[ID_Transfers]],"")</f>
        <v/>
      </c>
    </row>
    <row r="2437" spans="1:4" x14ac:dyDescent="0.45">
      <c r="A2437">
        <v>405</v>
      </c>
      <c r="B2437" s="3">
        <f t="shared" ca="1" si="38"/>
        <v>191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7" t="str">
        <f ca="1">IF(dict_zuord_Meth_Transfers[[#This Row],[kval_active]],dict_zuord_Meth_Transfers[[#This Row],[ID_Transfers]],"")</f>
        <v/>
      </c>
    </row>
    <row r="2438" spans="1:4" x14ac:dyDescent="0.45">
      <c r="A2438">
        <v>406</v>
      </c>
      <c r="B2438">
        <f t="shared" ca="1" si="38"/>
        <v>38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8" t="str">
        <f ca="1">IF(dict_zuord_Meth_Transfers[[#This Row],[kval_active]],dict_zuord_Meth_Transfers[[#This Row],[ID_Transfers]],"")</f>
        <v/>
      </c>
    </row>
    <row r="2439" spans="1:4" x14ac:dyDescent="0.45">
      <c r="A2439">
        <v>406</v>
      </c>
      <c r="B2439">
        <f t="shared" ca="1" si="38"/>
        <v>169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9" t="str">
        <f ca="1">IF(dict_zuord_Meth_Transfers[[#This Row],[kval_active]],dict_zuord_Meth_Transfers[[#This Row],[ID_Transfers]],"")</f>
        <v/>
      </c>
    </row>
    <row r="2440" spans="1:4" x14ac:dyDescent="0.45">
      <c r="A2440">
        <v>406</v>
      </c>
      <c r="B2440">
        <f t="shared" ca="1" si="38"/>
        <v>34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0" t="str">
        <f ca="1">IF(dict_zuord_Meth_Transfers[[#This Row],[kval_active]],dict_zuord_Meth_Transfers[[#This Row],[ID_Transfers]],"")</f>
        <v/>
      </c>
    </row>
    <row r="2441" spans="1:4" x14ac:dyDescent="0.45">
      <c r="A2441">
        <v>406</v>
      </c>
      <c r="B2441" s="3">
        <f t="shared" ca="1" si="38"/>
        <v>158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1" t="str">
        <f ca="1">IF(dict_zuord_Meth_Transfers[[#This Row],[kval_active]],dict_zuord_Meth_Transfers[[#This Row],[ID_Transfers]],"")</f>
        <v/>
      </c>
    </row>
    <row r="2442" spans="1:4" x14ac:dyDescent="0.45">
      <c r="A2442">
        <v>406</v>
      </c>
      <c r="B2442" s="3">
        <f t="shared" ca="1" si="38"/>
        <v>165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2" t="str">
        <f ca="1">IF(dict_zuord_Meth_Transfers[[#This Row],[kval_active]],dict_zuord_Meth_Transfers[[#This Row],[ID_Transfers]],"")</f>
        <v/>
      </c>
    </row>
    <row r="2443" spans="1:4" x14ac:dyDescent="0.45">
      <c r="A2443">
        <v>406</v>
      </c>
      <c r="B2443" s="3">
        <f t="shared" ca="1" si="38"/>
        <v>91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3" t="str">
        <f ca="1">IF(dict_zuord_Meth_Transfers[[#This Row],[kval_active]],dict_zuord_Meth_Transfers[[#This Row],[ID_Transfers]],"")</f>
        <v/>
      </c>
    </row>
    <row r="2444" spans="1:4" x14ac:dyDescent="0.45">
      <c r="A2444">
        <v>407</v>
      </c>
      <c r="B2444">
        <f t="shared" ca="1" si="38"/>
        <v>175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4" t="str">
        <f ca="1">IF(dict_zuord_Meth_Transfers[[#This Row],[kval_active]],dict_zuord_Meth_Transfers[[#This Row],[ID_Transfers]],"")</f>
        <v/>
      </c>
    </row>
    <row r="2445" spans="1:4" x14ac:dyDescent="0.45">
      <c r="A2445">
        <v>407</v>
      </c>
      <c r="B2445" s="3">
        <f t="shared" ca="1" si="38"/>
        <v>160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5" t="str">
        <f ca="1">IF(dict_zuord_Meth_Transfers[[#This Row],[kval_active]],dict_zuord_Meth_Transfers[[#This Row],[ID_Transfers]],"")</f>
        <v/>
      </c>
    </row>
    <row r="2446" spans="1:4" x14ac:dyDescent="0.45">
      <c r="A2446">
        <v>407</v>
      </c>
      <c r="B2446" s="3">
        <f t="shared" ca="1" si="38"/>
        <v>165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6" t="str">
        <f ca="1">IF(dict_zuord_Meth_Transfers[[#This Row],[kval_active]],dict_zuord_Meth_Transfers[[#This Row],[ID_Transfers]],"")</f>
        <v/>
      </c>
    </row>
    <row r="2447" spans="1:4" x14ac:dyDescent="0.45">
      <c r="A2447">
        <v>407</v>
      </c>
      <c r="B2447" s="3">
        <f t="shared" ca="1" si="38"/>
        <v>53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7" t="str">
        <f ca="1">IF(dict_zuord_Meth_Transfers[[#This Row],[kval_active]],dict_zuord_Meth_Transfers[[#This Row],[ID_Transfers]],"")</f>
        <v/>
      </c>
    </row>
    <row r="2448" spans="1:4" x14ac:dyDescent="0.45">
      <c r="A2448">
        <v>407</v>
      </c>
      <c r="B2448">
        <f t="shared" ca="1" si="38"/>
        <v>24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8" t="str">
        <f ca="1">IF(dict_zuord_Meth_Transfers[[#This Row],[kval_active]],dict_zuord_Meth_Transfers[[#This Row],[ID_Transfers]],"")</f>
        <v/>
      </c>
    </row>
    <row r="2449" spans="1:4" x14ac:dyDescent="0.45">
      <c r="A2449">
        <v>407</v>
      </c>
      <c r="B2449">
        <f t="shared" ca="1" si="38"/>
        <v>188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9" t="str">
        <f ca="1">IF(dict_zuord_Meth_Transfers[[#This Row],[kval_active]],dict_zuord_Meth_Transfers[[#This Row],[ID_Transfers]],"")</f>
        <v/>
      </c>
    </row>
    <row r="2450" spans="1:4" x14ac:dyDescent="0.45">
      <c r="A2450">
        <v>408</v>
      </c>
      <c r="B2450">
        <f t="shared" ca="1" si="38"/>
        <v>5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0" t="str">
        <f ca="1">IF(dict_zuord_Meth_Transfers[[#This Row],[kval_active]],dict_zuord_Meth_Transfers[[#This Row],[ID_Transfers]],"")</f>
        <v/>
      </c>
    </row>
    <row r="2451" spans="1:4" x14ac:dyDescent="0.45">
      <c r="A2451">
        <v>408</v>
      </c>
      <c r="B2451">
        <f t="shared" ca="1" si="38"/>
        <v>193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1" t="str">
        <f ca="1">IF(dict_zuord_Meth_Transfers[[#This Row],[kval_active]],dict_zuord_Meth_Transfers[[#This Row],[ID_Transfers]],"")</f>
        <v/>
      </c>
    </row>
    <row r="2452" spans="1:4" x14ac:dyDescent="0.45">
      <c r="A2452">
        <v>408</v>
      </c>
      <c r="B2452">
        <f t="shared" ca="1" si="38"/>
        <v>27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2" t="str">
        <f ca="1">IF(dict_zuord_Meth_Transfers[[#This Row],[kval_active]],dict_zuord_Meth_Transfers[[#This Row],[ID_Transfers]],"")</f>
        <v/>
      </c>
    </row>
    <row r="2453" spans="1:4" x14ac:dyDescent="0.45">
      <c r="A2453">
        <v>408</v>
      </c>
      <c r="B2453" s="3">
        <f t="shared" ca="1" si="38"/>
        <v>30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3" t="str">
        <f ca="1">IF(dict_zuord_Meth_Transfers[[#This Row],[kval_active]],dict_zuord_Meth_Transfers[[#This Row],[ID_Transfers]],"")</f>
        <v/>
      </c>
    </row>
    <row r="2454" spans="1:4" x14ac:dyDescent="0.45">
      <c r="A2454">
        <v>408</v>
      </c>
      <c r="B2454" s="3">
        <f t="shared" ca="1" si="38"/>
        <v>158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4" t="str">
        <f ca="1">IF(dict_zuord_Meth_Transfers[[#This Row],[kval_active]],dict_zuord_Meth_Transfers[[#This Row],[ID_Transfers]],"")</f>
        <v/>
      </c>
    </row>
    <row r="2455" spans="1:4" x14ac:dyDescent="0.45">
      <c r="A2455">
        <v>408</v>
      </c>
      <c r="B2455" s="3">
        <f t="shared" ca="1" si="38"/>
        <v>57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5" t="str">
        <f ca="1">IF(dict_zuord_Meth_Transfers[[#This Row],[kval_active]],dict_zuord_Meth_Transfers[[#This Row],[ID_Transfers]],"")</f>
        <v/>
      </c>
    </row>
    <row r="2456" spans="1:4" x14ac:dyDescent="0.45">
      <c r="A2456">
        <v>409</v>
      </c>
      <c r="B2456">
        <f t="shared" ca="1" si="38"/>
        <v>18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6" t="str">
        <f ca="1">IF(dict_zuord_Meth_Transfers[[#This Row],[kval_active]],dict_zuord_Meth_Transfers[[#This Row],[ID_Transfers]],"")</f>
        <v/>
      </c>
    </row>
    <row r="2457" spans="1:4" x14ac:dyDescent="0.45">
      <c r="A2457">
        <v>409</v>
      </c>
      <c r="B2457" s="3">
        <f t="shared" ca="1" si="38"/>
        <v>163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7" t="str">
        <f ca="1">IF(dict_zuord_Meth_Transfers[[#This Row],[kval_active]],dict_zuord_Meth_Transfers[[#This Row],[ID_Transfers]],"")</f>
        <v/>
      </c>
    </row>
    <row r="2458" spans="1:4" x14ac:dyDescent="0.45">
      <c r="A2458">
        <v>409</v>
      </c>
      <c r="B2458">
        <f t="shared" ca="1" si="38"/>
        <v>104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8" t="str">
        <f ca="1">IF(dict_zuord_Meth_Transfers[[#This Row],[kval_active]],dict_zuord_Meth_Transfers[[#This Row],[ID_Transfers]],"")</f>
        <v/>
      </c>
    </row>
    <row r="2459" spans="1:4" x14ac:dyDescent="0.45">
      <c r="A2459">
        <v>409</v>
      </c>
      <c r="B2459">
        <f t="shared" ca="1" si="38"/>
        <v>45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9" t="str">
        <f ca="1">IF(dict_zuord_Meth_Transfers[[#This Row],[kval_active]],dict_zuord_Meth_Transfers[[#This Row],[ID_Transfers]],"")</f>
        <v/>
      </c>
    </row>
    <row r="2460" spans="1:4" x14ac:dyDescent="0.45">
      <c r="A2460">
        <v>409</v>
      </c>
      <c r="B2460" s="3">
        <f t="shared" ca="1" si="38"/>
        <v>1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0" t="str">
        <f ca="1">IF(dict_zuord_Meth_Transfers[[#This Row],[kval_active]],dict_zuord_Meth_Transfers[[#This Row],[ID_Transfers]],"")</f>
        <v/>
      </c>
    </row>
    <row r="2461" spans="1:4" x14ac:dyDescent="0.45">
      <c r="A2461">
        <v>409</v>
      </c>
      <c r="B2461" s="3">
        <f t="shared" ca="1" si="38"/>
        <v>200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1" t="str">
        <f ca="1">IF(dict_zuord_Meth_Transfers[[#This Row],[kval_active]],dict_zuord_Meth_Transfers[[#This Row],[ID_Transfers]],"")</f>
        <v/>
      </c>
    </row>
    <row r="2462" spans="1:4" x14ac:dyDescent="0.45">
      <c r="A2462">
        <v>410</v>
      </c>
      <c r="B2462" s="3">
        <f t="shared" ca="1" si="38"/>
        <v>49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2" t="str">
        <f ca="1">IF(dict_zuord_Meth_Transfers[[#This Row],[kval_active]],dict_zuord_Meth_Transfers[[#This Row],[ID_Transfers]],"")</f>
        <v/>
      </c>
    </row>
    <row r="2463" spans="1:4" x14ac:dyDescent="0.45">
      <c r="A2463">
        <v>410</v>
      </c>
      <c r="B2463">
        <f t="shared" ca="1" si="38"/>
        <v>14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3" t="str">
        <f ca="1">IF(dict_zuord_Meth_Transfers[[#This Row],[kval_active]],dict_zuord_Meth_Transfers[[#This Row],[ID_Transfers]],"")</f>
        <v/>
      </c>
    </row>
    <row r="2464" spans="1:4" x14ac:dyDescent="0.45">
      <c r="A2464">
        <v>410</v>
      </c>
      <c r="B2464" s="3">
        <f t="shared" ca="1" si="38"/>
        <v>96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4" t="str">
        <f ca="1">IF(dict_zuord_Meth_Transfers[[#This Row],[kval_active]],dict_zuord_Meth_Transfers[[#This Row],[ID_Transfers]],"")</f>
        <v/>
      </c>
    </row>
    <row r="2465" spans="1:4" x14ac:dyDescent="0.45">
      <c r="A2465">
        <v>410</v>
      </c>
      <c r="B2465">
        <f t="shared" ca="1" si="38"/>
        <v>16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5" t="str">
        <f ca="1">IF(dict_zuord_Meth_Transfers[[#This Row],[kval_active]],dict_zuord_Meth_Transfers[[#This Row],[ID_Transfers]],"")</f>
        <v/>
      </c>
    </row>
    <row r="2466" spans="1:4" x14ac:dyDescent="0.45">
      <c r="A2466">
        <v>410</v>
      </c>
      <c r="B2466" s="3">
        <f t="shared" ca="1" si="38"/>
        <v>2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6" t="str">
        <f ca="1">IF(dict_zuord_Meth_Transfers[[#This Row],[kval_active]],dict_zuord_Meth_Transfers[[#This Row],[ID_Transfers]],"")</f>
        <v/>
      </c>
    </row>
    <row r="2467" spans="1:4" x14ac:dyDescent="0.45">
      <c r="A2467">
        <v>410</v>
      </c>
      <c r="B2467">
        <f t="shared" ca="1" si="38"/>
        <v>13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7" t="str">
        <f ca="1">IF(dict_zuord_Meth_Transfers[[#This Row],[kval_active]],dict_zuord_Meth_Transfers[[#This Row],[ID_Transfers]],"")</f>
        <v/>
      </c>
    </row>
    <row r="2468" spans="1:4" x14ac:dyDescent="0.45">
      <c r="A2468">
        <v>411</v>
      </c>
      <c r="B2468">
        <f t="shared" ca="1" si="38"/>
        <v>54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8" t="str">
        <f ca="1">IF(dict_zuord_Meth_Transfers[[#This Row],[kval_active]],dict_zuord_Meth_Transfers[[#This Row],[ID_Transfers]],"")</f>
        <v/>
      </c>
    </row>
    <row r="2469" spans="1:4" x14ac:dyDescent="0.45">
      <c r="A2469">
        <v>411</v>
      </c>
      <c r="B2469" s="3">
        <f t="shared" ca="1" si="38"/>
        <v>33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9" t="str">
        <f ca="1">IF(dict_zuord_Meth_Transfers[[#This Row],[kval_active]],dict_zuord_Meth_Transfers[[#This Row],[ID_Transfers]],"")</f>
        <v/>
      </c>
    </row>
    <row r="2470" spans="1:4" x14ac:dyDescent="0.45">
      <c r="A2470">
        <v>411</v>
      </c>
      <c r="B2470">
        <f t="shared" ca="1" si="38"/>
        <v>138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0" t="str">
        <f ca="1">IF(dict_zuord_Meth_Transfers[[#This Row],[kval_active]],dict_zuord_Meth_Transfers[[#This Row],[ID_Transfers]],"")</f>
        <v/>
      </c>
    </row>
    <row r="2471" spans="1:4" x14ac:dyDescent="0.45">
      <c r="A2471">
        <v>411</v>
      </c>
      <c r="B2471">
        <f t="shared" ca="1" si="38"/>
        <v>6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1" t="str">
        <f ca="1">IF(dict_zuord_Meth_Transfers[[#This Row],[kval_active]],dict_zuord_Meth_Transfers[[#This Row],[ID_Transfers]],"")</f>
        <v/>
      </c>
    </row>
    <row r="2472" spans="1:4" x14ac:dyDescent="0.45">
      <c r="A2472">
        <v>411</v>
      </c>
      <c r="B2472" s="3">
        <f t="shared" ca="1" si="38"/>
        <v>12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2" t="str">
        <f ca="1">IF(dict_zuord_Meth_Transfers[[#This Row],[kval_active]],dict_zuord_Meth_Transfers[[#This Row],[ID_Transfers]],"")</f>
        <v/>
      </c>
    </row>
    <row r="2473" spans="1:4" x14ac:dyDescent="0.45">
      <c r="A2473">
        <v>411</v>
      </c>
      <c r="B2473" s="3">
        <f t="shared" ca="1" si="38"/>
        <v>24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3" t="str">
        <f ca="1">IF(dict_zuord_Meth_Transfers[[#This Row],[kval_active]],dict_zuord_Meth_Transfers[[#This Row],[ID_Transfers]],"")</f>
        <v/>
      </c>
    </row>
    <row r="2474" spans="1:4" x14ac:dyDescent="0.45">
      <c r="A2474">
        <v>412</v>
      </c>
      <c r="B2474">
        <f t="shared" ca="1" si="38"/>
        <v>123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4" t="str">
        <f ca="1">IF(dict_zuord_Meth_Transfers[[#This Row],[kval_active]],dict_zuord_Meth_Transfers[[#This Row],[ID_Transfers]],"")</f>
        <v/>
      </c>
    </row>
    <row r="2475" spans="1:4" x14ac:dyDescent="0.45">
      <c r="A2475">
        <v>412</v>
      </c>
      <c r="B2475">
        <f t="shared" ca="1" si="38"/>
        <v>10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5" t="str">
        <f ca="1">IF(dict_zuord_Meth_Transfers[[#This Row],[kval_active]],dict_zuord_Meth_Transfers[[#This Row],[ID_Transfers]],"")</f>
        <v/>
      </c>
    </row>
    <row r="2476" spans="1:4" x14ac:dyDescent="0.45">
      <c r="A2476">
        <v>412</v>
      </c>
      <c r="B2476" s="3">
        <f t="shared" ca="1" si="38"/>
        <v>126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6" t="str">
        <f ca="1">IF(dict_zuord_Meth_Transfers[[#This Row],[kval_active]],dict_zuord_Meth_Transfers[[#This Row],[ID_Transfers]],"")</f>
        <v/>
      </c>
    </row>
    <row r="2477" spans="1:4" x14ac:dyDescent="0.45">
      <c r="A2477">
        <v>412</v>
      </c>
      <c r="B2477" s="3">
        <f t="shared" ca="1" si="38"/>
        <v>177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7" t="str">
        <f ca="1">IF(dict_zuord_Meth_Transfers[[#This Row],[kval_active]],dict_zuord_Meth_Transfers[[#This Row],[ID_Transfers]],"")</f>
        <v/>
      </c>
    </row>
    <row r="2478" spans="1:4" x14ac:dyDescent="0.45">
      <c r="A2478">
        <v>412</v>
      </c>
      <c r="B2478">
        <f t="shared" ca="1" si="38"/>
        <v>11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8" t="str">
        <f ca="1">IF(dict_zuord_Meth_Transfers[[#This Row],[kval_active]],dict_zuord_Meth_Transfers[[#This Row],[ID_Transfers]],"")</f>
        <v/>
      </c>
    </row>
    <row r="2479" spans="1:4" x14ac:dyDescent="0.45">
      <c r="A2479">
        <v>412</v>
      </c>
      <c r="B2479" s="3">
        <f t="shared" ca="1" si="38"/>
        <v>65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9" t="str">
        <f ca="1">IF(dict_zuord_Meth_Transfers[[#This Row],[kval_active]],dict_zuord_Meth_Transfers[[#This Row],[ID_Transfers]],"")</f>
        <v/>
      </c>
    </row>
    <row r="2480" spans="1:4" x14ac:dyDescent="0.45">
      <c r="A2480">
        <v>413</v>
      </c>
      <c r="B2480" s="3">
        <f t="shared" ca="1" si="38"/>
        <v>31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0" t="str">
        <f ca="1">IF(dict_zuord_Meth_Transfers[[#This Row],[kval_active]],dict_zuord_Meth_Transfers[[#This Row],[ID_Transfers]],"")</f>
        <v/>
      </c>
    </row>
    <row r="2481" spans="1:4" x14ac:dyDescent="0.45">
      <c r="A2481">
        <v>413</v>
      </c>
      <c r="B2481">
        <f t="shared" ca="1" si="38"/>
        <v>138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1" t="str">
        <f ca="1">IF(dict_zuord_Meth_Transfers[[#This Row],[kval_active]],dict_zuord_Meth_Transfers[[#This Row],[ID_Transfers]],"")</f>
        <v/>
      </c>
    </row>
    <row r="2482" spans="1:4" x14ac:dyDescent="0.45">
      <c r="A2482">
        <v>413</v>
      </c>
      <c r="B2482" s="3">
        <f t="shared" ca="1" si="38"/>
        <v>64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2" t="str">
        <f ca="1">IF(dict_zuord_Meth_Transfers[[#This Row],[kval_active]],dict_zuord_Meth_Transfers[[#This Row],[ID_Transfers]],"")</f>
        <v/>
      </c>
    </row>
    <row r="2483" spans="1:4" x14ac:dyDescent="0.45">
      <c r="A2483">
        <v>413</v>
      </c>
      <c r="B2483">
        <f t="shared" ca="1" si="38"/>
        <v>123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3" t="str">
        <f ca="1">IF(dict_zuord_Meth_Transfers[[#This Row],[kval_active]],dict_zuord_Meth_Transfers[[#This Row],[ID_Transfers]],"")</f>
        <v/>
      </c>
    </row>
    <row r="2484" spans="1:4" x14ac:dyDescent="0.45">
      <c r="A2484">
        <v>413</v>
      </c>
      <c r="B2484" s="3">
        <f t="shared" ca="1" si="38"/>
        <v>99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4" t="str">
        <f ca="1">IF(dict_zuord_Meth_Transfers[[#This Row],[kval_active]],dict_zuord_Meth_Transfers[[#This Row],[ID_Transfers]],"")</f>
        <v/>
      </c>
    </row>
    <row r="2485" spans="1:4" x14ac:dyDescent="0.45">
      <c r="A2485">
        <v>413</v>
      </c>
      <c r="B2485">
        <f t="shared" ca="1" si="38"/>
        <v>114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5" t="str">
        <f ca="1">IF(dict_zuord_Meth_Transfers[[#This Row],[kval_active]],dict_zuord_Meth_Transfers[[#This Row],[ID_Transfers]],"")</f>
        <v/>
      </c>
    </row>
    <row r="2486" spans="1:4" x14ac:dyDescent="0.45">
      <c r="A2486">
        <v>414</v>
      </c>
      <c r="B2486" s="3">
        <f t="shared" ca="1" si="38"/>
        <v>177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6" t="str">
        <f ca="1">IF(dict_zuord_Meth_Transfers[[#This Row],[kval_active]],dict_zuord_Meth_Transfers[[#This Row],[ID_Transfers]],"")</f>
        <v/>
      </c>
    </row>
    <row r="2487" spans="1:4" x14ac:dyDescent="0.45">
      <c r="A2487">
        <v>414</v>
      </c>
      <c r="B2487">
        <f t="shared" ca="1" si="38"/>
        <v>126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7" t="str">
        <f ca="1">IF(dict_zuord_Meth_Transfers[[#This Row],[kval_active]],dict_zuord_Meth_Transfers[[#This Row],[ID_Transfers]],"")</f>
        <v/>
      </c>
    </row>
    <row r="2488" spans="1:4" x14ac:dyDescent="0.45">
      <c r="A2488">
        <v>414</v>
      </c>
      <c r="B2488" s="3">
        <f t="shared" ca="1" si="38"/>
        <v>1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8" t="str">
        <f ca="1">IF(dict_zuord_Meth_Transfers[[#This Row],[kval_active]],dict_zuord_Meth_Transfers[[#This Row],[ID_Transfers]],"")</f>
        <v/>
      </c>
    </row>
    <row r="2489" spans="1:4" x14ac:dyDescent="0.45">
      <c r="A2489">
        <v>414</v>
      </c>
      <c r="B2489" s="3">
        <f t="shared" ca="1" si="38"/>
        <v>104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9" t="str">
        <f ca="1">IF(dict_zuord_Meth_Transfers[[#This Row],[kval_active]],dict_zuord_Meth_Transfers[[#This Row],[ID_Transfers]],"")</f>
        <v/>
      </c>
    </row>
    <row r="2490" spans="1:4" x14ac:dyDescent="0.45">
      <c r="A2490">
        <v>414</v>
      </c>
      <c r="B2490">
        <f t="shared" ca="1" si="38"/>
        <v>108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0" t="str">
        <f ca="1">IF(dict_zuord_Meth_Transfers[[#This Row],[kval_active]],dict_zuord_Meth_Transfers[[#This Row],[ID_Transfers]],"")</f>
        <v/>
      </c>
    </row>
    <row r="2491" spans="1:4" x14ac:dyDescent="0.45">
      <c r="A2491">
        <v>414</v>
      </c>
      <c r="B2491">
        <f t="shared" ca="1" si="38"/>
        <v>62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1" t="str">
        <f ca="1">IF(dict_zuord_Meth_Transfers[[#This Row],[kval_active]],dict_zuord_Meth_Transfers[[#This Row],[ID_Transfers]],"")</f>
        <v/>
      </c>
    </row>
    <row r="2492" spans="1:4" x14ac:dyDescent="0.45">
      <c r="A2492">
        <v>415</v>
      </c>
      <c r="B2492">
        <f t="shared" ca="1" si="38"/>
        <v>57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2" t="str">
        <f ca="1">IF(dict_zuord_Meth_Transfers[[#This Row],[kval_active]],dict_zuord_Meth_Transfers[[#This Row],[ID_Transfers]],"")</f>
        <v/>
      </c>
    </row>
    <row r="2493" spans="1:4" x14ac:dyDescent="0.45">
      <c r="A2493">
        <v>415</v>
      </c>
      <c r="B2493">
        <f t="shared" ca="1" si="38"/>
        <v>55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3" t="str">
        <f ca="1">IF(dict_zuord_Meth_Transfers[[#This Row],[kval_active]],dict_zuord_Meth_Transfers[[#This Row],[ID_Transfers]],"")</f>
        <v/>
      </c>
    </row>
    <row r="2494" spans="1:4" x14ac:dyDescent="0.45">
      <c r="A2494">
        <v>415</v>
      </c>
      <c r="B2494" s="3">
        <f t="shared" ca="1" si="38"/>
        <v>1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4" t="str">
        <f ca="1">IF(dict_zuord_Meth_Transfers[[#This Row],[kval_active]],dict_zuord_Meth_Transfers[[#This Row],[ID_Transfers]],"")</f>
        <v/>
      </c>
    </row>
    <row r="2495" spans="1:4" x14ac:dyDescent="0.45">
      <c r="A2495">
        <v>415</v>
      </c>
      <c r="B2495" s="3">
        <f t="shared" ca="1" si="38"/>
        <v>173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5" t="str">
        <f ca="1">IF(dict_zuord_Meth_Transfers[[#This Row],[kval_active]],dict_zuord_Meth_Transfers[[#This Row],[ID_Transfers]],"")</f>
        <v/>
      </c>
    </row>
    <row r="2496" spans="1:4" x14ac:dyDescent="0.45">
      <c r="A2496">
        <v>415</v>
      </c>
      <c r="B2496">
        <f t="shared" ca="1" si="38"/>
        <v>155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6" t="str">
        <f ca="1">IF(dict_zuord_Meth_Transfers[[#This Row],[kval_active]],dict_zuord_Meth_Transfers[[#This Row],[ID_Transfers]],"")</f>
        <v/>
      </c>
    </row>
    <row r="2497" spans="1:4" x14ac:dyDescent="0.45">
      <c r="A2497">
        <v>415</v>
      </c>
      <c r="B2497" s="3">
        <f t="shared" ca="1" si="38"/>
        <v>5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7" t="str">
        <f ca="1">IF(dict_zuord_Meth_Transfers[[#This Row],[kval_active]],dict_zuord_Meth_Transfers[[#This Row],[ID_Transfers]],"")</f>
        <v/>
      </c>
    </row>
    <row r="2498" spans="1:4" x14ac:dyDescent="0.45">
      <c r="A2498">
        <v>416</v>
      </c>
      <c r="B2498">
        <f t="shared" ref="B2498:B2561" ca="1" si="39">RANDBETWEEN(0,200)</f>
        <v>29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8" t="str">
        <f ca="1">IF(dict_zuord_Meth_Transfers[[#This Row],[kval_active]],dict_zuord_Meth_Transfers[[#This Row],[ID_Transfers]],"")</f>
        <v/>
      </c>
    </row>
    <row r="2499" spans="1:4" x14ac:dyDescent="0.45">
      <c r="A2499">
        <v>416</v>
      </c>
      <c r="B2499" s="3">
        <f t="shared" ca="1" si="39"/>
        <v>143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9" t="str">
        <f ca="1">IF(dict_zuord_Meth_Transfers[[#This Row],[kval_active]],dict_zuord_Meth_Transfers[[#This Row],[ID_Transfers]],"")</f>
        <v/>
      </c>
    </row>
    <row r="2500" spans="1:4" x14ac:dyDescent="0.45">
      <c r="A2500">
        <v>416</v>
      </c>
      <c r="B2500">
        <f t="shared" ca="1" si="39"/>
        <v>46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0" t="str">
        <f ca="1">IF(dict_zuord_Meth_Transfers[[#This Row],[kval_active]],dict_zuord_Meth_Transfers[[#This Row],[ID_Transfers]],"")</f>
        <v/>
      </c>
    </row>
    <row r="2501" spans="1:4" x14ac:dyDescent="0.45">
      <c r="A2501">
        <v>416</v>
      </c>
      <c r="B2501" s="3">
        <f t="shared" ca="1" si="39"/>
        <v>71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1" t="str">
        <f ca="1">IF(dict_zuord_Meth_Transfers[[#This Row],[kval_active]],dict_zuord_Meth_Transfers[[#This Row],[ID_Transfers]],"")</f>
        <v/>
      </c>
    </row>
    <row r="2502" spans="1:4" x14ac:dyDescent="0.45">
      <c r="A2502">
        <v>416</v>
      </c>
      <c r="B2502">
        <f t="shared" ca="1" si="39"/>
        <v>191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2" t="str">
        <f ca="1">IF(dict_zuord_Meth_Transfers[[#This Row],[kval_active]],dict_zuord_Meth_Transfers[[#This Row],[ID_Transfers]],"")</f>
        <v/>
      </c>
    </row>
    <row r="2503" spans="1:4" x14ac:dyDescent="0.45">
      <c r="A2503">
        <v>416</v>
      </c>
      <c r="B2503" s="3">
        <f t="shared" ca="1" si="39"/>
        <v>182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3" t="str">
        <f ca="1">IF(dict_zuord_Meth_Transfers[[#This Row],[kval_active]],dict_zuord_Meth_Transfers[[#This Row],[ID_Transfers]],"")</f>
        <v/>
      </c>
    </row>
    <row r="2504" spans="1:4" x14ac:dyDescent="0.45">
      <c r="A2504">
        <v>417</v>
      </c>
      <c r="B2504">
        <f t="shared" ca="1" si="39"/>
        <v>181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4" t="str">
        <f ca="1">IF(dict_zuord_Meth_Transfers[[#This Row],[kval_active]],dict_zuord_Meth_Transfers[[#This Row],[ID_Transfers]],"")</f>
        <v/>
      </c>
    </row>
    <row r="2505" spans="1:4" x14ac:dyDescent="0.45">
      <c r="A2505">
        <v>417</v>
      </c>
      <c r="B2505">
        <f t="shared" ca="1" si="39"/>
        <v>35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5" t="str">
        <f ca="1">IF(dict_zuord_Meth_Transfers[[#This Row],[kval_active]],dict_zuord_Meth_Transfers[[#This Row],[ID_Transfers]],"")</f>
        <v/>
      </c>
    </row>
    <row r="2506" spans="1:4" x14ac:dyDescent="0.45">
      <c r="A2506">
        <v>417</v>
      </c>
      <c r="B2506" s="3">
        <f t="shared" ca="1" si="39"/>
        <v>43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6" t="str">
        <f ca="1">IF(dict_zuord_Meth_Transfers[[#This Row],[kval_active]],dict_zuord_Meth_Transfers[[#This Row],[ID_Transfers]],"")</f>
        <v/>
      </c>
    </row>
    <row r="2507" spans="1:4" x14ac:dyDescent="0.45">
      <c r="A2507">
        <v>417</v>
      </c>
      <c r="B2507" s="3">
        <f t="shared" ca="1" si="39"/>
        <v>171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7" t="str">
        <f ca="1">IF(dict_zuord_Meth_Transfers[[#This Row],[kval_active]],dict_zuord_Meth_Transfers[[#This Row],[ID_Transfers]],"")</f>
        <v/>
      </c>
    </row>
    <row r="2508" spans="1:4" x14ac:dyDescent="0.45">
      <c r="A2508">
        <v>417</v>
      </c>
      <c r="B2508">
        <f t="shared" ca="1" si="39"/>
        <v>180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8" t="str">
        <f ca="1">IF(dict_zuord_Meth_Transfers[[#This Row],[kval_active]],dict_zuord_Meth_Transfers[[#This Row],[ID_Transfers]],"")</f>
        <v/>
      </c>
    </row>
    <row r="2509" spans="1:4" x14ac:dyDescent="0.45">
      <c r="A2509">
        <v>417</v>
      </c>
      <c r="B2509" s="3">
        <f t="shared" ca="1" si="39"/>
        <v>110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9" t="str">
        <f ca="1">IF(dict_zuord_Meth_Transfers[[#This Row],[kval_active]],dict_zuord_Meth_Transfers[[#This Row],[ID_Transfers]],"")</f>
        <v/>
      </c>
    </row>
    <row r="2510" spans="1:4" x14ac:dyDescent="0.45">
      <c r="A2510">
        <v>418</v>
      </c>
      <c r="B2510" s="3">
        <f t="shared" ca="1" si="39"/>
        <v>162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0" t="str">
        <f ca="1">IF(dict_zuord_Meth_Transfers[[#This Row],[kval_active]],dict_zuord_Meth_Transfers[[#This Row],[ID_Transfers]],"")</f>
        <v/>
      </c>
    </row>
    <row r="2511" spans="1:4" x14ac:dyDescent="0.45">
      <c r="A2511">
        <v>418</v>
      </c>
      <c r="B2511">
        <f t="shared" ca="1" si="39"/>
        <v>173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1" t="str">
        <f ca="1">IF(dict_zuord_Meth_Transfers[[#This Row],[kval_active]],dict_zuord_Meth_Transfers[[#This Row],[ID_Transfers]],"")</f>
        <v/>
      </c>
    </row>
    <row r="2512" spans="1:4" x14ac:dyDescent="0.45">
      <c r="A2512">
        <v>418</v>
      </c>
      <c r="B2512">
        <f t="shared" ca="1" si="39"/>
        <v>191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2" t="str">
        <f ca="1">IF(dict_zuord_Meth_Transfers[[#This Row],[kval_active]],dict_zuord_Meth_Transfers[[#This Row],[ID_Transfers]],"")</f>
        <v/>
      </c>
    </row>
    <row r="2513" spans="1:4" x14ac:dyDescent="0.45">
      <c r="A2513">
        <v>418</v>
      </c>
      <c r="B2513" s="3">
        <f t="shared" ca="1" si="39"/>
        <v>46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3" t="str">
        <f ca="1">IF(dict_zuord_Meth_Transfers[[#This Row],[kval_active]],dict_zuord_Meth_Transfers[[#This Row],[ID_Transfers]],"")</f>
        <v/>
      </c>
    </row>
    <row r="2514" spans="1:4" x14ac:dyDescent="0.45">
      <c r="A2514">
        <v>418</v>
      </c>
      <c r="B2514">
        <f t="shared" ca="1" si="39"/>
        <v>143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4" t="str">
        <f ca="1">IF(dict_zuord_Meth_Transfers[[#This Row],[kval_active]],dict_zuord_Meth_Transfers[[#This Row],[ID_Transfers]],"")</f>
        <v/>
      </c>
    </row>
    <row r="2515" spans="1:4" x14ac:dyDescent="0.45">
      <c r="A2515">
        <v>418</v>
      </c>
      <c r="B2515" s="3">
        <f t="shared" ca="1" si="39"/>
        <v>150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5" t="str">
        <f ca="1">IF(dict_zuord_Meth_Transfers[[#This Row],[kval_active]],dict_zuord_Meth_Transfers[[#This Row],[ID_Transfers]],"")</f>
        <v/>
      </c>
    </row>
    <row r="2516" spans="1:4" x14ac:dyDescent="0.45">
      <c r="A2516">
        <v>419</v>
      </c>
      <c r="B2516">
        <f t="shared" ca="1" si="39"/>
        <v>20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6" t="str">
        <f ca="1">IF(dict_zuord_Meth_Transfers[[#This Row],[kval_active]],dict_zuord_Meth_Transfers[[#This Row],[ID_Transfers]],"")</f>
        <v/>
      </c>
    </row>
    <row r="2517" spans="1:4" x14ac:dyDescent="0.45">
      <c r="A2517">
        <v>419</v>
      </c>
      <c r="B2517" s="3">
        <f t="shared" ca="1" si="39"/>
        <v>194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7" t="str">
        <f ca="1">IF(dict_zuord_Meth_Transfers[[#This Row],[kval_active]],dict_zuord_Meth_Transfers[[#This Row],[ID_Transfers]],"")</f>
        <v/>
      </c>
    </row>
    <row r="2518" spans="1:4" x14ac:dyDescent="0.45">
      <c r="A2518">
        <v>419</v>
      </c>
      <c r="B2518">
        <f t="shared" ca="1" si="39"/>
        <v>14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8" t="str">
        <f ca="1">IF(dict_zuord_Meth_Transfers[[#This Row],[kval_active]],dict_zuord_Meth_Transfers[[#This Row],[ID_Transfers]],"")</f>
        <v/>
      </c>
    </row>
    <row r="2519" spans="1:4" x14ac:dyDescent="0.45">
      <c r="A2519">
        <v>419</v>
      </c>
      <c r="B2519">
        <f t="shared" ca="1" si="39"/>
        <v>43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9" t="str">
        <f ca="1">IF(dict_zuord_Meth_Transfers[[#This Row],[kval_active]],dict_zuord_Meth_Transfers[[#This Row],[ID_Transfers]],"")</f>
        <v/>
      </c>
    </row>
    <row r="2520" spans="1:4" x14ac:dyDescent="0.45">
      <c r="A2520">
        <v>419</v>
      </c>
      <c r="B2520" s="3">
        <f t="shared" ca="1" si="39"/>
        <v>53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0" t="str">
        <f ca="1">IF(dict_zuord_Meth_Transfers[[#This Row],[kval_active]],dict_zuord_Meth_Transfers[[#This Row],[ID_Transfers]],"")</f>
        <v/>
      </c>
    </row>
    <row r="2521" spans="1:4" x14ac:dyDescent="0.45">
      <c r="A2521">
        <v>419</v>
      </c>
      <c r="B2521" s="3">
        <f t="shared" ca="1" si="39"/>
        <v>182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1" t="str">
        <f ca="1">IF(dict_zuord_Meth_Transfers[[#This Row],[kval_active]],dict_zuord_Meth_Transfers[[#This Row],[ID_Transfers]],"")</f>
        <v/>
      </c>
    </row>
    <row r="2522" spans="1:4" x14ac:dyDescent="0.45">
      <c r="A2522">
        <v>420</v>
      </c>
      <c r="B2522">
        <f t="shared" ca="1" si="39"/>
        <v>11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2" t="str">
        <f ca="1">IF(dict_zuord_Meth_Transfers[[#This Row],[kval_active]],dict_zuord_Meth_Transfers[[#This Row],[ID_Transfers]],"")</f>
        <v/>
      </c>
    </row>
    <row r="2523" spans="1:4" x14ac:dyDescent="0.45">
      <c r="A2523">
        <v>420</v>
      </c>
      <c r="B2523" s="3">
        <f t="shared" ca="1" si="39"/>
        <v>36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3" t="str">
        <f ca="1">IF(dict_zuord_Meth_Transfers[[#This Row],[kval_active]],dict_zuord_Meth_Transfers[[#This Row],[ID_Transfers]],"")</f>
        <v/>
      </c>
    </row>
    <row r="2524" spans="1:4" x14ac:dyDescent="0.45">
      <c r="A2524">
        <v>420</v>
      </c>
      <c r="B2524">
        <f t="shared" ca="1" si="39"/>
        <v>124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4" t="str">
        <f ca="1">IF(dict_zuord_Meth_Transfers[[#This Row],[kval_active]],dict_zuord_Meth_Transfers[[#This Row],[ID_Transfers]],"")</f>
        <v/>
      </c>
    </row>
    <row r="2525" spans="1:4" x14ac:dyDescent="0.45">
      <c r="A2525">
        <v>420</v>
      </c>
      <c r="B2525" s="3">
        <f t="shared" ca="1" si="39"/>
        <v>188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5" t="str">
        <f ca="1">IF(dict_zuord_Meth_Transfers[[#This Row],[kval_active]],dict_zuord_Meth_Transfers[[#This Row],[ID_Transfers]],"")</f>
        <v/>
      </c>
    </row>
    <row r="2526" spans="1:4" x14ac:dyDescent="0.45">
      <c r="A2526">
        <v>420</v>
      </c>
      <c r="B2526" s="3">
        <f t="shared" ca="1" si="39"/>
        <v>24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6" t="str">
        <f ca="1">IF(dict_zuord_Meth_Transfers[[#This Row],[kval_active]],dict_zuord_Meth_Transfers[[#This Row],[ID_Transfers]],"")</f>
        <v/>
      </c>
    </row>
    <row r="2527" spans="1:4" x14ac:dyDescent="0.45">
      <c r="A2527">
        <v>420</v>
      </c>
      <c r="B2527">
        <f t="shared" ca="1" si="39"/>
        <v>121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7" t="str">
        <f ca="1">IF(dict_zuord_Meth_Transfers[[#This Row],[kval_active]],dict_zuord_Meth_Transfers[[#This Row],[ID_Transfers]],"")</f>
        <v/>
      </c>
    </row>
    <row r="2528" spans="1:4" x14ac:dyDescent="0.45">
      <c r="A2528">
        <v>421</v>
      </c>
      <c r="B2528">
        <f t="shared" ca="1" si="39"/>
        <v>41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8">
        <f ca="1">IF(dict_zuord_Meth_Transfers[[#This Row],[kval_active]],dict_zuord_Meth_Transfers[[#This Row],[ID_Transfers]],"")</f>
        <v>41</v>
      </c>
    </row>
    <row r="2529" spans="1:4" x14ac:dyDescent="0.45">
      <c r="A2529">
        <v>421</v>
      </c>
      <c r="B2529" s="3">
        <f t="shared" ca="1" si="39"/>
        <v>169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9">
        <f ca="1">IF(dict_zuord_Meth_Transfers[[#This Row],[kval_active]],dict_zuord_Meth_Transfers[[#This Row],[ID_Transfers]],"")</f>
        <v>169</v>
      </c>
    </row>
    <row r="2530" spans="1:4" x14ac:dyDescent="0.45">
      <c r="A2530">
        <v>421</v>
      </c>
      <c r="B2530">
        <f t="shared" ca="1" si="39"/>
        <v>49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0">
        <f ca="1">IF(dict_zuord_Meth_Transfers[[#This Row],[kval_active]],dict_zuord_Meth_Transfers[[#This Row],[ID_Transfers]],"")</f>
        <v>49</v>
      </c>
    </row>
    <row r="2531" spans="1:4" x14ac:dyDescent="0.45">
      <c r="A2531">
        <v>421</v>
      </c>
      <c r="B2531" s="3">
        <f t="shared" ca="1" si="39"/>
        <v>120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1">
        <f ca="1">IF(dict_zuord_Meth_Transfers[[#This Row],[kval_active]],dict_zuord_Meth_Transfers[[#This Row],[ID_Transfers]],"")</f>
        <v>120</v>
      </c>
    </row>
    <row r="2532" spans="1:4" x14ac:dyDescent="0.45">
      <c r="A2532">
        <v>421</v>
      </c>
      <c r="B2532" s="3">
        <f t="shared" ca="1" si="39"/>
        <v>196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2">
        <f ca="1">IF(dict_zuord_Meth_Transfers[[#This Row],[kval_active]],dict_zuord_Meth_Transfers[[#This Row],[ID_Transfers]],"")</f>
        <v>196</v>
      </c>
    </row>
    <row r="2533" spans="1:4" x14ac:dyDescent="0.45">
      <c r="A2533">
        <v>421</v>
      </c>
      <c r="B2533">
        <f t="shared" ca="1" si="39"/>
        <v>36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3">
        <f ca="1">IF(dict_zuord_Meth_Transfers[[#This Row],[kval_active]],dict_zuord_Meth_Transfers[[#This Row],[ID_Transfers]],"")</f>
        <v>36</v>
      </c>
    </row>
    <row r="2534" spans="1:4" x14ac:dyDescent="0.45">
      <c r="A2534">
        <v>422</v>
      </c>
      <c r="B2534" s="3">
        <f t="shared" ca="1" si="39"/>
        <v>195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4" t="str">
        <f ca="1">IF(dict_zuord_Meth_Transfers[[#This Row],[kval_active]],dict_zuord_Meth_Transfers[[#This Row],[ID_Transfers]],"")</f>
        <v/>
      </c>
    </row>
    <row r="2535" spans="1:4" x14ac:dyDescent="0.45">
      <c r="A2535">
        <v>422</v>
      </c>
      <c r="B2535">
        <f t="shared" ca="1" si="39"/>
        <v>70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5" t="str">
        <f ca="1">IF(dict_zuord_Meth_Transfers[[#This Row],[kval_active]],dict_zuord_Meth_Transfers[[#This Row],[ID_Transfers]],"")</f>
        <v/>
      </c>
    </row>
    <row r="2536" spans="1:4" x14ac:dyDescent="0.45">
      <c r="A2536">
        <v>422</v>
      </c>
      <c r="B2536">
        <f t="shared" ca="1" si="39"/>
        <v>40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6" t="str">
        <f ca="1">IF(dict_zuord_Meth_Transfers[[#This Row],[kval_active]],dict_zuord_Meth_Transfers[[#This Row],[ID_Transfers]],"")</f>
        <v/>
      </c>
    </row>
    <row r="2537" spans="1:4" x14ac:dyDescent="0.45">
      <c r="A2537">
        <v>422</v>
      </c>
      <c r="B2537">
        <f t="shared" ca="1" si="39"/>
        <v>169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7" t="str">
        <f ca="1">IF(dict_zuord_Meth_Transfers[[#This Row],[kval_active]],dict_zuord_Meth_Transfers[[#This Row],[ID_Transfers]],"")</f>
        <v/>
      </c>
    </row>
    <row r="2538" spans="1:4" x14ac:dyDescent="0.45">
      <c r="A2538">
        <v>422</v>
      </c>
      <c r="B2538" s="3">
        <f t="shared" ca="1" si="39"/>
        <v>43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8" t="str">
        <f ca="1">IF(dict_zuord_Meth_Transfers[[#This Row],[kval_active]],dict_zuord_Meth_Transfers[[#This Row],[ID_Transfers]],"")</f>
        <v/>
      </c>
    </row>
    <row r="2539" spans="1:4" x14ac:dyDescent="0.45">
      <c r="A2539">
        <v>422</v>
      </c>
      <c r="B2539" s="3">
        <f t="shared" ca="1" si="39"/>
        <v>63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9" t="str">
        <f ca="1">IF(dict_zuord_Meth_Transfers[[#This Row],[kval_active]],dict_zuord_Meth_Transfers[[#This Row],[ID_Transfers]],"")</f>
        <v/>
      </c>
    </row>
    <row r="2540" spans="1:4" x14ac:dyDescent="0.45">
      <c r="A2540">
        <v>423</v>
      </c>
      <c r="B2540">
        <f t="shared" ca="1" si="39"/>
        <v>29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0" t="str">
        <f ca="1">IF(dict_zuord_Meth_Transfers[[#This Row],[kval_active]],dict_zuord_Meth_Transfers[[#This Row],[ID_Transfers]],"")</f>
        <v/>
      </c>
    </row>
    <row r="2541" spans="1:4" x14ac:dyDescent="0.45">
      <c r="A2541">
        <v>423</v>
      </c>
      <c r="B2541" s="3">
        <f t="shared" ca="1" si="39"/>
        <v>75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1" t="str">
        <f ca="1">IF(dict_zuord_Meth_Transfers[[#This Row],[kval_active]],dict_zuord_Meth_Transfers[[#This Row],[ID_Transfers]],"")</f>
        <v/>
      </c>
    </row>
    <row r="2542" spans="1:4" x14ac:dyDescent="0.45">
      <c r="A2542">
        <v>423</v>
      </c>
      <c r="B2542">
        <f t="shared" ca="1" si="39"/>
        <v>47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2" t="str">
        <f ca="1">IF(dict_zuord_Meth_Transfers[[#This Row],[kval_active]],dict_zuord_Meth_Transfers[[#This Row],[ID_Transfers]],"")</f>
        <v/>
      </c>
    </row>
    <row r="2543" spans="1:4" x14ac:dyDescent="0.45">
      <c r="A2543">
        <v>423</v>
      </c>
      <c r="B2543" s="3">
        <f t="shared" ca="1" si="39"/>
        <v>84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3" t="str">
        <f ca="1">IF(dict_zuord_Meth_Transfers[[#This Row],[kval_active]],dict_zuord_Meth_Transfers[[#This Row],[ID_Transfers]],"")</f>
        <v/>
      </c>
    </row>
    <row r="2544" spans="1:4" x14ac:dyDescent="0.45">
      <c r="A2544">
        <v>423</v>
      </c>
      <c r="B2544">
        <f t="shared" ca="1" si="39"/>
        <v>29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4" t="str">
        <f ca="1">IF(dict_zuord_Meth_Transfers[[#This Row],[kval_active]],dict_zuord_Meth_Transfers[[#This Row],[ID_Transfers]],"")</f>
        <v/>
      </c>
    </row>
    <row r="2545" spans="1:4" x14ac:dyDescent="0.45">
      <c r="A2545">
        <v>423</v>
      </c>
      <c r="B2545" s="3">
        <f t="shared" ca="1" si="39"/>
        <v>197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5" t="str">
        <f ca="1">IF(dict_zuord_Meth_Transfers[[#This Row],[kval_active]],dict_zuord_Meth_Transfers[[#This Row],[ID_Transfers]],"")</f>
        <v/>
      </c>
    </row>
    <row r="2546" spans="1:4" x14ac:dyDescent="0.45">
      <c r="A2546">
        <v>424</v>
      </c>
      <c r="B2546">
        <f t="shared" ca="1" si="39"/>
        <v>133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6" t="str">
        <f ca="1">IF(dict_zuord_Meth_Transfers[[#This Row],[kval_active]],dict_zuord_Meth_Transfers[[#This Row],[ID_Transfers]],"")</f>
        <v/>
      </c>
    </row>
    <row r="2547" spans="1:4" x14ac:dyDescent="0.45">
      <c r="A2547">
        <v>424</v>
      </c>
      <c r="B2547" s="3">
        <f t="shared" ca="1" si="39"/>
        <v>16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7" t="str">
        <f ca="1">IF(dict_zuord_Meth_Transfers[[#This Row],[kval_active]],dict_zuord_Meth_Transfers[[#This Row],[ID_Transfers]],"")</f>
        <v/>
      </c>
    </row>
    <row r="2548" spans="1:4" x14ac:dyDescent="0.45">
      <c r="A2548">
        <v>424</v>
      </c>
      <c r="B2548">
        <f t="shared" ca="1" si="39"/>
        <v>2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8" t="str">
        <f ca="1">IF(dict_zuord_Meth_Transfers[[#This Row],[kval_active]],dict_zuord_Meth_Transfers[[#This Row],[ID_Transfers]],"")</f>
        <v/>
      </c>
    </row>
    <row r="2549" spans="1:4" x14ac:dyDescent="0.45">
      <c r="A2549">
        <v>424</v>
      </c>
      <c r="B2549">
        <f t="shared" ca="1" si="39"/>
        <v>6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9" t="str">
        <f ca="1">IF(dict_zuord_Meth_Transfers[[#This Row],[kval_active]],dict_zuord_Meth_Transfers[[#This Row],[ID_Transfers]],"")</f>
        <v/>
      </c>
    </row>
    <row r="2550" spans="1:4" x14ac:dyDescent="0.45">
      <c r="A2550">
        <v>424</v>
      </c>
      <c r="B2550" s="3">
        <f t="shared" ca="1" si="39"/>
        <v>18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0" t="str">
        <f ca="1">IF(dict_zuord_Meth_Transfers[[#This Row],[kval_active]],dict_zuord_Meth_Transfers[[#This Row],[ID_Transfers]],"")</f>
        <v/>
      </c>
    </row>
    <row r="2551" spans="1:4" x14ac:dyDescent="0.45">
      <c r="A2551">
        <v>424</v>
      </c>
      <c r="B2551" s="3">
        <f t="shared" ca="1" si="39"/>
        <v>125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1" t="str">
        <f ca="1">IF(dict_zuord_Meth_Transfers[[#This Row],[kval_active]],dict_zuord_Meth_Transfers[[#This Row],[ID_Transfers]],"")</f>
        <v/>
      </c>
    </row>
    <row r="2552" spans="1:4" x14ac:dyDescent="0.45">
      <c r="A2552">
        <v>425</v>
      </c>
      <c r="B2552">
        <f t="shared" ca="1" si="39"/>
        <v>147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2" t="str">
        <f ca="1">IF(dict_zuord_Meth_Transfers[[#This Row],[kval_active]],dict_zuord_Meth_Transfers[[#This Row],[ID_Transfers]],"")</f>
        <v/>
      </c>
    </row>
    <row r="2553" spans="1:4" x14ac:dyDescent="0.45">
      <c r="A2553">
        <v>425</v>
      </c>
      <c r="B2553" s="3">
        <f t="shared" ca="1" si="39"/>
        <v>13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3" t="str">
        <f ca="1">IF(dict_zuord_Meth_Transfers[[#This Row],[kval_active]],dict_zuord_Meth_Transfers[[#This Row],[ID_Transfers]],"")</f>
        <v/>
      </c>
    </row>
    <row r="2554" spans="1:4" x14ac:dyDescent="0.45">
      <c r="A2554">
        <v>425</v>
      </c>
      <c r="B2554" s="3">
        <f t="shared" ca="1" si="39"/>
        <v>13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4" t="str">
        <f ca="1">IF(dict_zuord_Meth_Transfers[[#This Row],[kval_active]],dict_zuord_Meth_Transfers[[#This Row],[ID_Transfers]],"")</f>
        <v/>
      </c>
    </row>
    <row r="2555" spans="1:4" x14ac:dyDescent="0.45">
      <c r="A2555">
        <v>425</v>
      </c>
      <c r="B2555" s="3">
        <f t="shared" ca="1" si="39"/>
        <v>20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5" t="str">
        <f ca="1">IF(dict_zuord_Meth_Transfers[[#This Row],[kval_active]],dict_zuord_Meth_Transfers[[#This Row],[ID_Transfers]],"")</f>
        <v/>
      </c>
    </row>
    <row r="2556" spans="1:4" x14ac:dyDescent="0.45">
      <c r="A2556">
        <v>425</v>
      </c>
      <c r="B2556">
        <f t="shared" ca="1" si="39"/>
        <v>3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6" t="str">
        <f ca="1">IF(dict_zuord_Meth_Transfers[[#This Row],[kval_active]],dict_zuord_Meth_Transfers[[#This Row],[ID_Transfers]],"")</f>
        <v/>
      </c>
    </row>
    <row r="2557" spans="1:4" x14ac:dyDescent="0.45">
      <c r="A2557">
        <v>425</v>
      </c>
      <c r="B2557">
        <f t="shared" ca="1" si="39"/>
        <v>169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7" t="str">
        <f ca="1">IF(dict_zuord_Meth_Transfers[[#This Row],[kval_active]],dict_zuord_Meth_Transfers[[#This Row],[ID_Transfers]],"")</f>
        <v/>
      </c>
    </row>
    <row r="2558" spans="1:4" x14ac:dyDescent="0.45">
      <c r="A2558">
        <v>426</v>
      </c>
      <c r="B2558">
        <f t="shared" ca="1" si="39"/>
        <v>154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8" t="str">
        <f ca="1">IF(dict_zuord_Meth_Transfers[[#This Row],[kval_active]],dict_zuord_Meth_Transfers[[#This Row],[ID_Transfers]],"")</f>
        <v/>
      </c>
    </row>
    <row r="2559" spans="1:4" x14ac:dyDescent="0.45">
      <c r="A2559">
        <v>426</v>
      </c>
      <c r="B2559" s="3">
        <f t="shared" ca="1" si="39"/>
        <v>160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9" t="str">
        <f ca="1">IF(dict_zuord_Meth_Transfers[[#This Row],[kval_active]],dict_zuord_Meth_Transfers[[#This Row],[ID_Transfers]],"")</f>
        <v/>
      </c>
    </row>
    <row r="2560" spans="1:4" x14ac:dyDescent="0.45">
      <c r="A2560">
        <v>426</v>
      </c>
      <c r="B2560">
        <f t="shared" ca="1" si="39"/>
        <v>189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0" t="str">
        <f ca="1">IF(dict_zuord_Meth_Transfers[[#This Row],[kval_active]],dict_zuord_Meth_Transfers[[#This Row],[ID_Transfers]],"")</f>
        <v/>
      </c>
    </row>
    <row r="2561" spans="1:4" x14ac:dyDescent="0.45">
      <c r="A2561">
        <v>426</v>
      </c>
      <c r="B2561">
        <f t="shared" ca="1" si="39"/>
        <v>43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1" t="str">
        <f ca="1">IF(dict_zuord_Meth_Transfers[[#This Row],[kval_active]],dict_zuord_Meth_Transfers[[#This Row],[ID_Transfers]],"")</f>
        <v/>
      </c>
    </row>
    <row r="2562" spans="1:4" x14ac:dyDescent="0.45">
      <c r="A2562">
        <v>426</v>
      </c>
      <c r="B2562" s="3">
        <f t="shared" ref="B2562:B2625" ca="1" si="40">RANDBETWEEN(0,200)</f>
        <v>31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2" t="str">
        <f ca="1">IF(dict_zuord_Meth_Transfers[[#This Row],[kval_active]],dict_zuord_Meth_Transfers[[#This Row],[ID_Transfers]],"")</f>
        <v/>
      </c>
    </row>
    <row r="2563" spans="1:4" x14ac:dyDescent="0.45">
      <c r="A2563">
        <v>426</v>
      </c>
      <c r="B2563" s="3">
        <f t="shared" ca="1" si="40"/>
        <v>16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3" t="str">
        <f ca="1">IF(dict_zuord_Meth_Transfers[[#This Row],[kval_active]],dict_zuord_Meth_Transfers[[#This Row],[ID_Transfers]],"")</f>
        <v/>
      </c>
    </row>
    <row r="2564" spans="1:4" x14ac:dyDescent="0.45">
      <c r="A2564">
        <v>427</v>
      </c>
      <c r="B2564">
        <f t="shared" ca="1" si="40"/>
        <v>75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4" t="str">
        <f ca="1">IF(dict_zuord_Meth_Transfers[[#This Row],[kval_active]],dict_zuord_Meth_Transfers[[#This Row],[ID_Transfers]],"")</f>
        <v/>
      </c>
    </row>
    <row r="2565" spans="1:4" x14ac:dyDescent="0.45">
      <c r="A2565">
        <v>427</v>
      </c>
      <c r="B2565" s="3">
        <f t="shared" ca="1" si="40"/>
        <v>143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5" t="str">
        <f ca="1">IF(dict_zuord_Meth_Transfers[[#This Row],[kval_active]],dict_zuord_Meth_Transfers[[#This Row],[ID_Transfers]],"")</f>
        <v/>
      </c>
    </row>
    <row r="2566" spans="1:4" x14ac:dyDescent="0.45">
      <c r="A2566">
        <v>427</v>
      </c>
      <c r="B2566" s="3">
        <f t="shared" ca="1" si="40"/>
        <v>114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6" t="str">
        <f ca="1">IF(dict_zuord_Meth_Transfers[[#This Row],[kval_active]],dict_zuord_Meth_Transfers[[#This Row],[ID_Transfers]],"")</f>
        <v/>
      </c>
    </row>
    <row r="2567" spans="1:4" x14ac:dyDescent="0.45">
      <c r="A2567">
        <v>427</v>
      </c>
      <c r="B2567">
        <f t="shared" ca="1" si="40"/>
        <v>128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7" t="str">
        <f ca="1">IF(dict_zuord_Meth_Transfers[[#This Row],[kval_active]],dict_zuord_Meth_Transfers[[#This Row],[ID_Transfers]],"")</f>
        <v/>
      </c>
    </row>
    <row r="2568" spans="1:4" x14ac:dyDescent="0.45">
      <c r="A2568">
        <v>427</v>
      </c>
      <c r="B2568">
        <f t="shared" ca="1" si="40"/>
        <v>38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8" t="str">
        <f ca="1">IF(dict_zuord_Meth_Transfers[[#This Row],[kval_active]],dict_zuord_Meth_Transfers[[#This Row],[ID_Transfers]],"")</f>
        <v/>
      </c>
    </row>
    <row r="2569" spans="1:4" x14ac:dyDescent="0.45">
      <c r="A2569">
        <v>427</v>
      </c>
      <c r="B2569" s="3">
        <f t="shared" ca="1" si="40"/>
        <v>4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9" t="str">
        <f ca="1">IF(dict_zuord_Meth_Transfers[[#This Row],[kval_active]],dict_zuord_Meth_Transfers[[#This Row],[ID_Transfers]],"")</f>
        <v/>
      </c>
    </row>
    <row r="2570" spans="1:4" x14ac:dyDescent="0.45">
      <c r="A2570">
        <v>428</v>
      </c>
      <c r="B2570" s="3">
        <f t="shared" ca="1" si="40"/>
        <v>77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0" t="str">
        <f ca="1">IF(dict_zuord_Meth_Transfers[[#This Row],[kval_active]],dict_zuord_Meth_Transfers[[#This Row],[ID_Transfers]],"")</f>
        <v/>
      </c>
    </row>
    <row r="2571" spans="1:4" x14ac:dyDescent="0.45">
      <c r="A2571">
        <v>428</v>
      </c>
      <c r="B2571">
        <f t="shared" ca="1" si="40"/>
        <v>48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1" t="str">
        <f ca="1">IF(dict_zuord_Meth_Transfers[[#This Row],[kval_active]],dict_zuord_Meth_Transfers[[#This Row],[ID_Transfers]],"")</f>
        <v/>
      </c>
    </row>
    <row r="2572" spans="1:4" x14ac:dyDescent="0.45">
      <c r="A2572">
        <v>428</v>
      </c>
      <c r="B2572">
        <f t="shared" ca="1" si="40"/>
        <v>183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2" t="str">
        <f ca="1">IF(dict_zuord_Meth_Transfers[[#This Row],[kval_active]],dict_zuord_Meth_Transfers[[#This Row],[ID_Transfers]],"")</f>
        <v/>
      </c>
    </row>
    <row r="2573" spans="1:4" x14ac:dyDescent="0.45">
      <c r="A2573">
        <v>428</v>
      </c>
      <c r="B2573" s="3">
        <f t="shared" ca="1" si="40"/>
        <v>58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3" t="str">
        <f ca="1">IF(dict_zuord_Meth_Transfers[[#This Row],[kval_active]],dict_zuord_Meth_Transfers[[#This Row],[ID_Transfers]],"")</f>
        <v/>
      </c>
    </row>
    <row r="2574" spans="1:4" x14ac:dyDescent="0.45">
      <c r="A2574">
        <v>428</v>
      </c>
      <c r="B2574" s="3">
        <f t="shared" ca="1" si="40"/>
        <v>4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4" t="str">
        <f ca="1">IF(dict_zuord_Meth_Transfers[[#This Row],[kval_active]],dict_zuord_Meth_Transfers[[#This Row],[ID_Transfers]],"")</f>
        <v/>
      </c>
    </row>
    <row r="2575" spans="1:4" x14ac:dyDescent="0.45">
      <c r="A2575">
        <v>428</v>
      </c>
      <c r="B2575">
        <f t="shared" ca="1" si="40"/>
        <v>35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5" t="str">
        <f ca="1">IF(dict_zuord_Meth_Transfers[[#This Row],[kval_active]],dict_zuord_Meth_Transfers[[#This Row],[ID_Transfers]],"")</f>
        <v/>
      </c>
    </row>
    <row r="2576" spans="1:4" x14ac:dyDescent="0.45">
      <c r="A2576">
        <v>429</v>
      </c>
      <c r="B2576">
        <f t="shared" ca="1" si="40"/>
        <v>34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6" t="str">
        <f ca="1">IF(dict_zuord_Meth_Transfers[[#This Row],[kval_active]],dict_zuord_Meth_Transfers[[#This Row],[ID_Transfers]],"")</f>
        <v/>
      </c>
    </row>
    <row r="2577" spans="1:4" x14ac:dyDescent="0.45">
      <c r="A2577">
        <v>429</v>
      </c>
      <c r="B2577" s="3">
        <f t="shared" ca="1" si="40"/>
        <v>150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7" t="str">
        <f ca="1">IF(dict_zuord_Meth_Transfers[[#This Row],[kval_active]],dict_zuord_Meth_Transfers[[#This Row],[ID_Transfers]],"")</f>
        <v/>
      </c>
    </row>
    <row r="2578" spans="1:4" x14ac:dyDescent="0.45">
      <c r="A2578">
        <v>429</v>
      </c>
      <c r="B2578">
        <f t="shared" ca="1" si="40"/>
        <v>3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8" t="str">
        <f ca="1">IF(dict_zuord_Meth_Transfers[[#This Row],[kval_active]],dict_zuord_Meth_Transfers[[#This Row],[ID_Transfers]],"")</f>
        <v/>
      </c>
    </row>
    <row r="2579" spans="1:4" x14ac:dyDescent="0.45">
      <c r="A2579">
        <v>429</v>
      </c>
      <c r="B2579" s="3">
        <f t="shared" ca="1" si="40"/>
        <v>28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9" t="str">
        <f ca="1">IF(dict_zuord_Meth_Transfers[[#This Row],[kval_active]],dict_zuord_Meth_Transfers[[#This Row],[ID_Transfers]],"")</f>
        <v/>
      </c>
    </row>
    <row r="2580" spans="1:4" x14ac:dyDescent="0.45">
      <c r="A2580">
        <v>429</v>
      </c>
      <c r="B2580" s="3">
        <f t="shared" ca="1" si="40"/>
        <v>94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0" t="str">
        <f ca="1">IF(dict_zuord_Meth_Transfers[[#This Row],[kval_active]],dict_zuord_Meth_Transfers[[#This Row],[ID_Transfers]],"")</f>
        <v/>
      </c>
    </row>
    <row r="2581" spans="1:4" x14ac:dyDescent="0.45">
      <c r="A2581">
        <v>429</v>
      </c>
      <c r="B2581">
        <f t="shared" ca="1" si="40"/>
        <v>119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1" t="str">
        <f ca="1">IF(dict_zuord_Meth_Transfers[[#This Row],[kval_active]],dict_zuord_Meth_Transfers[[#This Row],[ID_Transfers]],"")</f>
        <v/>
      </c>
    </row>
    <row r="2582" spans="1:4" x14ac:dyDescent="0.45">
      <c r="A2582">
        <v>430</v>
      </c>
      <c r="B2582">
        <f t="shared" ca="1" si="40"/>
        <v>200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2">
        <f ca="1">IF(dict_zuord_Meth_Transfers[[#This Row],[kval_active]],dict_zuord_Meth_Transfers[[#This Row],[ID_Transfers]],"")</f>
        <v>200</v>
      </c>
    </row>
    <row r="2583" spans="1:4" x14ac:dyDescent="0.45">
      <c r="A2583">
        <v>430</v>
      </c>
      <c r="B2583">
        <f t="shared" ca="1" si="40"/>
        <v>67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3">
        <f ca="1">IF(dict_zuord_Meth_Transfers[[#This Row],[kval_active]],dict_zuord_Meth_Transfers[[#This Row],[ID_Transfers]],"")</f>
        <v>67</v>
      </c>
    </row>
    <row r="2584" spans="1:4" x14ac:dyDescent="0.45">
      <c r="A2584">
        <v>430</v>
      </c>
      <c r="B2584" s="3">
        <f t="shared" ca="1" si="40"/>
        <v>74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4">
        <f ca="1">IF(dict_zuord_Meth_Transfers[[#This Row],[kval_active]],dict_zuord_Meth_Transfers[[#This Row],[ID_Transfers]],"")</f>
        <v>74</v>
      </c>
    </row>
    <row r="2585" spans="1:4" x14ac:dyDescent="0.45">
      <c r="A2585">
        <v>430</v>
      </c>
      <c r="B2585">
        <f t="shared" ca="1" si="40"/>
        <v>190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5">
        <f ca="1">IF(dict_zuord_Meth_Transfers[[#This Row],[kval_active]],dict_zuord_Meth_Transfers[[#This Row],[ID_Transfers]],"")</f>
        <v>190</v>
      </c>
    </row>
    <row r="2586" spans="1:4" x14ac:dyDescent="0.45">
      <c r="A2586">
        <v>430</v>
      </c>
      <c r="B2586" s="3">
        <f t="shared" ca="1" si="40"/>
        <v>106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6">
        <f ca="1">IF(dict_zuord_Meth_Transfers[[#This Row],[kval_active]],dict_zuord_Meth_Transfers[[#This Row],[ID_Transfers]],"")</f>
        <v>106</v>
      </c>
    </row>
    <row r="2587" spans="1:4" x14ac:dyDescent="0.45">
      <c r="A2587">
        <v>430</v>
      </c>
      <c r="B2587" s="3">
        <f t="shared" ca="1" si="40"/>
        <v>32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7">
        <f ca="1">IF(dict_zuord_Meth_Transfers[[#This Row],[kval_active]],dict_zuord_Meth_Transfers[[#This Row],[ID_Transfers]],"")</f>
        <v>32</v>
      </c>
    </row>
    <row r="2588" spans="1:4" x14ac:dyDescent="0.45">
      <c r="A2588">
        <v>431</v>
      </c>
      <c r="B2588" s="3">
        <f t="shared" ca="1" si="40"/>
        <v>186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8" t="str">
        <f ca="1">IF(dict_zuord_Meth_Transfers[[#This Row],[kval_active]],dict_zuord_Meth_Transfers[[#This Row],[ID_Transfers]],"")</f>
        <v/>
      </c>
    </row>
    <row r="2589" spans="1:4" x14ac:dyDescent="0.45">
      <c r="A2589">
        <v>431</v>
      </c>
      <c r="B2589" s="3">
        <f t="shared" ca="1" si="40"/>
        <v>46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9" t="str">
        <f ca="1">IF(dict_zuord_Meth_Transfers[[#This Row],[kval_active]],dict_zuord_Meth_Transfers[[#This Row],[ID_Transfers]],"")</f>
        <v/>
      </c>
    </row>
    <row r="2590" spans="1:4" x14ac:dyDescent="0.45">
      <c r="A2590">
        <v>431</v>
      </c>
      <c r="B2590">
        <f t="shared" ca="1" si="40"/>
        <v>99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0" t="str">
        <f ca="1">IF(dict_zuord_Meth_Transfers[[#This Row],[kval_active]],dict_zuord_Meth_Transfers[[#This Row],[ID_Transfers]],"")</f>
        <v/>
      </c>
    </row>
    <row r="2591" spans="1:4" x14ac:dyDescent="0.45">
      <c r="A2591">
        <v>431</v>
      </c>
      <c r="B2591">
        <f t="shared" ca="1" si="40"/>
        <v>112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1" t="str">
        <f ca="1">IF(dict_zuord_Meth_Transfers[[#This Row],[kval_active]],dict_zuord_Meth_Transfers[[#This Row],[ID_Transfers]],"")</f>
        <v/>
      </c>
    </row>
    <row r="2592" spans="1:4" x14ac:dyDescent="0.45">
      <c r="A2592">
        <v>431</v>
      </c>
      <c r="B2592">
        <f t="shared" ca="1" si="40"/>
        <v>59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2" t="str">
        <f ca="1">IF(dict_zuord_Meth_Transfers[[#This Row],[kval_active]],dict_zuord_Meth_Transfers[[#This Row],[ID_Transfers]],"")</f>
        <v/>
      </c>
    </row>
    <row r="2593" spans="1:4" x14ac:dyDescent="0.45">
      <c r="A2593">
        <v>431</v>
      </c>
      <c r="B2593" s="3">
        <f t="shared" ca="1" si="40"/>
        <v>145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3" t="str">
        <f ca="1">IF(dict_zuord_Meth_Transfers[[#This Row],[kval_active]],dict_zuord_Meth_Transfers[[#This Row],[ID_Transfers]],"")</f>
        <v/>
      </c>
    </row>
    <row r="2594" spans="1:4" x14ac:dyDescent="0.45">
      <c r="A2594">
        <v>432</v>
      </c>
      <c r="B2594">
        <f t="shared" ca="1" si="40"/>
        <v>82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4" t="str">
        <f ca="1">IF(dict_zuord_Meth_Transfers[[#This Row],[kval_active]],dict_zuord_Meth_Transfers[[#This Row],[ID_Transfers]],"")</f>
        <v/>
      </c>
    </row>
    <row r="2595" spans="1:4" x14ac:dyDescent="0.45">
      <c r="A2595">
        <v>432</v>
      </c>
      <c r="B2595" s="3">
        <f t="shared" ca="1" si="40"/>
        <v>65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5" t="str">
        <f ca="1">IF(dict_zuord_Meth_Transfers[[#This Row],[kval_active]],dict_zuord_Meth_Transfers[[#This Row],[ID_Transfers]],"")</f>
        <v/>
      </c>
    </row>
    <row r="2596" spans="1:4" x14ac:dyDescent="0.45">
      <c r="A2596">
        <v>432</v>
      </c>
      <c r="B2596" s="3">
        <f t="shared" ca="1" si="40"/>
        <v>166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6" t="str">
        <f ca="1">IF(dict_zuord_Meth_Transfers[[#This Row],[kval_active]],dict_zuord_Meth_Transfers[[#This Row],[ID_Transfers]],"")</f>
        <v/>
      </c>
    </row>
    <row r="2597" spans="1:4" x14ac:dyDescent="0.45">
      <c r="A2597">
        <v>432</v>
      </c>
      <c r="B2597" s="3">
        <f t="shared" ca="1" si="40"/>
        <v>11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7" t="str">
        <f ca="1">IF(dict_zuord_Meth_Transfers[[#This Row],[kval_active]],dict_zuord_Meth_Transfers[[#This Row],[ID_Transfers]],"")</f>
        <v/>
      </c>
    </row>
    <row r="2598" spans="1:4" x14ac:dyDescent="0.45">
      <c r="A2598">
        <v>432</v>
      </c>
      <c r="B2598">
        <f t="shared" ca="1" si="40"/>
        <v>91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8" t="str">
        <f ca="1">IF(dict_zuord_Meth_Transfers[[#This Row],[kval_active]],dict_zuord_Meth_Transfers[[#This Row],[ID_Transfers]],"")</f>
        <v/>
      </c>
    </row>
    <row r="2599" spans="1:4" x14ac:dyDescent="0.45">
      <c r="A2599">
        <v>432</v>
      </c>
      <c r="B2599">
        <f t="shared" ca="1" si="40"/>
        <v>161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9" t="str">
        <f ca="1">IF(dict_zuord_Meth_Transfers[[#This Row],[kval_active]],dict_zuord_Meth_Transfers[[#This Row],[ID_Transfers]],"")</f>
        <v/>
      </c>
    </row>
    <row r="2600" spans="1:4" x14ac:dyDescent="0.45">
      <c r="A2600">
        <v>433</v>
      </c>
      <c r="B2600" s="3">
        <f t="shared" ca="1" si="40"/>
        <v>155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59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147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186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189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191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112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6" t="str">
        <f ca="1">IF(dict_zuord_Meth_Transfers[[#This Row],[kval_active]],dict_zuord_Meth_Transfers[[#This Row],[ID_Transfers]],"")</f>
        <v/>
      </c>
    </row>
    <row r="2607" spans="1:4" x14ac:dyDescent="0.45">
      <c r="A2607">
        <v>434</v>
      </c>
      <c r="B2607" s="3">
        <f t="shared" ca="1" si="40"/>
        <v>16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7" t="str">
        <f ca="1">IF(dict_zuord_Meth_Transfers[[#This Row],[kval_active]],dict_zuord_Meth_Transfers[[#This Row],[ID_Transfers]],"")</f>
        <v/>
      </c>
    </row>
    <row r="2608" spans="1:4" x14ac:dyDescent="0.45">
      <c r="A2608">
        <v>434</v>
      </c>
      <c r="B2608">
        <f t="shared" ca="1" si="40"/>
        <v>4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8" t="str">
        <f ca="1">IF(dict_zuord_Meth_Transfers[[#This Row],[kval_active]],dict_zuord_Meth_Transfers[[#This Row],[ID_Transfers]],"")</f>
        <v/>
      </c>
    </row>
    <row r="2609" spans="1:4" x14ac:dyDescent="0.45">
      <c r="A2609">
        <v>434</v>
      </c>
      <c r="B2609">
        <f t="shared" ca="1" si="40"/>
        <v>125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9" t="str">
        <f ca="1">IF(dict_zuord_Meth_Transfers[[#This Row],[kval_active]],dict_zuord_Meth_Transfers[[#This Row],[ID_Transfers]],"")</f>
        <v/>
      </c>
    </row>
    <row r="2610" spans="1:4" x14ac:dyDescent="0.45">
      <c r="A2610">
        <v>434</v>
      </c>
      <c r="B2610" s="3">
        <f t="shared" ca="1" si="40"/>
        <v>197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0" t="str">
        <f ca="1">IF(dict_zuord_Meth_Transfers[[#This Row],[kval_active]],dict_zuord_Meth_Transfers[[#This Row],[ID_Transfers]],"")</f>
        <v/>
      </c>
    </row>
    <row r="2611" spans="1:4" x14ac:dyDescent="0.45">
      <c r="A2611">
        <v>434</v>
      </c>
      <c r="B2611">
        <f t="shared" ca="1" si="40"/>
        <v>171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1" t="str">
        <f ca="1">IF(dict_zuord_Meth_Transfers[[#This Row],[kval_active]],dict_zuord_Meth_Transfers[[#This Row],[ID_Transfers]],"")</f>
        <v/>
      </c>
    </row>
    <row r="2612" spans="1:4" x14ac:dyDescent="0.45">
      <c r="A2612">
        <v>435</v>
      </c>
      <c r="B2612" s="3">
        <f t="shared" ca="1" si="40"/>
        <v>74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2" t="str">
        <f ca="1">IF(dict_zuord_Meth_Transfers[[#This Row],[kval_active]],dict_zuord_Meth_Transfers[[#This Row],[ID_Transfers]],"")</f>
        <v/>
      </c>
    </row>
    <row r="2613" spans="1:4" x14ac:dyDescent="0.45">
      <c r="A2613">
        <v>435</v>
      </c>
      <c r="B2613" s="3">
        <f t="shared" ca="1" si="40"/>
        <v>85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3" t="str">
        <f ca="1">IF(dict_zuord_Meth_Transfers[[#This Row],[kval_active]],dict_zuord_Meth_Transfers[[#This Row],[ID_Transfers]],"")</f>
        <v/>
      </c>
    </row>
    <row r="2614" spans="1:4" x14ac:dyDescent="0.45">
      <c r="A2614">
        <v>435</v>
      </c>
      <c r="B2614">
        <f t="shared" ca="1" si="40"/>
        <v>126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4" t="str">
        <f ca="1">IF(dict_zuord_Meth_Transfers[[#This Row],[kval_active]],dict_zuord_Meth_Transfers[[#This Row],[ID_Transfers]],"")</f>
        <v/>
      </c>
    </row>
    <row r="2615" spans="1:4" x14ac:dyDescent="0.45">
      <c r="A2615">
        <v>435</v>
      </c>
      <c r="B2615">
        <f t="shared" ca="1" si="40"/>
        <v>7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5" t="str">
        <f ca="1">IF(dict_zuord_Meth_Transfers[[#This Row],[kval_active]],dict_zuord_Meth_Transfers[[#This Row],[ID_Transfers]],"")</f>
        <v/>
      </c>
    </row>
    <row r="2616" spans="1:4" x14ac:dyDescent="0.45">
      <c r="A2616">
        <v>435</v>
      </c>
      <c r="B2616" s="3">
        <f t="shared" ca="1" si="40"/>
        <v>169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6" t="str">
        <f ca="1">IF(dict_zuord_Meth_Transfers[[#This Row],[kval_active]],dict_zuord_Meth_Transfers[[#This Row],[ID_Transfers]],"")</f>
        <v/>
      </c>
    </row>
    <row r="2617" spans="1:4" x14ac:dyDescent="0.45">
      <c r="A2617">
        <v>435</v>
      </c>
      <c r="B2617">
        <f t="shared" ca="1" si="40"/>
        <v>22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7" t="str">
        <f ca="1">IF(dict_zuord_Meth_Transfers[[#This Row],[kval_active]],dict_zuord_Meth_Transfers[[#This Row],[ID_Transfers]],"")</f>
        <v/>
      </c>
    </row>
    <row r="2618" spans="1:4" x14ac:dyDescent="0.45">
      <c r="A2618">
        <v>436</v>
      </c>
      <c r="B2618">
        <f t="shared" ca="1" si="40"/>
        <v>118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8" t="str">
        <f ca="1">IF(dict_zuord_Meth_Transfers[[#This Row],[kval_active]],dict_zuord_Meth_Transfers[[#This Row],[ID_Transfers]],"")</f>
        <v/>
      </c>
    </row>
    <row r="2619" spans="1:4" x14ac:dyDescent="0.45">
      <c r="A2619">
        <v>436</v>
      </c>
      <c r="B2619" s="3">
        <f t="shared" ca="1" si="40"/>
        <v>72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9" t="str">
        <f ca="1">IF(dict_zuord_Meth_Transfers[[#This Row],[kval_active]],dict_zuord_Meth_Transfers[[#This Row],[ID_Transfers]],"")</f>
        <v/>
      </c>
    </row>
    <row r="2620" spans="1:4" x14ac:dyDescent="0.45">
      <c r="A2620">
        <v>436</v>
      </c>
      <c r="B2620">
        <f t="shared" ca="1" si="40"/>
        <v>95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0" t="str">
        <f ca="1">IF(dict_zuord_Meth_Transfers[[#This Row],[kval_active]],dict_zuord_Meth_Transfers[[#This Row],[ID_Transfers]],"")</f>
        <v/>
      </c>
    </row>
    <row r="2621" spans="1:4" x14ac:dyDescent="0.45">
      <c r="A2621">
        <v>436</v>
      </c>
      <c r="B2621" s="3">
        <f t="shared" ca="1" si="40"/>
        <v>64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1" t="str">
        <f ca="1">IF(dict_zuord_Meth_Transfers[[#This Row],[kval_active]],dict_zuord_Meth_Transfers[[#This Row],[ID_Transfers]],"")</f>
        <v/>
      </c>
    </row>
    <row r="2622" spans="1:4" x14ac:dyDescent="0.45">
      <c r="A2622">
        <v>436</v>
      </c>
      <c r="B2622" s="3">
        <f t="shared" ca="1" si="40"/>
        <v>48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2" t="str">
        <f ca="1">IF(dict_zuord_Meth_Transfers[[#This Row],[kval_active]],dict_zuord_Meth_Transfers[[#This Row],[ID_Transfers]],"")</f>
        <v/>
      </c>
    </row>
    <row r="2623" spans="1:4" x14ac:dyDescent="0.45">
      <c r="A2623">
        <v>436</v>
      </c>
      <c r="B2623">
        <f t="shared" ca="1" si="40"/>
        <v>8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3" t="str">
        <f ca="1">IF(dict_zuord_Meth_Transfers[[#This Row],[kval_active]],dict_zuord_Meth_Transfers[[#This Row],[ID_Transfers]],"")</f>
        <v/>
      </c>
    </row>
    <row r="2624" spans="1:4" x14ac:dyDescent="0.45">
      <c r="A2624">
        <v>437</v>
      </c>
      <c r="B2624">
        <f t="shared" ca="1" si="40"/>
        <v>192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4" t="str">
        <f ca="1">IF(dict_zuord_Meth_Transfers[[#This Row],[kval_active]],dict_zuord_Meth_Transfers[[#This Row],[ID_Transfers]],"")</f>
        <v/>
      </c>
    </row>
    <row r="2625" spans="1:4" x14ac:dyDescent="0.45">
      <c r="A2625">
        <v>437</v>
      </c>
      <c r="B2625" s="3">
        <f t="shared" ca="1" si="40"/>
        <v>155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5" t="str">
        <f ca="1">IF(dict_zuord_Meth_Transfers[[#This Row],[kval_active]],dict_zuord_Meth_Transfers[[#This Row],[ID_Transfers]],"")</f>
        <v/>
      </c>
    </row>
    <row r="2626" spans="1:4" x14ac:dyDescent="0.45">
      <c r="A2626">
        <v>437</v>
      </c>
      <c r="B2626">
        <f t="shared" ref="B2626:B2689" ca="1" si="41">RANDBETWEEN(0,200)</f>
        <v>70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6" t="str">
        <f ca="1">IF(dict_zuord_Meth_Transfers[[#This Row],[kval_active]],dict_zuord_Meth_Transfers[[#This Row],[ID_Transfers]],"")</f>
        <v/>
      </c>
    </row>
    <row r="2627" spans="1:4" x14ac:dyDescent="0.45">
      <c r="A2627">
        <v>437</v>
      </c>
      <c r="B2627">
        <f t="shared" ca="1" si="41"/>
        <v>55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7" t="str">
        <f ca="1">IF(dict_zuord_Meth_Transfers[[#This Row],[kval_active]],dict_zuord_Meth_Transfers[[#This Row],[ID_Transfers]],"")</f>
        <v/>
      </c>
    </row>
    <row r="2628" spans="1:4" x14ac:dyDescent="0.45">
      <c r="A2628">
        <v>437</v>
      </c>
      <c r="B2628" s="3">
        <f t="shared" ca="1" si="41"/>
        <v>105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8" t="str">
        <f ca="1">IF(dict_zuord_Meth_Transfers[[#This Row],[kval_active]],dict_zuord_Meth_Transfers[[#This Row],[ID_Transfers]],"")</f>
        <v/>
      </c>
    </row>
    <row r="2629" spans="1:4" x14ac:dyDescent="0.45">
      <c r="A2629">
        <v>437</v>
      </c>
      <c r="B2629" s="3">
        <f t="shared" ca="1" si="41"/>
        <v>195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9" t="str">
        <f ca="1">IF(dict_zuord_Meth_Transfers[[#This Row],[kval_active]],dict_zuord_Meth_Transfers[[#This Row],[ID_Transfers]],"")</f>
        <v/>
      </c>
    </row>
    <row r="2630" spans="1:4" x14ac:dyDescent="0.45">
      <c r="A2630">
        <v>438</v>
      </c>
      <c r="B2630">
        <f t="shared" ca="1" si="41"/>
        <v>140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0" t="str">
        <f ca="1">IF(dict_zuord_Meth_Transfers[[#This Row],[kval_active]],dict_zuord_Meth_Transfers[[#This Row],[ID_Transfers]],"")</f>
        <v/>
      </c>
    </row>
    <row r="2631" spans="1:4" x14ac:dyDescent="0.45">
      <c r="A2631">
        <v>438</v>
      </c>
      <c r="B2631" s="3">
        <f t="shared" ca="1" si="41"/>
        <v>21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1" t="str">
        <f ca="1">IF(dict_zuord_Meth_Transfers[[#This Row],[kval_active]],dict_zuord_Meth_Transfers[[#This Row],[ID_Transfers]],"")</f>
        <v/>
      </c>
    </row>
    <row r="2632" spans="1:4" x14ac:dyDescent="0.45">
      <c r="A2632">
        <v>438</v>
      </c>
      <c r="B2632">
        <f t="shared" ca="1" si="41"/>
        <v>107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2" t="str">
        <f ca="1">IF(dict_zuord_Meth_Transfers[[#This Row],[kval_active]],dict_zuord_Meth_Transfers[[#This Row],[ID_Transfers]],"")</f>
        <v/>
      </c>
    </row>
    <row r="2633" spans="1:4" x14ac:dyDescent="0.45">
      <c r="A2633">
        <v>438</v>
      </c>
      <c r="B2633" s="3">
        <f t="shared" ca="1" si="41"/>
        <v>10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3" t="str">
        <f ca="1">IF(dict_zuord_Meth_Transfers[[#This Row],[kval_active]],dict_zuord_Meth_Transfers[[#This Row],[ID_Transfers]],"")</f>
        <v/>
      </c>
    </row>
    <row r="2634" spans="1:4" x14ac:dyDescent="0.45">
      <c r="A2634">
        <v>438</v>
      </c>
      <c r="B2634">
        <f t="shared" ca="1" si="41"/>
        <v>47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4" t="str">
        <f ca="1">IF(dict_zuord_Meth_Transfers[[#This Row],[kval_active]],dict_zuord_Meth_Transfers[[#This Row],[ID_Transfers]],"")</f>
        <v/>
      </c>
    </row>
    <row r="2635" spans="1:4" x14ac:dyDescent="0.45">
      <c r="A2635">
        <v>438</v>
      </c>
      <c r="B2635" s="3">
        <f t="shared" ca="1" si="41"/>
        <v>26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5" t="str">
        <f ca="1">IF(dict_zuord_Meth_Transfers[[#This Row],[kval_active]],dict_zuord_Meth_Transfers[[#This Row],[ID_Transfers]],"")</f>
        <v/>
      </c>
    </row>
    <row r="2636" spans="1:4" x14ac:dyDescent="0.45">
      <c r="A2636">
        <v>439</v>
      </c>
      <c r="B2636">
        <f t="shared" ca="1" si="41"/>
        <v>74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6" t="str">
        <f ca="1">IF(dict_zuord_Meth_Transfers[[#This Row],[kval_active]],dict_zuord_Meth_Transfers[[#This Row],[ID_Transfers]],"")</f>
        <v/>
      </c>
    </row>
    <row r="2637" spans="1:4" x14ac:dyDescent="0.45">
      <c r="A2637">
        <v>439</v>
      </c>
      <c r="B2637" s="3">
        <f t="shared" ca="1" si="41"/>
        <v>29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7" t="str">
        <f ca="1">IF(dict_zuord_Meth_Transfers[[#This Row],[kval_active]],dict_zuord_Meth_Transfers[[#This Row],[ID_Transfers]],"")</f>
        <v/>
      </c>
    </row>
    <row r="2638" spans="1:4" x14ac:dyDescent="0.45">
      <c r="A2638">
        <v>439</v>
      </c>
      <c r="B2638" s="3">
        <f t="shared" ca="1" si="41"/>
        <v>138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8" t="str">
        <f ca="1">IF(dict_zuord_Meth_Transfers[[#This Row],[kval_active]],dict_zuord_Meth_Transfers[[#This Row],[ID_Transfers]],"")</f>
        <v/>
      </c>
    </row>
    <row r="2639" spans="1:4" x14ac:dyDescent="0.45">
      <c r="A2639">
        <v>439</v>
      </c>
      <c r="B2639" s="3">
        <f t="shared" ca="1" si="41"/>
        <v>151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9" t="str">
        <f ca="1">IF(dict_zuord_Meth_Transfers[[#This Row],[kval_active]],dict_zuord_Meth_Transfers[[#This Row],[ID_Transfers]],"")</f>
        <v/>
      </c>
    </row>
    <row r="2640" spans="1:4" x14ac:dyDescent="0.45">
      <c r="A2640">
        <v>439</v>
      </c>
      <c r="B2640">
        <f t="shared" ca="1" si="41"/>
        <v>21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0" t="str">
        <f ca="1">IF(dict_zuord_Meth_Transfers[[#This Row],[kval_active]],dict_zuord_Meth_Transfers[[#This Row],[ID_Transfers]],"")</f>
        <v/>
      </c>
    </row>
    <row r="2641" spans="1:4" x14ac:dyDescent="0.45">
      <c r="A2641">
        <v>439</v>
      </c>
      <c r="B2641">
        <f t="shared" ca="1" si="41"/>
        <v>174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1" t="str">
        <f ca="1">IF(dict_zuord_Meth_Transfers[[#This Row],[kval_active]],dict_zuord_Meth_Transfers[[#This Row],[ID_Transfers]],"")</f>
        <v/>
      </c>
    </row>
    <row r="2642" spans="1:4" x14ac:dyDescent="0.45">
      <c r="A2642">
        <v>440</v>
      </c>
      <c r="B2642" s="3">
        <f t="shared" ca="1" si="41"/>
        <v>180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2" t="str">
        <f ca="1">IF(dict_zuord_Meth_Transfers[[#This Row],[kval_active]],dict_zuord_Meth_Transfers[[#This Row],[ID_Transfers]],"")</f>
        <v/>
      </c>
    </row>
    <row r="2643" spans="1:4" x14ac:dyDescent="0.45">
      <c r="A2643">
        <v>440</v>
      </c>
      <c r="B2643" s="3">
        <f t="shared" ca="1" si="41"/>
        <v>44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3" t="str">
        <f ca="1">IF(dict_zuord_Meth_Transfers[[#This Row],[kval_active]],dict_zuord_Meth_Transfers[[#This Row],[ID_Transfers]],"")</f>
        <v/>
      </c>
    </row>
    <row r="2644" spans="1:4" x14ac:dyDescent="0.45">
      <c r="A2644">
        <v>440</v>
      </c>
      <c r="B2644">
        <f t="shared" ca="1" si="41"/>
        <v>63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4" t="str">
        <f ca="1">IF(dict_zuord_Meth_Transfers[[#This Row],[kval_active]],dict_zuord_Meth_Transfers[[#This Row],[ID_Transfers]],"")</f>
        <v/>
      </c>
    </row>
    <row r="2645" spans="1:4" x14ac:dyDescent="0.45">
      <c r="A2645">
        <v>440</v>
      </c>
      <c r="B2645">
        <f t="shared" ca="1" si="41"/>
        <v>104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5" t="str">
        <f ca="1">IF(dict_zuord_Meth_Transfers[[#This Row],[kval_active]],dict_zuord_Meth_Transfers[[#This Row],[ID_Transfers]],"")</f>
        <v/>
      </c>
    </row>
    <row r="2646" spans="1:4" x14ac:dyDescent="0.45">
      <c r="A2646">
        <v>440</v>
      </c>
      <c r="B2646" s="3">
        <f t="shared" ca="1" si="41"/>
        <v>195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6" t="str">
        <f ca="1">IF(dict_zuord_Meth_Transfers[[#This Row],[kval_active]],dict_zuord_Meth_Transfers[[#This Row],[ID_Transfers]],"")</f>
        <v/>
      </c>
    </row>
    <row r="2647" spans="1:4" x14ac:dyDescent="0.45">
      <c r="A2647">
        <v>440</v>
      </c>
      <c r="B2647">
        <f t="shared" ca="1" si="41"/>
        <v>200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7" t="str">
        <f ca="1">IF(dict_zuord_Meth_Transfers[[#This Row],[kval_active]],dict_zuord_Meth_Transfers[[#This Row],[ID_Transfers]],"")</f>
        <v/>
      </c>
    </row>
    <row r="2648" spans="1:4" x14ac:dyDescent="0.45">
      <c r="A2648">
        <v>441</v>
      </c>
      <c r="B2648">
        <f t="shared" ca="1" si="41"/>
        <v>33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8" t="str">
        <f ca="1">IF(dict_zuord_Meth_Transfers[[#This Row],[kval_active]],dict_zuord_Meth_Transfers[[#This Row],[ID_Transfers]],"")</f>
        <v/>
      </c>
    </row>
    <row r="2649" spans="1:4" x14ac:dyDescent="0.45">
      <c r="A2649">
        <v>441</v>
      </c>
      <c r="B2649" s="3">
        <f t="shared" ca="1" si="41"/>
        <v>131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9" t="str">
        <f ca="1">IF(dict_zuord_Meth_Transfers[[#This Row],[kval_active]],dict_zuord_Meth_Transfers[[#This Row],[ID_Transfers]],"")</f>
        <v/>
      </c>
    </row>
    <row r="2650" spans="1:4" x14ac:dyDescent="0.45">
      <c r="A2650">
        <v>441</v>
      </c>
      <c r="B2650" s="3">
        <f t="shared" ca="1" si="41"/>
        <v>31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0" t="str">
        <f ca="1">IF(dict_zuord_Meth_Transfers[[#This Row],[kval_active]],dict_zuord_Meth_Transfers[[#This Row],[ID_Transfers]],"")</f>
        <v/>
      </c>
    </row>
    <row r="2651" spans="1:4" x14ac:dyDescent="0.45">
      <c r="A2651">
        <v>441</v>
      </c>
      <c r="B2651">
        <f t="shared" ca="1" si="41"/>
        <v>159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1" t="str">
        <f ca="1">IF(dict_zuord_Meth_Transfers[[#This Row],[kval_active]],dict_zuord_Meth_Transfers[[#This Row],[ID_Transfers]],"")</f>
        <v/>
      </c>
    </row>
    <row r="2652" spans="1:4" x14ac:dyDescent="0.45">
      <c r="A2652">
        <v>441</v>
      </c>
      <c r="B2652">
        <f t="shared" ca="1" si="41"/>
        <v>17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2" t="str">
        <f ca="1">IF(dict_zuord_Meth_Transfers[[#This Row],[kval_active]],dict_zuord_Meth_Transfers[[#This Row],[ID_Transfers]],"")</f>
        <v/>
      </c>
    </row>
    <row r="2653" spans="1:4" x14ac:dyDescent="0.45">
      <c r="A2653">
        <v>441</v>
      </c>
      <c r="B2653" s="3">
        <f t="shared" ca="1" si="41"/>
        <v>135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3" t="str">
        <f ca="1">IF(dict_zuord_Meth_Transfers[[#This Row],[kval_active]],dict_zuord_Meth_Transfers[[#This Row],[ID_Transfers]],"")</f>
        <v/>
      </c>
    </row>
    <row r="2654" spans="1:4" x14ac:dyDescent="0.45">
      <c r="A2654">
        <v>442</v>
      </c>
      <c r="B2654">
        <f t="shared" ca="1" si="41"/>
        <v>51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4" t="str">
        <f ca="1">IF(dict_zuord_Meth_Transfers[[#This Row],[kval_active]],dict_zuord_Meth_Transfers[[#This Row],[ID_Transfers]],"")</f>
        <v/>
      </c>
    </row>
    <row r="2655" spans="1:4" x14ac:dyDescent="0.45">
      <c r="A2655">
        <v>442</v>
      </c>
      <c r="B2655">
        <f t="shared" ca="1" si="41"/>
        <v>153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5" t="str">
        <f ca="1">IF(dict_zuord_Meth_Transfers[[#This Row],[kval_active]],dict_zuord_Meth_Transfers[[#This Row],[ID_Transfers]],"")</f>
        <v/>
      </c>
    </row>
    <row r="2656" spans="1:4" x14ac:dyDescent="0.45">
      <c r="A2656">
        <v>442</v>
      </c>
      <c r="B2656" s="3">
        <f t="shared" ca="1" si="41"/>
        <v>183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6" t="str">
        <f ca="1">IF(dict_zuord_Meth_Transfers[[#This Row],[kval_active]],dict_zuord_Meth_Transfers[[#This Row],[ID_Transfers]],"")</f>
        <v/>
      </c>
    </row>
    <row r="2657" spans="1:4" x14ac:dyDescent="0.45">
      <c r="A2657">
        <v>442</v>
      </c>
      <c r="B2657">
        <f t="shared" ca="1" si="41"/>
        <v>71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7" t="str">
        <f ca="1">IF(dict_zuord_Meth_Transfers[[#This Row],[kval_active]],dict_zuord_Meth_Transfers[[#This Row],[ID_Transfers]],"")</f>
        <v/>
      </c>
    </row>
    <row r="2658" spans="1:4" x14ac:dyDescent="0.45">
      <c r="A2658">
        <v>442</v>
      </c>
      <c r="B2658" s="3">
        <f t="shared" ca="1" si="41"/>
        <v>165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8" t="str">
        <f ca="1">IF(dict_zuord_Meth_Transfers[[#This Row],[kval_active]],dict_zuord_Meth_Transfers[[#This Row],[ID_Transfers]],"")</f>
        <v/>
      </c>
    </row>
    <row r="2659" spans="1:4" x14ac:dyDescent="0.45">
      <c r="A2659">
        <v>442</v>
      </c>
      <c r="B2659" s="3">
        <f t="shared" ca="1" si="41"/>
        <v>72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9" t="str">
        <f ca="1">IF(dict_zuord_Meth_Transfers[[#This Row],[kval_active]],dict_zuord_Meth_Transfers[[#This Row],[ID_Transfers]],"")</f>
        <v/>
      </c>
    </row>
    <row r="2660" spans="1:4" x14ac:dyDescent="0.45">
      <c r="A2660">
        <v>443</v>
      </c>
      <c r="B2660" s="3">
        <f t="shared" ca="1" si="41"/>
        <v>188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0" t="str">
        <f ca="1">IF(dict_zuord_Meth_Transfers[[#This Row],[kval_active]],dict_zuord_Meth_Transfers[[#This Row],[ID_Transfers]],"")</f>
        <v/>
      </c>
    </row>
    <row r="2661" spans="1:4" x14ac:dyDescent="0.45">
      <c r="A2661">
        <v>443</v>
      </c>
      <c r="B2661">
        <f t="shared" ca="1" si="41"/>
        <v>31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1" t="str">
        <f ca="1">IF(dict_zuord_Meth_Transfers[[#This Row],[kval_active]],dict_zuord_Meth_Transfers[[#This Row],[ID_Transfers]],"")</f>
        <v/>
      </c>
    </row>
    <row r="2662" spans="1:4" x14ac:dyDescent="0.45">
      <c r="A2662">
        <v>443</v>
      </c>
      <c r="B2662">
        <f t="shared" ca="1" si="41"/>
        <v>31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2" t="str">
        <f ca="1">IF(dict_zuord_Meth_Transfers[[#This Row],[kval_active]],dict_zuord_Meth_Transfers[[#This Row],[ID_Transfers]],"")</f>
        <v/>
      </c>
    </row>
    <row r="2663" spans="1:4" x14ac:dyDescent="0.45">
      <c r="A2663">
        <v>443</v>
      </c>
      <c r="B2663" s="3">
        <f t="shared" ca="1" si="41"/>
        <v>48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3" t="str">
        <f ca="1">IF(dict_zuord_Meth_Transfers[[#This Row],[kval_active]],dict_zuord_Meth_Transfers[[#This Row],[ID_Transfers]],"")</f>
        <v/>
      </c>
    </row>
    <row r="2664" spans="1:4" x14ac:dyDescent="0.45">
      <c r="A2664">
        <v>443</v>
      </c>
      <c r="B2664">
        <f t="shared" ca="1" si="41"/>
        <v>123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4" t="str">
        <f ca="1">IF(dict_zuord_Meth_Transfers[[#This Row],[kval_active]],dict_zuord_Meth_Transfers[[#This Row],[ID_Transfers]],"")</f>
        <v/>
      </c>
    </row>
    <row r="2665" spans="1:4" x14ac:dyDescent="0.45">
      <c r="A2665">
        <v>443</v>
      </c>
      <c r="B2665" s="3">
        <f t="shared" ca="1" si="41"/>
        <v>43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5" t="str">
        <f ca="1">IF(dict_zuord_Meth_Transfers[[#This Row],[kval_active]],dict_zuord_Meth_Transfers[[#This Row],[ID_Transfers]],"")</f>
        <v/>
      </c>
    </row>
    <row r="2666" spans="1:4" x14ac:dyDescent="0.45">
      <c r="A2666">
        <v>444</v>
      </c>
      <c r="B2666" s="3">
        <f t="shared" ca="1" si="41"/>
        <v>146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6" t="str">
        <f ca="1">IF(dict_zuord_Meth_Transfers[[#This Row],[kval_active]],dict_zuord_Meth_Transfers[[#This Row],[ID_Transfers]],"")</f>
        <v/>
      </c>
    </row>
    <row r="2667" spans="1:4" x14ac:dyDescent="0.45">
      <c r="A2667">
        <v>444</v>
      </c>
      <c r="B2667">
        <f t="shared" ca="1" si="41"/>
        <v>117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7" t="str">
        <f ca="1">IF(dict_zuord_Meth_Transfers[[#This Row],[kval_active]],dict_zuord_Meth_Transfers[[#This Row],[ID_Transfers]],"")</f>
        <v/>
      </c>
    </row>
    <row r="2668" spans="1:4" x14ac:dyDescent="0.45">
      <c r="A2668">
        <v>444</v>
      </c>
      <c r="B2668" s="3">
        <f t="shared" ca="1" si="41"/>
        <v>53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8" t="str">
        <f ca="1">IF(dict_zuord_Meth_Transfers[[#This Row],[kval_active]],dict_zuord_Meth_Transfers[[#This Row],[ID_Transfers]],"")</f>
        <v/>
      </c>
    </row>
    <row r="2669" spans="1:4" x14ac:dyDescent="0.45">
      <c r="A2669">
        <v>444</v>
      </c>
      <c r="B2669" s="3">
        <f t="shared" ca="1" si="41"/>
        <v>28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9" t="str">
        <f ca="1">IF(dict_zuord_Meth_Transfers[[#This Row],[kval_active]],dict_zuord_Meth_Transfers[[#This Row],[ID_Transfers]],"")</f>
        <v/>
      </c>
    </row>
    <row r="2670" spans="1:4" x14ac:dyDescent="0.45">
      <c r="A2670">
        <v>444</v>
      </c>
      <c r="B2670">
        <f t="shared" ca="1" si="41"/>
        <v>80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0" t="str">
        <f ca="1">IF(dict_zuord_Meth_Transfers[[#This Row],[kval_active]],dict_zuord_Meth_Transfers[[#This Row],[ID_Transfers]],"")</f>
        <v/>
      </c>
    </row>
    <row r="2671" spans="1:4" x14ac:dyDescent="0.45">
      <c r="A2671">
        <v>444</v>
      </c>
      <c r="B2671">
        <f t="shared" ca="1" si="41"/>
        <v>60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1" t="str">
        <f ca="1">IF(dict_zuord_Meth_Transfers[[#This Row],[kval_active]],dict_zuord_Meth_Transfers[[#This Row],[ID_Transfers]],"")</f>
        <v/>
      </c>
    </row>
    <row r="2672" spans="1:4" x14ac:dyDescent="0.45">
      <c r="A2672">
        <v>445</v>
      </c>
      <c r="B2672">
        <f t="shared" ca="1" si="41"/>
        <v>33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2" t="str">
        <f ca="1">IF(dict_zuord_Meth_Transfers[[#This Row],[kval_active]],dict_zuord_Meth_Transfers[[#This Row],[ID_Transfers]],"")</f>
        <v/>
      </c>
    </row>
    <row r="2673" spans="1:4" x14ac:dyDescent="0.45">
      <c r="A2673">
        <v>445</v>
      </c>
      <c r="B2673">
        <f t="shared" ca="1" si="41"/>
        <v>132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3" t="str">
        <f ca="1">IF(dict_zuord_Meth_Transfers[[#This Row],[kval_active]],dict_zuord_Meth_Transfers[[#This Row],[ID_Transfers]],"")</f>
        <v/>
      </c>
    </row>
    <row r="2674" spans="1:4" x14ac:dyDescent="0.45">
      <c r="A2674">
        <v>445</v>
      </c>
      <c r="B2674">
        <f t="shared" ca="1" si="41"/>
        <v>30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4" t="str">
        <f ca="1">IF(dict_zuord_Meth_Transfers[[#This Row],[kval_active]],dict_zuord_Meth_Transfers[[#This Row],[ID_Transfers]],"")</f>
        <v/>
      </c>
    </row>
    <row r="2675" spans="1:4" x14ac:dyDescent="0.45">
      <c r="A2675">
        <v>445</v>
      </c>
      <c r="B2675" s="3">
        <f t="shared" ca="1" si="41"/>
        <v>166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5" t="str">
        <f ca="1">IF(dict_zuord_Meth_Transfers[[#This Row],[kval_active]],dict_zuord_Meth_Transfers[[#This Row],[ID_Transfers]],"")</f>
        <v/>
      </c>
    </row>
    <row r="2676" spans="1:4" x14ac:dyDescent="0.45">
      <c r="A2676">
        <v>445</v>
      </c>
      <c r="B2676" s="3">
        <f t="shared" ca="1" si="41"/>
        <v>107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6" t="str">
        <f ca="1">IF(dict_zuord_Meth_Transfers[[#This Row],[kval_active]],dict_zuord_Meth_Transfers[[#This Row],[ID_Transfers]],"")</f>
        <v/>
      </c>
    </row>
    <row r="2677" spans="1:4" x14ac:dyDescent="0.45">
      <c r="A2677">
        <v>445</v>
      </c>
      <c r="B2677" s="3">
        <f t="shared" ca="1" si="41"/>
        <v>57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7" t="str">
        <f ca="1">IF(dict_zuord_Meth_Transfers[[#This Row],[kval_active]],dict_zuord_Meth_Transfers[[#This Row],[ID_Transfers]],"")</f>
        <v/>
      </c>
    </row>
    <row r="2678" spans="1:4" x14ac:dyDescent="0.45">
      <c r="A2678">
        <v>446</v>
      </c>
      <c r="B2678">
        <f t="shared" ca="1" si="41"/>
        <v>89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8" t="str">
        <f ca="1">IF(dict_zuord_Meth_Transfers[[#This Row],[kval_active]],dict_zuord_Meth_Transfers[[#This Row],[ID_Transfers]],"")</f>
        <v/>
      </c>
    </row>
    <row r="2679" spans="1:4" x14ac:dyDescent="0.45">
      <c r="A2679">
        <v>446</v>
      </c>
      <c r="B2679" s="3">
        <f t="shared" ca="1" si="41"/>
        <v>163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9" t="str">
        <f ca="1">IF(dict_zuord_Meth_Transfers[[#This Row],[kval_active]],dict_zuord_Meth_Transfers[[#This Row],[ID_Transfers]],"")</f>
        <v/>
      </c>
    </row>
    <row r="2680" spans="1:4" x14ac:dyDescent="0.45">
      <c r="A2680">
        <v>446</v>
      </c>
      <c r="B2680">
        <f t="shared" ca="1" si="41"/>
        <v>149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0" t="str">
        <f ca="1">IF(dict_zuord_Meth_Transfers[[#This Row],[kval_active]],dict_zuord_Meth_Transfers[[#This Row],[ID_Transfers]],"")</f>
        <v/>
      </c>
    </row>
    <row r="2681" spans="1:4" x14ac:dyDescent="0.45">
      <c r="A2681">
        <v>446</v>
      </c>
      <c r="B2681" s="3">
        <f t="shared" ca="1" si="41"/>
        <v>172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1" t="str">
        <f ca="1">IF(dict_zuord_Meth_Transfers[[#This Row],[kval_active]],dict_zuord_Meth_Transfers[[#This Row],[ID_Transfers]],"")</f>
        <v/>
      </c>
    </row>
    <row r="2682" spans="1:4" x14ac:dyDescent="0.45">
      <c r="A2682">
        <v>446</v>
      </c>
      <c r="B2682">
        <f t="shared" ca="1" si="41"/>
        <v>29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2" t="str">
        <f ca="1">IF(dict_zuord_Meth_Transfers[[#This Row],[kval_active]],dict_zuord_Meth_Transfers[[#This Row],[ID_Transfers]],"")</f>
        <v/>
      </c>
    </row>
    <row r="2683" spans="1:4" x14ac:dyDescent="0.45">
      <c r="A2683">
        <v>446</v>
      </c>
      <c r="B2683" s="3">
        <f t="shared" ca="1" si="41"/>
        <v>167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3" t="str">
        <f ca="1">IF(dict_zuord_Meth_Transfers[[#This Row],[kval_active]],dict_zuord_Meth_Transfers[[#This Row],[ID_Transfers]],"")</f>
        <v/>
      </c>
    </row>
    <row r="2684" spans="1:4" x14ac:dyDescent="0.45">
      <c r="A2684">
        <v>447</v>
      </c>
      <c r="B2684">
        <f t="shared" ca="1" si="41"/>
        <v>48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4" t="str">
        <f ca="1">IF(dict_zuord_Meth_Transfers[[#This Row],[kval_active]],dict_zuord_Meth_Transfers[[#This Row],[ID_Transfers]],"")</f>
        <v/>
      </c>
    </row>
    <row r="2685" spans="1:4" x14ac:dyDescent="0.45">
      <c r="A2685">
        <v>447</v>
      </c>
      <c r="B2685" s="3">
        <f t="shared" ca="1" si="41"/>
        <v>52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5" t="str">
        <f ca="1">IF(dict_zuord_Meth_Transfers[[#This Row],[kval_active]],dict_zuord_Meth_Transfers[[#This Row],[ID_Transfers]],"")</f>
        <v/>
      </c>
    </row>
    <row r="2686" spans="1:4" x14ac:dyDescent="0.45">
      <c r="A2686">
        <v>447</v>
      </c>
      <c r="B2686" s="3">
        <f t="shared" ca="1" si="41"/>
        <v>130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6" t="str">
        <f ca="1">IF(dict_zuord_Meth_Transfers[[#This Row],[kval_active]],dict_zuord_Meth_Transfers[[#This Row],[ID_Transfers]],"")</f>
        <v/>
      </c>
    </row>
    <row r="2687" spans="1:4" x14ac:dyDescent="0.45">
      <c r="A2687">
        <v>447</v>
      </c>
      <c r="B2687">
        <f t="shared" ca="1" si="41"/>
        <v>169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7" t="str">
        <f ca="1">IF(dict_zuord_Meth_Transfers[[#This Row],[kval_active]],dict_zuord_Meth_Transfers[[#This Row],[ID_Transfers]],"")</f>
        <v/>
      </c>
    </row>
    <row r="2688" spans="1:4" x14ac:dyDescent="0.45">
      <c r="A2688">
        <v>447</v>
      </c>
      <c r="B2688" s="3">
        <f t="shared" ca="1" si="41"/>
        <v>50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8" t="str">
        <f ca="1">IF(dict_zuord_Meth_Transfers[[#This Row],[kval_active]],dict_zuord_Meth_Transfers[[#This Row],[ID_Transfers]],"")</f>
        <v/>
      </c>
    </row>
    <row r="2689" spans="1:4" x14ac:dyDescent="0.45">
      <c r="A2689">
        <v>447</v>
      </c>
      <c r="B2689">
        <f t="shared" ca="1" si="41"/>
        <v>88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9" t="str">
        <f ca="1">IF(dict_zuord_Meth_Transfers[[#This Row],[kval_active]],dict_zuord_Meth_Transfers[[#This Row],[ID_Transfers]],"")</f>
        <v/>
      </c>
    </row>
    <row r="2690" spans="1:4" x14ac:dyDescent="0.45">
      <c r="A2690">
        <v>448</v>
      </c>
      <c r="B2690" s="3">
        <f t="shared" ref="B2690:B2753" ca="1" si="42">RANDBETWEEN(0,200)</f>
        <v>132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0" t="str">
        <f ca="1">IF(dict_zuord_Meth_Transfers[[#This Row],[kval_active]],dict_zuord_Meth_Transfers[[#This Row],[ID_Transfers]],"")</f>
        <v/>
      </c>
    </row>
    <row r="2691" spans="1:4" x14ac:dyDescent="0.45">
      <c r="A2691">
        <v>448</v>
      </c>
      <c r="B2691">
        <f t="shared" ca="1" si="42"/>
        <v>128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1" t="str">
        <f ca="1">IF(dict_zuord_Meth_Transfers[[#This Row],[kval_active]],dict_zuord_Meth_Transfers[[#This Row],[ID_Transfers]],"")</f>
        <v/>
      </c>
    </row>
    <row r="2692" spans="1:4" x14ac:dyDescent="0.45">
      <c r="A2692">
        <v>448</v>
      </c>
      <c r="B2692">
        <f t="shared" ca="1" si="42"/>
        <v>94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2" t="str">
        <f ca="1">IF(dict_zuord_Meth_Transfers[[#This Row],[kval_active]],dict_zuord_Meth_Transfers[[#This Row],[ID_Transfers]],"")</f>
        <v/>
      </c>
    </row>
    <row r="2693" spans="1:4" x14ac:dyDescent="0.45">
      <c r="A2693">
        <v>448</v>
      </c>
      <c r="B2693">
        <f t="shared" ca="1" si="42"/>
        <v>86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3" t="str">
        <f ca="1">IF(dict_zuord_Meth_Transfers[[#This Row],[kval_active]],dict_zuord_Meth_Transfers[[#This Row],[ID_Transfers]],"")</f>
        <v/>
      </c>
    </row>
    <row r="2694" spans="1:4" x14ac:dyDescent="0.45">
      <c r="A2694">
        <v>448</v>
      </c>
      <c r="B2694" s="3">
        <f t="shared" ca="1" si="42"/>
        <v>54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4" t="str">
        <f ca="1">IF(dict_zuord_Meth_Transfers[[#This Row],[kval_active]],dict_zuord_Meth_Transfers[[#This Row],[ID_Transfers]],"")</f>
        <v/>
      </c>
    </row>
    <row r="2695" spans="1:4" x14ac:dyDescent="0.45">
      <c r="A2695">
        <v>448</v>
      </c>
      <c r="B2695" s="3">
        <f t="shared" ca="1" si="42"/>
        <v>117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5" t="str">
        <f ca="1">IF(dict_zuord_Meth_Transfers[[#This Row],[kval_active]],dict_zuord_Meth_Transfers[[#This Row],[ID_Transfers]],"")</f>
        <v/>
      </c>
    </row>
    <row r="2696" spans="1:4" x14ac:dyDescent="0.45">
      <c r="A2696">
        <v>449</v>
      </c>
      <c r="B2696">
        <f t="shared" ca="1" si="42"/>
        <v>17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6" t="str">
        <f ca="1">IF(dict_zuord_Meth_Transfers[[#This Row],[kval_active]],dict_zuord_Meth_Transfers[[#This Row],[ID_Transfers]],"")</f>
        <v/>
      </c>
    </row>
    <row r="2697" spans="1:4" x14ac:dyDescent="0.45">
      <c r="A2697">
        <v>449</v>
      </c>
      <c r="B2697" s="3">
        <f t="shared" ca="1" si="42"/>
        <v>32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7" t="str">
        <f ca="1">IF(dict_zuord_Meth_Transfers[[#This Row],[kval_active]],dict_zuord_Meth_Transfers[[#This Row],[ID_Transfers]],"")</f>
        <v/>
      </c>
    </row>
    <row r="2698" spans="1:4" x14ac:dyDescent="0.45">
      <c r="A2698">
        <v>449</v>
      </c>
      <c r="B2698">
        <f t="shared" ca="1" si="42"/>
        <v>134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8" t="str">
        <f ca="1">IF(dict_zuord_Meth_Transfers[[#This Row],[kval_active]],dict_zuord_Meth_Transfers[[#This Row],[ID_Transfers]],"")</f>
        <v/>
      </c>
    </row>
    <row r="2699" spans="1:4" x14ac:dyDescent="0.45">
      <c r="A2699">
        <v>449</v>
      </c>
      <c r="B2699" s="3">
        <f t="shared" ca="1" si="42"/>
        <v>26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9" t="str">
        <f ca="1">IF(dict_zuord_Meth_Transfers[[#This Row],[kval_active]],dict_zuord_Meth_Transfers[[#This Row],[ID_Transfers]],"")</f>
        <v/>
      </c>
    </row>
    <row r="2700" spans="1:4" x14ac:dyDescent="0.45">
      <c r="A2700">
        <v>449</v>
      </c>
      <c r="B2700" s="3">
        <f t="shared" ca="1" si="42"/>
        <v>81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0" t="str">
        <f ca="1">IF(dict_zuord_Meth_Transfers[[#This Row],[kval_active]],dict_zuord_Meth_Transfers[[#This Row],[ID_Transfers]],"")</f>
        <v/>
      </c>
    </row>
    <row r="2701" spans="1:4" x14ac:dyDescent="0.45">
      <c r="A2701">
        <v>449</v>
      </c>
      <c r="B2701">
        <f t="shared" ca="1" si="42"/>
        <v>71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1" t="str">
        <f ca="1">IF(dict_zuord_Meth_Transfers[[#This Row],[kval_active]],dict_zuord_Meth_Transfers[[#This Row],[ID_Transfers]],"")</f>
        <v/>
      </c>
    </row>
    <row r="2702" spans="1:4" x14ac:dyDescent="0.45">
      <c r="A2702">
        <v>450</v>
      </c>
      <c r="B2702" s="3">
        <f t="shared" ca="1" si="42"/>
        <v>43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2" t="str">
        <f ca="1">IF(dict_zuord_Meth_Transfers[[#This Row],[kval_active]],dict_zuord_Meth_Transfers[[#This Row],[ID_Transfers]],"")</f>
        <v/>
      </c>
    </row>
    <row r="2703" spans="1:4" x14ac:dyDescent="0.45">
      <c r="A2703">
        <v>450</v>
      </c>
      <c r="B2703">
        <f t="shared" ca="1" si="42"/>
        <v>180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3" t="str">
        <f ca="1">IF(dict_zuord_Meth_Transfers[[#This Row],[kval_active]],dict_zuord_Meth_Transfers[[#This Row],[ID_Transfers]],"")</f>
        <v/>
      </c>
    </row>
    <row r="2704" spans="1:4" x14ac:dyDescent="0.45">
      <c r="A2704">
        <v>450</v>
      </c>
      <c r="B2704" s="3">
        <f t="shared" ca="1" si="42"/>
        <v>58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4" t="str">
        <f ca="1">IF(dict_zuord_Meth_Transfers[[#This Row],[kval_active]],dict_zuord_Meth_Transfers[[#This Row],[ID_Transfers]],"")</f>
        <v/>
      </c>
    </row>
    <row r="2705" spans="1:4" x14ac:dyDescent="0.45">
      <c r="A2705">
        <v>450</v>
      </c>
      <c r="B2705" s="3">
        <f t="shared" ca="1" si="42"/>
        <v>36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5" t="str">
        <f ca="1">IF(dict_zuord_Meth_Transfers[[#This Row],[kval_active]],dict_zuord_Meth_Transfers[[#This Row],[ID_Transfers]],"")</f>
        <v/>
      </c>
    </row>
    <row r="2706" spans="1:4" x14ac:dyDescent="0.45">
      <c r="A2706">
        <v>450</v>
      </c>
      <c r="B2706">
        <f t="shared" ca="1" si="42"/>
        <v>47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6" t="str">
        <f ca="1">IF(dict_zuord_Meth_Transfers[[#This Row],[kval_active]],dict_zuord_Meth_Transfers[[#This Row],[ID_Transfers]],"")</f>
        <v/>
      </c>
    </row>
    <row r="2707" spans="1:4" x14ac:dyDescent="0.45">
      <c r="A2707">
        <v>450</v>
      </c>
      <c r="B2707">
        <f t="shared" ca="1" si="42"/>
        <v>71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7" t="str">
        <f ca="1">IF(dict_zuord_Meth_Transfers[[#This Row],[kval_active]],dict_zuord_Meth_Transfers[[#This Row],[ID_Transfers]],"")</f>
        <v/>
      </c>
    </row>
    <row r="2708" spans="1:4" x14ac:dyDescent="0.45">
      <c r="A2708">
        <v>451</v>
      </c>
      <c r="B2708">
        <f t="shared" ca="1" si="42"/>
        <v>107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8" t="str">
        <f ca="1">IF(dict_zuord_Meth_Transfers[[#This Row],[kval_active]],dict_zuord_Meth_Transfers[[#This Row],[ID_Transfers]],"")</f>
        <v/>
      </c>
    </row>
    <row r="2709" spans="1:4" x14ac:dyDescent="0.45">
      <c r="A2709">
        <v>451</v>
      </c>
      <c r="B2709" s="3">
        <f t="shared" ca="1" si="42"/>
        <v>96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9" t="str">
        <f ca="1">IF(dict_zuord_Meth_Transfers[[#This Row],[kval_active]],dict_zuord_Meth_Transfers[[#This Row],[ID_Transfers]],"")</f>
        <v/>
      </c>
    </row>
    <row r="2710" spans="1:4" x14ac:dyDescent="0.45">
      <c r="A2710">
        <v>451</v>
      </c>
      <c r="B2710">
        <f t="shared" ca="1" si="42"/>
        <v>57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0" t="str">
        <f ca="1">IF(dict_zuord_Meth_Transfers[[#This Row],[kval_active]],dict_zuord_Meth_Transfers[[#This Row],[ID_Transfers]],"")</f>
        <v/>
      </c>
    </row>
    <row r="2711" spans="1:4" x14ac:dyDescent="0.45">
      <c r="A2711">
        <v>451</v>
      </c>
      <c r="B2711" s="3">
        <f t="shared" ca="1" si="42"/>
        <v>130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1" t="str">
        <f ca="1">IF(dict_zuord_Meth_Transfers[[#This Row],[kval_active]],dict_zuord_Meth_Transfers[[#This Row],[ID_Transfers]],"")</f>
        <v/>
      </c>
    </row>
    <row r="2712" spans="1:4" x14ac:dyDescent="0.45">
      <c r="A2712">
        <v>451</v>
      </c>
      <c r="B2712">
        <f t="shared" ca="1" si="42"/>
        <v>17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2" t="str">
        <f ca="1">IF(dict_zuord_Meth_Transfers[[#This Row],[kval_active]],dict_zuord_Meth_Transfers[[#This Row],[ID_Transfers]],"")</f>
        <v/>
      </c>
    </row>
    <row r="2713" spans="1:4" x14ac:dyDescent="0.45">
      <c r="A2713">
        <v>451</v>
      </c>
      <c r="B2713" s="3">
        <f t="shared" ca="1" si="42"/>
        <v>124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3" t="str">
        <f ca="1">IF(dict_zuord_Meth_Transfers[[#This Row],[kval_active]],dict_zuord_Meth_Transfers[[#This Row],[ID_Transfers]],"")</f>
        <v/>
      </c>
    </row>
    <row r="2714" spans="1:4" x14ac:dyDescent="0.45">
      <c r="A2714">
        <v>452</v>
      </c>
      <c r="B2714" s="3">
        <f t="shared" ca="1" si="42"/>
        <v>167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4" t="str">
        <f ca="1">IF(dict_zuord_Meth_Transfers[[#This Row],[kval_active]],dict_zuord_Meth_Transfers[[#This Row],[ID_Transfers]],"")</f>
        <v/>
      </c>
    </row>
    <row r="2715" spans="1:4" x14ac:dyDescent="0.45">
      <c r="A2715">
        <v>452</v>
      </c>
      <c r="B2715">
        <f t="shared" ca="1" si="42"/>
        <v>78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5" t="str">
        <f ca="1">IF(dict_zuord_Meth_Transfers[[#This Row],[kval_active]],dict_zuord_Meth_Transfers[[#This Row],[ID_Transfers]],"")</f>
        <v/>
      </c>
    </row>
    <row r="2716" spans="1:4" x14ac:dyDescent="0.45">
      <c r="A2716">
        <v>452</v>
      </c>
      <c r="B2716" s="3">
        <f t="shared" ca="1" si="42"/>
        <v>152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6" t="str">
        <f ca="1">IF(dict_zuord_Meth_Transfers[[#This Row],[kval_active]],dict_zuord_Meth_Transfers[[#This Row],[ID_Transfers]],"")</f>
        <v/>
      </c>
    </row>
    <row r="2717" spans="1:4" x14ac:dyDescent="0.45">
      <c r="A2717">
        <v>452</v>
      </c>
      <c r="B2717">
        <f t="shared" ca="1" si="42"/>
        <v>167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7" t="str">
        <f ca="1">IF(dict_zuord_Meth_Transfers[[#This Row],[kval_active]],dict_zuord_Meth_Transfers[[#This Row],[ID_Transfers]],"")</f>
        <v/>
      </c>
    </row>
    <row r="2718" spans="1:4" x14ac:dyDescent="0.45">
      <c r="A2718">
        <v>452</v>
      </c>
      <c r="B2718" s="3">
        <f t="shared" ca="1" si="42"/>
        <v>101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8" t="str">
        <f ca="1">IF(dict_zuord_Meth_Transfers[[#This Row],[kval_active]],dict_zuord_Meth_Transfers[[#This Row],[ID_Transfers]],"")</f>
        <v/>
      </c>
    </row>
    <row r="2719" spans="1:4" x14ac:dyDescent="0.45">
      <c r="A2719">
        <v>452</v>
      </c>
      <c r="B2719">
        <f t="shared" ca="1" si="42"/>
        <v>42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9" t="str">
        <f ca="1">IF(dict_zuord_Meth_Transfers[[#This Row],[kval_active]],dict_zuord_Meth_Transfers[[#This Row],[ID_Transfers]],"")</f>
        <v/>
      </c>
    </row>
    <row r="2720" spans="1:4" x14ac:dyDescent="0.45">
      <c r="A2720">
        <v>453</v>
      </c>
      <c r="B2720" s="3">
        <f t="shared" ca="1" si="42"/>
        <v>147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0" t="str">
        <f ca="1">IF(dict_zuord_Meth_Transfers[[#This Row],[kval_active]],dict_zuord_Meth_Transfers[[#This Row],[ID_Transfers]],"")</f>
        <v/>
      </c>
    </row>
    <row r="2721" spans="1:4" x14ac:dyDescent="0.45">
      <c r="A2721">
        <v>453</v>
      </c>
      <c r="B2721">
        <f t="shared" ca="1" si="42"/>
        <v>199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1" t="str">
        <f ca="1">IF(dict_zuord_Meth_Transfers[[#This Row],[kval_active]],dict_zuord_Meth_Transfers[[#This Row],[ID_Transfers]],"")</f>
        <v/>
      </c>
    </row>
    <row r="2722" spans="1:4" x14ac:dyDescent="0.45">
      <c r="A2722">
        <v>453</v>
      </c>
      <c r="B2722" s="3">
        <f t="shared" ca="1" si="42"/>
        <v>97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2" t="str">
        <f ca="1">IF(dict_zuord_Meth_Transfers[[#This Row],[kval_active]],dict_zuord_Meth_Transfers[[#This Row],[ID_Transfers]],"")</f>
        <v/>
      </c>
    </row>
    <row r="2723" spans="1:4" x14ac:dyDescent="0.45">
      <c r="A2723">
        <v>453</v>
      </c>
      <c r="B2723" s="3">
        <f t="shared" ca="1" si="42"/>
        <v>191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3" t="str">
        <f ca="1">IF(dict_zuord_Meth_Transfers[[#This Row],[kval_active]],dict_zuord_Meth_Transfers[[#This Row],[ID_Transfers]],"")</f>
        <v/>
      </c>
    </row>
    <row r="2724" spans="1:4" x14ac:dyDescent="0.45">
      <c r="A2724">
        <v>453</v>
      </c>
      <c r="B2724">
        <f t="shared" ca="1" si="42"/>
        <v>32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4" t="str">
        <f ca="1">IF(dict_zuord_Meth_Transfers[[#This Row],[kval_active]],dict_zuord_Meth_Transfers[[#This Row],[ID_Transfers]],"")</f>
        <v/>
      </c>
    </row>
    <row r="2725" spans="1:4" x14ac:dyDescent="0.45">
      <c r="A2725">
        <v>453</v>
      </c>
      <c r="B2725">
        <f t="shared" ca="1" si="42"/>
        <v>109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5" t="str">
        <f ca="1">IF(dict_zuord_Meth_Transfers[[#This Row],[kval_active]],dict_zuord_Meth_Transfers[[#This Row],[ID_Transfers]],"")</f>
        <v/>
      </c>
    </row>
    <row r="2726" spans="1:4" x14ac:dyDescent="0.45">
      <c r="A2726">
        <v>454</v>
      </c>
      <c r="B2726">
        <f t="shared" ca="1" si="42"/>
        <v>90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6" t="str">
        <f ca="1">IF(dict_zuord_Meth_Transfers[[#This Row],[kval_active]],dict_zuord_Meth_Transfers[[#This Row],[ID_Transfers]],"")</f>
        <v/>
      </c>
    </row>
    <row r="2727" spans="1:4" x14ac:dyDescent="0.45">
      <c r="A2727">
        <v>454</v>
      </c>
      <c r="B2727">
        <f t="shared" ca="1" si="42"/>
        <v>161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7" t="str">
        <f ca="1">IF(dict_zuord_Meth_Transfers[[#This Row],[kval_active]],dict_zuord_Meth_Transfers[[#This Row],[ID_Transfers]],"")</f>
        <v/>
      </c>
    </row>
    <row r="2728" spans="1:4" x14ac:dyDescent="0.45">
      <c r="A2728">
        <v>454</v>
      </c>
      <c r="B2728">
        <f t="shared" ca="1" si="42"/>
        <v>90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8" t="str">
        <f ca="1">IF(dict_zuord_Meth_Transfers[[#This Row],[kval_active]],dict_zuord_Meth_Transfers[[#This Row],[ID_Transfers]],"")</f>
        <v/>
      </c>
    </row>
    <row r="2729" spans="1:4" x14ac:dyDescent="0.45">
      <c r="A2729">
        <v>454</v>
      </c>
      <c r="B2729" s="3">
        <f t="shared" ca="1" si="42"/>
        <v>23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9" t="str">
        <f ca="1">IF(dict_zuord_Meth_Transfers[[#This Row],[kval_active]],dict_zuord_Meth_Transfers[[#This Row],[ID_Transfers]],"")</f>
        <v/>
      </c>
    </row>
    <row r="2730" spans="1:4" x14ac:dyDescent="0.45">
      <c r="A2730">
        <v>454</v>
      </c>
      <c r="B2730" s="3">
        <f t="shared" ca="1" si="42"/>
        <v>118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0" t="str">
        <f ca="1">IF(dict_zuord_Meth_Transfers[[#This Row],[kval_active]],dict_zuord_Meth_Transfers[[#This Row],[ID_Transfers]],"")</f>
        <v/>
      </c>
    </row>
    <row r="2731" spans="1:4" x14ac:dyDescent="0.45">
      <c r="A2731">
        <v>454</v>
      </c>
      <c r="B2731" s="3">
        <f t="shared" ca="1" si="42"/>
        <v>143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1" t="str">
        <f ca="1">IF(dict_zuord_Meth_Transfers[[#This Row],[kval_active]],dict_zuord_Meth_Transfers[[#This Row],[ID_Transfers]],"")</f>
        <v/>
      </c>
    </row>
    <row r="2732" spans="1:4" x14ac:dyDescent="0.45">
      <c r="A2732">
        <v>455</v>
      </c>
      <c r="B2732">
        <f t="shared" ca="1" si="42"/>
        <v>106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2" t="str">
        <f ca="1">IF(dict_zuord_Meth_Transfers[[#This Row],[kval_active]],dict_zuord_Meth_Transfers[[#This Row],[ID_Transfers]],"")</f>
        <v/>
      </c>
    </row>
    <row r="2733" spans="1:4" x14ac:dyDescent="0.45">
      <c r="A2733">
        <v>455</v>
      </c>
      <c r="B2733" s="3">
        <f t="shared" ca="1" si="42"/>
        <v>18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3" t="str">
        <f ca="1">IF(dict_zuord_Meth_Transfers[[#This Row],[kval_active]],dict_zuord_Meth_Transfers[[#This Row],[ID_Transfers]],"")</f>
        <v/>
      </c>
    </row>
    <row r="2734" spans="1:4" x14ac:dyDescent="0.45">
      <c r="A2734">
        <v>455</v>
      </c>
      <c r="B2734" s="3">
        <f t="shared" ca="1" si="42"/>
        <v>11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4" t="str">
        <f ca="1">IF(dict_zuord_Meth_Transfers[[#This Row],[kval_active]],dict_zuord_Meth_Transfers[[#This Row],[ID_Transfers]],"")</f>
        <v/>
      </c>
    </row>
    <row r="2735" spans="1:4" x14ac:dyDescent="0.45">
      <c r="A2735">
        <v>455</v>
      </c>
      <c r="B2735" s="3">
        <f t="shared" ca="1" si="42"/>
        <v>33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5" t="str">
        <f ca="1">IF(dict_zuord_Meth_Transfers[[#This Row],[kval_active]],dict_zuord_Meth_Transfers[[#This Row],[ID_Transfers]],"")</f>
        <v/>
      </c>
    </row>
    <row r="2736" spans="1:4" x14ac:dyDescent="0.45">
      <c r="A2736">
        <v>455</v>
      </c>
      <c r="B2736">
        <f t="shared" ca="1" si="42"/>
        <v>152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6" t="str">
        <f ca="1">IF(dict_zuord_Meth_Transfers[[#This Row],[kval_active]],dict_zuord_Meth_Transfers[[#This Row],[ID_Transfers]],"")</f>
        <v/>
      </c>
    </row>
    <row r="2737" spans="1:4" x14ac:dyDescent="0.45">
      <c r="A2737">
        <v>455</v>
      </c>
      <c r="B2737">
        <f t="shared" ca="1" si="42"/>
        <v>82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7" t="str">
        <f ca="1">IF(dict_zuord_Meth_Transfers[[#This Row],[kval_active]],dict_zuord_Meth_Transfers[[#This Row],[ID_Transfers]],"")</f>
        <v/>
      </c>
    </row>
    <row r="2738" spans="1:4" x14ac:dyDescent="0.45">
      <c r="A2738">
        <v>456</v>
      </c>
      <c r="B2738" s="3">
        <f t="shared" ca="1" si="42"/>
        <v>168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8" t="str">
        <f ca="1">IF(dict_zuord_Meth_Transfers[[#This Row],[kval_active]],dict_zuord_Meth_Transfers[[#This Row],[ID_Transfers]],"")</f>
        <v/>
      </c>
    </row>
    <row r="2739" spans="1:4" x14ac:dyDescent="0.45">
      <c r="A2739">
        <v>456</v>
      </c>
      <c r="B2739" s="3">
        <f t="shared" ca="1" si="42"/>
        <v>150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9" t="str">
        <f ca="1">IF(dict_zuord_Meth_Transfers[[#This Row],[kval_active]],dict_zuord_Meth_Transfers[[#This Row],[ID_Transfers]],"")</f>
        <v/>
      </c>
    </row>
    <row r="2740" spans="1:4" x14ac:dyDescent="0.45">
      <c r="A2740">
        <v>456</v>
      </c>
      <c r="B2740">
        <f t="shared" ca="1" si="42"/>
        <v>15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0" t="str">
        <f ca="1">IF(dict_zuord_Meth_Transfers[[#This Row],[kval_active]],dict_zuord_Meth_Transfers[[#This Row],[ID_Transfers]],"")</f>
        <v/>
      </c>
    </row>
    <row r="2741" spans="1:4" x14ac:dyDescent="0.45">
      <c r="A2741">
        <v>456</v>
      </c>
      <c r="B2741" s="3">
        <f t="shared" ca="1" si="42"/>
        <v>176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1" t="str">
        <f ca="1">IF(dict_zuord_Meth_Transfers[[#This Row],[kval_active]],dict_zuord_Meth_Transfers[[#This Row],[ID_Transfers]],"")</f>
        <v/>
      </c>
    </row>
    <row r="2742" spans="1:4" x14ac:dyDescent="0.45">
      <c r="A2742">
        <v>456</v>
      </c>
      <c r="B2742">
        <f t="shared" ca="1" si="42"/>
        <v>95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2" t="str">
        <f ca="1">IF(dict_zuord_Meth_Transfers[[#This Row],[kval_active]],dict_zuord_Meth_Transfers[[#This Row],[ID_Transfers]],"")</f>
        <v/>
      </c>
    </row>
    <row r="2743" spans="1:4" x14ac:dyDescent="0.45">
      <c r="A2743">
        <v>456</v>
      </c>
      <c r="B2743">
        <f t="shared" ca="1" si="42"/>
        <v>196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3" t="str">
        <f ca="1">IF(dict_zuord_Meth_Transfers[[#This Row],[kval_active]],dict_zuord_Meth_Transfers[[#This Row],[ID_Transfers]],"")</f>
        <v/>
      </c>
    </row>
    <row r="2744" spans="1:4" x14ac:dyDescent="0.45">
      <c r="A2744">
        <v>457</v>
      </c>
      <c r="B2744">
        <f t="shared" ca="1" si="42"/>
        <v>87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4" t="str">
        <f ca="1">IF(dict_zuord_Meth_Transfers[[#This Row],[kval_active]],dict_zuord_Meth_Transfers[[#This Row],[ID_Transfers]],"")</f>
        <v/>
      </c>
    </row>
    <row r="2745" spans="1:4" x14ac:dyDescent="0.45">
      <c r="A2745">
        <v>457</v>
      </c>
      <c r="B2745" s="3">
        <f t="shared" ca="1" si="42"/>
        <v>60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5" t="str">
        <f ca="1">IF(dict_zuord_Meth_Transfers[[#This Row],[kval_active]],dict_zuord_Meth_Transfers[[#This Row],[ID_Transfers]],"")</f>
        <v/>
      </c>
    </row>
    <row r="2746" spans="1:4" x14ac:dyDescent="0.45">
      <c r="A2746">
        <v>457</v>
      </c>
      <c r="B2746">
        <f t="shared" ca="1" si="42"/>
        <v>38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6" t="str">
        <f ca="1">IF(dict_zuord_Meth_Transfers[[#This Row],[kval_active]],dict_zuord_Meth_Transfers[[#This Row],[ID_Transfers]],"")</f>
        <v/>
      </c>
    </row>
    <row r="2747" spans="1:4" x14ac:dyDescent="0.45">
      <c r="A2747">
        <v>457</v>
      </c>
      <c r="B2747" s="3">
        <f t="shared" ca="1" si="42"/>
        <v>159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7" t="str">
        <f ca="1">IF(dict_zuord_Meth_Transfers[[#This Row],[kval_active]],dict_zuord_Meth_Transfers[[#This Row],[ID_Transfers]],"")</f>
        <v/>
      </c>
    </row>
    <row r="2748" spans="1:4" x14ac:dyDescent="0.45">
      <c r="A2748">
        <v>457</v>
      </c>
      <c r="B2748">
        <f t="shared" ca="1" si="42"/>
        <v>63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8" t="str">
        <f ca="1">IF(dict_zuord_Meth_Transfers[[#This Row],[kval_active]],dict_zuord_Meth_Transfers[[#This Row],[ID_Transfers]],"")</f>
        <v/>
      </c>
    </row>
    <row r="2749" spans="1:4" x14ac:dyDescent="0.45">
      <c r="A2749">
        <v>457</v>
      </c>
      <c r="B2749" s="3">
        <f t="shared" ca="1" si="42"/>
        <v>3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9" t="str">
        <f ca="1">IF(dict_zuord_Meth_Transfers[[#This Row],[kval_active]],dict_zuord_Meth_Transfers[[#This Row],[ID_Transfers]],"")</f>
        <v/>
      </c>
    </row>
    <row r="2750" spans="1:4" x14ac:dyDescent="0.45">
      <c r="A2750">
        <v>458</v>
      </c>
      <c r="B2750">
        <f t="shared" ca="1" si="42"/>
        <v>54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0" t="str">
        <f ca="1">IF(dict_zuord_Meth_Transfers[[#This Row],[kval_active]],dict_zuord_Meth_Transfers[[#This Row],[ID_Transfers]],"")</f>
        <v/>
      </c>
    </row>
    <row r="2751" spans="1:4" x14ac:dyDescent="0.45">
      <c r="A2751">
        <v>458</v>
      </c>
      <c r="B2751" s="3">
        <f t="shared" ca="1" si="42"/>
        <v>160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1" t="str">
        <f ca="1">IF(dict_zuord_Meth_Transfers[[#This Row],[kval_active]],dict_zuord_Meth_Transfers[[#This Row],[ID_Transfers]],"")</f>
        <v/>
      </c>
    </row>
    <row r="2752" spans="1:4" x14ac:dyDescent="0.45">
      <c r="A2752">
        <v>458</v>
      </c>
      <c r="B2752" s="3">
        <f t="shared" ca="1" si="42"/>
        <v>148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2" t="str">
        <f ca="1">IF(dict_zuord_Meth_Transfers[[#This Row],[kval_active]],dict_zuord_Meth_Transfers[[#This Row],[ID_Transfers]],"")</f>
        <v/>
      </c>
    </row>
    <row r="2753" spans="1:4" x14ac:dyDescent="0.45">
      <c r="A2753">
        <v>458</v>
      </c>
      <c r="B2753">
        <f t="shared" ca="1" si="42"/>
        <v>69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3" t="str">
        <f ca="1">IF(dict_zuord_Meth_Transfers[[#This Row],[kval_active]],dict_zuord_Meth_Transfers[[#This Row],[ID_Transfers]],"")</f>
        <v/>
      </c>
    </row>
    <row r="2754" spans="1:4" x14ac:dyDescent="0.45">
      <c r="A2754">
        <v>458</v>
      </c>
      <c r="B2754" s="3">
        <f t="shared" ref="B2754:B2817" ca="1" si="43">RANDBETWEEN(0,200)</f>
        <v>140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4" t="str">
        <f ca="1">IF(dict_zuord_Meth_Transfers[[#This Row],[kval_active]],dict_zuord_Meth_Transfers[[#This Row],[ID_Transfers]],"")</f>
        <v/>
      </c>
    </row>
    <row r="2755" spans="1:4" x14ac:dyDescent="0.45">
      <c r="A2755">
        <v>458</v>
      </c>
      <c r="B2755">
        <f t="shared" ca="1" si="43"/>
        <v>95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5" t="str">
        <f ca="1">IF(dict_zuord_Meth_Transfers[[#This Row],[kval_active]],dict_zuord_Meth_Transfers[[#This Row],[ID_Transfers]],"")</f>
        <v/>
      </c>
    </row>
    <row r="2756" spans="1:4" x14ac:dyDescent="0.45">
      <c r="A2756">
        <v>459</v>
      </c>
      <c r="B2756" s="3">
        <f t="shared" ca="1" si="43"/>
        <v>85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6" t="str">
        <f ca="1">IF(dict_zuord_Meth_Transfers[[#This Row],[kval_active]],dict_zuord_Meth_Transfers[[#This Row],[ID_Transfers]],"")</f>
        <v/>
      </c>
    </row>
    <row r="2757" spans="1:4" x14ac:dyDescent="0.45">
      <c r="A2757">
        <v>459</v>
      </c>
      <c r="B2757" s="3">
        <f t="shared" ca="1" si="43"/>
        <v>170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7" t="str">
        <f ca="1">IF(dict_zuord_Meth_Transfers[[#This Row],[kval_active]],dict_zuord_Meth_Transfers[[#This Row],[ID_Transfers]],"")</f>
        <v/>
      </c>
    </row>
    <row r="2758" spans="1:4" x14ac:dyDescent="0.45">
      <c r="A2758">
        <v>459</v>
      </c>
      <c r="B2758">
        <f t="shared" ca="1" si="43"/>
        <v>99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8" t="str">
        <f ca="1">IF(dict_zuord_Meth_Transfers[[#This Row],[kval_active]],dict_zuord_Meth_Transfers[[#This Row],[ID_Transfers]],"")</f>
        <v/>
      </c>
    </row>
    <row r="2759" spans="1:4" x14ac:dyDescent="0.45">
      <c r="A2759">
        <v>459</v>
      </c>
      <c r="B2759">
        <f t="shared" ca="1" si="43"/>
        <v>162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9" t="str">
        <f ca="1">IF(dict_zuord_Meth_Transfers[[#This Row],[kval_active]],dict_zuord_Meth_Transfers[[#This Row],[ID_Transfers]],"")</f>
        <v/>
      </c>
    </row>
    <row r="2760" spans="1:4" x14ac:dyDescent="0.45">
      <c r="A2760">
        <v>459</v>
      </c>
      <c r="B2760" s="3">
        <f t="shared" ca="1" si="43"/>
        <v>55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0" t="str">
        <f ca="1">IF(dict_zuord_Meth_Transfers[[#This Row],[kval_active]],dict_zuord_Meth_Transfers[[#This Row],[ID_Transfers]],"")</f>
        <v/>
      </c>
    </row>
    <row r="2761" spans="1:4" x14ac:dyDescent="0.45">
      <c r="A2761">
        <v>459</v>
      </c>
      <c r="B2761">
        <f t="shared" ca="1" si="43"/>
        <v>151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1" t="str">
        <f ca="1">IF(dict_zuord_Meth_Transfers[[#This Row],[kval_active]],dict_zuord_Meth_Transfers[[#This Row],[ID_Transfers]],"")</f>
        <v/>
      </c>
    </row>
    <row r="2762" spans="1:4" x14ac:dyDescent="0.45">
      <c r="A2762">
        <v>460</v>
      </c>
      <c r="B2762">
        <f t="shared" ca="1" si="43"/>
        <v>59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2" t="str">
        <f ca="1">IF(dict_zuord_Meth_Transfers[[#This Row],[kval_active]],dict_zuord_Meth_Transfers[[#This Row],[ID_Transfers]],"")</f>
        <v/>
      </c>
    </row>
    <row r="2763" spans="1:4" x14ac:dyDescent="0.45">
      <c r="A2763">
        <v>460</v>
      </c>
      <c r="B2763">
        <f t="shared" ca="1" si="43"/>
        <v>58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3" t="str">
        <f ca="1">IF(dict_zuord_Meth_Transfers[[#This Row],[kval_active]],dict_zuord_Meth_Transfers[[#This Row],[ID_Transfers]],"")</f>
        <v/>
      </c>
    </row>
    <row r="2764" spans="1:4" x14ac:dyDescent="0.45">
      <c r="A2764">
        <v>460</v>
      </c>
      <c r="B2764">
        <f t="shared" ca="1" si="43"/>
        <v>147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4" t="str">
        <f ca="1">IF(dict_zuord_Meth_Transfers[[#This Row],[kval_active]],dict_zuord_Meth_Transfers[[#This Row],[ID_Transfers]],"")</f>
        <v/>
      </c>
    </row>
    <row r="2765" spans="1:4" x14ac:dyDescent="0.45">
      <c r="A2765">
        <v>460</v>
      </c>
      <c r="B2765" s="3">
        <f t="shared" ca="1" si="43"/>
        <v>111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5" t="str">
        <f ca="1">IF(dict_zuord_Meth_Transfers[[#This Row],[kval_active]],dict_zuord_Meth_Transfers[[#This Row],[ID_Transfers]],"")</f>
        <v/>
      </c>
    </row>
    <row r="2766" spans="1:4" x14ac:dyDescent="0.45">
      <c r="A2766">
        <v>460</v>
      </c>
      <c r="B2766" s="3">
        <f t="shared" ca="1" si="43"/>
        <v>33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6" t="str">
        <f ca="1">IF(dict_zuord_Meth_Transfers[[#This Row],[kval_active]],dict_zuord_Meth_Transfers[[#This Row],[ID_Transfers]],"")</f>
        <v/>
      </c>
    </row>
    <row r="2767" spans="1:4" x14ac:dyDescent="0.45">
      <c r="A2767">
        <v>460</v>
      </c>
      <c r="B2767" s="3">
        <f t="shared" ca="1" si="43"/>
        <v>15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7" t="str">
        <f ca="1">IF(dict_zuord_Meth_Transfers[[#This Row],[kval_active]],dict_zuord_Meth_Transfers[[#This Row],[ID_Transfers]],"")</f>
        <v/>
      </c>
    </row>
    <row r="2768" spans="1:4" x14ac:dyDescent="0.45">
      <c r="A2768">
        <v>461</v>
      </c>
      <c r="B2768" s="3">
        <f t="shared" ca="1" si="43"/>
        <v>129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8" t="str">
        <f ca="1">IF(dict_zuord_Meth_Transfers[[#This Row],[kval_active]],dict_zuord_Meth_Transfers[[#This Row],[ID_Transfers]],"")</f>
        <v/>
      </c>
    </row>
    <row r="2769" spans="1:4" x14ac:dyDescent="0.45">
      <c r="A2769">
        <v>461</v>
      </c>
      <c r="B2769">
        <f t="shared" ca="1" si="43"/>
        <v>106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9" t="str">
        <f ca="1">IF(dict_zuord_Meth_Transfers[[#This Row],[kval_active]],dict_zuord_Meth_Transfers[[#This Row],[ID_Transfers]],"")</f>
        <v/>
      </c>
    </row>
    <row r="2770" spans="1:4" x14ac:dyDescent="0.45">
      <c r="A2770">
        <v>461</v>
      </c>
      <c r="B2770" s="3">
        <f t="shared" ca="1" si="43"/>
        <v>121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0" t="str">
        <f ca="1">IF(dict_zuord_Meth_Transfers[[#This Row],[kval_active]],dict_zuord_Meth_Transfers[[#This Row],[ID_Transfers]],"")</f>
        <v/>
      </c>
    </row>
    <row r="2771" spans="1:4" x14ac:dyDescent="0.45">
      <c r="A2771">
        <v>461</v>
      </c>
      <c r="B2771">
        <f t="shared" ca="1" si="43"/>
        <v>171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1" t="str">
        <f ca="1">IF(dict_zuord_Meth_Transfers[[#This Row],[kval_active]],dict_zuord_Meth_Transfers[[#This Row],[ID_Transfers]],"")</f>
        <v/>
      </c>
    </row>
    <row r="2772" spans="1:4" x14ac:dyDescent="0.45">
      <c r="A2772">
        <v>461</v>
      </c>
      <c r="B2772" s="3">
        <f t="shared" ca="1" si="43"/>
        <v>178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2" t="str">
        <f ca="1">IF(dict_zuord_Meth_Transfers[[#This Row],[kval_active]],dict_zuord_Meth_Transfers[[#This Row],[ID_Transfers]],"")</f>
        <v/>
      </c>
    </row>
    <row r="2773" spans="1:4" x14ac:dyDescent="0.45">
      <c r="A2773">
        <v>461</v>
      </c>
      <c r="B2773">
        <f t="shared" ca="1" si="43"/>
        <v>0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3" t="str">
        <f ca="1">IF(dict_zuord_Meth_Transfers[[#This Row],[kval_active]],dict_zuord_Meth_Transfers[[#This Row],[ID_Transfers]],"")</f>
        <v/>
      </c>
    </row>
    <row r="2774" spans="1:4" x14ac:dyDescent="0.45">
      <c r="A2774">
        <v>462</v>
      </c>
      <c r="B2774">
        <f t="shared" ca="1" si="43"/>
        <v>19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4" t="str">
        <f ca="1">IF(dict_zuord_Meth_Transfers[[#This Row],[kval_active]],dict_zuord_Meth_Transfers[[#This Row],[ID_Transfers]],"")</f>
        <v/>
      </c>
    </row>
    <row r="2775" spans="1:4" x14ac:dyDescent="0.45">
      <c r="A2775">
        <v>462</v>
      </c>
      <c r="B2775" s="3">
        <f t="shared" ca="1" si="43"/>
        <v>27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5" t="str">
        <f ca="1">IF(dict_zuord_Meth_Transfers[[#This Row],[kval_active]],dict_zuord_Meth_Transfers[[#This Row],[ID_Transfers]],"")</f>
        <v/>
      </c>
    </row>
    <row r="2776" spans="1:4" x14ac:dyDescent="0.45">
      <c r="A2776">
        <v>462</v>
      </c>
      <c r="B2776" s="3">
        <f t="shared" ca="1" si="43"/>
        <v>97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6" t="str">
        <f ca="1">IF(dict_zuord_Meth_Transfers[[#This Row],[kval_active]],dict_zuord_Meth_Transfers[[#This Row],[ID_Transfers]],"")</f>
        <v/>
      </c>
    </row>
    <row r="2777" spans="1:4" x14ac:dyDescent="0.45">
      <c r="A2777">
        <v>462</v>
      </c>
      <c r="B2777" s="3">
        <f t="shared" ca="1" si="43"/>
        <v>96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7" t="str">
        <f ca="1">IF(dict_zuord_Meth_Transfers[[#This Row],[kval_active]],dict_zuord_Meth_Transfers[[#This Row],[ID_Transfers]],"")</f>
        <v/>
      </c>
    </row>
    <row r="2778" spans="1:4" x14ac:dyDescent="0.45">
      <c r="A2778">
        <v>462</v>
      </c>
      <c r="B2778">
        <f t="shared" ca="1" si="43"/>
        <v>120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8" t="str">
        <f ca="1">IF(dict_zuord_Meth_Transfers[[#This Row],[kval_active]],dict_zuord_Meth_Transfers[[#This Row],[ID_Transfers]],"")</f>
        <v/>
      </c>
    </row>
    <row r="2779" spans="1:4" x14ac:dyDescent="0.45">
      <c r="A2779">
        <v>462</v>
      </c>
      <c r="B2779">
        <f t="shared" ca="1" si="43"/>
        <v>124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9" t="str">
        <f ca="1">IF(dict_zuord_Meth_Transfers[[#This Row],[kval_active]],dict_zuord_Meth_Transfers[[#This Row],[ID_Transfers]],"")</f>
        <v/>
      </c>
    </row>
    <row r="2780" spans="1:4" x14ac:dyDescent="0.45">
      <c r="A2780">
        <v>463</v>
      </c>
      <c r="B2780">
        <f t="shared" ca="1" si="43"/>
        <v>90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0" t="str">
        <f ca="1">IF(dict_zuord_Meth_Transfers[[#This Row],[kval_active]],dict_zuord_Meth_Transfers[[#This Row],[ID_Transfers]],"")</f>
        <v/>
      </c>
    </row>
    <row r="2781" spans="1:4" x14ac:dyDescent="0.45">
      <c r="A2781">
        <v>463</v>
      </c>
      <c r="B2781" s="3">
        <f t="shared" ca="1" si="43"/>
        <v>117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1" t="str">
        <f ca="1">IF(dict_zuord_Meth_Transfers[[#This Row],[kval_active]],dict_zuord_Meth_Transfers[[#This Row],[ID_Transfers]],"")</f>
        <v/>
      </c>
    </row>
    <row r="2782" spans="1:4" x14ac:dyDescent="0.45">
      <c r="A2782">
        <v>463</v>
      </c>
      <c r="B2782">
        <f t="shared" ca="1" si="43"/>
        <v>170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2" t="str">
        <f ca="1">IF(dict_zuord_Meth_Transfers[[#This Row],[kval_active]],dict_zuord_Meth_Transfers[[#This Row],[ID_Transfers]],"")</f>
        <v/>
      </c>
    </row>
    <row r="2783" spans="1:4" x14ac:dyDescent="0.45">
      <c r="A2783">
        <v>463</v>
      </c>
      <c r="B2783" s="3">
        <f t="shared" ca="1" si="43"/>
        <v>64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3" t="str">
        <f ca="1">IF(dict_zuord_Meth_Transfers[[#This Row],[kval_active]],dict_zuord_Meth_Transfers[[#This Row],[ID_Transfers]],"")</f>
        <v/>
      </c>
    </row>
    <row r="2784" spans="1:4" x14ac:dyDescent="0.45">
      <c r="A2784">
        <v>463</v>
      </c>
      <c r="B2784" s="3">
        <f t="shared" ca="1" si="43"/>
        <v>187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4" t="str">
        <f ca="1">IF(dict_zuord_Meth_Transfers[[#This Row],[kval_active]],dict_zuord_Meth_Transfers[[#This Row],[ID_Transfers]],"")</f>
        <v/>
      </c>
    </row>
    <row r="2785" spans="1:4" x14ac:dyDescent="0.45">
      <c r="A2785">
        <v>463</v>
      </c>
      <c r="B2785">
        <f t="shared" ca="1" si="43"/>
        <v>27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5" t="str">
        <f ca="1">IF(dict_zuord_Meth_Transfers[[#This Row],[kval_active]],dict_zuord_Meth_Transfers[[#This Row],[ID_Transfers]],"")</f>
        <v/>
      </c>
    </row>
    <row r="2786" spans="1:4" x14ac:dyDescent="0.45">
      <c r="A2786">
        <v>464</v>
      </c>
      <c r="B2786" s="3">
        <f t="shared" ca="1" si="43"/>
        <v>122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6" t="str">
        <f ca="1">IF(dict_zuord_Meth_Transfers[[#This Row],[kval_active]],dict_zuord_Meth_Transfers[[#This Row],[ID_Transfers]],"")</f>
        <v/>
      </c>
    </row>
    <row r="2787" spans="1:4" x14ac:dyDescent="0.45">
      <c r="A2787">
        <v>464</v>
      </c>
      <c r="B2787" s="3">
        <f t="shared" ca="1" si="43"/>
        <v>81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7" t="str">
        <f ca="1">IF(dict_zuord_Meth_Transfers[[#This Row],[kval_active]],dict_zuord_Meth_Transfers[[#This Row],[ID_Transfers]],"")</f>
        <v/>
      </c>
    </row>
    <row r="2788" spans="1:4" x14ac:dyDescent="0.45">
      <c r="A2788">
        <v>464</v>
      </c>
      <c r="B2788">
        <f t="shared" ca="1" si="43"/>
        <v>56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8" t="str">
        <f ca="1">IF(dict_zuord_Meth_Transfers[[#This Row],[kval_active]],dict_zuord_Meth_Transfers[[#This Row],[ID_Transfers]],"")</f>
        <v/>
      </c>
    </row>
    <row r="2789" spans="1:4" x14ac:dyDescent="0.45">
      <c r="A2789">
        <v>464</v>
      </c>
      <c r="B2789">
        <f t="shared" ca="1" si="43"/>
        <v>54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9" t="str">
        <f ca="1">IF(dict_zuord_Meth_Transfers[[#This Row],[kval_active]],dict_zuord_Meth_Transfers[[#This Row],[ID_Transfers]],"")</f>
        <v/>
      </c>
    </row>
    <row r="2790" spans="1:4" x14ac:dyDescent="0.45">
      <c r="A2790">
        <v>464</v>
      </c>
      <c r="B2790">
        <f t="shared" ca="1" si="43"/>
        <v>62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0" t="str">
        <f ca="1">IF(dict_zuord_Meth_Transfers[[#This Row],[kval_active]],dict_zuord_Meth_Transfers[[#This Row],[ID_Transfers]],"")</f>
        <v/>
      </c>
    </row>
    <row r="2791" spans="1:4" x14ac:dyDescent="0.45">
      <c r="A2791">
        <v>464</v>
      </c>
      <c r="B2791" s="3">
        <f t="shared" ca="1" si="43"/>
        <v>12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1" t="str">
        <f ca="1">IF(dict_zuord_Meth_Transfers[[#This Row],[kval_active]],dict_zuord_Meth_Transfers[[#This Row],[ID_Transfers]],"")</f>
        <v/>
      </c>
    </row>
    <row r="2792" spans="1:4" x14ac:dyDescent="0.45">
      <c r="A2792">
        <v>465</v>
      </c>
      <c r="B2792" s="3">
        <f t="shared" ca="1" si="43"/>
        <v>103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2" t="str">
        <f ca="1">IF(dict_zuord_Meth_Transfers[[#This Row],[kval_active]],dict_zuord_Meth_Transfers[[#This Row],[ID_Transfers]],"")</f>
        <v/>
      </c>
    </row>
    <row r="2793" spans="1:4" x14ac:dyDescent="0.45">
      <c r="A2793">
        <v>465</v>
      </c>
      <c r="B2793">
        <f t="shared" ca="1" si="43"/>
        <v>184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3" t="str">
        <f ca="1">IF(dict_zuord_Meth_Transfers[[#This Row],[kval_active]],dict_zuord_Meth_Transfers[[#This Row],[ID_Transfers]],"")</f>
        <v/>
      </c>
    </row>
    <row r="2794" spans="1:4" x14ac:dyDescent="0.45">
      <c r="A2794">
        <v>465</v>
      </c>
      <c r="B2794">
        <f t="shared" ca="1" si="43"/>
        <v>88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4" t="str">
        <f ca="1">IF(dict_zuord_Meth_Transfers[[#This Row],[kval_active]],dict_zuord_Meth_Transfers[[#This Row],[ID_Transfers]],"")</f>
        <v/>
      </c>
    </row>
    <row r="2795" spans="1:4" x14ac:dyDescent="0.45">
      <c r="A2795">
        <v>465</v>
      </c>
      <c r="B2795">
        <f t="shared" ca="1" si="43"/>
        <v>168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5" t="str">
        <f ca="1">IF(dict_zuord_Meth_Transfers[[#This Row],[kval_active]],dict_zuord_Meth_Transfers[[#This Row],[ID_Transfers]],"")</f>
        <v/>
      </c>
    </row>
    <row r="2796" spans="1:4" x14ac:dyDescent="0.45">
      <c r="A2796">
        <v>465</v>
      </c>
      <c r="B2796" s="3">
        <f t="shared" ca="1" si="43"/>
        <v>1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6" t="str">
        <f ca="1">IF(dict_zuord_Meth_Transfers[[#This Row],[kval_active]],dict_zuord_Meth_Transfers[[#This Row],[ID_Transfers]],"")</f>
        <v/>
      </c>
    </row>
    <row r="2797" spans="1:4" x14ac:dyDescent="0.45">
      <c r="A2797">
        <v>465</v>
      </c>
      <c r="B2797" s="3">
        <f t="shared" ca="1" si="43"/>
        <v>162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7" t="str">
        <f ca="1">IF(dict_zuord_Meth_Transfers[[#This Row],[kval_active]],dict_zuord_Meth_Transfers[[#This Row],[ID_Transfers]],"")</f>
        <v/>
      </c>
    </row>
    <row r="2798" spans="1:4" x14ac:dyDescent="0.45">
      <c r="A2798">
        <v>466</v>
      </c>
      <c r="B2798">
        <f t="shared" ca="1" si="43"/>
        <v>76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8">
        <f ca="1">IF(dict_zuord_Meth_Transfers[[#This Row],[kval_active]],dict_zuord_Meth_Transfers[[#This Row],[ID_Transfers]],"")</f>
        <v>76</v>
      </c>
    </row>
    <row r="2799" spans="1:4" x14ac:dyDescent="0.45">
      <c r="A2799">
        <v>466</v>
      </c>
      <c r="B2799">
        <f t="shared" ca="1" si="43"/>
        <v>71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9">
        <f ca="1">IF(dict_zuord_Meth_Transfers[[#This Row],[kval_active]],dict_zuord_Meth_Transfers[[#This Row],[ID_Transfers]],"")</f>
        <v>71</v>
      </c>
    </row>
    <row r="2800" spans="1:4" x14ac:dyDescent="0.45">
      <c r="A2800">
        <v>466</v>
      </c>
      <c r="B2800" s="3">
        <f t="shared" ca="1" si="43"/>
        <v>148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0">
        <f ca="1">IF(dict_zuord_Meth_Transfers[[#This Row],[kval_active]],dict_zuord_Meth_Transfers[[#This Row],[ID_Transfers]],"")</f>
        <v>148</v>
      </c>
    </row>
    <row r="2801" spans="1:4" x14ac:dyDescent="0.45">
      <c r="A2801">
        <v>466</v>
      </c>
      <c r="B2801">
        <f t="shared" ca="1" si="43"/>
        <v>76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1">
        <f ca="1">IF(dict_zuord_Meth_Transfers[[#This Row],[kval_active]],dict_zuord_Meth_Transfers[[#This Row],[ID_Transfers]],"")</f>
        <v>76</v>
      </c>
    </row>
    <row r="2802" spans="1:4" x14ac:dyDescent="0.45">
      <c r="A2802">
        <v>466</v>
      </c>
      <c r="B2802" s="3">
        <f t="shared" ca="1" si="43"/>
        <v>19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2">
        <f ca="1">IF(dict_zuord_Meth_Transfers[[#This Row],[kval_active]],dict_zuord_Meth_Transfers[[#This Row],[ID_Transfers]],"")</f>
        <v>19</v>
      </c>
    </row>
    <row r="2803" spans="1:4" x14ac:dyDescent="0.45">
      <c r="A2803">
        <v>466</v>
      </c>
      <c r="B2803" s="3">
        <f t="shared" ca="1" si="43"/>
        <v>182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3">
        <f ca="1">IF(dict_zuord_Meth_Transfers[[#This Row],[kval_active]],dict_zuord_Meth_Transfers[[#This Row],[ID_Transfers]],"")</f>
        <v>182</v>
      </c>
    </row>
    <row r="2804" spans="1:4" x14ac:dyDescent="0.45">
      <c r="A2804">
        <v>467</v>
      </c>
      <c r="B2804">
        <f t="shared" ca="1" si="43"/>
        <v>94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4" t="str">
        <f ca="1">IF(dict_zuord_Meth_Transfers[[#This Row],[kval_active]],dict_zuord_Meth_Transfers[[#This Row],[ID_Transfers]],"")</f>
        <v/>
      </c>
    </row>
    <row r="2805" spans="1:4" x14ac:dyDescent="0.45">
      <c r="A2805">
        <v>467</v>
      </c>
      <c r="B2805" s="3">
        <f t="shared" ca="1" si="43"/>
        <v>87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5" t="str">
        <f ca="1">IF(dict_zuord_Meth_Transfers[[#This Row],[kval_active]],dict_zuord_Meth_Transfers[[#This Row],[ID_Transfers]],"")</f>
        <v/>
      </c>
    </row>
    <row r="2806" spans="1:4" x14ac:dyDescent="0.45">
      <c r="A2806">
        <v>467</v>
      </c>
      <c r="B2806">
        <f t="shared" ca="1" si="43"/>
        <v>97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6" t="str">
        <f ca="1">IF(dict_zuord_Meth_Transfers[[#This Row],[kval_active]],dict_zuord_Meth_Transfers[[#This Row],[ID_Transfers]],"")</f>
        <v/>
      </c>
    </row>
    <row r="2807" spans="1:4" x14ac:dyDescent="0.45">
      <c r="A2807">
        <v>467</v>
      </c>
      <c r="B2807" s="3">
        <f t="shared" ca="1" si="43"/>
        <v>124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7" t="str">
        <f ca="1">IF(dict_zuord_Meth_Transfers[[#This Row],[kval_active]],dict_zuord_Meth_Transfers[[#This Row],[ID_Transfers]],"")</f>
        <v/>
      </c>
    </row>
    <row r="2808" spans="1:4" x14ac:dyDescent="0.45">
      <c r="A2808">
        <v>467</v>
      </c>
      <c r="B2808">
        <f t="shared" ca="1" si="43"/>
        <v>198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8" t="str">
        <f ca="1">IF(dict_zuord_Meth_Transfers[[#This Row],[kval_active]],dict_zuord_Meth_Transfers[[#This Row],[ID_Transfers]],"")</f>
        <v/>
      </c>
    </row>
    <row r="2809" spans="1:4" x14ac:dyDescent="0.45">
      <c r="A2809">
        <v>467</v>
      </c>
      <c r="B2809" s="3">
        <f t="shared" ca="1" si="43"/>
        <v>70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9" t="str">
        <f ca="1">IF(dict_zuord_Meth_Transfers[[#This Row],[kval_active]],dict_zuord_Meth_Transfers[[#This Row],[ID_Transfers]],"")</f>
        <v/>
      </c>
    </row>
    <row r="2810" spans="1:4" x14ac:dyDescent="0.45">
      <c r="A2810">
        <v>468</v>
      </c>
      <c r="B2810" s="3">
        <f t="shared" ca="1" si="43"/>
        <v>58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0" t="str">
        <f ca="1">IF(dict_zuord_Meth_Transfers[[#This Row],[kval_active]],dict_zuord_Meth_Transfers[[#This Row],[ID_Transfers]],"")</f>
        <v/>
      </c>
    </row>
    <row r="2811" spans="1:4" x14ac:dyDescent="0.45">
      <c r="A2811">
        <v>468</v>
      </c>
      <c r="B2811">
        <f t="shared" ca="1" si="43"/>
        <v>160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1" t="str">
        <f ca="1">IF(dict_zuord_Meth_Transfers[[#This Row],[kval_active]],dict_zuord_Meth_Transfers[[#This Row],[ID_Transfers]],"")</f>
        <v/>
      </c>
    </row>
    <row r="2812" spans="1:4" x14ac:dyDescent="0.45">
      <c r="A2812">
        <v>468</v>
      </c>
      <c r="B2812">
        <f t="shared" ca="1" si="43"/>
        <v>70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2" t="str">
        <f ca="1">IF(dict_zuord_Meth_Transfers[[#This Row],[kval_active]],dict_zuord_Meth_Transfers[[#This Row],[ID_Transfers]],"")</f>
        <v/>
      </c>
    </row>
    <row r="2813" spans="1:4" x14ac:dyDescent="0.45">
      <c r="A2813">
        <v>468</v>
      </c>
      <c r="B2813" s="3">
        <f t="shared" ca="1" si="43"/>
        <v>19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3" t="str">
        <f ca="1">IF(dict_zuord_Meth_Transfers[[#This Row],[kval_active]],dict_zuord_Meth_Transfers[[#This Row],[ID_Transfers]],"")</f>
        <v/>
      </c>
    </row>
    <row r="2814" spans="1:4" x14ac:dyDescent="0.45">
      <c r="A2814">
        <v>468</v>
      </c>
      <c r="B2814">
        <f t="shared" ca="1" si="43"/>
        <v>57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4" t="str">
        <f ca="1">IF(dict_zuord_Meth_Transfers[[#This Row],[kval_active]],dict_zuord_Meth_Transfers[[#This Row],[ID_Transfers]],"")</f>
        <v/>
      </c>
    </row>
    <row r="2815" spans="1:4" x14ac:dyDescent="0.45">
      <c r="A2815">
        <v>468</v>
      </c>
      <c r="B2815" s="3">
        <f t="shared" ca="1" si="43"/>
        <v>29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5" t="str">
        <f ca="1">IF(dict_zuord_Meth_Transfers[[#This Row],[kval_active]],dict_zuord_Meth_Transfers[[#This Row],[ID_Transfers]],"")</f>
        <v/>
      </c>
    </row>
    <row r="2816" spans="1:4" x14ac:dyDescent="0.45">
      <c r="A2816">
        <v>469</v>
      </c>
      <c r="B2816" s="3">
        <f t="shared" ca="1" si="43"/>
        <v>95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6" t="str">
        <f ca="1">IF(dict_zuord_Meth_Transfers[[#This Row],[kval_active]],dict_zuord_Meth_Transfers[[#This Row],[ID_Transfers]],"")</f>
        <v/>
      </c>
    </row>
    <row r="2817" spans="1:4" x14ac:dyDescent="0.45">
      <c r="A2817">
        <v>469</v>
      </c>
      <c r="B2817">
        <f t="shared" ca="1" si="43"/>
        <v>9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7" t="str">
        <f ca="1">IF(dict_zuord_Meth_Transfers[[#This Row],[kval_active]],dict_zuord_Meth_Transfers[[#This Row],[ID_Transfers]],"")</f>
        <v/>
      </c>
    </row>
    <row r="2818" spans="1:4" x14ac:dyDescent="0.45">
      <c r="A2818">
        <v>469</v>
      </c>
      <c r="B2818">
        <f t="shared" ref="B2818:B2881" ca="1" si="44">RANDBETWEEN(0,200)</f>
        <v>110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8" t="str">
        <f ca="1">IF(dict_zuord_Meth_Transfers[[#This Row],[kval_active]],dict_zuord_Meth_Transfers[[#This Row],[ID_Transfers]],"")</f>
        <v/>
      </c>
    </row>
    <row r="2819" spans="1:4" x14ac:dyDescent="0.45">
      <c r="A2819">
        <v>469</v>
      </c>
      <c r="B2819">
        <f t="shared" ca="1" si="44"/>
        <v>93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9" t="str">
        <f ca="1">IF(dict_zuord_Meth_Transfers[[#This Row],[kval_active]],dict_zuord_Meth_Transfers[[#This Row],[ID_Transfers]],"")</f>
        <v/>
      </c>
    </row>
    <row r="2820" spans="1:4" x14ac:dyDescent="0.45">
      <c r="A2820">
        <v>469</v>
      </c>
      <c r="B2820" s="3">
        <f t="shared" ca="1" si="44"/>
        <v>102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0" t="str">
        <f ca="1">IF(dict_zuord_Meth_Transfers[[#This Row],[kval_active]],dict_zuord_Meth_Transfers[[#This Row],[ID_Transfers]],"")</f>
        <v/>
      </c>
    </row>
    <row r="2821" spans="1:4" x14ac:dyDescent="0.45">
      <c r="A2821">
        <v>469</v>
      </c>
      <c r="B2821" s="3">
        <f t="shared" ca="1" si="44"/>
        <v>120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1" t="str">
        <f ca="1">IF(dict_zuord_Meth_Transfers[[#This Row],[kval_active]],dict_zuord_Meth_Transfers[[#This Row],[ID_Transfers]],"")</f>
        <v/>
      </c>
    </row>
    <row r="2822" spans="1:4" x14ac:dyDescent="0.45">
      <c r="A2822">
        <v>470</v>
      </c>
      <c r="B2822" s="3">
        <f t="shared" ca="1" si="44"/>
        <v>31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2" t="str">
        <f ca="1">IF(dict_zuord_Meth_Transfers[[#This Row],[kval_active]],dict_zuord_Meth_Transfers[[#This Row],[ID_Transfers]],"")</f>
        <v/>
      </c>
    </row>
    <row r="2823" spans="1:4" x14ac:dyDescent="0.45">
      <c r="A2823">
        <v>470</v>
      </c>
      <c r="B2823" s="3">
        <f t="shared" ca="1" si="44"/>
        <v>179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3" t="str">
        <f ca="1">IF(dict_zuord_Meth_Transfers[[#This Row],[kval_active]],dict_zuord_Meth_Transfers[[#This Row],[ID_Transfers]],"")</f>
        <v/>
      </c>
    </row>
    <row r="2824" spans="1:4" x14ac:dyDescent="0.45">
      <c r="A2824">
        <v>470</v>
      </c>
      <c r="B2824">
        <f t="shared" ca="1" si="44"/>
        <v>173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4" t="str">
        <f ca="1">IF(dict_zuord_Meth_Transfers[[#This Row],[kval_active]],dict_zuord_Meth_Transfers[[#This Row],[ID_Transfers]],"")</f>
        <v/>
      </c>
    </row>
    <row r="2825" spans="1:4" x14ac:dyDescent="0.45">
      <c r="A2825">
        <v>470</v>
      </c>
      <c r="B2825">
        <f t="shared" ca="1" si="44"/>
        <v>141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5" t="str">
        <f ca="1">IF(dict_zuord_Meth_Transfers[[#This Row],[kval_active]],dict_zuord_Meth_Transfers[[#This Row],[ID_Transfers]],"")</f>
        <v/>
      </c>
    </row>
    <row r="2826" spans="1:4" x14ac:dyDescent="0.45">
      <c r="A2826">
        <v>470</v>
      </c>
      <c r="B2826">
        <f t="shared" ca="1" si="44"/>
        <v>173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6" t="str">
        <f ca="1">IF(dict_zuord_Meth_Transfers[[#This Row],[kval_active]],dict_zuord_Meth_Transfers[[#This Row],[ID_Transfers]],"")</f>
        <v/>
      </c>
    </row>
    <row r="2827" spans="1:4" x14ac:dyDescent="0.45">
      <c r="A2827">
        <v>470</v>
      </c>
      <c r="B2827" s="3">
        <f t="shared" ca="1" si="44"/>
        <v>20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7" t="str">
        <f ca="1">IF(dict_zuord_Meth_Transfers[[#This Row],[kval_active]],dict_zuord_Meth_Transfers[[#This Row],[ID_Transfers]],"")</f>
        <v/>
      </c>
    </row>
    <row r="2828" spans="1:4" x14ac:dyDescent="0.45">
      <c r="A2828">
        <v>471</v>
      </c>
      <c r="B2828">
        <f t="shared" ca="1" si="44"/>
        <v>47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8" t="str">
        <f ca="1">IF(dict_zuord_Meth_Transfers[[#This Row],[kval_active]],dict_zuord_Meth_Transfers[[#This Row],[ID_Transfers]],"")</f>
        <v/>
      </c>
    </row>
    <row r="2829" spans="1:4" x14ac:dyDescent="0.45">
      <c r="A2829">
        <v>471</v>
      </c>
      <c r="B2829" s="3">
        <f t="shared" ca="1" si="44"/>
        <v>190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9" t="str">
        <f ca="1">IF(dict_zuord_Meth_Transfers[[#This Row],[kval_active]],dict_zuord_Meth_Transfers[[#This Row],[ID_Transfers]],"")</f>
        <v/>
      </c>
    </row>
    <row r="2830" spans="1:4" x14ac:dyDescent="0.45">
      <c r="A2830">
        <v>471</v>
      </c>
      <c r="B2830" s="3">
        <f t="shared" ca="1" si="44"/>
        <v>148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0" t="str">
        <f ca="1">IF(dict_zuord_Meth_Transfers[[#This Row],[kval_active]],dict_zuord_Meth_Transfers[[#This Row],[ID_Transfers]],"")</f>
        <v/>
      </c>
    </row>
    <row r="2831" spans="1:4" x14ac:dyDescent="0.45">
      <c r="A2831">
        <v>471</v>
      </c>
      <c r="B2831">
        <f t="shared" ca="1" si="44"/>
        <v>89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1" t="str">
        <f ca="1">IF(dict_zuord_Meth_Transfers[[#This Row],[kval_active]],dict_zuord_Meth_Transfers[[#This Row],[ID_Transfers]],"")</f>
        <v/>
      </c>
    </row>
    <row r="2832" spans="1:4" x14ac:dyDescent="0.45">
      <c r="A2832">
        <v>471</v>
      </c>
      <c r="B2832" s="3">
        <f t="shared" ca="1" si="44"/>
        <v>41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2" t="str">
        <f ca="1">IF(dict_zuord_Meth_Transfers[[#This Row],[kval_active]],dict_zuord_Meth_Transfers[[#This Row],[ID_Transfers]],"")</f>
        <v/>
      </c>
    </row>
    <row r="2833" spans="1:4" x14ac:dyDescent="0.45">
      <c r="A2833">
        <v>471</v>
      </c>
      <c r="B2833">
        <f t="shared" ca="1" si="44"/>
        <v>62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3" t="str">
        <f ca="1">IF(dict_zuord_Meth_Transfers[[#This Row],[kval_active]],dict_zuord_Meth_Transfers[[#This Row],[ID_Transfers]],"")</f>
        <v/>
      </c>
    </row>
    <row r="2834" spans="1:4" x14ac:dyDescent="0.45">
      <c r="A2834">
        <v>472</v>
      </c>
      <c r="B2834">
        <f t="shared" ca="1" si="44"/>
        <v>142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4" t="str">
        <f ca="1">IF(dict_zuord_Meth_Transfers[[#This Row],[kval_active]],dict_zuord_Meth_Transfers[[#This Row],[ID_Transfers]],"")</f>
        <v/>
      </c>
    </row>
    <row r="2835" spans="1:4" x14ac:dyDescent="0.45">
      <c r="A2835">
        <v>472</v>
      </c>
      <c r="B2835" s="3">
        <f t="shared" ca="1" si="44"/>
        <v>24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5" t="str">
        <f ca="1">IF(dict_zuord_Meth_Transfers[[#This Row],[kval_active]],dict_zuord_Meth_Transfers[[#This Row],[ID_Transfers]],"")</f>
        <v/>
      </c>
    </row>
    <row r="2836" spans="1:4" x14ac:dyDescent="0.45">
      <c r="A2836">
        <v>472</v>
      </c>
      <c r="B2836" s="3">
        <f t="shared" ca="1" si="44"/>
        <v>176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6" t="str">
        <f ca="1">IF(dict_zuord_Meth_Transfers[[#This Row],[kval_active]],dict_zuord_Meth_Transfers[[#This Row],[ID_Transfers]],"")</f>
        <v/>
      </c>
    </row>
    <row r="2837" spans="1:4" x14ac:dyDescent="0.45">
      <c r="A2837">
        <v>472</v>
      </c>
      <c r="B2837">
        <f t="shared" ca="1" si="44"/>
        <v>181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7" t="str">
        <f ca="1">IF(dict_zuord_Meth_Transfers[[#This Row],[kval_active]],dict_zuord_Meth_Transfers[[#This Row],[ID_Transfers]],"")</f>
        <v/>
      </c>
    </row>
    <row r="2838" spans="1:4" x14ac:dyDescent="0.45">
      <c r="A2838">
        <v>472</v>
      </c>
      <c r="B2838">
        <f t="shared" ca="1" si="44"/>
        <v>8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8" t="str">
        <f ca="1">IF(dict_zuord_Meth_Transfers[[#This Row],[kval_active]],dict_zuord_Meth_Transfers[[#This Row],[ID_Transfers]],"")</f>
        <v/>
      </c>
    </row>
    <row r="2839" spans="1:4" x14ac:dyDescent="0.45">
      <c r="A2839">
        <v>472</v>
      </c>
      <c r="B2839" s="3">
        <f t="shared" ca="1" si="44"/>
        <v>164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9" t="str">
        <f ca="1">IF(dict_zuord_Meth_Transfers[[#This Row],[kval_active]],dict_zuord_Meth_Transfers[[#This Row],[ID_Transfers]],"")</f>
        <v/>
      </c>
    </row>
    <row r="2840" spans="1:4" x14ac:dyDescent="0.45">
      <c r="A2840">
        <v>473</v>
      </c>
      <c r="B2840" s="3">
        <f t="shared" ca="1" si="44"/>
        <v>135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0" t="str">
        <f ca="1">IF(dict_zuord_Meth_Transfers[[#This Row],[kval_active]],dict_zuord_Meth_Transfers[[#This Row],[ID_Transfers]],"")</f>
        <v/>
      </c>
    </row>
    <row r="2841" spans="1:4" x14ac:dyDescent="0.45">
      <c r="A2841">
        <v>473</v>
      </c>
      <c r="B2841">
        <f t="shared" ca="1" si="44"/>
        <v>21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1" t="str">
        <f ca="1">IF(dict_zuord_Meth_Transfers[[#This Row],[kval_active]],dict_zuord_Meth_Transfers[[#This Row],[ID_Transfers]],"")</f>
        <v/>
      </c>
    </row>
    <row r="2842" spans="1:4" x14ac:dyDescent="0.45">
      <c r="A2842">
        <v>473</v>
      </c>
      <c r="B2842">
        <f t="shared" ca="1" si="44"/>
        <v>105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2" t="str">
        <f ca="1">IF(dict_zuord_Meth_Transfers[[#This Row],[kval_active]],dict_zuord_Meth_Transfers[[#This Row],[ID_Transfers]],"")</f>
        <v/>
      </c>
    </row>
    <row r="2843" spans="1:4" x14ac:dyDescent="0.45">
      <c r="A2843">
        <v>473</v>
      </c>
      <c r="B2843" s="3">
        <f t="shared" ca="1" si="44"/>
        <v>13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3" t="str">
        <f ca="1">IF(dict_zuord_Meth_Transfers[[#This Row],[kval_active]],dict_zuord_Meth_Transfers[[#This Row],[ID_Transfers]],"")</f>
        <v/>
      </c>
    </row>
    <row r="2844" spans="1:4" x14ac:dyDescent="0.45">
      <c r="A2844">
        <v>473</v>
      </c>
      <c r="B2844" s="3">
        <f t="shared" ca="1" si="44"/>
        <v>159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4" t="str">
        <f ca="1">IF(dict_zuord_Meth_Transfers[[#This Row],[kval_active]],dict_zuord_Meth_Transfers[[#This Row],[ID_Transfers]],"")</f>
        <v/>
      </c>
    </row>
    <row r="2845" spans="1:4" x14ac:dyDescent="0.45">
      <c r="A2845">
        <v>473</v>
      </c>
      <c r="B2845">
        <f t="shared" ca="1" si="44"/>
        <v>179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5" t="str">
        <f ca="1">IF(dict_zuord_Meth_Transfers[[#This Row],[kval_active]],dict_zuord_Meth_Transfers[[#This Row],[ID_Transfers]],"")</f>
        <v/>
      </c>
    </row>
    <row r="2846" spans="1:4" x14ac:dyDescent="0.45">
      <c r="A2846">
        <v>474</v>
      </c>
      <c r="B2846">
        <f t="shared" ca="1" si="44"/>
        <v>113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6" t="str">
        <f ca="1">IF(dict_zuord_Meth_Transfers[[#This Row],[kval_active]],dict_zuord_Meth_Transfers[[#This Row],[ID_Transfers]],"")</f>
        <v/>
      </c>
    </row>
    <row r="2847" spans="1:4" x14ac:dyDescent="0.45">
      <c r="A2847">
        <v>474</v>
      </c>
      <c r="B2847" s="3">
        <f t="shared" ca="1" si="44"/>
        <v>18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7" t="str">
        <f ca="1">IF(dict_zuord_Meth_Transfers[[#This Row],[kval_active]],dict_zuord_Meth_Transfers[[#This Row],[ID_Transfers]],"")</f>
        <v/>
      </c>
    </row>
    <row r="2848" spans="1:4" x14ac:dyDescent="0.45">
      <c r="A2848">
        <v>474</v>
      </c>
      <c r="B2848">
        <f t="shared" ca="1" si="44"/>
        <v>135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8" t="str">
        <f ca="1">IF(dict_zuord_Meth_Transfers[[#This Row],[kval_active]],dict_zuord_Meth_Transfers[[#This Row],[ID_Transfers]],"")</f>
        <v/>
      </c>
    </row>
    <row r="2849" spans="1:4" x14ac:dyDescent="0.45">
      <c r="A2849">
        <v>474</v>
      </c>
      <c r="B2849" s="3">
        <f t="shared" ca="1" si="44"/>
        <v>13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9" t="str">
        <f ca="1">IF(dict_zuord_Meth_Transfers[[#This Row],[kval_active]],dict_zuord_Meth_Transfers[[#This Row],[ID_Transfers]],"")</f>
        <v/>
      </c>
    </row>
    <row r="2850" spans="1:4" x14ac:dyDescent="0.45">
      <c r="A2850">
        <v>474</v>
      </c>
      <c r="B2850">
        <f t="shared" ca="1" si="44"/>
        <v>89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0" t="str">
        <f ca="1">IF(dict_zuord_Meth_Transfers[[#This Row],[kval_active]],dict_zuord_Meth_Transfers[[#This Row],[ID_Transfers]],"")</f>
        <v/>
      </c>
    </row>
    <row r="2851" spans="1:4" x14ac:dyDescent="0.45">
      <c r="A2851">
        <v>474</v>
      </c>
      <c r="B2851" s="3">
        <f t="shared" ca="1" si="44"/>
        <v>93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1" t="str">
        <f ca="1">IF(dict_zuord_Meth_Transfers[[#This Row],[kval_active]],dict_zuord_Meth_Transfers[[#This Row],[ID_Transfers]],"")</f>
        <v/>
      </c>
    </row>
    <row r="2852" spans="1:4" x14ac:dyDescent="0.45">
      <c r="A2852">
        <v>475</v>
      </c>
      <c r="B2852" s="3">
        <f t="shared" ca="1" si="44"/>
        <v>161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2" t="str">
        <f ca="1">IF(dict_zuord_Meth_Transfers[[#This Row],[kval_active]],dict_zuord_Meth_Transfers[[#This Row],[ID_Transfers]],"")</f>
        <v/>
      </c>
    </row>
    <row r="2853" spans="1:4" x14ac:dyDescent="0.45">
      <c r="A2853">
        <v>475</v>
      </c>
      <c r="B2853">
        <f t="shared" ca="1" si="44"/>
        <v>175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3" t="str">
        <f ca="1">IF(dict_zuord_Meth_Transfers[[#This Row],[kval_active]],dict_zuord_Meth_Transfers[[#This Row],[ID_Transfers]],"")</f>
        <v/>
      </c>
    </row>
    <row r="2854" spans="1:4" x14ac:dyDescent="0.45">
      <c r="A2854">
        <v>475</v>
      </c>
      <c r="B2854">
        <f t="shared" ca="1" si="44"/>
        <v>193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4" t="str">
        <f ca="1">IF(dict_zuord_Meth_Transfers[[#This Row],[kval_active]],dict_zuord_Meth_Transfers[[#This Row],[ID_Transfers]],"")</f>
        <v/>
      </c>
    </row>
    <row r="2855" spans="1:4" x14ac:dyDescent="0.45">
      <c r="A2855">
        <v>475</v>
      </c>
      <c r="B2855" s="3">
        <f t="shared" ca="1" si="44"/>
        <v>158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5" t="str">
        <f ca="1">IF(dict_zuord_Meth_Transfers[[#This Row],[kval_active]],dict_zuord_Meth_Transfers[[#This Row],[ID_Transfers]],"")</f>
        <v/>
      </c>
    </row>
    <row r="2856" spans="1:4" x14ac:dyDescent="0.45">
      <c r="A2856">
        <v>475</v>
      </c>
      <c r="B2856">
        <f t="shared" ca="1" si="44"/>
        <v>102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6" t="str">
        <f ca="1">IF(dict_zuord_Meth_Transfers[[#This Row],[kval_active]],dict_zuord_Meth_Transfers[[#This Row],[ID_Transfers]],"")</f>
        <v/>
      </c>
    </row>
    <row r="2857" spans="1:4" x14ac:dyDescent="0.45">
      <c r="A2857">
        <v>475</v>
      </c>
      <c r="B2857" s="3">
        <f t="shared" ca="1" si="44"/>
        <v>61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7" t="str">
        <f ca="1">IF(dict_zuord_Meth_Transfers[[#This Row],[kval_active]],dict_zuord_Meth_Transfers[[#This Row],[ID_Transfers]],"")</f>
        <v/>
      </c>
    </row>
    <row r="2858" spans="1:4" x14ac:dyDescent="0.45">
      <c r="A2858">
        <v>476</v>
      </c>
      <c r="B2858">
        <f t="shared" ca="1" si="44"/>
        <v>44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8" t="str">
        <f ca="1">IF(dict_zuord_Meth_Transfers[[#This Row],[kval_active]],dict_zuord_Meth_Transfers[[#This Row],[ID_Transfers]],"")</f>
        <v/>
      </c>
    </row>
    <row r="2859" spans="1:4" x14ac:dyDescent="0.45">
      <c r="A2859">
        <v>476</v>
      </c>
      <c r="B2859" s="3">
        <f t="shared" ca="1" si="44"/>
        <v>17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9" t="str">
        <f ca="1">IF(dict_zuord_Meth_Transfers[[#This Row],[kval_active]],dict_zuord_Meth_Transfers[[#This Row],[ID_Transfers]],"")</f>
        <v/>
      </c>
    </row>
    <row r="2860" spans="1:4" x14ac:dyDescent="0.45">
      <c r="A2860">
        <v>476</v>
      </c>
      <c r="B2860">
        <f t="shared" ca="1" si="44"/>
        <v>187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0" t="str">
        <f ca="1">IF(dict_zuord_Meth_Transfers[[#This Row],[kval_active]],dict_zuord_Meth_Transfers[[#This Row],[ID_Transfers]],"")</f>
        <v/>
      </c>
    </row>
    <row r="2861" spans="1:4" x14ac:dyDescent="0.45">
      <c r="A2861">
        <v>476</v>
      </c>
      <c r="B2861" s="3">
        <f t="shared" ca="1" si="44"/>
        <v>161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1" t="str">
        <f ca="1">IF(dict_zuord_Meth_Transfers[[#This Row],[kval_active]],dict_zuord_Meth_Transfers[[#This Row],[ID_Transfers]],"")</f>
        <v/>
      </c>
    </row>
    <row r="2862" spans="1:4" x14ac:dyDescent="0.45">
      <c r="A2862">
        <v>476</v>
      </c>
      <c r="B2862" s="3">
        <f t="shared" ca="1" si="44"/>
        <v>174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2" t="str">
        <f ca="1">IF(dict_zuord_Meth_Transfers[[#This Row],[kval_active]],dict_zuord_Meth_Transfers[[#This Row],[ID_Transfers]],"")</f>
        <v/>
      </c>
    </row>
    <row r="2863" spans="1:4" x14ac:dyDescent="0.45">
      <c r="A2863">
        <v>476</v>
      </c>
      <c r="B2863">
        <f t="shared" ca="1" si="44"/>
        <v>13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3" t="str">
        <f ca="1">IF(dict_zuord_Meth_Transfers[[#This Row],[kval_active]],dict_zuord_Meth_Transfers[[#This Row],[ID_Transfers]],"")</f>
        <v/>
      </c>
    </row>
    <row r="2864" spans="1:4" x14ac:dyDescent="0.45">
      <c r="A2864">
        <v>477</v>
      </c>
      <c r="B2864" s="3">
        <f t="shared" ca="1" si="44"/>
        <v>94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4" t="str">
        <f ca="1">IF(dict_zuord_Meth_Transfers[[#This Row],[kval_active]],dict_zuord_Meth_Transfers[[#This Row],[ID_Transfers]],"")</f>
        <v/>
      </c>
    </row>
    <row r="2865" spans="1:4" x14ac:dyDescent="0.45">
      <c r="A2865">
        <v>477</v>
      </c>
      <c r="B2865" s="3">
        <f t="shared" ca="1" si="44"/>
        <v>42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5" t="str">
        <f ca="1">IF(dict_zuord_Meth_Transfers[[#This Row],[kval_active]],dict_zuord_Meth_Transfers[[#This Row],[ID_Transfers]],"")</f>
        <v/>
      </c>
    </row>
    <row r="2866" spans="1:4" x14ac:dyDescent="0.45">
      <c r="A2866">
        <v>477</v>
      </c>
      <c r="B2866" s="3">
        <f t="shared" ca="1" si="44"/>
        <v>106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6" t="str">
        <f ca="1">IF(dict_zuord_Meth_Transfers[[#This Row],[kval_active]],dict_zuord_Meth_Transfers[[#This Row],[ID_Transfers]],"")</f>
        <v/>
      </c>
    </row>
    <row r="2867" spans="1:4" x14ac:dyDescent="0.45">
      <c r="A2867">
        <v>477</v>
      </c>
      <c r="B2867">
        <f t="shared" ca="1" si="44"/>
        <v>23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7" t="str">
        <f ca="1">IF(dict_zuord_Meth_Transfers[[#This Row],[kval_active]],dict_zuord_Meth_Transfers[[#This Row],[ID_Transfers]],"")</f>
        <v/>
      </c>
    </row>
    <row r="2868" spans="1:4" x14ac:dyDescent="0.45">
      <c r="A2868">
        <v>477</v>
      </c>
      <c r="B2868">
        <f t="shared" ca="1" si="44"/>
        <v>1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8" t="str">
        <f ca="1">IF(dict_zuord_Meth_Transfers[[#This Row],[kval_active]],dict_zuord_Meth_Transfers[[#This Row],[ID_Transfers]],"")</f>
        <v/>
      </c>
    </row>
    <row r="2869" spans="1:4" x14ac:dyDescent="0.45">
      <c r="A2869">
        <v>477</v>
      </c>
      <c r="B2869">
        <f t="shared" ca="1" si="44"/>
        <v>2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9" t="str">
        <f ca="1">IF(dict_zuord_Meth_Transfers[[#This Row],[kval_active]],dict_zuord_Meth_Transfers[[#This Row],[ID_Transfers]],"")</f>
        <v/>
      </c>
    </row>
    <row r="2870" spans="1:4" x14ac:dyDescent="0.45">
      <c r="A2870">
        <v>478</v>
      </c>
      <c r="B2870">
        <f t="shared" ca="1" si="44"/>
        <v>196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0" t="str">
        <f ca="1">IF(dict_zuord_Meth_Transfers[[#This Row],[kval_active]],dict_zuord_Meth_Transfers[[#This Row],[ID_Transfers]],"")</f>
        <v/>
      </c>
    </row>
    <row r="2871" spans="1:4" x14ac:dyDescent="0.45">
      <c r="A2871">
        <v>478</v>
      </c>
      <c r="B2871">
        <f t="shared" ca="1" si="44"/>
        <v>110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1" t="str">
        <f ca="1">IF(dict_zuord_Meth_Transfers[[#This Row],[kval_active]],dict_zuord_Meth_Transfers[[#This Row],[ID_Transfers]],"")</f>
        <v/>
      </c>
    </row>
    <row r="2872" spans="1:4" x14ac:dyDescent="0.45">
      <c r="A2872">
        <v>478</v>
      </c>
      <c r="B2872" s="3">
        <f t="shared" ca="1" si="44"/>
        <v>187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2" t="str">
        <f ca="1">IF(dict_zuord_Meth_Transfers[[#This Row],[kval_active]],dict_zuord_Meth_Transfers[[#This Row],[ID_Transfers]],"")</f>
        <v/>
      </c>
    </row>
    <row r="2873" spans="1:4" x14ac:dyDescent="0.45">
      <c r="A2873">
        <v>478</v>
      </c>
      <c r="B2873">
        <f t="shared" ca="1" si="44"/>
        <v>36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3" t="str">
        <f ca="1">IF(dict_zuord_Meth_Transfers[[#This Row],[kval_active]],dict_zuord_Meth_Transfers[[#This Row],[ID_Transfers]],"")</f>
        <v/>
      </c>
    </row>
    <row r="2874" spans="1:4" x14ac:dyDescent="0.45">
      <c r="A2874">
        <v>478</v>
      </c>
      <c r="B2874" s="3">
        <f t="shared" ca="1" si="44"/>
        <v>69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4" t="str">
        <f ca="1">IF(dict_zuord_Meth_Transfers[[#This Row],[kval_active]],dict_zuord_Meth_Transfers[[#This Row],[ID_Transfers]],"")</f>
        <v/>
      </c>
    </row>
    <row r="2875" spans="1:4" x14ac:dyDescent="0.45">
      <c r="A2875">
        <v>478</v>
      </c>
      <c r="B2875" s="3">
        <f t="shared" ca="1" si="44"/>
        <v>4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5" t="str">
        <f ca="1">IF(dict_zuord_Meth_Transfers[[#This Row],[kval_active]],dict_zuord_Meth_Transfers[[#This Row],[ID_Transfers]],"")</f>
        <v/>
      </c>
    </row>
    <row r="2876" spans="1:4" x14ac:dyDescent="0.45">
      <c r="A2876">
        <v>479</v>
      </c>
      <c r="B2876">
        <f t="shared" ca="1" si="44"/>
        <v>182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6" t="str">
        <f ca="1">IF(dict_zuord_Meth_Transfers[[#This Row],[kval_active]],dict_zuord_Meth_Transfers[[#This Row],[ID_Transfers]],"")</f>
        <v/>
      </c>
    </row>
    <row r="2877" spans="1:4" x14ac:dyDescent="0.45">
      <c r="A2877">
        <v>479</v>
      </c>
      <c r="B2877" s="3">
        <f t="shared" ca="1" si="44"/>
        <v>36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7" t="str">
        <f ca="1">IF(dict_zuord_Meth_Transfers[[#This Row],[kval_active]],dict_zuord_Meth_Transfers[[#This Row],[ID_Transfers]],"")</f>
        <v/>
      </c>
    </row>
    <row r="2878" spans="1:4" x14ac:dyDescent="0.45">
      <c r="A2878">
        <v>479</v>
      </c>
      <c r="B2878">
        <f t="shared" ca="1" si="44"/>
        <v>195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8" t="str">
        <f ca="1">IF(dict_zuord_Meth_Transfers[[#This Row],[kval_active]],dict_zuord_Meth_Transfers[[#This Row],[ID_Transfers]],"")</f>
        <v/>
      </c>
    </row>
    <row r="2879" spans="1:4" x14ac:dyDescent="0.45">
      <c r="A2879">
        <v>479</v>
      </c>
      <c r="B2879" s="3">
        <f t="shared" ca="1" si="44"/>
        <v>53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9" t="str">
        <f ca="1">IF(dict_zuord_Meth_Transfers[[#This Row],[kval_active]],dict_zuord_Meth_Transfers[[#This Row],[ID_Transfers]],"")</f>
        <v/>
      </c>
    </row>
    <row r="2880" spans="1:4" x14ac:dyDescent="0.45">
      <c r="A2880">
        <v>479</v>
      </c>
      <c r="B2880">
        <f t="shared" ca="1" si="44"/>
        <v>184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0" t="str">
        <f ca="1">IF(dict_zuord_Meth_Transfers[[#This Row],[kval_active]],dict_zuord_Meth_Transfers[[#This Row],[ID_Transfers]],"")</f>
        <v/>
      </c>
    </row>
    <row r="2881" spans="1:4" x14ac:dyDescent="0.45">
      <c r="A2881">
        <v>479</v>
      </c>
      <c r="B2881" s="3">
        <f t="shared" ca="1" si="44"/>
        <v>101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1" t="str">
        <f ca="1">IF(dict_zuord_Meth_Transfers[[#This Row],[kval_active]],dict_zuord_Meth_Transfers[[#This Row],[ID_Transfers]],"")</f>
        <v/>
      </c>
    </row>
    <row r="2882" spans="1:4" x14ac:dyDescent="0.45">
      <c r="A2882">
        <v>480</v>
      </c>
      <c r="B2882">
        <f t="shared" ref="B2882:B2945" ca="1" si="45">RANDBETWEEN(0,200)</f>
        <v>118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2" t="str">
        <f ca="1">IF(dict_zuord_Meth_Transfers[[#This Row],[kval_active]],dict_zuord_Meth_Transfers[[#This Row],[ID_Transfers]],"")</f>
        <v/>
      </c>
    </row>
    <row r="2883" spans="1:4" x14ac:dyDescent="0.45">
      <c r="A2883">
        <v>480</v>
      </c>
      <c r="B2883">
        <f t="shared" ca="1" si="45"/>
        <v>13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3" t="str">
        <f ca="1">IF(dict_zuord_Meth_Transfers[[#This Row],[kval_active]],dict_zuord_Meth_Transfers[[#This Row],[ID_Transfers]],"")</f>
        <v/>
      </c>
    </row>
    <row r="2884" spans="1:4" x14ac:dyDescent="0.45">
      <c r="A2884">
        <v>480</v>
      </c>
      <c r="B2884" s="3">
        <f t="shared" ca="1" si="45"/>
        <v>162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4" t="str">
        <f ca="1">IF(dict_zuord_Meth_Transfers[[#This Row],[kval_active]],dict_zuord_Meth_Transfers[[#This Row],[ID_Transfers]],"")</f>
        <v/>
      </c>
    </row>
    <row r="2885" spans="1:4" x14ac:dyDescent="0.45">
      <c r="A2885">
        <v>480</v>
      </c>
      <c r="B2885" s="3">
        <f t="shared" ca="1" si="45"/>
        <v>34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5" t="str">
        <f ca="1">IF(dict_zuord_Meth_Transfers[[#This Row],[kval_active]],dict_zuord_Meth_Transfers[[#This Row],[ID_Transfers]],"")</f>
        <v/>
      </c>
    </row>
    <row r="2886" spans="1:4" x14ac:dyDescent="0.45">
      <c r="A2886">
        <v>480</v>
      </c>
      <c r="B2886" s="3">
        <f t="shared" ca="1" si="45"/>
        <v>197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6" t="str">
        <f ca="1">IF(dict_zuord_Meth_Transfers[[#This Row],[kval_active]],dict_zuord_Meth_Transfers[[#This Row],[ID_Transfers]],"")</f>
        <v/>
      </c>
    </row>
    <row r="2887" spans="1:4" x14ac:dyDescent="0.45">
      <c r="A2887">
        <v>480</v>
      </c>
      <c r="B2887">
        <f t="shared" ca="1" si="45"/>
        <v>82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7" t="str">
        <f ca="1">IF(dict_zuord_Meth_Transfers[[#This Row],[kval_active]],dict_zuord_Meth_Transfers[[#This Row],[ID_Transfers]],"")</f>
        <v/>
      </c>
    </row>
    <row r="2888" spans="1:4" x14ac:dyDescent="0.45">
      <c r="A2888">
        <v>481</v>
      </c>
      <c r="B2888" s="3">
        <f t="shared" ca="1" si="45"/>
        <v>172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8" t="str">
        <f ca="1">IF(dict_zuord_Meth_Transfers[[#This Row],[kval_active]],dict_zuord_Meth_Transfers[[#This Row],[ID_Transfers]],"")</f>
        <v/>
      </c>
    </row>
    <row r="2889" spans="1:4" x14ac:dyDescent="0.45">
      <c r="A2889">
        <v>481</v>
      </c>
      <c r="B2889" s="3">
        <f t="shared" ca="1" si="45"/>
        <v>35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9" t="str">
        <f ca="1">IF(dict_zuord_Meth_Transfers[[#This Row],[kval_active]],dict_zuord_Meth_Transfers[[#This Row],[ID_Transfers]],"")</f>
        <v/>
      </c>
    </row>
    <row r="2890" spans="1:4" x14ac:dyDescent="0.45">
      <c r="A2890">
        <v>481</v>
      </c>
      <c r="B2890" s="3">
        <f t="shared" ca="1" si="45"/>
        <v>107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0" t="str">
        <f ca="1">IF(dict_zuord_Meth_Transfers[[#This Row],[kval_active]],dict_zuord_Meth_Transfers[[#This Row],[ID_Transfers]],"")</f>
        <v/>
      </c>
    </row>
    <row r="2891" spans="1:4" x14ac:dyDescent="0.45">
      <c r="A2891">
        <v>481</v>
      </c>
      <c r="B2891">
        <f t="shared" ca="1" si="45"/>
        <v>117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1" t="str">
        <f ca="1">IF(dict_zuord_Meth_Transfers[[#This Row],[kval_active]],dict_zuord_Meth_Transfers[[#This Row],[ID_Transfers]],"")</f>
        <v/>
      </c>
    </row>
    <row r="2892" spans="1:4" x14ac:dyDescent="0.45">
      <c r="A2892">
        <v>481</v>
      </c>
      <c r="B2892">
        <f t="shared" ca="1" si="45"/>
        <v>18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2" t="str">
        <f ca="1">IF(dict_zuord_Meth_Transfers[[#This Row],[kval_active]],dict_zuord_Meth_Transfers[[#This Row],[ID_Transfers]],"")</f>
        <v/>
      </c>
    </row>
    <row r="2893" spans="1:4" x14ac:dyDescent="0.45">
      <c r="A2893">
        <v>481</v>
      </c>
      <c r="B2893">
        <f t="shared" ca="1" si="45"/>
        <v>102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3" t="str">
        <f ca="1">IF(dict_zuord_Meth_Transfers[[#This Row],[kval_active]],dict_zuord_Meth_Transfers[[#This Row],[ID_Transfers]],"")</f>
        <v/>
      </c>
    </row>
    <row r="2894" spans="1:4" x14ac:dyDescent="0.45">
      <c r="A2894">
        <v>482</v>
      </c>
      <c r="B2894">
        <f t="shared" ca="1" si="45"/>
        <v>152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4" t="str">
        <f ca="1">IF(dict_zuord_Meth_Transfers[[#This Row],[kval_active]],dict_zuord_Meth_Transfers[[#This Row],[ID_Transfers]],"")</f>
        <v/>
      </c>
    </row>
    <row r="2895" spans="1:4" x14ac:dyDescent="0.45">
      <c r="A2895">
        <v>482</v>
      </c>
      <c r="B2895" s="3">
        <f t="shared" ca="1" si="45"/>
        <v>5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5" t="str">
        <f ca="1">IF(dict_zuord_Meth_Transfers[[#This Row],[kval_active]],dict_zuord_Meth_Transfers[[#This Row],[ID_Transfers]],"")</f>
        <v/>
      </c>
    </row>
    <row r="2896" spans="1:4" x14ac:dyDescent="0.45">
      <c r="A2896">
        <v>482</v>
      </c>
      <c r="B2896">
        <f t="shared" ca="1" si="45"/>
        <v>11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6" t="str">
        <f ca="1">IF(dict_zuord_Meth_Transfers[[#This Row],[kval_active]],dict_zuord_Meth_Transfers[[#This Row],[ID_Transfers]],"")</f>
        <v/>
      </c>
    </row>
    <row r="2897" spans="1:4" x14ac:dyDescent="0.45">
      <c r="A2897">
        <v>482</v>
      </c>
      <c r="B2897" s="3">
        <f t="shared" ca="1" si="45"/>
        <v>145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7" t="str">
        <f ca="1">IF(dict_zuord_Meth_Transfers[[#This Row],[kval_active]],dict_zuord_Meth_Transfers[[#This Row],[ID_Transfers]],"")</f>
        <v/>
      </c>
    </row>
    <row r="2898" spans="1:4" x14ac:dyDescent="0.45">
      <c r="A2898">
        <v>482</v>
      </c>
      <c r="B2898">
        <f t="shared" ca="1" si="45"/>
        <v>77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8" t="str">
        <f ca="1">IF(dict_zuord_Meth_Transfers[[#This Row],[kval_active]],dict_zuord_Meth_Transfers[[#This Row],[ID_Transfers]],"")</f>
        <v/>
      </c>
    </row>
    <row r="2899" spans="1:4" x14ac:dyDescent="0.45">
      <c r="A2899">
        <v>482</v>
      </c>
      <c r="B2899" s="3">
        <f t="shared" ca="1" si="45"/>
        <v>63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9" t="str">
        <f ca="1">IF(dict_zuord_Meth_Transfers[[#This Row],[kval_active]],dict_zuord_Meth_Transfers[[#This Row],[ID_Transfers]],"")</f>
        <v/>
      </c>
    </row>
    <row r="2900" spans="1:4" x14ac:dyDescent="0.45">
      <c r="A2900">
        <v>483</v>
      </c>
      <c r="B2900">
        <f t="shared" ca="1" si="45"/>
        <v>129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0" t="str">
        <f ca="1">IF(dict_zuord_Meth_Transfers[[#This Row],[kval_active]],dict_zuord_Meth_Transfers[[#This Row],[ID_Transfers]],"")</f>
        <v/>
      </c>
    </row>
    <row r="2901" spans="1:4" x14ac:dyDescent="0.45">
      <c r="A2901">
        <v>483</v>
      </c>
      <c r="B2901" s="3">
        <f t="shared" ca="1" si="45"/>
        <v>180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1" t="str">
        <f ca="1">IF(dict_zuord_Meth_Transfers[[#This Row],[kval_active]],dict_zuord_Meth_Transfers[[#This Row],[ID_Transfers]],"")</f>
        <v/>
      </c>
    </row>
    <row r="2902" spans="1:4" x14ac:dyDescent="0.45">
      <c r="A2902">
        <v>483</v>
      </c>
      <c r="B2902">
        <f t="shared" ca="1" si="45"/>
        <v>39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2" t="str">
        <f ca="1">IF(dict_zuord_Meth_Transfers[[#This Row],[kval_active]],dict_zuord_Meth_Transfers[[#This Row],[ID_Transfers]],"")</f>
        <v/>
      </c>
    </row>
    <row r="2903" spans="1:4" x14ac:dyDescent="0.45">
      <c r="A2903">
        <v>483</v>
      </c>
      <c r="B2903">
        <f t="shared" ca="1" si="45"/>
        <v>89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3" t="str">
        <f ca="1">IF(dict_zuord_Meth_Transfers[[#This Row],[kval_active]],dict_zuord_Meth_Transfers[[#This Row],[ID_Transfers]],"")</f>
        <v/>
      </c>
    </row>
    <row r="2904" spans="1:4" x14ac:dyDescent="0.45">
      <c r="A2904">
        <v>483</v>
      </c>
      <c r="B2904" s="3">
        <f t="shared" ca="1" si="45"/>
        <v>124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4" t="str">
        <f ca="1">IF(dict_zuord_Meth_Transfers[[#This Row],[kval_active]],dict_zuord_Meth_Transfers[[#This Row],[ID_Transfers]],"")</f>
        <v/>
      </c>
    </row>
    <row r="2905" spans="1:4" x14ac:dyDescent="0.45">
      <c r="A2905">
        <v>483</v>
      </c>
      <c r="B2905" s="3">
        <f t="shared" ca="1" si="45"/>
        <v>120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5" t="str">
        <f ca="1">IF(dict_zuord_Meth_Transfers[[#This Row],[kval_active]],dict_zuord_Meth_Transfers[[#This Row],[ID_Transfers]],"")</f>
        <v/>
      </c>
    </row>
    <row r="2906" spans="1:4" x14ac:dyDescent="0.45">
      <c r="A2906">
        <v>484</v>
      </c>
      <c r="B2906">
        <f t="shared" ca="1" si="45"/>
        <v>147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6" t="str">
        <f ca="1">IF(dict_zuord_Meth_Transfers[[#This Row],[kval_active]],dict_zuord_Meth_Transfers[[#This Row],[ID_Transfers]],"")</f>
        <v/>
      </c>
    </row>
    <row r="2907" spans="1:4" x14ac:dyDescent="0.45">
      <c r="A2907">
        <v>484</v>
      </c>
      <c r="B2907">
        <f t="shared" ca="1" si="45"/>
        <v>137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7" t="str">
        <f ca="1">IF(dict_zuord_Meth_Transfers[[#This Row],[kval_active]],dict_zuord_Meth_Transfers[[#This Row],[ID_Transfers]],"")</f>
        <v/>
      </c>
    </row>
    <row r="2908" spans="1:4" x14ac:dyDescent="0.45">
      <c r="A2908">
        <v>484</v>
      </c>
      <c r="B2908" s="3">
        <f t="shared" ca="1" si="45"/>
        <v>89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8" t="str">
        <f ca="1">IF(dict_zuord_Meth_Transfers[[#This Row],[kval_active]],dict_zuord_Meth_Transfers[[#This Row],[ID_Transfers]],"")</f>
        <v/>
      </c>
    </row>
    <row r="2909" spans="1:4" x14ac:dyDescent="0.45">
      <c r="A2909">
        <v>484</v>
      </c>
      <c r="B2909" s="3">
        <f t="shared" ca="1" si="45"/>
        <v>106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9" t="str">
        <f ca="1">IF(dict_zuord_Meth_Transfers[[#This Row],[kval_active]],dict_zuord_Meth_Transfers[[#This Row],[ID_Transfers]],"")</f>
        <v/>
      </c>
    </row>
    <row r="2910" spans="1:4" x14ac:dyDescent="0.45">
      <c r="A2910">
        <v>484</v>
      </c>
      <c r="B2910">
        <f t="shared" ca="1" si="45"/>
        <v>95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0" t="str">
        <f ca="1">IF(dict_zuord_Meth_Transfers[[#This Row],[kval_active]],dict_zuord_Meth_Transfers[[#This Row],[ID_Transfers]],"")</f>
        <v/>
      </c>
    </row>
    <row r="2911" spans="1:4" x14ac:dyDescent="0.45">
      <c r="A2911">
        <v>484</v>
      </c>
      <c r="B2911" s="3">
        <f t="shared" ca="1" si="45"/>
        <v>73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1" t="str">
        <f ca="1">IF(dict_zuord_Meth_Transfers[[#This Row],[kval_active]],dict_zuord_Meth_Transfers[[#This Row],[ID_Transfers]],"")</f>
        <v/>
      </c>
    </row>
    <row r="2912" spans="1:4" x14ac:dyDescent="0.45">
      <c r="A2912">
        <v>485</v>
      </c>
      <c r="B2912" s="3">
        <f t="shared" ca="1" si="45"/>
        <v>122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2" t="str">
        <f ca="1">IF(dict_zuord_Meth_Transfers[[#This Row],[kval_active]],dict_zuord_Meth_Transfers[[#This Row],[ID_Transfers]],"")</f>
        <v/>
      </c>
    </row>
    <row r="2913" spans="1:4" x14ac:dyDescent="0.45">
      <c r="A2913">
        <v>485</v>
      </c>
      <c r="B2913" s="3">
        <f t="shared" ca="1" si="45"/>
        <v>142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3" t="str">
        <f ca="1">IF(dict_zuord_Meth_Transfers[[#This Row],[kval_active]],dict_zuord_Meth_Transfers[[#This Row],[ID_Transfers]],"")</f>
        <v/>
      </c>
    </row>
    <row r="2914" spans="1:4" x14ac:dyDescent="0.45">
      <c r="A2914">
        <v>485</v>
      </c>
      <c r="B2914" s="3">
        <f t="shared" ca="1" si="45"/>
        <v>108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4" t="str">
        <f ca="1">IF(dict_zuord_Meth_Transfers[[#This Row],[kval_active]],dict_zuord_Meth_Transfers[[#This Row],[ID_Transfers]],"")</f>
        <v/>
      </c>
    </row>
    <row r="2915" spans="1:4" x14ac:dyDescent="0.45">
      <c r="A2915">
        <v>485</v>
      </c>
      <c r="B2915">
        <f t="shared" ca="1" si="45"/>
        <v>157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5" t="str">
        <f ca="1">IF(dict_zuord_Meth_Transfers[[#This Row],[kval_active]],dict_zuord_Meth_Transfers[[#This Row],[ID_Transfers]],"")</f>
        <v/>
      </c>
    </row>
    <row r="2916" spans="1:4" x14ac:dyDescent="0.45">
      <c r="A2916">
        <v>485</v>
      </c>
      <c r="B2916">
        <f t="shared" ca="1" si="45"/>
        <v>45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6" t="str">
        <f ca="1">IF(dict_zuord_Meth_Transfers[[#This Row],[kval_active]],dict_zuord_Meth_Transfers[[#This Row],[ID_Transfers]],"")</f>
        <v/>
      </c>
    </row>
    <row r="2917" spans="1:4" x14ac:dyDescent="0.45">
      <c r="A2917">
        <v>485</v>
      </c>
      <c r="B2917">
        <f t="shared" ca="1" si="45"/>
        <v>169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7" t="str">
        <f ca="1">IF(dict_zuord_Meth_Transfers[[#This Row],[kval_active]],dict_zuord_Meth_Transfers[[#This Row],[ID_Transfers]],"")</f>
        <v/>
      </c>
    </row>
    <row r="2918" spans="1:4" x14ac:dyDescent="0.45">
      <c r="A2918">
        <v>486</v>
      </c>
      <c r="B2918">
        <f t="shared" ca="1" si="45"/>
        <v>106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8" t="str">
        <f ca="1">IF(dict_zuord_Meth_Transfers[[#This Row],[kval_active]],dict_zuord_Meth_Transfers[[#This Row],[ID_Transfers]],"")</f>
        <v/>
      </c>
    </row>
    <row r="2919" spans="1:4" x14ac:dyDescent="0.45">
      <c r="A2919">
        <v>486</v>
      </c>
      <c r="B2919" s="3">
        <f t="shared" ca="1" si="45"/>
        <v>29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9" t="str">
        <f ca="1">IF(dict_zuord_Meth_Transfers[[#This Row],[kval_active]],dict_zuord_Meth_Transfers[[#This Row],[ID_Transfers]],"")</f>
        <v/>
      </c>
    </row>
    <row r="2920" spans="1:4" x14ac:dyDescent="0.45">
      <c r="A2920">
        <v>486</v>
      </c>
      <c r="B2920" s="3">
        <f t="shared" ca="1" si="45"/>
        <v>50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0" t="str">
        <f ca="1">IF(dict_zuord_Meth_Transfers[[#This Row],[kval_active]],dict_zuord_Meth_Transfers[[#This Row],[ID_Transfers]],"")</f>
        <v/>
      </c>
    </row>
    <row r="2921" spans="1:4" x14ac:dyDescent="0.45">
      <c r="A2921">
        <v>486</v>
      </c>
      <c r="B2921">
        <f t="shared" ca="1" si="45"/>
        <v>62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1" t="str">
        <f ca="1">IF(dict_zuord_Meth_Transfers[[#This Row],[kval_active]],dict_zuord_Meth_Transfers[[#This Row],[ID_Transfers]],"")</f>
        <v/>
      </c>
    </row>
    <row r="2922" spans="1:4" x14ac:dyDescent="0.45">
      <c r="A2922">
        <v>486</v>
      </c>
      <c r="B2922">
        <f t="shared" ca="1" si="45"/>
        <v>99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2" t="str">
        <f ca="1">IF(dict_zuord_Meth_Transfers[[#This Row],[kval_active]],dict_zuord_Meth_Transfers[[#This Row],[ID_Transfers]],"")</f>
        <v/>
      </c>
    </row>
    <row r="2923" spans="1:4" x14ac:dyDescent="0.45">
      <c r="A2923">
        <v>486</v>
      </c>
      <c r="B2923" s="3">
        <f t="shared" ca="1" si="45"/>
        <v>95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3" t="str">
        <f ca="1">IF(dict_zuord_Meth_Transfers[[#This Row],[kval_active]],dict_zuord_Meth_Transfers[[#This Row],[ID_Transfers]],"")</f>
        <v/>
      </c>
    </row>
    <row r="2924" spans="1:4" x14ac:dyDescent="0.45">
      <c r="A2924">
        <v>487</v>
      </c>
      <c r="B2924">
        <f t="shared" ca="1" si="45"/>
        <v>35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4" t="str">
        <f ca="1">IF(dict_zuord_Meth_Transfers[[#This Row],[kval_active]],dict_zuord_Meth_Transfers[[#This Row],[ID_Transfers]],"")</f>
        <v/>
      </c>
    </row>
    <row r="2925" spans="1:4" x14ac:dyDescent="0.45">
      <c r="A2925">
        <v>487</v>
      </c>
      <c r="B2925">
        <f t="shared" ca="1" si="45"/>
        <v>67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5" t="str">
        <f ca="1">IF(dict_zuord_Meth_Transfers[[#This Row],[kval_active]],dict_zuord_Meth_Transfers[[#This Row],[ID_Transfers]],"")</f>
        <v/>
      </c>
    </row>
    <row r="2926" spans="1:4" x14ac:dyDescent="0.45">
      <c r="A2926">
        <v>487</v>
      </c>
      <c r="B2926">
        <f t="shared" ca="1" si="45"/>
        <v>22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6" t="str">
        <f ca="1">IF(dict_zuord_Meth_Transfers[[#This Row],[kval_active]],dict_zuord_Meth_Transfers[[#This Row],[ID_Transfers]],"")</f>
        <v/>
      </c>
    </row>
    <row r="2927" spans="1:4" x14ac:dyDescent="0.45">
      <c r="A2927">
        <v>487</v>
      </c>
      <c r="B2927" s="3">
        <f t="shared" ca="1" si="45"/>
        <v>42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7" t="str">
        <f ca="1">IF(dict_zuord_Meth_Transfers[[#This Row],[kval_active]],dict_zuord_Meth_Transfers[[#This Row],[ID_Transfers]],"")</f>
        <v/>
      </c>
    </row>
    <row r="2928" spans="1:4" x14ac:dyDescent="0.45">
      <c r="A2928">
        <v>487</v>
      </c>
      <c r="B2928" s="3">
        <f t="shared" ca="1" si="45"/>
        <v>23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8" t="str">
        <f ca="1">IF(dict_zuord_Meth_Transfers[[#This Row],[kval_active]],dict_zuord_Meth_Transfers[[#This Row],[ID_Transfers]],"")</f>
        <v/>
      </c>
    </row>
    <row r="2929" spans="1:4" x14ac:dyDescent="0.45">
      <c r="A2929">
        <v>487</v>
      </c>
      <c r="B2929" s="3">
        <f t="shared" ca="1" si="45"/>
        <v>55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9" t="str">
        <f ca="1">IF(dict_zuord_Meth_Transfers[[#This Row],[kval_active]],dict_zuord_Meth_Transfers[[#This Row],[ID_Transfers]],"")</f>
        <v/>
      </c>
    </row>
    <row r="2930" spans="1:4" x14ac:dyDescent="0.45">
      <c r="A2930">
        <v>488</v>
      </c>
      <c r="B2930">
        <f t="shared" ca="1" si="45"/>
        <v>169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0" t="str">
        <f ca="1">IF(dict_zuord_Meth_Transfers[[#This Row],[kval_active]],dict_zuord_Meth_Transfers[[#This Row],[ID_Transfers]],"")</f>
        <v/>
      </c>
    </row>
    <row r="2931" spans="1:4" x14ac:dyDescent="0.45">
      <c r="A2931">
        <v>488</v>
      </c>
      <c r="B2931" s="3">
        <f t="shared" ca="1" si="45"/>
        <v>154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1" t="str">
        <f ca="1">IF(dict_zuord_Meth_Transfers[[#This Row],[kval_active]],dict_zuord_Meth_Transfers[[#This Row],[ID_Transfers]],"")</f>
        <v/>
      </c>
    </row>
    <row r="2932" spans="1:4" x14ac:dyDescent="0.45">
      <c r="A2932">
        <v>488</v>
      </c>
      <c r="B2932">
        <f t="shared" ca="1" si="45"/>
        <v>75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2" t="str">
        <f ca="1">IF(dict_zuord_Meth_Transfers[[#This Row],[kval_active]],dict_zuord_Meth_Transfers[[#This Row],[ID_Transfers]],"")</f>
        <v/>
      </c>
    </row>
    <row r="2933" spans="1:4" x14ac:dyDescent="0.45">
      <c r="A2933">
        <v>488</v>
      </c>
      <c r="B2933" s="3">
        <f t="shared" ca="1" si="45"/>
        <v>154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3" t="str">
        <f ca="1">IF(dict_zuord_Meth_Transfers[[#This Row],[kval_active]],dict_zuord_Meth_Transfers[[#This Row],[ID_Transfers]],"")</f>
        <v/>
      </c>
    </row>
    <row r="2934" spans="1:4" x14ac:dyDescent="0.45">
      <c r="A2934">
        <v>488</v>
      </c>
      <c r="B2934" s="3">
        <f t="shared" ca="1" si="45"/>
        <v>25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4" t="str">
        <f ca="1">IF(dict_zuord_Meth_Transfers[[#This Row],[kval_active]],dict_zuord_Meth_Transfers[[#This Row],[ID_Transfers]],"")</f>
        <v/>
      </c>
    </row>
    <row r="2935" spans="1:4" x14ac:dyDescent="0.45">
      <c r="A2935">
        <v>488</v>
      </c>
      <c r="B2935">
        <f t="shared" ca="1" si="45"/>
        <v>11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5" t="str">
        <f ca="1">IF(dict_zuord_Meth_Transfers[[#This Row],[kval_active]],dict_zuord_Meth_Transfers[[#This Row],[ID_Transfers]],"")</f>
        <v/>
      </c>
    </row>
    <row r="2936" spans="1:4" x14ac:dyDescent="0.45">
      <c r="A2936">
        <v>489</v>
      </c>
      <c r="B2936">
        <f t="shared" ca="1" si="45"/>
        <v>100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6" t="str">
        <f ca="1">IF(dict_zuord_Meth_Transfers[[#This Row],[kval_active]],dict_zuord_Meth_Transfers[[#This Row],[ID_Transfers]],"")</f>
        <v/>
      </c>
    </row>
    <row r="2937" spans="1:4" x14ac:dyDescent="0.45">
      <c r="A2937">
        <v>489</v>
      </c>
      <c r="B2937" s="3">
        <f t="shared" ca="1" si="45"/>
        <v>168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7" t="str">
        <f ca="1">IF(dict_zuord_Meth_Transfers[[#This Row],[kval_active]],dict_zuord_Meth_Transfers[[#This Row],[ID_Transfers]],"")</f>
        <v/>
      </c>
    </row>
    <row r="2938" spans="1:4" x14ac:dyDescent="0.45">
      <c r="A2938">
        <v>489</v>
      </c>
      <c r="B2938" s="3">
        <f t="shared" ca="1" si="45"/>
        <v>127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8" t="str">
        <f ca="1">IF(dict_zuord_Meth_Transfers[[#This Row],[kval_active]],dict_zuord_Meth_Transfers[[#This Row],[ID_Transfers]],"")</f>
        <v/>
      </c>
    </row>
    <row r="2939" spans="1:4" x14ac:dyDescent="0.45">
      <c r="A2939">
        <v>489</v>
      </c>
      <c r="B2939" s="3">
        <f t="shared" ca="1" si="45"/>
        <v>5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9" t="str">
        <f ca="1">IF(dict_zuord_Meth_Transfers[[#This Row],[kval_active]],dict_zuord_Meth_Transfers[[#This Row],[ID_Transfers]],"")</f>
        <v/>
      </c>
    </row>
    <row r="2940" spans="1:4" x14ac:dyDescent="0.45">
      <c r="A2940">
        <v>489</v>
      </c>
      <c r="B2940">
        <f t="shared" ca="1" si="45"/>
        <v>130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0" t="str">
        <f ca="1">IF(dict_zuord_Meth_Transfers[[#This Row],[kval_active]],dict_zuord_Meth_Transfers[[#This Row],[ID_Transfers]],"")</f>
        <v/>
      </c>
    </row>
    <row r="2941" spans="1:4" x14ac:dyDescent="0.45">
      <c r="A2941">
        <v>489</v>
      </c>
      <c r="B2941">
        <f t="shared" ca="1" si="45"/>
        <v>22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1" t="str">
        <f ca="1">IF(dict_zuord_Meth_Transfers[[#This Row],[kval_active]],dict_zuord_Meth_Transfers[[#This Row],[ID_Transfers]],"")</f>
        <v/>
      </c>
    </row>
    <row r="2942" spans="1:4" x14ac:dyDescent="0.45">
      <c r="A2942">
        <v>490</v>
      </c>
      <c r="B2942">
        <f t="shared" ca="1" si="45"/>
        <v>107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2" t="str">
        <f ca="1">IF(dict_zuord_Meth_Transfers[[#This Row],[kval_active]],dict_zuord_Meth_Transfers[[#This Row],[ID_Transfers]],"")</f>
        <v/>
      </c>
    </row>
    <row r="2943" spans="1:4" x14ac:dyDescent="0.45">
      <c r="A2943">
        <v>490</v>
      </c>
      <c r="B2943" s="3">
        <f t="shared" ca="1" si="45"/>
        <v>89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3" t="str">
        <f ca="1">IF(dict_zuord_Meth_Transfers[[#This Row],[kval_active]],dict_zuord_Meth_Transfers[[#This Row],[ID_Transfers]],"")</f>
        <v/>
      </c>
    </row>
    <row r="2944" spans="1:4" x14ac:dyDescent="0.45">
      <c r="A2944">
        <v>490</v>
      </c>
      <c r="B2944">
        <f t="shared" ca="1" si="45"/>
        <v>48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4" t="str">
        <f ca="1">IF(dict_zuord_Meth_Transfers[[#This Row],[kval_active]],dict_zuord_Meth_Transfers[[#This Row],[ID_Transfers]],"")</f>
        <v/>
      </c>
    </row>
    <row r="2945" spans="1:4" x14ac:dyDescent="0.45">
      <c r="A2945">
        <v>490</v>
      </c>
      <c r="B2945" s="3">
        <f t="shared" ca="1" si="45"/>
        <v>78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5" t="str">
        <f ca="1">IF(dict_zuord_Meth_Transfers[[#This Row],[kval_active]],dict_zuord_Meth_Transfers[[#This Row],[ID_Transfers]],"")</f>
        <v/>
      </c>
    </row>
    <row r="2946" spans="1:4" x14ac:dyDescent="0.45">
      <c r="A2946">
        <v>490</v>
      </c>
      <c r="B2946" s="3">
        <f t="shared" ref="B2946:B3009" ca="1" si="46">RANDBETWEEN(0,200)</f>
        <v>123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6" t="str">
        <f ca="1">IF(dict_zuord_Meth_Transfers[[#This Row],[kval_active]],dict_zuord_Meth_Transfers[[#This Row],[ID_Transfers]],"")</f>
        <v/>
      </c>
    </row>
    <row r="2947" spans="1:4" x14ac:dyDescent="0.45">
      <c r="A2947">
        <v>490</v>
      </c>
      <c r="B2947">
        <f t="shared" ca="1" si="46"/>
        <v>63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7" t="str">
        <f ca="1">IF(dict_zuord_Meth_Transfers[[#This Row],[kval_active]],dict_zuord_Meth_Transfers[[#This Row],[ID_Transfers]],"")</f>
        <v/>
      </c>
    </row>
    <row r="2948" spans="1:4" x14ac:dyDescent="0.45">
      <c r="A2948">
        <v>491</v>
      </c>
      <c r="B2948">
        <f t="shared" ca="1" si="46"/>
        <v>197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8" t="str">
        <f ca="1">IF(dict_zuord_Meth_Transfers[[#This Row],[kval_active]],dict_zuord_Meth_Transfers[[#This Row],[ID_Transfers]],"")</f>
        <v/>
      </c>
    </row>
    <row r="2949" spans="1:4" x14ac:dyDescent="0.45">
      <c r="A2949">
        <v>491</v>
      </c>
      <c r="B2949">
        <f t="shared" ca="1" si="46"/>
        <v>141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9" t="str">
        <f ca="1">IF(dict_zuord_Meth_Transfers[[#This Row],[kval_active]],dict_zuord_Meth_Transfers[[#This Row],[ID_Transfers]],"")</f>
        <v/>
      </c>
    </row>
    <row r="2950" spans="1:4" x14ac:dyDescent="0.45">
      <c r="A2950">
        <v>491</v>
      </c>
      <c r="B2950">
        <f t="shared" ca="1" si="46"/>
        <v>193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0" t="str">
        <f ca="1">IF(dict_zuord_Meth_Transfers[[#This Row],[kval_active]],dict_zuord_Meth_Transfers[[#This Row],[ID_Transfers]],"")</f>
        <v/>
      </c>
    </row>
    <row r="2951" spans="1:4" x14ac:dyDescent="0.45">
      <c r="A2951">
        <v>491</v>
      </c>
      <c r="B2951" s="3">
        <f t="shared" ca="1" si="46"/>
        <v>20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1" t="str">
        <f ca="1">IF(dict_zuord_Meth_Transfers[[#This Row],[kval_active]],dict_zuord_Meth_Transfers[[#This Row],[ID_Transfers]],"")</f>
        <v/>
      </c>
    </row>
    <row r="2952" spans="1:4" x14ac:dyDescent="0.45">
      <c r="A2952">
        <v>491</v>
      </c>
      <c r="B2952" s="3">
        <f t="shared" ca="1" si="46"/>
        <v>111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2" t="str">
        <f ca="1">IF(dict_zuord_Meth_Transfers[[#This Row],[kval_active]],dict_zuord_Meth_Transfers[[#This Row],[ID_Transfers]],"")</f>
        <v/>
      </c>
    </row>
    <row r="2953" spans="1:4" x14ac:dyDescent="0.45">
      <c r="A2953">
        <v>491</v>
      </c>
      <c r="B2953" s="3">
        <f t="shared" ca="1" si="46"/>
        <v>199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3" t="str">
        <f ca="1">IF(dict_zuord_Meth_Transfers[[#This Row],[kval_active]],dict_zuord_Meth_Transfers[[#This Row],[ID_Transfers]],"")</f>
        <v/>
      </c>
    </row>
    <row r="2954" spans="1:4" x14ac:dyDescent="0.45">
      <c r="A2954">
        <v>492</v>
      </c>
      <c r="B2954" s="3">
        <f t="shared" ca="1" si="46"/>
        <v>54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4" t="str">
        <f ca="1">IF(dict_zuord_Meth_Transfers[[#This Row],[kval_active]],dict_zuord_Meth_Transfers[[#This Row],[ID_Transfers]],"")</f>
        <v/>
      </c>
    </row>
    <row r="2955" spans="1:4" x14ac:dyDescent="0.45">
      <c r="A2955">
        <v>492</v>
      </c>
      <c r="B2955" s="3">
        <f t="shared" ca="1" si="46"/>
        <v>9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5" t="str">
        <f ca="1">IF(dict_zuord_Meth_Transfers[[#This Row],[kval_active]],dict_zuord_Meth_Transfers[[#This Row],[ID_Transfers]],"")</f>
        <v/>
      </c>
    </row>
    <row r="2956" spans="1:4" x14ac:dyDescent="0.45">
      <c r="A2956">
        <v>492</v>
      </c>
      <c r="B2956" s="3">
        <f t="shared" ca="1" si="46"/>
        <v>170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6" t="str">
        <f ca="1">IF(dict_zuord_Meth_Transfers[[#This Row],[kval_active]],dict_zuord_Meth_Transfers[[#This Row],[ID_Transfers]],"")</f>
        <v/>
      </c>
    </row>
    <row r="2957" spans="1:4" x14ac:dyDescent="0.45">
      <c r="A2957">
        <v>492</v>
      </c>
      <c r="B2957">
        <f t="shared" ca="1" si="46"/>
        <v>179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7" t="str">
        <f ca="1">IF(dict_zuord_Meth_Transfers[[#This Row],[kval_active]],dict_zuord_Meth_Transfers[[#This Row],[ID_Transfers]],"")</f>
        <v/>
      </c>
    </row>
    <row r="2958" spans="1:4" x14ac:dyDescent="0.45">
      <c r="A2958">
        <v>492</v>
      </c>
      <c r="B2958">
        <f t="shared" ca="1" si="46"/>
        <v>128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8" t="str">
        <f ca="1">IF(dict_zuord_Meth_Transfers[[#This Row],[kval_active]],dict_zuord_Meth_Transfers[[#This Row],[ID_Transfers]],"")</f>
        <v/>
      </c>
    </row>
    <row r="2959" spans="1:4" x14ac:dyDescent="0.45">
      <c r="A2959">
        <v>492</v>
      </c>
      <c r="B2959">
        <f t="shared" ca="1" si="46"/>
        <v>5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9" t="str">
        <f ca="1">IF(dict_zuord_Meth_Transfers[[#This Row],[kval_active]],dict_zuord_Meth_Transfers[[#This Row],[ID_Transfers]],"")</f>
        <v/>
      </c>
    </row>
    <row r="2960" spans="1:4" x14ac:dyDescent="0.45">
      <c r="A2960">
        <v>493</v>
      </c>
      <c r="B2960">
        <f t="shared" ca="1" si="46"/>
        <v>131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0" t="str">
        <f ca="1">IF(dict_zuord_Meth_Transfers[[#This Row],[kval_active]],dict_zuord_Meth_Transfers[[#This Row],[ID_Transfers]],"")</f>
        <v/>
      </c>
    </row>
    <row r="2961" spans="1:4" x14ac:dyDescent="0.45">
      <c r="A2961">
        <v>493</v>
      </c>
      <c r="B2961" s="3">
        <f t="shared" ca="1" si="46"/>
        <v>76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1" t="str">
        <f ca="1">IF(dict_zuord_Meth_Transfers[[#This Row],[kval_active]],dict_zuord_Meth_Transfers[[#This Row],[ID_Transfers]],"")</f>
        <v/>
      </c>
    </row>
    <row r="2962" spans="1:4" x14ac:dyDescent="0.45">
      <c r="A2962">
        <v>493</v>
      </c>
      <c r="B2962" s="3">
        <f t="shared" ca="1" si="46"/>
        <v>63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2" t="str">
        <f ca="1">IF(dict_zuord_Meth_Transfers[[#This Row],[kval_active]],dict_zuord_Meth_Transfers[[#This Row],[ID_Transfers]],"")</f>
        <v/>
      </c>
    </row>
    <row r="2963" spans="1:4" x14ac:dyDescent="0.45">
      <c r="A2963">
        <v>493</v>
      </c>
      <c r="B2963">
        <f t="shared" ca="1" si="46"/>
        <v>40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3" t="str">
        <f ca="1">IF(dict_zuord_Meth_Transfers[[#This Row],[kval_active]],dict_zuord_Meth_Transfers[[#This Row],[ID_Transfers]],"")</f>
        <v/>
      </c>
    </row>
    <row r="2964" spans="1:4" x14ac:dyDescent="0.45">
      <c r="A2964">
        <v>493</v>
      </c>
      <c r="B2964" s="3">
        <f t="shared" ca="1" si="46"/>
        <v>156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4" t="str">
        <f ca="1">IF(dict_zuord_Meth_Transfers[[#This Row],[kval_active]],dict_zuord_Meth_Transfers[[#This Row],[ID_Transfers]],"")</f>
        <v/>
      </c>
    </row>
    <row r="2965" spans="1:4" x14ac:dyDescent="0.45">
      <c r="A2965">
        <v>493</v>
      </c>
      <c r="B2965">
        <f t="shared" ca="1" si="46"/>
        <v>123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5" t="str">
        <f ca="1">IF(dict_zuord_Meth_Transfers[[#This Row],[kval_active]],dict_zuord_Meth_Transfers[[#This Row],[ID_Transfers]],"")</f>
        <v/>
      </c>
    </row>
    <row r="2966" spans="1:4" x14ac:dyDescent="0.45">
      <c r="A2966">
        <v>494</v>
      </c>
      <c r="B2966" s="3">
        <f t="shared" ca="1" si="46"/>
        <v>64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6" t="str">
        <f ca="1">IF(dict_zuord_Meth_Transfers[[#This Row],[kval_active]],dict_zuord_Meth_Transfers[[#This Row],[ID_Transfers]],"")</f>
        <v/>
      </c>
    </row>
    <row r="2967" spans="1:4" x14ac:dyDescent="0.45">
      <c r="A2967">
        <v>494</v>
      </c>
      <c r="B2967">
        <f t="shared" ca="1" si="46"/>
        <v>133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7" t="str">
        <f ca="1">IF(dict_zuord_Meth_Transfers[[#This Row],[kval_active]],dict_zuord_Meth_Transfers[[#This Row],[ID_Transfers]],"")</f>
        <v/>
      </c>
    </row>
    <row r="2968" spans="1:4" x14ac:dyDescent="0.45">
      <c r="A2968">
        <v>494</v>
      </c>
      <c r="B2968">
        <f t="shared" ca="1" si="46"/>
        <v>123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8" t="str">
        <f ca="1">IF(dict_zuord_Meth_Transfers[[#This Row],[kval_active]],dict_zuord_Meth_Transfers[[#This Row],[ID_Transfers]],"")</f>
        <v/>
      </c>
    </row>
    <row r="2969" spans="1:4" x14ac:dyDescent="0.45">
      <c r="A2969">
        <v>494</v>
      </c>
      <c r="B2969" s="3">
        <f t="shared" ca="1" si="46"/>
        <v>167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9" t="str">
        <f ca="1">IF(dict_zuord_Meth_Transfers[[#This Row],[kval_active]],dict_zuord_Meth_Transfers[[#This Row],[ID_Transfers]],"")</f>
        <v/>
      </c>
    </row>
    <row r="2970" spans="1:4" x14ac:dyDescent="0.45">
      <c r="A2970">
        <v>494</v>
      </c>
      <c r="B2970">
        <f t="shared" ca="1" si="46"/>
        <v>177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0" t="str">
        <f ca="1">IF(dict_zuord_Meth_Transfers[[#This Row],[kval_active]],dict_zuord_Meth_Transfers[[#This Row],[ID_Transfers]],"")</f>
        <v/>
      </c>
    </row>
    <row r="2971" spans="1:4" x14ac:dyDescent="0.45">
      <c r="A2971">
        <v>494</v>
      </c>
      <c r="B2971" s="3">
        <f t="shared" ca="1" si="46"/>
        <v>60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1" t="str">
        <f ca="1">IF(dict_zuord_Meth_Transfers[[#This Row],[kval_active]],dict_zuord_Meth_Transfers[[#This Row],[ID_Transfers]],"")</f>
        <v/>
      </c>
    </row>
    <row r="2972" spans="1:4" x14ac:dyDescent="0.45">
      <c r="A2972">
        <v>495</v>
      </c>
      <c r="B2972">
        <f t="shared" ca="1" si="46"/>
        <v>91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2" t="str">
        <f ca="1">IF(dict_zuord_Meth_Transfers[[#This Row],[kval_active]],dict_zuord_Meth_Transfers[[#This Row],[ID_Transfers]],"")</f>
        <v/>
      </c>
    </row>
    <row r="2973" spans="1:4" x14ac:dyDescent="0.45">
      <c r="A2973">
        <v>495</v>
      </c>
      <c r="B2973" s="3">
        <f t="shared" ca="1" si="46"/>
        <v>55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3" t="str">
        <f ca="1">IF(dict_zuord_Meth_Transfers[[#This Row],[kval_active]],dict_zuord_Meth_Transfers[[#This Row],[ID_Transfers]],"")</f>
        <v/>
      </c>
    </row>
    <row r="2974" spans="1:4" x14ac:dyDescent="0.45">
      <c r="A2974">
        <v>495</v>
      </c>
      <c r="B2974" s="3">
        <f t="shared" ca="1" si="46"/>
        <v>15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4" t="str">
        <f ca="1">IF(dict_zuord_Meth_Transfers[[#This Row],[kval_active]],dict_zuord_Meth_Transfers[[#This Row],[ID_Transfers]],"")</f>
        <v/>
      </c>
    </row>
    <row r="2975" spans="1:4" x14ac:dyDescent="0.45">
      <c r="A2975">
        <v>495</v>
      </c>
      <c r="B2975">
        <f t="shared" ca="1" si="46"/>
        <v>47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5" t="str">
        <f ca="1">IF(dict_zuord_Meth_Transfers[[#This Row],[kval_active]],dict_zuord_Meth_Transfers[[#This Row],[ID_Transfers]],"")</f>
        <v/>
      </c>
    </row>
    <row r="2976" spans="1:4" x14ac:dyDescent="0.45">
      <c r="A2976">
        <v>495</v>
      </c>
      <c r="B2976" s="3">
        <f t="shared" ca="1" si="46"/>
        <v>25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6" t="str">
        <f ca="1">IF(dict_zuord_Meth_Transfers[[#This Row],[kval_active]],dict_zuord_Meth_Transfers[[#This Row],[ID_Transfers]],"")</f>
        <v/>
      </c>
    </row>
    <row r="2977" spans="1:4" x14ac:dyDescent="0.45">
      <c r="A2977">
        <v>495</v>
      </c>
      <c r="B2977">
        <f t="shared" ca="1" si="46"/>
        <v>16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7" t="str">
        <f ca="1">IF(dict_zuord_Meth_Transfers[[#This Row],[kval_active]],dict_zuord_Meth_Transfers[[#This Row],[ID_Transfers]],"")</f>
        <v/>
      </c>
    </row>
    <row r="2978" spans="1:4" x14ac:dyDescent="0.45">
      <c r="A2978">
        <v>496</v>
      </c>
      <c r="B2978">
        <f t="shared" ca="1" si="46"/>
        <v>10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8" t="str">
        <f ca="1">IF(dict_zuord_Meth_Transfers[[#This Row],[kval_active]],dict_zuord_Meth_Transfers[[#This Row],[ID_Transfers]],"")</f>
        <v/>
      </c>
    </row>
    <row r="2979" spans="1:4" x14ac:dyDescent="0.45">
      <c r="A2979">
        <v>496</v>
      </c>
      <c r="B2979" s="3">
        <f t="shared" ca="1" si="46"/>
        <v>173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9" t="str">
        <f ca="1">IF(dict_zuord_Meth_Transfers[[#This Row],[kval_active]],dict_zuord_Meth_Transfers[[#This Row],[ID_Transfers]],"")</f>
        <v/>
      </c>
    </row>
    <row r="2980" spans="1:4" x14ac:dyDescent="0.45">
      <c r="A2980">
        <v>496</v>
      </c>
      <c r="B2980">
        <f t="shared" ca="1" si="46"/>
        <v>130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0" t="str">
        <f ca="1">IF(dict_zuord_Meth_Transfers[[#This Row],[kval_active]],dict_zuord_Meth_Transfers[[#This Row],[ID_Transfers]],"")</f>
        <v/>
      </c>
    </row>
    <row r="2981" spans="1:4" x14ac:dyDescent="0.45">
      <c r="A2981">
        <v>496</v>
      </c>
      <c r="B2981">
        <f t="shared" ca="1" si="46"/>
        <v>3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1" t="str">
        <f ca="1">IF(dict_zuord_Meth_Transfers[[#This Row],[kval_active]],dict_zuord_Meth_Transfers[[#This Row],[ID_Transfers]],"")</f>
        <v/>
      </c>
    </row>
    <row r="2982" spans="1:4" x14ac:dyDescent="0.45">
      <c r="A2982">
        <v>496</v>
      </c>
      <c r="B2982" s="3">
        <f t="shared" ca="1" si="46"/>
        <v>187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2" t="str">
        <f ca="1">IF(dict_zuord_Meth_Transfers[[#This Row],[kval_active]],dict_zuord_Meth_Transfers[[#This Row],[ID_Transfers]],"")</f>
        <v/>
      </c>
    </row>
    <row r="2983" spans="1:4" x14ac:dyDescent="0.45">
      <c r="A2983">
        <v>496</v>
      </c>
      <c r="B2983" s="3">
        <f t="shared" ca="1" si="46"/>
        <v>6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3" t="str">
        <f ca="1">IF(dict_zuord_Meth_Transfers[[#This Row],[kval_active]],dict_zuord_Meth_Transfers[[#This Row],[ID_Transfers]],"")</f>
        <v/>
      </c>
    </row>
    <row r="2984" spans="1:4" x14ac:dyDescent="0.45">
      <c r="A2984">
        <v>497</v>
      </c>
      <c r="B2984" s="3">
        <f t="shared" ca="1" si="46"/>
        <v>35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4" t="str">
        <f ca="1">IF(dict_zuord_Meth_Transfers[[#This Row],[kval_active]],dict_zuord_Meth_Transfers[[#This Row],[ID_Transfers]],"")</f>
        <v/>
      </c>
    </row>
    <row r="2985" spans="1:4" x14ac:dyDescent="0.45">
      <c r="A2985">
        <v>497</v>
      </c>
      <c r="B2985" s="3">
        <f t="shared" ca="1" si="46"/>
        <v>104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5" t="str">
        <f ca="1">IF(dict_zuord_Meth_Transfers[[#This Row],[kval_active]],dict_zuord_Meth_Transfers[[#This Row],[ID_Transfers]],"")</f>
        <v/>
      </c>
    </row>
    <row r="2986" spans="1:4" x14ac:dyDescent="0.45">
      <c r="A2986">
        <v>497</v>
      </c>
      <c r="B2986">
        <f t="shared" ca="1" si="46"/>
        <v>25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6" t="str">
        <f ca="1">IF(dict_zuord_Meth_Transfers[[#This Row],[kval_active]],dict_zuord_Meth_Transfers[[#This Row],[ID_Transfers]],"")</f>
        <v/>
      </c>
    </row>
    <row r="2987" spans="1:4" x14ac:dyDescent="0.45">
      <c r="A2987">
        <v>497</v>
      </c>
      <c r="B2987">
        <f t="shared" ca="1" si="46"/>
        <v>103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7" t="str">
        <f ca="1">IF(dict_zuord_Meth_Transfers[[#This Row],[kval_active]],dict_zuord_Meth_Transfers[[#This Row],[ID_Transfers]],"")</f>
        <v/>
      </c>
    </row>
    <row r="2988" spans="1:4" x14ac:dyDescent="0.45">
      <c r="A2988">
        <v>497</v>
      </c>
      <c r="B2988">
        <f t="shared" ca="1" si="46"/>
        <v>18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8" t="str">
        <f ca="1">IF(dict_zuord_Meth_Transfers[[#This Row],[kval_active]],dict_zuord_Meth_Transfers[[#This Row],[ID_Transfers]],"")</f>
        <v/>
      </c>
    </row>
    <row r="2989" spans="1:4" x14ac:dyDescent="0.45">
      <c r="A2989">
        <v>497</v>
      </c>
      <c r="B2989" s="3">
        <f t="shared" ca="1" si="46"/>
        <v>27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9" t="str">
        <f ca="1">IF(dict_zuord_Meth_Transfers[[#This Row],[kval_active]],dict_zuord_Meth_Transfers[[#This Row],[ID_Transfers]],"")</f>
        <v/>
      </c>
    </row>
    <row r="2990" spans="1:4" x14ac:dyDescent="0.45">
      <c r="A2990">
        <v>498</v>
      </c>
      <c r="B2990" s="3">
        <f t="shared" ca="1" si="46"/>
        <v>73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0" t="str">
        <f ca="1">IF(dict_zuord_Meth_Transfers[[#This Row],[kval_active]],dict_zuord_Meth_Transfers[[#This Row],[ID_Transfers]],"")</f>
        <v/>
      </c>
    </row>
    <row r="2991" spans="1:4" x14ac:dyDescent="0.45">
      <c r="A2991">
        <v>498</v>
      </c>
      <c r="B2991">
        <f t="shared" ca="1" si="46"/>
        <v>106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1" t="str">
        <f ca="1">IF(dict_zuord_Meth_Transfers[[#This Row],[kval_active]],dict_zuord_Meth_Transfers[[#This Row],[ID_Transfers]],"")</f>
        <v/>
      </c>
    </row>
    <row r="2992" spans="1:4" x14ac:dyDescent="0.45">
      <c r="A2992">
        <v>498</v>
      </c>
      <c r="B2992" s="3">
        <f t="shared" ca="1" si="46"/>
        <v>70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2" t="str">
        <f ca="1">IF(dict_zuord_Meth_Transfers[[#This Row],[kval_active]],dict_zuord_Meth_Transfers[[#This Row],[ID_Transfers]],"")</f>
        <v/>
      </c>
    </row>
    <row r="2993" spans="1:4" x14ac:dyDescent="0.45">
      <c r="A2993">
        <v>498</v>
      </c>
      <c r="B2993">
        <f t="shared" ca="1" si="46"/>
        <v>60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3" t="str">
        <f ca="1">IF(dict_zuord_Meth_Transfers[[#This Row],[kval_active]],dict_zuord_Meth_Transfers[[#This Row],[ID_Transfers]],"")</f>
        <v/>
      </c>
    </row>
    <row r="2994" spans="1:4" x14ac:dyDescent="0.45">
      <c r="A2994">
        <v>498</v>
      </c>
      <c r="B2994">
        <f t="shared" ca="1" si="46"/>
        <v>87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4" t="str">
        <f ca="1">IF(dict_zuord_Meth_Transfers[[#This Row],[kval_active]],dict_zuord_Meth_Transfers[[#This Row],[ID_Transfers]],"")</f>
        <v/>
      </c>
    </row>
    <row r="2995" spans="1:4" x14ac:dyDescent="0.45">
      <c r="A2995">
        <v>498</v>
      </c>
      <c r="B2995" s="3">
        <f t="shared" ca="1" si="46"/>
        <v>61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5" t="str">
        <f ca="1">IF(dict_zuord_Meth_Transfers[[#This Row],[kval_active]],dict_zuord_Meth_Transfers[[#This Row],[ID_Transfers]],"")</f>
        <v/>
      </c>
    </row>
    <row r="2996" spans="1:4" x14ac:dyDescent="0.45">
      <c r="A2996">
        <v>499</v>
      </c>
      <c r="B2996">
        <f t="shared" ca="1" si="46"/>
        <v>59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6" t="str">
        <f ca="1">IF(dict_zuord_Meth_Transfers[[#This Row],[kval_active]],dict_zuord_Meth_Transfers[[#This Row],[ID_Transfers]],"")</f>
        <v/>
      </c>
    </row>
    <row r="2997" spans="1:4" x14ac:dyDescent="0.45">
      <c r="A2997">
        <v>499</v>
      </c>
      <c r="B2997" s="3">
        <f t="shared" ca="1" si="46"/>
        <v>168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7" t="str">
        <f ca="1">IF(dict_zuord_Meth_Transfers[[#This Row],[kval_active]],dict_zuord_Meth_Transfers[[#This Row],[ID_Transfers]],"")</f>
        <v/>
      </c>
    </row>
    <row r="2998" spans="1:4" x14ac:dyDescent="0.45">
      <c r="A2998">
        <v>499</v>
      </c>
      <c r="B2998">
        <f t="shared" ca="1" si="46"/>
        <v>164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8" t="str">
        <f ca="1">IF(dict_zuord_Meth_Transfers[[#This Row],[kval_active]],dict_zuord_Meth_Transfers[[#This Row],[ID_Transfers]],"")</f>
        <v/>
      </c>
    </row>
    <row r="2999" spans="1:4" x14ac:dyDescent="0.45">
      <c r="A2999">
        <v>499</v>
      </c>
      <c r="B2999" s="3">
        <f t="shared" ca="1" si="46"/>
        <v>200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9" t="str">
        <f ca="1">IF(dict_zuord_Meth_Transfers[[#This Row],[kval_active]],dict_zuord_Meth_Transfers[[#This Row],[ID_Transfers]],"")</f>
        <v/>
      </c>
    </row>
    <row r="3000" spans="1:4" x14ac:dyDescent="0.45">
      <c r="A3000">
        <v>499</v>
      </c>
      <c r="B3000" s="3">
        <f t="shared" ca="1" si="46"/>
        <v>142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0" t="str">
        <f ca="1">IF(dict_zuord_Meth_Transfers[[#This Row],[kval_active]],dict_zuord_Meth_Transfers[[#This Row],[ID_Transfers]],"")</f>
        <v/>
      </c>
    </row>
    <row r="3001" spans="1:4" x14ac:dyDescent="0.45">
      <c r="A3001">
        <v>499</v>
      </c>
      <c r="B3001">
        <f t="shared" ca="1" si="46"/>
        <v>68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1" t="str">
        <f ca="1">IF(dict_zuord_Meth_Transfers[[#This Row],[kval_active]],dict_zuord_Meth_Transfers[[#This Row],[ID_Transfers]],"")</f>
        <v/>
      </c>
    </row>
    <row r="3002" spans="1:4" x14ac:dyDescent="0.45">
      <c r="A3002">
        <v>500</v>
      </c>
      <c r="B3002">
        <f t="shared" ca="1" si="46"/>
        <v>17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2" t="str">
        <f ca="1">IF(dict_zuord_Meth_Transfers[[#This Row],[kval_active]],dict_zuord_Meth_Transfers[[#This Row],[ID_Transfers]],"")</f>
        <v/>
      </c>
    </row>
    <row r="3003" spans="1:4" x14ac:dyDescent="0.45">
      <c r="A3003">
        <v>500</v>
      </c>
      <c r="B3003" s="3">
        <f t="shared" ca="1" si="46"/>
        <v>29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3" t="str">
        <f ca="1">IF(dict_zuord_Meth_Transfers[[#This Row],[kval_active]],dict_zuord_Meth_Transfers[[#This Row],[ID_Transfers]],"")</f>
        <v/>
      </c>
    </row>
    <row r="3004" spans="1:4" x14ac:dyDescent="0.45">
      <c r="A3004">
        <v>500</v>
      </c>
      <c r="B3004" s="3">
        <f t="shared" ca="1" si="46"/>
        <v>66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4" t="str">
        <f ca="1">IF(dict_zuord_Meth_Transfers[[#This Row],[kval_active]],dict_zuord_Meth_Transfers[[#This Row],[ID_Transfers]],"")</f>
        <v/>
      </c>
    </row>
    <row r="3005" spans="1:4" x14ac:dyDescent="0.45">
      <c r="A3005">
        <v>500</v>
      </c>
      <c r="B3005" s="3">
        <f t="shared" ca="1" si="46"/>
        <v>99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5" t="str">
        <f ca="1">IF(dict_zuord_Meth_Transfers[[#This Row],[kval_active]],dict_zuord_Meth_Transfers[[#This Row],[ID_Transfers]],"")</f>
        <v/>
      </c>
    </row>
    <row r="3006" spans="1:4" x14ac:dyDescent="0.45">
      <c r="A3006">
        <v>500</v>
      </c>
      <c r="B3006">
        <f t="shared" ca="1" si="46"/>
        <v>188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6" t="str">
        <f ca="1">IF(dict_zuord_Meth_Transfers[[#This Row],[kval_active]],dict_zuord_Meth_Transfers[[#This Row],[ID_Transfers]],"")</f>
        <v/>
      </c>
    </row>
    <row r="3007" spans="1:4" x14ac:dyDescent="0.45">
      <c r="A3007">
        <v>500</v>
      </c>
      <c r="B3007">
        <f t="shared" ca="1" si="46"/>
        <v>4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7" t="str">
        <f ca="1">IF(dict_zuord_Meth_Transfers[[#This Row],[kval_active]],dict_zuord_Meth_Transfers[[#This Row],[ID_Transfers]],"")</f>
        <v/>
      </c>
    </row>
    <row r="3008" spans="1:4" x14ac:dyDescent="0.45">
      <c r="A3008">
        <v>501</v>
      </c>
      <c r="B3008">
        <f t="shared" ca="1" si="46"/>
        <v>60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8" t="str">
        <f ca="1">IF(dict_zuord_Meth_Transfers[[#This Row],[kval_active]],dict_zuord_Meth_Transfers[[#This Row],[ID_Transfers]],"")</f>
        <v/>
      </c>
    </row>
    <row r="3009" spans="1:4" x14ac:dyDescent="0.45">
      <c r="A3009">
        <v>501</v>
      </c>
      <c r="B3009">
        <f t="shared" ca="1" si="46"/>
        <v>117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9" t="str">
        <f ca="1">IF(dict_zuord_Meth_Transfers[[#This Row],[kval_active]],dict_zuord_Meth_Transfers[[#This Row],[ID_Transfers]],"")</f>
        <v/>
      </c>
    </row>
    <row r="3010" spans="1:4" x14ac:dyDescent="0.45">
      <c r="A3010">
        <v>501</v>
      </c>
      <c r="B3010" s="3">
        <f t="shared" ref="B3010:B3073" ca="1" si="47">RANDBETWEEN(0,200)</f>
        <v>1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0" t="str">
        <f ca="1">IF(dict_zuord_Meth_Transfers[[#This Row],[kval_active]],dict_zuord_Meth_Transfers[[#This Row],[ID_Transfers]],"")</f>
        <v/>
      </c>
    </row>
    <row r="3011" spans="1:4" x14ac:dyDescent="0.45">
      <c r="A3011">
        <v>501</v>
      </c>
      <c r="B3011" s="3">
        <f t="shared" ca="1" si="47"/>
        <v>159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1" t="str">
        <f ca="1">IF(dict_zuord_Meth_Transfers[[#This Row],[kval_active]],dict_zuord_Meth_Transfers[[#This Row],[ID_Transfers]],"")</f>
        <v/>
      </c>
    </row>
    <row r="3012" spans="1:4" x14ac:dyDescent="0.45">
      <c r="A3012">
        <v>501</v>
      </c>
      <c r="B3012">
        <f t="shared" ca="1" si="47"/>
        <v>12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2" t="str">
        <f ca="1">IF(dict_zuord_Meth_Transfers[[#This Row],[kval_active]],dict_zuord_Meth_Transfers[[#This Row],[ID_Transfers]],"")</f>
        <v/>
      </c>
    </row>
    <row r="3013" spans="1:4" x14ac:dyDescent="0.45">
      <c r="A3013">
        <v>501</v>
      </c>
      <c r="B3013" s="3">
        <f t="shared" ca="1" si="47"/>
        <v>24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3" t="str">
        <f ca="1">IF(dict_zuord_Meth_Transfers[[#This Row],[kval_active]],dict_zuord_Meth_Transfers[[#This Row],[ID_Transfers]],"")</f>
        <v/>
      </c>
    </row>
    <row r="3014" spans="1:4" x14ac:dyDescent="0.45">
      <c r="A3014">
        <v>502</v>
      </c>
      <c r="B3014" s="3">
        <f t="shared" ca="1" si="47"/>
        <v>157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4" t="str">
        <f ca="1">IF(dict_zuord_Meth_Transfers[[#This Row],[kval_active]],dict_zuord_Meth_Transfers[[#This Row],[ID_Transfers]],"")</f>
        <v/>
      </c>
    </row>
    <row r="3015" spans="1:4" x14ac:dyDescent="0.45">
      <c r="A3015">
        <v>502</v>
      </c>
      <c r="B3015">
        <f t="shared" ca="1" si="47"/>
        <v>144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5" t="str">
        <f ca="1">IF(dict_zuord_Meth_Transfers[[#This Row],[kval_active]],dict_zuord_Meth_Transfers[[#This Row],[ID_Transfers]],"")</f>
        <v/>
      </c>
    </row>
    <row r="3016" spans="1:4" x14ac:dyDescent="0.45">
      <c r="A3016">
        <v>502</v>
      </c>
      <c r="B3016" s="3">
        <f t="shared" ca="1" si="47"/>
        <v>112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6" t="str">
        <f ca="1">IF(dict_zuord_Meth_Transfers[[#This Row],[kval_active]],dict_zuord_Meth_Transfers[[#This Row],[ID_Transfers]],"")</f>
        <v/>
      </c>
    </row>
    <row r="3017" spans="1:4" x14ac:dyDescent="0.45">
      <c r="A3017">
        <v>502</v>
      </c>
      <c r="B3017">
        <f t="shared" ca="1" si="47"/>
        <v>145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7" t="str">
        <f ca="1">IF(dict_zuord_Meth_Transfers[[#This Row],[kval_active]],dict_zuord_Meth_Transfers[[#This Row],[ID_Transfers]],"")</f>
        <v/>
      </c>
    </row>
    <row r="3018" spans="1:4" x14ac:dyDescent="0.45">
      <c r="A3018">
        <v>502</v>
      </c>
      <c r="B3018">
        <f t="shared" ca="1" si="47"/>
        <v>83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8" t="str">
        <f ca="1">IF(dict_zuord_Meth_Transfers[[#This Row],[kval_active]],dict_zuord_Meth_Transfers[[#This Row],[ID_Transfers]],"")</f>
        <v/>
      </c>
    </row>
    <row r="3019" spans="1:4" x14ac:dyDescent="0.45">
      <c r="A3019">
        <v>502</v>
      </c>
      <c r="B3019" s="3">
        <f t="shared" ca="1" si="47"/>
        <v>62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9" t="str">
        <f ca="1">IF(dict_zuord_Meth_Transfers[[#This Row],[kval_active]],dict_zuord_Meth_Transfers[[#This Row],[ID_Transfers]],"")</f>
        <v/>
      </c>
    </row>
    <row r="3020" spans="1:4" x14ac:dyDescent="0.45">
      <c r="A3020">
        <v>503</v>
      </c>
      <c r="B3020">
        <f t="shared" ca="1" si="47"/>
        <v>147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0" t="str">
        <f ca="1">IF(dict_zuord_Meth_Transfers[[#This Row],[kval_active]],dict_zuord_Meth_Transfers[[#This Row],[ID_Transfers]],"")</f>
        <v/>
      </c>
    </row>
    <row r="3021" spans="1:4" x14ac:dyDescent="0.45">
      <c r="A3021">
        <v>503</v>
      </c>
      <c r="B3021">
        <f t="shared" ca="1" si="47"/>
        <v>160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1" t="str">
        <f ca="1">IF(dict_zuord_Meth_Transfers[[#This Row],[kval_active]],dict_zuord_Meth_Transfers[[#This Row],[ID_Transfers]],"")</f>
        <v/>
      </c>
    </row>
    <row r="3022" spans="1:4" x14ac:dyDescent="0.45">
      <c r="A3022">
        <v>503</v>
      </c>
      <c r="B3022" s="3">
        <f t="shared" ca="1" si="47"/>
        <v>101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2" t="str">
        <f ca="1">IF(dict_zuord_Meth_Transfers[[#This Row],[kval_active]],dict_zuord_Meth_Transfers[[#This Row],[ID_Transfers]],"")</f>
        <v/>
      </c>
    </row>
    <row r="3023" spans="1:4" x14ac:dyDescent="0.45">
      <c r="A3023">
        <v>503</v>
      </c>
      <c r="B3023">
        <f t="shared" ca="1" si="47"/>
        <v>180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3" t="str">
        <f ca="1">IF(dict_zuord_Meth_Transfers[[#This Row],[kval_active]],dict_zuord_Meth_Transfers[[#This Row],[ID_Transfers]],"")</f>
        <v/>
      </c>
    </row>
    <row r="3024" spans="1:4" x14ac:dyDescent="0.45">
      <c r="A3024">
        <v>503</v>
      </c>
      <c r="B3024" s="3">
        <f t="shared" ca="1" si="47"/>
        <v>90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4" t="str">
        <f ca="1">IF(dict_zuord_Meth_Transfers[[#This Row],[kval_active]],dict_zuord_Meth_Transfers[[#This Row],[ID_Transfers]],"")</f>
        <v/>
      </c>
    </row>
    <row r="3025" spans="1:4" x14ac:dyDescent="0.45">
      <c r="A3025">
        <v>503</v>
      </c>
      <c r="B3025" s="3">
        <f t="shared" ca="1" si="47"/>
        <v>20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5" t="str">
        <f ca="1">IF(dict_zuord_Meth_Transfers[[#This Row],[kval_active]],dict_zuord_Meth_Transfers[[#This Row],[ID_Transfers]],"")</f>
        <v/>
      </c>
    </row>
    <row r="3026" spans="1:4" x14ac:dyDescent="0.45">
      <c r="A3026">
        <v>504</v>
      </c>
      <c r="B3026">
        <f t="shared" ca="1" si="47"/>
        <v>18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6" t="str">
        <f ca="1">IF(dict_zuord_Meth_Transfers[[#This Row],[kval_active]],dict_zuord_Meth_Transfers[[#This Row],[ID_Transfers]],"")</f>
        <v/>
      </c>
    </row>
    <row r="3027" spans="1:4" x14ac:dyDescent="0.45">
      <c r="A3027">
        <v>504</v>
      </c>
      <c r="B3027" s="3">
        <f t="shared" ca="1" si="47"/>
        <v>150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7" t="str">
        <f ca="1">IF(dict_zuord_Meth_Transfers[[#This Row],[kval_active]],dict_zuord_Meth_Transfers[[#This Row],[ID_Transfers]],"")</f>
        <v/>
      </c>
    </row>
    <row r="3028" spans="1:4" x14ac:dyDescent="0.45">
      <c r="A3028">
        <v>504</v>
      </c>
      <c r="B3028">
        <f t="shared" ca="1" si="47"/>
        <v>103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8" t="str">
        <f ca="1">IF(dict_zuord_Meth_Transfers[[#This Row],[kval_active]],dict_zuord_Meth_Transfers[[#This Row],[ID_Transfers]],"")</f>
        <v/>
      </c>
    </row>
    <row r="3029" spans="1:4" x14ac:dyDescent="0.45">
      <c r="A3029">
        <v>504</v>
      </c>
      <c r="B3029">
        <f t="shared" ca="1" si="47"/>
        <v>157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9" t="str">
        <f ca="1">IF(dict_zuord_Meth_Transfers[[#This Row],[kval_active]],dict_zuord_Meth_Transfers[[#This Row],[ID_Transfers]],"")</f>
        <v/>
      </c>
    </row>
    <row r="3030" spans="1:4" x14ac:dyDescent="0.45">
      <c r="A3030">
        <v>504</v>
      </c>
      <c r="B3030" s="3">
        <f t="shared" ca="1" si="47"/>
        <v>119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0" t="str">
        <f ca="1">IF(dict_zuord_Meth_Transfers[[#This Row],[kval_active]],dict_zuord_Meth_Transfers[[#This Row],[ID_Transfers]],"")</f>
        <v/>
      </c>
    </row>
    <row r="3031" spans="1:4" x14ac:dyDescent="0.45">
      <c r="A3031">
        <v>504</v>
      </c>
      <c r="B3031" s="3">
        <f t="shared" ca="1" si="47"/>
        <v>110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1" t="str">
        <f ca="1">IF(dict_zuord_Meth_Transfers[[#This Row],[kval_active]],dict_zuord_Meth_Transfers[[#This Row],[ID_Transfers]],"")</f>
        <v/>
      </c>
    </row>
    <row r="3032" spans="1:4" x14ac:dyDescent="0.45">
      <c r="A3032">
        <v>505</v>
      </c>
      <c r="B3032">
        <f t="shared" ca="1" si="47"/>
        <v>67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2" t="str">
        <f ca="1">IF(dict_zuord_Meth_Transfers[[#This Row],[kval_active]],dict_zuord_Meth_Transfers[[#This Row],[ID_Transfers]],"")</f>
        <v/>
      </c>
    </row>
    <row r="3033" spans="1:4" x14ac:dyDescent="0.45">
      <c r="A3033">
        <v>505</v>
      </c>
      <c r="B3033" s="3">
        <f t="shared" ca="1" si="47"/>
        <v>118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3" t="str">
        <f ca="1">IF(dict_zuord_Meth_Transfers[[#This Row],[kval_active]],dict_zuord_Meth_Transfers[[#This Row],[ID_Transfers]],"")</f>
        <v/>
      </c>
    </row>
    <row r="3034" spans="1:4" x14ac:dyDescent="0.45">
      <c r="A3034">
        <v>505</v>
      </c>
      <c r="B3034" s="3">
        <f t="shared" ca="1" si="47"/>
        <v>145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4" t="str">
        <f ca="1">IF(dict_zuord_Meth_Transfers[[#This Row],[kval_active]],dict_zuord_Meth_Transfers[[#This Row],[ID_Transfers]],"")</f>
        <v/>
      </c>
    </row>
    <row r="3035" spans="1:4" x14ac:dyDescent="0.45">
      <c r="A3035">
        <v>505</v>
      </c>
      <c r="B3035">
        <f t="shared" ca="1" si="47"/>
        <v>165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5" t="str">
        <f ca="1">IF(dict_zuord_Meth_Transfers[[#This Row],[kval_active]],dict_zuord_Meth_Transfers[[#This Row],[ID_Transfers]],"")</f>
        <v/>
      </c>
    </row>
    <row r="3036" spans="1:4" x14ac:dyDescent="0.45">
      <c r="A3036">
        <v>505</v>
      </c>
      <c r="B3036" s="3">
        <f t="shared" ca="1" si="47"/>
        <v>191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6" t="str">
        <f ca="1">IF(dict_zuord_Meth_Transfers[[#This Row],[kval_active]],dict_zuord_Meth_Transfers[[#This Row],[ID_Transfers]],"")</f>
        <v/>
      </c>
    </row>
    <row r="3037" spans="1:4" x14ac:dyDescent="0.45">
      <c r="A3037">
        <v>505</v>
      </c>
      <c r="B3037">
        <f t="shared" ca="1" si="47"/>
        <v>161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7" t="str">
        <f ca="1">IF(dict_zuord_Meth_Transfers[[#This Row],[kval_active]],dict_zuord_Meth_Transfers[[#This Row],[ID_Transfers]],"")</f>
        <v/>
      </c>
    </row>
    <row r="3038" spans="1:4" x14ac:dyDescent="0.45">
      <c r="A3038">
        <v>506</v>
      </c>
      <c r="B3038">
        <f t="shared" ca="1" si="47"/>
        <v>117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8" t="str">
        <f ca="1">IF(dict_zuord_Meth_Transfers[[#This Row],[kval_active]],dict_zuord_Meth_Transfers[[#This Row],[ID_Transfers]],"")</f>
        <v/>
      </c>
    </row>
    <row r="3039" spans="1:4" x14ac:dyDescent="0.45">
      <c r="A3039">
        <v>506</v>
      </c>
      <c r="B3039" s="3">
        <f t="shared" ca="1" si="47"/>
        <v>184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9" t="str">
        <f ca="1">IF(dict_zuord_Meth_Transfers[[#This Row],[kval_active]],dict_zuord_Meth_Transfers[[#This Row],[ID_Transfers]],"")</f>
        <v/>
      </c>
    </row>
    <row r="3040" spans="1:4" x14ac:dyDescent="0.45">
      <c r="A3040">
        <v>506</v>
      </c>
      <c r="B3040" s="3">
        <f t="shared" ca="1" si="47"/>
        <v>113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0" t="str">
        <f ca="1">IF(dict_zuord_Meth_Transfers[[#This Row],[kval_active]],dict_zuord_Meth_Transfers[[#This Row],[ID_Transfers]],"")</f>
        <v/>
      </c>
    </row>
    <row r="3041" spans="1:4" x14ac:dyDescent="0.45">
      <c r="A3041">
        <v>506</v>
      </c>
      <c r="B3041" s="3">
        <f t="shared" ca="1" si="47"/>
        <v>190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1" t="str">
        <f ca="1">IF(dict_zuord_Meth_Transfers[[#This Row],[kval_active]],dict_zuord_Meth_Transfers[[#This Row],[ID_Transfers]],"")</f>
        <v/>
      </c>
    </row>
    <row r="3042" spans="1:4" x14ac:dyDescent="0.45">
      <c r="A3042">
        <v>506</v>
      </c>
      <c r="B3042">
        <f t="shared" ca="1" si="47"/>
        <v>27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2" t="str">
        <f ca="1">IF(dict_zuord_Meth_Transfers[[#This Row],[kval_active]],dict_zuord_Meth_Transfers[[#This Row],[ID_Transfers]],"")</f>
        <v/>
      </c>
    </row>
    <row r="3043" spans="1:4" x14ac:dyDescent="0.45">
      <c r="A3043">
        <v>506</v>
      </c>
      <c r="B3043">
        <f t="shared" ca="1" si="47"/>
        <v>161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3" t="str">
        <f ca="1">IF(dict_zuord_Meth_Transfers[[#This Row],[kval_active]],dict_zuord_Meth_Transfers[[#This Row],[ID_Transfers]],"")</f>
        <v/>
      </c>
    </row>
    <row r="3044" spans="1:4" x14ac:dyDescent="0.45">
      <c r="A3044">
        <v>507</v>
      </c>
      <c r="B3044" s="3">
        <f t="shared" ca="1" si="47"/>
        <v>153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4" t="str">
        <f ca="1">IF(dict_zuord_Meth_Transfers[[#This Row],[kval_active]],dict_zuord_Meth_Transfers[[#This Row],[ID_Transfers]],"")</f>
        <v/>
      </c>
    </row>
    <row r="3045" spans="1:4" x14ac:dyDescent="0.45">
      <c r="A3045">
        <v>507</v>
      </c>
      <c r="B3045" s="3">
        <f t="shared" ca="1" si="47"/>
        <v>154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5" t="str">
        <f ca="1">IF(dict_zuord_Meth_Transfers[[#This Row],[kval_active]],dict_zuord_Meth_Transfers[[#This Row],[ID_Transfers]],"")</f>
        <v/>
      </c>
    </row>
    <row r="3046" spans="1:4" x14ac:dyDescent="0.45">
      <c r="A3046">
        <v>507</v>
      </c>
      <c r="B3046">
        <f t="shared" ca="1" si="47"/>
        <v>95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6" t="str">
        <f ca="1">IF(dict_zuord_Meth_Transfers[[#This Row],[kval_active]],dict_zuord_Meth_Transfers[[#This Row],[ID_Transfers]],"")</f>
        <v/>
      </c>
    </row>
    <row r="3047" spans="1:4" x14ac:dyDescent="0.45">
      <c r="A3047">
        <v>507</v>
      </c>
      <c r="B3047">
        <f t="shared" ca="1" si="47"/>
        <v>47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7" t="str">
        <f ca="1">IF(dict_zuord_Meth_Transfers[[#This Row],[kval_active]],dict_zuord_Meth_Transfers[[#This Row],[ID_Transfers]],"")</f>
        <v/>
      </c>
    </row>
    <row r="3048" spans="1:4" x14ac:dyDescent="0.45">
      <c r="A3048">
        <v>507</v>
      </c>
      <c r="B3048">
        <f t="shared" ca="1" si="47"/>
        <v>161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8" t="str">
        <f ca="1">IF(dict_zuord_Meth_Transfers[[#This Row],[kval_active]],dict_zuord_Meth_Transfers[[#This Row],[ID_Transfers]],"")</f>
        <v/>
      </c>
    </row>
    <row r="3049" spans="1:4" x14ac:dyDescent="0.45">
      <c r="A3049">
        <v>507</v>
      </c>
      <c r="B3049" s="3">
        <f t="shared" ca="1" si="47"/>
        <v>89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9" t="str">
        <f ca="1">IF(dict_zuord_Meth_Transfers[[#This Row],[kval_active]],dict_zuord_Meth_Transfers[[#This Row],[ID_Transfers]],"")</f>
        <v/>
      </c>
    </row>
    <row r="3050" spans="1:4" x14ac:dyDescent="0.45">
      <c r="A3050">
        <v>508</v>
      </c>
      <c r="B3050" s="3">
        <f t="shared" ca="1" si="47"/>
        <v>179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0" t="str">
        <f ca="1">IF(dict_zuord_Meth_Transfers[[#This Row],[kval_active]],dict_zuord_Meth_Transfers[[#This Row],[ID_Transfers]],"")</f>
        <v/>
      </c>
    </row>
    <row r="3051" spans="1:4" x14ac:dyDescent="0.45">
      <c r="A3051">
        <v>508</v>
      </c>
      <c r="B3051">
        <f t="shared" ca="1" si="47"/>
        <v>52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1" t="str">
        <f ca="1">IF(dict_zuord_Meth_Transfers[[#This Row],[kval_active]],dict_zuord_Meth_Transfers[[#This Row],[ID_Transfers]],"")</f>
        <v/>
      </c>
    </row>
    <row r="3052" spans="1:4" x14ac:dyDescent="0.45">
      <c r="A3052">
        <v>508</v>
      </c>
      <c r="B3052" s="3">
        <f t="shared" ca="1" si="47"/>
        <v>55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2" t="str">
        <f ca="1">IF(dict_zuord_Meth_Transfers[[#This Row],[kval_active]],dict_zuord_Meth_Transfers[[#This Row],[ID_Transfers]],"")</f>
        <v/>
      </c>
    </row>
    <row r="3053" spans="1:4" x14ac:dyDescent="0.45">
      <c r="A3053">
        <v>508</v>
      </c>
      <c r="B3053" s="3">
        <f t="shared" ca="1" si="47"/>
        <v>69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3" t="str">
        <f ca="1">IF(dict_zuord_Meth_Transfers[[#This Row],[kval_active]],dict_zuord_Meth_Transfers[[#This Row],[ID_Transfers]],"")</f>
        <v/>
      </c>
    </row>
    <row r="3054" spans="1:4" x14ac:dyDescent="0.45">
      <c r="A3054">
        <v>508</v>
      </c>
      <c r="B3054">
        <f t="shared" ca="1" si="47"/>
        <v>122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4" t="str">
        <f ca="1">IF(dict_zuord_Meth_Transfers[[#This Row],[kval_active]],dict_zuord_Meth_Transfers[[#This Row],[ID_Transfers]],"")</f>
        <v/>
      </c>
    </row>
    <row r="3055" spans="1:4" x14ac:dyDescent="0.45">
      <c r="A3055">
        <v>508</v>
      </c>
      <c r="B3055">
        <f t="shared" ca="1" si="47"/>
        <v>63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5" t="str">
        <f ca="1">IF(dict_zuord_Meth_Transfers[[#This Row],[kval_active]],dict_zuord_Meth_Transfers[[#This Row],[ID_Transfers]],"")</f>
        <v/>
      </c>
    </row>
    <row r="3056" spans="1:4" x14ac:dyDescent="0.45">
      <c r="A3056">
        <v>509</v>
      </c>
      <c r="B3056">
        <f t="shared" ca="1" si="47"/>
        <v>153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6">
        <f ca="1">IF(dict_zuord_Meth_Transfers[[#This Row],[kval_active]],dict_zuord_Meth_Transfers[[#This Row],[ID_Transfers]],"")</f>
        <v>153</v>
      </c>
    </row>
    <row r="3057" spans="1:4" x14ac:dyDescent="0.45">
      <c r="A3057">
        <v>509</v>
      </c>
      <c r="B3057">
        <f t="shared" ca="1" si="47"/>
        <v>38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7">
        <f ca="1">IF(dict_zuord_Meth_Transfers[[#This Row],[kval_active]],dict_zuord_Meth_Transfers[[#This Row],[ID_Transfers]],"")</f>
        <v>38</v>
      </c>
    </row>
    <row r="3058" spans="1:4" x14ac:dyDescent="0.45">
      <c r="A3058">
        <v>509</v>
      </c>
      <c r="B3058" s="3">
        <f t="shared" ca="1" si="47"/>
        <v>190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8">
        <f ca="1">IF(dict_zuord_Meth_Transfers[[#This Row],[kval_active]],dict_zuord_Meth_Transfers[[#This Row],[ID_Transfers]],"")</f>
        <v>190</v>
      </c>
    </row>
    <row r="3059" spans="1:4" x14ac:dyDescent="0.45">
      <c r="A3059">
        <v>509</v>
      </c>
      <c r="B3059">
        <f t="shared" ca="1" si="47"/>
        <v>95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9">
        <f ca="1">IF(dict_zuord_Meth_Transfers[[#This Row],[kval_active]],dict_zuord_Meth_Transfers[[#This Row],[ID_Transfers]],"")</f>
        <v>95</v>
      </c>
    </row>
    <row r="3060" spans="1:4" x14ac:dyDescent="0.45">
      <c r="A3060">
        <v>509</v>
      </c>
      <c r="B3060" s="3">
        <f t="shared" ca="1" si="47"/>
        <v>194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0">
        <f ca="1">IF(dict_zuord_Meth_Transfers[[#This Row],[kval_active]],dict_zuord_Meth_Transfers[[#This Row],[ID_Transfers]],"")</f>
        <v>194</v>
      </c>
    </row>
    <row r="3061" spans="1:4" x14ac:dyDescent="0.45">
      <c r="A3061">
        <v>509</v>
      </c>
      <c r="B3061" s="3">
        <f t="shared" ca="1" si="47"/>
        <v>101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1">
        <f ca="1">IF(dict_zuord_Meth_Transfers[[#This Row],[kval_active]],dict_zuord_Meth_Transfers[[#This Row],[ID_Transfers]],"")</f>
        <v>101</v>
      </c>
    </row>
    <row r="3062" spans="1:4" x14ac:dyDescent="0.45">
      <c r="A3062">
        <v>510</v>
      </c>
      <c r="B3062">
        <f t="shared" ca="1" si="47"/>
        <v>33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2" t="str">
        <f ca="1">IF(dict_zuord_Meth_Transfers[[#This Row],[kval_active]],dict_zuord_Meth_Transfers[[#This Row],[ID_Transfers]],"")</f>
        <v/>
      </c>
    </row>
    <row r="3063" spans="1:4" x14ac:dyDescent="0.45">
      <c r="A3063">
        <v>510</v>
      </c>
      <c r="B3063">
        <f t="shared" ca="1" si="47"/>
        <v>167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3" t="str">
        <f ca="1">IF(dict_zuord_Meth_Transfers[[#This Row],[kval_active]],dict_zuord_Meth_Transfers[[#This Row],[ID_Transfers]],"")</f>
        <v/>
      </c>
    </row>
    <row r="3064" spans="1:4" x14ac:dyDescent="0.45">
      <c r="A3064">
        <v>510</v>
      </c>
      <c r="B3064" s="3">
        <f t="shared" ca="1" si="47"/>
        <v>132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4" t="str">
        <f ca="1">IF(dict_zuord_Meth_Transfers[[#This Row],[kval_active]],dict_zuord_Meth_Transfers[[#This Row],[ID_Transfers]],"")</f>
        <v/>
      </c>
    </row>
    <row r="3065" spans="1:4" x14ac:dyDescent="0.45">
      <c r="A3065">
        <v>510</v>
      </c>
      <c r="B3065" s="3">
        <f t="shared" ca="1" si="47"/>
        <v>85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5" t="str">
        <f ca="1">IF(dict_zuord_Meth_Transfers[[#This Row],[kval_active]],dict_zuord_Meth_Transfers[[#This Row],[ID_Transfers]],"")</f>
        <v/>
      </c>
    </row>
    <row r="3066" spans="1:4" x14ac:dyDescent="0.45">
      <c r="A3066">
        <v>510</v>
      </c>
      <c r="B3066">
        <f t="shared" ca="1" si="47"/>
        <v>175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6" t="str">
        <f ca="1">IF(dict_zuord_Meth_Transfers[[#This Row],[kval_active]],dict_zuord_Meth_Transfers[[#This Row],[ID_Transfers]],"")</f>
        <v/>
      </c>
    </row>
    <row r="3067" spans="1:4" x14ac:dyDescent="0.45">
      <c r="A3067">
        <v>510</v>
      </c>
      <c r="B3067" s="3">
        <f t="shared" ca="1" si="47"/>
        <v>58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7" t="str">
        <f ca="1">IF(dict_zuord_Meth_Transfers[[#This Row],[kval_active]],dict_zuord_Meth_Transfers[[#This Row],[ID_Transfers]],"")</f>
        <v/>
      </c>
    </row>
    <row r="3068" spans="1:4" x14ac:dyDescent="0.45">
      <c r="A3068">
        <v>511</v>
      </c>
      <c r="B3068" s="3">
        <f t="shared" ca="1" si="47"/>
        <v>108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8" t="str">
        <f ca="1">IF(dict_zuord_Meth_Transfers[[#This Row],[kval_active]],dict_zuord_Meth_Transfers[[#This Row],[ID_Transfers]],"")</f>
        <v/>
      </c>
    </row>
    <row r="3069" spans="1:4" x14ac:dyDescent="0.45">
      <c r="A3069">
        <v>511</v>
      </c>
      <c r="B3069">
        <f t="shared" ca="1" si="47"/>
        <v>66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9" t="str">
        <f ca="1">IF(dict_zuord_Meth_Transfers[[#This Row],[kval_active]],dict_zuord_Meth_Transfers[[#This Row],[ID_Transfers]],"")</f>
        <v/>
      </c>
    </row>
    <row r="3070" spans="1:4" x14ac:dyDescent="0.45">
      <c r="A3070">
        <v>511</v>
      </c>
      <c r="B3070">
        <f t="shared" ca="1" si="47"/>
        <v>178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0" t="str">
        <f ca="1">IF(dict_zuord_Meth_Transfers[[#This Row],[kval_active]],dict_zuord_Meth_Transfers[[#This Row],[ID_Transfers]],"")</f>
        <v/>
      </c>
    </row>
    <row r="3071" spans="1:4" x14ac:dyDescent="0.45">
      <c r="A3071">
        <v>511</v>
      </c>
      <c r="B3071">
        <f t="shared" ca="1" si="47"/>
        <v>97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1" t="str">
        <f ca="1">IF(dict_zuord_Meth_Transfers[[#This Row],[kval_active]],dict_zuord_Meth_Transfers[[#This Row],[ID_Transfers]],"")</f>
        <v/>
      </c>
    </row>
    <row r="3072" spans="1:4" x14ac:dyDescent="0.45">
      <c r="A3072">
        <v>511</v>
      </c>
      <c r="B3072" s="3">
        <f t="shared" ca="1" si="47"/>
        <v>44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2" t="str">
        <f ca="1">IF(dict_zuord_Meth_Transfers[[#This Row],[kval_active]],dict_zuord_Meth_Transfers[[#This Row],[ID_Transfers]],"")</f>
        <v/>
      </c>
    </row>
    <row r="3073" spans="1:4" x14ac:dyDescent="0.45">
      <c r="A3073">
        <v>511</v>
      </c>
      <c r="B3073" s="3">
        <f t="shared" ca="1" si="47"/>
        <v>59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3" t="str">
        <f ca="1">IF(dict_zuord_Meth_Transfers[[#This Row],[kval_active]],dict_zuord_Meth_Transfers[[#This Row],[ID_Transfers]],"")</f>
        <v/>
      </c>
    </row>
    <row r="3074" spans="1:4" x14ac:dyDescent="0.45">
      <c r="A3074">
        <v>512</v>
      </c>
      <c r="B3074" s="3">
        <f t="shared" ref="B3074:B3137" ca="1" si="48">RANDBETWEEN(0,200)</f>
        <v>55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4" t="str">
        <f ca="1">IF(dict_zuord_Meth_Transfers[[#This Row],[kval_active]],dict_zuord_Meth_Transfers[[#This Row],[ID_Transfers]],"")</f>
        <v/>
      </c>
    </row>
    <row r="3075" spans="1:4" x14ac:dyDescent="0.45">
      <c r="A3075">
        <v>512</v>
      </c>
      <c r="B3075" s="3">
        <f t="shared" ca="1" si="48"/>
        <v>60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5" t="str">
        <f ca="1">IF(dict_zuord_Meth_Transfers[[#This Row],[kval_active]],dict_zuord_Meth_Transfers[[#This Row],[ID_Transfers]],"")</f>
        <v/>
      </c>
    </row>
    <row r="3076" spans="1:4" x14ac:dyDescent="0.45">
      <c r="A3076">
        <v>512</v>
      </c>
      <c r="B3076">
        <f t="shared" ca="1" si="48"/>
        <v>21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6" t="str">
        <f ca="1">IF(dict_zuord_Meth_Transfers[[#This Row],[kval_active]],dict_zuord_Meth_Transfers[[#This Row],[ID_Transfers]],"")</f>
        <v/>
      </c>
    </row>
    <row r="3077" spans="1:4" x14ac:dyDescent="0.45">
      <c r="A3077">
        <v>512</v>
      </c>
      <c r="B3077" s="3">
        <f t="shared" ca="1" si="48"/>
        <v>135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7" t="str">
        <f ca="1">IF(dict_zuord_Meth_Transfers[[#This Row],[kval_active]],dict_zuord_Meth_Transfers[[#This Row],[ID_Transfers]],"")</f>
        <v/>
      </c>
    </row>
    <row r="3078" spans="1:4" x14ac:dyDescent="0.45">
      <c r="A3078">
        <v>512</v>
      </c>
      <c r="B3078">
        <f t="shared" ca="1" si="48"/>
        <v>185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8" t="str">
        <f ca="1">IF(dict_zuord_Meth_Transfers[[#This Row],[kval_active]],dict_zuord_Meth_Transfers[[#This Row],[ID_Transfers]],"")</f>
        <v/>
      </c>
    </row>
    <row r="3079" spans="1:4" x14ac:dyDescent="0.45">
      <c r="A3079">
        <v>512</v>
      </c>
      <c r="B3079">
        <f t="shared" ca="1" si="48"/>
        <v>27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9" t="str">
        <f ca="1">IF(dict_zuord_Meth_Transfers[[#This Row],[kval_active]],dict_zuord_Meth_Transfers[[#This Row],[ID_Transfers]],"")</f>
        <v/>
      </c>
    </row>
    <row r="3080" spans="1:4" x14ac:dyDescent="0.45">
      <c r="A3080">
        <v>513</v>
      </c>
      <c r="B3080">
        <f t="shared" ca="1" si="48"/>
        <v>186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0" t="str">
        <f ca="1">IF(dict_zuord_Meth_Transfers[[#This Row],[kval_active]],dict_zuord_Meth_Transfers[[#This Row],[ID_Transfers]],"")</f>
        <v/>
      </c>
    </row>
    <row r="3081" spans="1:4" x14ac:dyDescent="0.45">
      <c r="A3081">
        <v>513</v>
      </c>
      <c r="B3081">
        <f t="shared" ca="1" si="48"/>
        <v>190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1" t="str">
        <f ca="1">IF(dict_zuord_Meth_Transfers[[#This Row],[kval_active]],dict_zuord_Meth_Transfers[[#This Row],[ID_Transfers]],"")</f>
        <v/>
      </c>
    </row>
    <row r="3082" spans="1:4" x14ac:dyDescent="0.45">
      <c r="A3082">
        <v>513</v>
      </c>
      <c r="B3082">
        <f t="shared" ca="1" si="48"/>
        <v>6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2" t="str">
        <f ca="1">IF(dict_zuord_Meth_Transfers[[#This Row],[kval_active]],dict_zuord_Meth_Transfers[[#This Row],[ID_Transfers]],"")</f>
        <v/>
      </c>
    </row>
    <row r="3083" spans="1:4" x14ac:dyDescent="0.45">
      <c r="A3083">
        <v>513</v>
      </c>
      <c r="B3083" s="3">
        <f t="shared" ca="1" si="48"/>
        <v>13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3" t="str">
        <f ca="1">IF(dict_zuord_Meth_Transfers[[#This Row],[kval_active]],dict_zuord_Meth_Transfers[[#This Row],[ID_Transfers]],"")</f>
        <v/>
      </c>
    </row>
    <row r="3084" spans="1:4" x14ac:dyDescent="0.45">
      <c r="A3084">
        <v>513</v>
      </c>
      <c r="B3084" s="3">
        <f t="shared" ca="1" si="48"/>
        <v>33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4" t="str">
        <f ca="1">IF(dict_zuord_Meth_Transfers[[#This Row],[kval_active]],dict_zuord_Meth_Transfers[[#This Row],[ID_Transfers]],"")</f>
        <v/>
      </c>
    </row>
    <row r="3085" spans="1:4" x14ac:dyDescent="0.45">
      <c r="A3085">
        <v>513</v>
      </c>
      <c r="B3085" s="3">
        <f t="shared" ca="1" si="48"/>
        <v>79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5" t="str">
        <f ca="1">IF(dict_zuord_Meth_Transfers[[#This Row],[kval_active]],dict_zuord_Meth_Transfers[[#This Row],[ID_Transfers]],"")</f>
        <v/>
      </c>
    </row>
    <row r="3086" spans="1:4" x14ac:dyDescent="0.45">
      <c r="A3086">
        <v>514</v>
      </c>
      <c r="B3086" s="3">
        <f t="shared" ca="1" si="48"/>
        <v>102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6" t="str">
        <f ca="1">IF(dict_zuord_Meth_Transfers[[#This Row],[kval_active]],dict_zuord_Meth_Transfers[[#This Row],[ID_Transfers]],"")</f>
        <v/>
      </c>
    </row>
    <row r="3087" spans="1:4" x14ac:dyDescent="0.45">
      <c r="A3087">
        <v>514</v>
      </c>
      <c r="B3087" s="3">
        <f t="shared" ca="1" si="48"/>
        <v>42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7" t="str">
        <f ca="1">IF(dict_zuord_Meth_Transfers[[#This Row],[kval_active]],dict_zuord_Meth_Transfers[[#This Row],[ID_Transfers]],"")</f>
        <v/>
      </c>
    </row>
    <row r="3088" spans="1:4" x14ac:dyDescent="0.45">
      <c r="A3088">
        <v>514</v>
      </c>
      <c r="B3088" s="3">
        <f t="shared" ca="1" si="48"/>
        <v>71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8" t="str">
        <f ca="1">IF(dict_zuord_Meth_Transfers[[#This Row],[kval_active]],dict_zuord_Meth_Transfers[[#This Row],[ID_Transfers]],"")</f>
        <v/>
      </c>
    </row>
    <row r="3089" spans="1:4" x14ac:dyDescent="0.45">
      <c r="A3089">
        <v>514</v>
      </c>
      <c r="B3089">
        <f t="shared" ca="1" si="48"/>
        <v>49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9" t="str">
        <f ca="1">IF(dict_zuord_Meth_Transfers[[#This Row],[kval_active]],dict_zuord_Meth_Transfers[[#This Row],[ID_Transfers]],"")</f>
        <v/>
      </c>
    </row>
    <row r="3090" spans="1:4" x14ac:dyDescent="0.45">
      <c r="A3090">
        <v>514</v>
      </c>
      <c r="B3090">
        <f t="shared" ca="1" si="48"/>
        <v>178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0" t="str">
        <f ca="1">IF(dict_zuord_Meth_Transfers[[#This Row],[kval_active]],dict_zuord_Meth_Transfers[[#This Row],[ID_Transfers]],"")</f>
        <v/>
      </c>
    </row>
    <row r="3091" spans="1:4" x14ac:dyDescent="0.45">
      <c r="A3091">
        <v>514</v>
      </c>
      <c r="B3091">
        <f t="shared" ca="1" si="48"/>
        <v>145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1" t="str">
        <f ca="1">IF(dict_zuord_Meth_Transfers[[#This Row],[kval_active]],dict_zuord_Meth_Transfers[[#This Row],[ID_Transfers]],"")</f>
        <v/>
      </c>
    </row>
    <row r="3092" spans="1:4" x14ac:dyDescent="0.45">
      <c r="A3092">
        <v>515</v>
      </c>
      <c r="B3092">
        <f t="shared" ca="1" si="48"/>
        <v>14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2" t="str">
        <f ca="1">IF(dict_zuord_Meth_Transfers[[#This Row],[kval_active]],dict_zuord_Meth_Transfers[[#This Row],[ID_Transfers]],"")</f>
        <v/>
      </c>
    </row>
    <row r="3093" spans="1:4" x14ac:dyDescent="0.45">
      <c r="A3093">
        <v>515</v>
      </c>
      <c r="B3093" s="3">
        <f t="shared" ca="1" si="48"/>
        <v>152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3" t="str">
        <f ca="1">IF(dict_zuord_Meth_Transfers[[#This Row],[kval_active]],dict_zuord_Meth_Transfers[[#This Row],[ID_Transfers]],"")</f>
        <v/>
      </c>
    </row>
    <row r="3094" spans="1:4" x14ac:dyDescent="0.45">
      <c r="A3094">
        <v>515</v>
      </c>
      <c r="B3094" s="3">
        <f t="shared" ca="1" si="48"/>
        <v>165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4" t="str">
        <f ca="1">IF(dict_zuord_Meth_Transfers[[#This Row],[kval_active]],dict_zuord_Meth_Transfers[[#This Row],[ID_Transfers]],"")</f>
        <v/>
      </c>
    </row>
    <row r="3095" spans="1:4" x14ac:dyDescent="0.45">
      <c r="A3095">
        <v>515</v>
      </c>
      <c r="B3095" s="3">
        <f t="shared" ca="1" si="48"/>
        <v>14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5" t="str">
        <f ca="1">IF(dict_zuord_Meth_Transfers[[#This Row],[kval_active]],dict_zuord_Meth_Transfers[[#This Row],[ID_Transfers]],"")</f>
        <v/>
      </c>
    </row>
    <row r="3096" spans="1:4" x14ac:dyDescent="0.45">
      <c r="A3096">
        <v>515</v>
      </c>
      <c r="B3096">
        <f t="shared" ca="1" si="48"/>
        <v>132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6" t="str">
        <f ca="1">IF(dict_zuord_Meth_Transfers[[#This Row],[kval_active]],dict_zuord_Meth_Transfers[[#This Row],[ID_Transfers]],"")</f>
        <v/>
      </c>
    </row>
    <row r="3097" spans="1:4" x14ac:dyDescent="0.45">
      <c r="A3097">
        <v>515</v>
      </c>
      <c r="B3097">
        <f t="shared" ca="1" si="48"/>
        <v>101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7" t="str">
        <f ca="1">IF(dict_zuord_Meth_Transfers[[#This Row],[kval_active]],dict_zuord_Meth_Transfers[[#This Row],[ID_Transfers]],"")</f>
        <v/>
      </c>
    </row>
    <row r="3098" spans="1:4" x14ac:dyDescent="0.45">
      <c r="A3098">
        <v>516</v>
      </c>
      <c r="B3098">
        <f t="shared" ca="1" si="48"/>
        <v>28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8" t="str">
        <f ca="1">IF(dict_zuord_Meth_Transfers[[#This Row],[kval_active]],dict_zuord_Meth_Transfers[[#This Row],[ID_Transfers]],"")</f>
        <v/>
      </c>
    </row>
    <row r="3099" spans="1:4" x14ac:dyDescent="0.45">
      <c r="A3099">
        <v>516</v>
      </c>
      <c r="B3099">
        <f t="shared" ca="1" si="48"/>
        <v>138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9" t="str">
        <f ca="1">IF(dict_zuord_Meth_Transfers[[#This Row],[kval_active]],dict_zuord_Meth_Transfers[[#This Row],[ID_Transfers]],"")</f>
        <v/>
      </c>
    </row>
    <row r="3100" spans="1:4" x14ac:dyDescent="0.45">
      <c r="A3100">
        <v>516</v>
      </c>
      <c r="B3100">
        <f t="shared" ca="1" si="48"/>
        <v>128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0" t="str">
        <f ca="1">IF(dict_zuord_Meth_Transfers[[#This Row],[kval_active]],dict_zuord_Meth_Transfers[[#This Row],[ID_Transfers]],"")</f>
        <v/>
      </c>
    </row>
    <row r="3101" spans="1:4" x14ac:dyDescent="0.45">
      <c r="A3101">
        <v>516</v>
      </c>
      <c r="B3101" s="3">
        <f t="shared" ca="1" si="48"/>
        <v>10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1" t="str">
        <f ca="1">IF(dict_zuord_Meth_Transfers[[#This Row],[kval_active]],dict_zuord_Meth_Transfers[[#This Row],[ID_Transfers]],"")</f>
        <v/>
      </c>
    </row>
    <row r="3102" spans="1:4" x14ac:dyDescent="0.45">
      <c r="A3102">
        <v>516</v>
      </c>
      <c r="B3102" s="3">
        <f t="shared" ca="1" si="48"/>
        <v>92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2" t="str">
        <f ca="1">IF(dict_zuord_Meth_Transfers[[#This Row],[kval_active]],dict_zuord_Meth_Transfers[[#This Row],[ID_Transfers]],"")</f>
        <v/>
      </c>
    </row>
    <row r="3103" spans="1:4" x14ac:dyDescent="0.45">
      <c r="A3103">
        <v>516</v>
      </c>
      <c r="B3103" s="3">
        <f t="shared" ca="1" si="48"/>
        <v>155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3" t="str">
        <f ca="1">IF(dict_zuord_Meth_Transfers[[#This Row],[kval_active]],dict_zuord_Meth_Transfers[[#This Row],[ID_Transfers]],"")</f>
        <v/>
      </c>
    </row>
    <row r="3104" spans="1:4" x14ac:dyDescent="0.45">
      <c r="A3104">
        <v>517</v>
      </c>
      <c r="B3104">
        <f t="shared" ca="1" si="48"/>
        <v>100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4" t="str">
        <f ca="1">IF(dict_zuord_Meth_Transfers[[#This Row],[kval_active]],dict_zuord_Meth_Transfers[[#This Row],[ID_Transfers]],"")</f>
        <v/>
      </c>
    </row>
    <row r="3105" spans="1:4" x14ac:dyDescent="0.45">
      <c r="A3105">
        <v>517</v>
      </c>
      <c r="B3105" s="3">
        <f t="shared" ca="1" si="48"/>
        <v>100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5" t="str">
        <f ca="1">IF(dict_zuord_Meth_Transfers[[#This Row],[kval_active]],dict_zuord_Meth_Transfers[[#This Row],[ID_Transfers]],"")</f>
        <v/>
      </c>
    </row>
    <row r="3106" spans="1:4" x14ac:dyDescent="0.45">
      <c r="A3106">
        <v>517</v>
      </c>
      <c r="B3106" s="3">
        <f t="shared" ca="1" si="48"/>
        <v>112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6" t="str">
        <f ca="1">IF(dict_zuord_Meth_Transfers[[#This Row],[kval_active]],dict_zuord_Meth_Transfers[[#This Row],[ID_Transfers]],"")</f>
        <v/>
      </c>
    </row>
    <row r="3107" spans="1:4" x14ac:dyDescent="0.45">
      <c r="A3107">
        <v>517</v>
      </c>
      <c r="B3107">
        <f t="shared" ca="1" si="48"/>
        <v>92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7" t="str">
        <f ca="1">IF(dict_zuord_Meth_Transfers[[#This Row],[kval_active]],dict_zuord_Meth_Transfers[[#This Row],[ID_Transfers]],"")</f>
        <v/>
      </c>
    </row>
    <row r="3108" spans="1:4" x14ac:dyDescent="0.45">
      <c r="A3108">
        <v>517</v>
      </c>
      <c r="B3108">
        <f t="shared" ca="1" si="48"/>
        <v>5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8" t="str">
        <f ca="1">IF(dict_zuord_Meth_Transfers[[#This Row],[kval_active]],dict_zuord_Meth_Transfers[[#This Row],[ID_Transfers]],"")</f>
        <v/>
      </c>
    </row>
    <row r="3109" spans="1:4" x14ac:dyDescent="0.45">
      <c r="A3109">
        <v>517</v>
      </c>
      <c r="B3109" s="3">
        <f t="shared" ca="1" si="48"/>
        <v>148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9" t="str">
        <f ca="1">IF(dict_zuord_Meth_Transfers[[#This Row],[kval_active]],dict_zuord_Meth_Transfers[[#This Row],[ID_Transfers]],"")</f>
        <v/>
      </c>
    </row>
    <row r="3110" spans="1:4" x14ac:dyDescent="0.45">
      <c r="A3110">
        <v>518</v>
      </c>
      <c r="B3110" s="3">
        <f t="shared" ca="1" si="48"/>
        <v>8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0" t="str">
        <f ca="1">IF(dict_zuord_Meth_Transfers[[#This Row],[kval_active]],dict_zuord_Meth_Transfers[[#This Row],[ID_Transfers]],"")</f>
        <v/>
      </c>
    </row>
    <row r="3111" spans="1:4" x14ac:dyDescent="0.45">
      <c r="A3111">
        <v>518</v>
      </c>
      <c r="B3111" s="3">
        <f t="shared" ca="1" si="48"/>
        <v>83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1" t="str">
        <f ca="1">IF(dict_zuord_Meth_Transfers[[#This Row],[kval_active]],dict_zuord_Meth_Transfers[[#This Row],[ID_Transfers]],"")</f>
        <v/>
      </c>
    </row>
    <row r="3112" spans="1:4" x14ac:dyDescent="0.45">
      <c r="A3112">
        <v>518</v>
      </c>
      <c r="B3112">
        <f t="shared" ca="1" si="48"/>
        <v>39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2" t="str">
        <f ca="1">IF(dict_zuord_Meth_Transfers[[#This Row],[kval_active]],dict_zuord_Meth_Transfers[[#This Row],[ID_Transfers]],"")</f>
        <v/>
      </c>
    </row>
    <row r="3113" spans="1:4" x14ac:dyDescent="0.45">
      <c r="A3113">
        <v>518</v>
      </c>
      <c r="B3113">
        <f t="shared" ca="1" si="48"/>
        <v>140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3" t="str">
        <f ca="1">IF(dict_zuord_Meth_Transfers[[#This Row],[kval_active]],dict_zuord_Meth_Transfers[[#This Row],[ID_Transfers]],"")</f>
        <v/>
      </c>
    </row>
    <row r="3114" spans="1:4" x14ac:dyDescent="0.45">
      <c r="A3114">
        <v>518</v>
      </c>
      <c r="B3114">
        <f t="shared" ca="1" si="48"/>
        <v>187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4" t="str">
        <f ca="1">IF(dict_zuord_Meth_Transfers[[#This Row],[kval_active]],dict_zuord_Meth_Transfers[[#This Row],[ID_Transfers]],"")</f>
        <v/>
      </c>
    </row>
    <row r="3115" spans="1:4" x14ac:dyDescent="0.45">
      <c r="A3115">
        <v>518</v>
      </c>
      <c r="B3115" s="3">
        <f t="shared" ca="1" si="48"/>
        <v>76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5" t="str">
        <f ca="1">IF(dict_zuord_Meth_Transfers[[#This Row],[kval_active]],dict_zuord_Meth_Transfers[[#This Row],[ID_Transfers]],"")</f>
        <v/>
      </c>
    </row>
    <row r="3116" spans="1:4" x14ac:dyDescent="0.45">
      <c r="A3116">
        <v>519</v>
      </c>
      <c r="B3116" s="3">
        <f t="shared" ca="1" si="48"/>
        <v>153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6" t="str">
        <f ca="1">IF(dict_zuord_Meth_Transfers[[#This Row],[kval_active]],dict_zuord_Meth_Transfers[[#This Row],[ID_Transfers]],"")</f>
        <v/>
      </c>
    </row>
    <row r="3117" spans="1:4" x14ac:dyDescent="0.45">
      <c r="A3117">
        <v>519</v>
      </c>
      <c r="B3117" s="3">
        <f t="shared" ca="1" si="48"/>
        <v>70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7" t="str">
        <f ca="1">IF(dict_zuord_Meth_Transfers[[#This Row],[kval_active]],dict_zuord_Meth_Transfers[[#This Row],[ID_Transfers]],"")</f>
        <v/>
      </c>
    </row>
    <row r="3118" spans="1:4" x14ac:dyDescent="0.45">
      <c r="A3118">
        <v>519</v>
      </c>
      <c r="B3118">
        <f t="shared" ca="1" si="48"/>
        <v>65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8" t="str">
        <f ca="1">IF(dict_zuord_Meth_Transfers[[#This Row],[kval_active]],dict_zuord_Meth_Transfers[[#This Row],[ID_Transfers]],"")</f>
        <v/>
      </c>
    </row>
    <row r="3119" spans="1:4" x14ac:dyDescent="0.45">
      <c r="A3119">
        <v>519</v>
      </c>
      <c r="B3119" s="3">
        <f t="shared" ca="1" si="48"/>
        <v>45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9" t="str">
        <f ca="1">IF(dict_zuord_Meth_Transfers[[#This Row],[kval_active]],dict_zuord_Meth_Transfers[[#This Row],[ID_Transfers]],"")</f>
        <v/>
      </c>
    </row>
    <row r="3120" spans="1:4" x14ac:dyDescent="0.45">
      <c r="A3120">
        <v>519</v>
      </c>
      <c r="B3120">
        <f t="shared" ca="1" si="48"/>
        <v>167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0" t="str">
        <f ca="1">IF(dict_zuord_Meth_Transfers[[#This Row],[kval_active]],dict_zuord_Meth_Transfers[[#This Row],[ID_Transfers]],"")</f>
        <v/>
      </c>
    </row>
    <row r="3121" spans="1:4" x14ac:dyDescent="0.45">
      <c r="A3121">
        <v>519</v>
      </c>
      <c r="B3121">
        <f t="shared" ca="1" si="48"/>
        <v>23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1" t="str">
        <f ca="1">IF(dict_zuord_Meth_Transfers[[#This Row],[kval_active]],dict_zuord_Meth_Transfers[[#This Row],[ID_Transfers]],"")</f>
        <v/>
      </c>
    </row>
    <row r="3122" spans="1:4" x14ac:dyDescent="0.45">
      <c r="A3122">
        <v>520</v>
      </c>
      <c r="B3122" s="3">
        <f t="shared" ca="1" si="48"/>
        <v>15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2" t="str">
        <f ca="1">IF(dict_zuord_Meth_Transfers[[#This Row],[kval_active]],dict_zuord_Meth_Transfers[[#This Row],[ID_Transfers]],"")</f>
        <v/>
      </c>
    </row>
    <row r="3123" spans="1:4" x14ac:dyDescent="0.45">
      <c r="A3123">
        <v>520</v>
      </c>
      <c r="B3123">
        <f t="shared" ca="1" si="48"/>
        <v>168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3" t="str">
        <f ca="1">IF(dict_zuord_Meth_Transfers[[#This Row],[kval_active]],dict_zuord_Meth_Transfers[[#This Row],[ID_Transfers]],"")</f>
        <v/>
      </c>
    </row>
    <row r="3124" spans="1:4" x14ac:dyDescent="0.45">
      <c r="A3124">
        <v>520</v>
      </c>
      <c r="B3124" s="3">
        <f t="shared" ca="1" si="48"/>
        <v>117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4" t="str">
        <f ca="1">IF(dict_zuord_Meth_Transfers[[#This Row],[kval_active]],dict_zuord_Meth_Transfers[[#This Row],[ID_Transfers]],"")</f>
        <v/>
      </c>
    </row>
    <row r="3125" spans="1:4" x14ac:dyDescent="0.45">
      <c r="A3125">
        <v>520</v>
      </c>
      <c r="B3125">
        <f t="shared" ca="1" si="48"/>
        <v>3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5" t="str">
        <f ca="1">IF(dict_zuord_Meth_Transfers[[#This Row],[kval_active]],dict_zuord_Meth_Transfers[[#This Row],[ID_Transfers]],"")</f>
        <v/>
      </c>
    </row>
    <row r="3126" spans="1:4" x14ac:dyDescent="0.45">
      <c r="A3126">
        <v>520</v>
      </c>
      <c r="B3126">
        <f t="shared" ca="1" si="48"/>
        <v>200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6" t="str">
        <f ca="1">IF(dict_zuord_Meth_Transfers[[#This Row],[kval_active]],dict_zuord_Meth_Transfers[[#This Row],[ID_Transfers]],"")</f>
        <v/>
      </c>
    </row>
    <row r="3127" spans="1:4" x14ac:dyDescent="0.45">
      <c r="A3127">
        <v>520</v>
      </c>
      <c r="B3127" s="3">
        <f t="shared" ca="1" si="48"/>
        <v>113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7" t="str">
        <f ca="1">IF(dict_zuord_Meth_Transfers[[#This Row],[kval_active]],dict_zuord_Meth_Transfers[[#This Row],[ID_Transfers]],"")</f>
        <v/>
      </c>
    </row>
    <row r="3128" spans="1:4" x14ac:dyDescent="0.45">
      <c r="A3128">
        <v>521</v>
      </c>
      <c r="B3128">
        <f t="shared" ca="1" si="48"/>
        <v>10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8" t="str">
        <f ca="1">IF(dict_zuord_Meth_Transfers[[#This Row],[kval_active]],dict_zuord_Meth_Transfers[[#This Row],[ID_Transfers]],"")</f>
        <v/>
      </c>
    </row>
    <row r="3129" spans="1:4" x14ac:dyDescent="0.45">
      <c r="A3129">
        <v>521</v>
      </c>
      <c r="B3129">
        <f t="shared" ca="1" si="48"/>
        <v>15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9" t="str">
        <f ca="1">IF(dict_zuord_Meth_Transfers[[#This Row],[kval_active]],dict_zuord_Meth_Transfers[[#This Row],[ID_Transfers]],"")</f>
        <v/>
      </c>
    </row>
    <row r="3130" spans="1:4" x14ac:dyDescent="0.45">
      <c r="A3130">
        <v>521</v>
      </c>
      <c r="B3130">
        <f t="shared" ca="1" si="48"/>
        <v>163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0" t="str">
        <f ca="1">IF(dict_zuord_Meth_Transfers[[#This Row],[kval_active]],dict_zuord_Meth_Transfers[[#This Row],[ID_Transfers]],"")</f>
        <v/>
      </c>
    </row>
    <row r="3131" spans="1:4" x14ac:dyDescent="0.45">
      <c r="A3131">
        <v>521</v>
      </c>
      <c r="B3131" s="3">
        <f t="shared" ca="1" si="48"/>
        <v>103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1" t="str">
        <f ca="1">IF(dict_zuord_Meth_Transfers[[#This Row],[kval_active]],dict_zuord_Meth_Transfers[[#This Row],[ID_Transfers]],"")</f>
        <v/>
      </c>
    </row>
    <row r="3132" spans="1:4" x14ac:dyDescent="0.45">
      <c r="A3132">
        <v>521</v>
      </c>
      <c r="B3132" s="3">
        <f t="shared" ca="1" si="48"/>
        <v>199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2" t="str">
        <f ca="1">IF(dict_zuord_Meth_Transfers[[#This Row],[kval_active]],dict_zuord_Meth_Transfers[[#This Row],[ID_Transfers]],"")</f>
        <v/>
      </c>
    </row>
    <row r="3133" spans="1:4" x14ac:dyDescent="0.45">
      <c r="A3133">
        <v>521</v>
      </c>
      <c r="B3133" s="3">
        <f t="shared" ca="1" si="48"/>
        <v>85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3" t="str">
        <f ca="1">IF(dict_zuord_Meth_Transfers[[#This Row],[kval_active]],dict_zuord_Meth_Transfers[[#This Row],[ID_Transfers]],"")</f>
        <v/>
      </c>
    </row>
    <row r="3134" spans="1:4" x14ac:dyDescent="0.45">
      <c r="A3134">
        <v>522</v>
      </c>
      <c r="B3134">
        <f t="shared" ca="1" si="48"/>
        <v>63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4" t="str">
        <f ca="1">IF(dict_zuord_Meth_Transfers[[#This Row],[kval_active]],dict_zuord_Meth_Transfers[[#This Row],[ID_Transfers]],"")</f>
        <v/>
      </c>
    </row>
    <row r="3135" spans="1:4" x14ac:dyDescent="0.45">
      <c r="A3135">
        <v>522</v>
      </c>
      <c r="B3135">
        <f t="shared" ca="1" si="48"/>
        <v>105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5" t="str">
        <f ca="1">IF(dict_zuord_Meth_Transfers[[#This Row],[kval_active]],dict_zuord_Meth_Transfers[[#This Row],[ID_Transfers]],"")</f>
        <v/>
      </c>
    </row>
    <row r="3136" spans="1:4" x14ac:dyDescent="0.45">
      <c r="A3136">
        <v>522</v>
      </c>
      <c r="B3136" s="3">
        <f t="shared" ca="1" si="48"/>
        <v>154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6" t="str">
        <f ca="1">IF(dict_zuord_Meth_Transfers[[#This Row],[kval_active]],dict_zuord_Meth_Transfers[[#This Row],[ID_Transfers]],"")</f>
        <v/>
      </c>
    </row>
    <row r="3137" spans="1:4" x14ac:dyDescent="0.45">
      <c r="A3137">
        <v>522</v>
      </c>
      <c r="B3137" s="3">
        <f t="shared" ca="1" si="48"/>
        <v>16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7" t="str">
        <f ca="1">IF(dict_zuord_Meth_Transfers[[#This Row],[kval_active]],dict_zuord_Meth_Transfers[[#This Row],[ID_Transfers]],"")</f>
        <v/>
      </c>
    </row>
    <row r="3138" spans="1:4" x14ac:dyDescent="0.45">
      <c r="A3138">
        <v>522</v>
      </c>
      <c r="B3138" s="3">
        <f t="shared" ref="B3138:B3201" ca="1" si="49">RANDBETWEEN(0,200)</f>
        <v>145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8" t="str">
        <f ca="1">IF(dict_zuord_Meth_Transfers[[#This Row],[kval_active]],dict_zuord_Meth_Transfers[[#This Row],[ID_Transfers]],"")</f>
        <v/>
      </c>
    </row>
    <row r="3139" spans="1:4" x14ac:dyDescent="0.45">
      <c r="A3139">
        <v>522</v>
      </c>
      <c r="B3139">
        <f t="shared" ca="1" si="49"/>
        <v>11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9" t="str">
        <f ca="1">IF(dict_zuord_Meth_Transfers[[#This Row],[kval_active]],dict_zuord_Meth_Transfers[[#This Row],[ID_Transfers]],"")</f>
        <v/>
      </c>
    </row>
    <row r="3140" spans="1:4" x14ac:dyDescent="0.45">
      <c r="A3140">
        <v>523</v>
      </c>
      <c r="B3140">
        <f t="shared" ca="1" si="49"/>
        <v>56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0" t="str">
        <f ca="1">IF(dict_zuord_Meth_Transfers[[#This Row],[kval_active]],dict_zuord_Meth_Transfers[[#This Row],[ID_Transfers]],"")</f>
        <v/>
      </c>
    </row>
    <row r="3141" spans="1:4" x14ac:dyDescent="0.45">
      <c r="A3141">
        <v>523</v>
      </c>
      <c r="B3141" s="3">
        <f t="shared" ca="1" si="49"/>
        <v>9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1" t="str">
        <f ca="1">IF(dict_zuord_Meth_Transfers[[#This Row],[kval_active]],dict_zuord_Meth_Transfers[[#This Row],[ID_Transfers]],"")</f>
        <v/>
      </c>
    </row>
    <row r="3142" spans="1:4" x14ac:dyDescent="0.45">
      <c r="A3142">
        <v>523</v>
      </c>
      <c r="B3142">
        <f t="shared" ca="1" si="49"/>
        <v>22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2" t="str">
        <f ca="1">IF(dict_zuord_Meth_Transfers[[#This Row],[kval_active]],dict_zuord_Meth_Transfers[[#This Row],[ID_Transfers]],"")</f>
        <v/>
      </c>
    </row>
    <row r="3143" spans="1:4" x14ac:dyDescent="0.45">
      <c r="A3143">
        <v>523</v>
      </c>
      <c r="B3143" s="3">
        <f t="shared" ca="1" si="49"/>
        <v>138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3" t="str">
        <f ca="1">IF(dict_zuord_Meth_Transfers[[#This Row],[kval_active]],dict_zuord_Meth_Transfers[[#This Row],[ID_Transfers]],"")</f>
        <v/>
      </c>
    </row>
    <row r="3144" spans="1:4" x14ac:dyDescent="0.45">
      <c r="A3144">
        <v>523</v>
      </c>
      <c r="B3144" s="3">
        <f t="shared" ca="1" si="49"/>
        <v>64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4" t="str">
        <f ca="1">IF(dict_zuord_Meth_Transfers[[#This Row],[kval_active]],dict_zuord_Meth_Transfers[[#This Row],[ID_Transfers]],"")</f>
        <v/>
      </c>
    </row>
    <row r="3145" spans="1:4" x14ac:dyDescent="0.45">
      <c r="A3145">
        <v>523</v>
      </c>
      <c r="B3145">
        <f t="shared" ca="1" si="49"/>
        <v>170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5" t="str">
        <f ca="1">IF(dict_zuord_Meth_Transfers[[#This Row],[kval_active]],dict_zuord_Meth_Transfers[[#This Row],[ID_Transfers]],"")</f>
        <v/>
      </c>
    </row>
    <row r="3146" spans="1:4" x14ac:dyDescent="0.45">
      <c r="A3146">
        <v>524</v>
      </c>
      <c r="B3146" s="3">
        <f t="shared" ca="1" si="49"/>
        <v>110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6" t="str">
        <f ca="1">IF(dict_zuord_Meth_Transfers[[#This Row],[kval_active]],dict_zuord_Meth_Transfers[[#This Row],[ID_Transfers]],"")</f>
        <v/>
      </c>
    </row>
    <row r="3147" spans="1:4" x14ac:dyDescent="0.45">
      <c r="A3147">
        <v>524</v>
      </c>
      <c r="B3147" s="3">
        <f t="shared" ca="1" si="49"/>
        <v>169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7" t="str">
        <f ca="1">IF(dict_zuord_Meth_Transfers[[#This Row],[kval_active]],dict_zuord_Meth_Transfers[[#This Row],[ID_Transfers]],"")</f>
        <v/>
      </c>
    </row>
    <row r="3148" spans="1:4" x14ac:dyDescent="0.45">
      <c r="A3148">
        <v>524</v>
      </c>
      <c r="B3148">
        <f t="shared" ca="1" si="49"/>
        <v>38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8" t="str">
        <f ca="1">IF(dict_zuord_Meth_Transfers[[#This Row],[kval_active]],dict_zuord_Meth_Transfers[[#This Row],[ID_Transfers]],"")</f>
        <v/>
      </c>
    </row>
    <row r="3149" spans="1:4" x14ac:dyDescent="0.45">
      <c r="A3149">
        <v>524</v>
      </c>
      <c r="B3149" s="3">
        <f t="shared" ca="1" si="49"/>
        <v>3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9" t="str">
        <f ca="1">IF(dict_zuord_Meth_Transfers[[#This Row],[kval_active]],dict_zuord_Meth_Transfers[[#This Row],[ID_Transfers]],"")</f>
        <v/>
      </c>
    </row>
    <row r="3150" spans="1:4" x14ac:dyDescent="0.45">
      <c r="A3150">
        <v>524</v>
      </c>
      <c r="B3150">
        <f t="shared" ca="1" si="49"/>
        <v>99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0" t="str">
        <f ca="1">IF(dict_zuord_Meth_Transfers[[#This Row],[kval_active]],dict_zuord_Meth_Transfers[[#This Row],[ID_Transfers]],"")</f>
        <v/>
      </c>
    </row>
    <row r="3151" spans="1:4" x14ac:dyDescent="0.45">
      <c r="A3151">
        <v>524</v>
      </c>
      <c r="B3151">
        <f t="shared" ca="1" si="49"/>
        <v>28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1" t="str">
        <f ca="1">IF(dict_zuord_Meth_Transfers[[#This Row],[kval_active]],dict_zuord_Meth_Transfers[[#This Row],[ID_Transfers]],"")</f>
        <v/>
      </c>
    </row>
    <row r="3152" spans="1:4" x14ac:dyDescent="0.45">
      <c r="A3152">
        <v>525</v>
      </c>
      <c r="B3152" s="3">
        <f t="shared" ca="1" si="49"/>
        <v>78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2" t="str">
        <f ca="1">IF(dict_zuord_Meth_Transfers[[#This Row],[kval_active]],dict_zuord_Meth_Transfers[[#This Row],[ID_Transfers]],"")</f>
        <v/>
      </c>
    </row>
    <row r="3153" spans="1:4" x14ac:dyDescent="0.45">
      <c r="A3153">
        <v>525</v>
      </c>
      <c r="B3153">
        <f t="shared" ca="1" si="49"/>
        <v>58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3" t="str">
        <f ca="1">IF(dict_zuord_Meth_Transfers[[#This Row],[kval_active]],dict_zuord_Meth_Transfers[[#This Row],[ID_Transfers]],"")</f>
        <v/>
      </c>
    </row>
    <row r="3154" spans="1:4" x14ac:dyDescent="0.45">
      <c r="A3154">
        <v>525</v>
      </c>
      <c r="B3154">
        <f t="shared" ca="1" si="49"/>
        <v>173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4" t="str">
        <f ca="1">IF(dict_zuord_Meth_Transfers[[#This Row],[kval_active]],dict_zuord_Meth_Transfers[[#This Row],[ID_Transfers]],"")</f>
        <v/>
      </c>
    </row>
    <row r="3155" spans="1:4" x14ac:dyDescent="0.45">
      <c r="A3155">
        <v>525</v>
      </c>
      <c r="B3155" s="3">
        <f t="shared" ca="1" si="49"/>
        <v>14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5" t="str">
        <f ca="1">IF(dict_zuord_Meth_Transfers[[#This Row],[kval_active]],dict_zuord_Meth_Transfers[[#This Row],[ID_Transfers]],"")</f>
        <v/>
      </c>
    </row>
    <row r="3156" spans="1:4" x14ac:dyDescent="0.45">
      <c r="A3156">
        <v>525</v>
      </c>
      <c r="B3156">
        <f t="shared" ca="1" si="49"/>
        <v>14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6" t="str">
        <f ca="1">IF(dict_zuord_Meth_Transfers[[#This Row],[kval_active]],dict_zuord_Meth_Transfers[[#This Row],[ID_Transfers]],"")</f>
        <v/>
      </c>
    </row>
    <row r="3157" spans="1:4" x14ac:dyDescent="0.45">
      <c r="A3157">
        <v>525</v>
      </c>
      <c r="B3157" s="3">
        <f t="shared" ca="1" si="49"/>
        <v>79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7" t="str">
        <f ca="1">IF(dict_zuord_Meth_Transfers[[#This Row],[kval_active]],dict_zuord_Meth_Transfers[[#This Row],[ID_Transfers]],"")</f>
        <v/>
      </c>
    </row>
    <row r="3158" spans="1:4" x14ac:dyDescent="0.45">
      <c r="A3158">
        <v>526</v>
      </c>
      <c r="B3158">
        <f t="shared" ca="1" si="49"/>
        <v>169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8" t="str">
        <f ca="1">IF(dict_zuord_Meth_Transfers[[#This Row],[kval_active]],dict_zuord_Meth_Transfers[[#This Row],[ID_Transfers]],"")</f>
        <v/>
      </c>
    </row>
    <row r="3159" spans="1:4" x14ac:dyDescent="0.45">
      <c r="A3159">
        <v>526</v>
      </c>
      <c r="B3159">
        <f t="shared" ca="1" si="49"/>
        <v>27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9" t="str">
        <f ca="1">IF(dict_zuord_Meth_Transfers[[#This Row],[kval_active]],dict_zuord_Meth_Transfers[[#This Row],[ID_Transfers]],"")</f>
        <v/>
      </c>
    </row>
    <row r="3160" spans="1:4" x14ac:dyDescent="0.45">
      <c r="A3160">
        <v>526</v>
      </c>
      <c r="B3160" s="3">
        <f t="shared" ca="1" si="49"/>
        <v>163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0" t="str">
        <f ca="1">IF(dict_zuord_Meth_Transfers[[#This Row],[kval_active]],dict_zuord_Meth_Transfers[[#This Row],[ID_Transfers]],"")</f>
        <v/>
      </c>
    </row>
    <row r="3161" spans="1:4" x14ac:dyDescent="0.45">
      <c r="A3161">
        <v>526</v>
      </c>
      <c r="B3161" s="3">
        <f t="shared" ca="1" si="49"/>
        <v>11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1" t="str">
        <f ca="1">IF(dict_zuord_Meth_Transfers[[#This Row],[kval_active]],dict_zuord_Meth_Transfers[[#This Row],[ID_Transfers]],"")</f>
        <v/>
      </c>
    </row>
    <row r="3162" spans="1:4" x14ac:dyDescent="0.45">
      <c r="A3162">
        <v>526</v>
      </c>
      <c r="B3162">
        <f t="shared" ca="1" si="49"/>
        <v>181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2" t="str">
        <f ca="1">IF(dict_zuord_Meth_Transfers[[#This Row],[kval_active]],dict_zuord_Meth_Transfers[[#This Row],[ID_Transfers]],"")</f>
        <v/>
      </c>
    </row>
    <row r="3163" spans="1:4" x14ac:dyDescent="0.45">
      <c r="A3163">
        <v>526</v>
      </c>
      <c r="B3163" s="3">
        <f t="shared" ca="1" si="49"/>
        <v>150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3" t="str">
        <f ca="1">IF(dict_zuord_Meth_Transfers[[#This Row],[kval_active]],dict_zuord_Meth_Transfers[[#This Row],[ID_Transfers]],"")</f>
        <v/>
      </c>
    </row>
    <row r="3164" spans="1:4" x14ac:dyDescent="0.45">
      <c r="A3164">
        <v>527</v>
      </c>
      <c r="B3164">
        <f t="shared" ca="1" si="49"/>
        <v>66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4" t="str">
        <f ca="1">IF(dict_zuord_Meth_Transfers[[#This Row],[kval_active]],dict_zuord_Meth_Transfers[[#This Row],[ID_Transfers]],"")</f>
        <v/>
      </c>
    </row>
    <row r="3165" spans="1:4" x14ac:dyDescent="0.45">
      <c r="A3165">
        <v>527</v>
      </c>
      <c r="B3165" s="3">
        <f t="shared" ca="1" si="49"/>
        <v>192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5" t="str">
        <f ca="1">IF(dict_zuord_Meth_Transfers[[#This Row],[kval_active]],dict_zuord_Meth_Transfers[[#This Row],[ID_Transfers]],"")</f>
        <v/>
      </c>
    </row>
    <row r="3166" spans="1:4" x14ac:dyDescent="0.45">
      <c r="A3166">
        <v>527</v>
      </c>
      <c r="B3166">
        <f t="shared" ca="1" si="49"/>
        <v>186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6" t="str">
        <f ca="1">IF(dict_zuord_Meth_Transfers[[#This Row],[kval_active]],dict_zuord_Meth_Transfers[[#This Row],[ID_Transfers]],"")</f>
        <v/>
      </c>
    </row>
    <row r="3167" spans="1:4" x14ac:dyDescent="0.45">
      <c r="A3167">
        <v>527</v>
      </c>
      <c r="B3167">
        <f t="shared" ca="1" si="49"/>
        <v>142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7" t="str">
        <f ca="1">IF(dict_zuord_Meth_Transfers[[#This Row],[kval_active]],dict_zuord_Meth_Transfers[[#This Row],[ID_Transfers]],"")</f>
        <v/>
      </c>
    </row>
    <row r="3168" spans="1:4" x14ac:dyDescent="0.45">
      <c r="A3168">
        <v>527</v>
      </c>
      <c r="B3168" s="3">
        <f t="shared" ca="1" si="49"/>
        <v>157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8" t="str">
        <f ca="1">IF(dict_zuord_Meth_Transfers[[#This Row],[kval_active]],dict_zuord_Meth_Transfers[[#This Row],[ID_Transfers]],"")</f>
        <v/>
      </c>
    </row>
    <row r="3169" spans="1:4" x14ac:dyDescent="0.45">
      <c r="A3169">
        <v>527</v>
      </c>
      <c r="B3169" s="3">
        <f t="shared" ca="1" si="49"/>
        <v>194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9" t="str">
        <f ca="1">IF(dict_zuord_Meth_Transfers[[#This Row],[kval_active]],dict_zuord_Meth_Transfers[[#This Row],[ID_Transfers]],"")</f>
        <v/>
      </c>
    </row>
    <row r="3170" spans="1:4" x14ac:dyDescent="0.45">
      <c r="A3170">
        <v>528</v>
      </c>
      <c r="B3170">
        <f t="shared" ca="1" si="49"/>
        <v>155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0" t="str">
        <f ca="1">IF(dict_zuord_Meth_Transfers[[#This Row],[kval_active]],dict_zuord_Meth_Transfers[[#This Row],[ID_Transfers]],"")</f>
        <v/>
      </c>
    </row>
    <row r="3171" spans="1:4" x14ac:dyDescent="0.45">
      <c r="A3171">
        <v>528</v>
      </c>
      <c r="B3171" s="3">
        <f t="shared" ca="1" si="49"/>
        <v>13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1" t="str">
        <f ca="1">IF(dict_zuord_Meth_Transfers[[#This Row],[kval_active]],dict_zuord_Meth_Transfers[[#This Row],[ID_Transfers]],"")</f>
        <v/>
      </c>
    </row>
    <row r="3172" spans="1:4" x14ac:dyDescent="0.45">
      <c r="A3172">
        <v>528</v>
      </c>
      <c r="B3172" s="3">
        <f t="shared" ca="1" si="49"/>
        <v>39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2" t="str">
        <f ca="1">IF(dict_zuord_Meth_Transfers[[#This Row],[kval_active]],dict_zuord_Meth_Transfers[[#This Row],[ID_Transfers]],"")</f>
        <v/>
      </c>
    </row>
    <row r="3173" spans="1:4" x14ac:dyDescent="0.45">
      <c r="A3173">
        <v>528</v>
      </c>
      <c r="B3173">
        <f t="shared" ca="1" si="49"/>
        <v>173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3" t="str">
        <f ca="1">IF(dict_zuord_Meth_Transfers[[#This Row],[kval_active]],dict_zuord_Meth_Transfers[[#This Row],[ID_Transfers]],"")</f>
        <v/>
      </c>
    </row>
    <row r="3174" spans="1:4" x14ac:dyDescent="0.45">
      <c r="A3174">
        <v>528</v>
      </c>
      <c r="B3174" s="3">
        <f t="shared" ca="1" si="49"/>
        <v>176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4" t="str">
        <f ca="1">IF(dict_zuord_Meth_Transfers[[#This Row],[kval_active]],dict_zuord_Meth_Transfers[[#This Row],[ID_Transfers]],"")</f>
        <v/>
      </c>
    </row>
    <row r="3175" spans="1:4" x14ac:dyDescent="0.45">
      <c r="A3175">
        <v>528</v>
      </c>
      <c r="B3175">
        <f t="shared" ca="1" si="49"/>
        <v>40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5" t="str">
        <f ca="1">IF(dict_zuord_Meth_Transfers[[#This Row],[kval_active]],dict_zuord_Meth_Transfers[[#This Row],[ID_Transfers]],"")</f>
        <v/>
      </c>
    </row>
    <row r="3176" spans="1:4" x14ac:dyDescent="0.45">
      <c r="A3176">
        <v>529</v>
      </c>
      <c r="B3176" s="3">
        <f t="shared" ca="1" si="49"/>
        <v>180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6" t="str">
        <f ca="1">IF(dict_zuord_Meth_Transfers[[#This Row],[kval_active]],dict_zuord_Meth_Transfers[[#This Row],[ID_Transfers]],"")</f>
        <v/>
      </c>
    </row>
    <row r="3177" spans="1:4" x14ac:dyDescent="0.45">
      <c r="A3177">
        <v>529</v>
      </c>
      <c r="B3177">
        <f t="shared" ca="1" si="49"/>
        <v>153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7" t="str">
        <f ca="1">IF(dict_zuord_Meth_Transfers[[#This Row],[kval_active]],dict_zuord_Meth_Transfers[[#This Row],[ID_Transfers]],"")</f>
        <v/>
      </c>
    </row>
    <row r="3178" spans="1:4" x14ac:dyDescent="0.45">
      <c r="A3178">
        <v>529</v>
      </c>
      <c r="B3178" s="3">
        <f t="shared" ca="1" si="49"/>
        <v>84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8" t="str">
        <f ca="1">IF(dict_zuord_Meth_Transfers[[#This Row],[kval_active]],dict_zuord_Meth_Transfers[[#This Row],[ID_Transfers]],"")</f>
        <v/>
      </c>
    </row>
    <row r="3179" spans="1:4" x14ac:dyDescent="0.45">
      <c r="A3179">
        <v>529</v>
      </c>
      <c r="B3179">
        <f t="shared" ca="1" si="49"/>
        <v>127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9" t="str">
        <f ca="1">IF(dict_zuord_Meth_Transfers[[#This Row],[kval_active]],dict_zuord_Meth_Transfers[[#This Row],[ID_Transfers]],"")</f>
        <v/>
      </c>
    </row>
    <row r="3180" spans="1:4" x14ac:dyDescent="0.45">
      <c r="A3180">
        <v>529</v>
      </c>
      <c r="B3180" s="3">
        <f t="shared" ca="1" si="49"/>
        <v>57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0" t="str">
        <f ca="1">IF(dict_zuord_Meth_Transfers[[#This Row],[kval_active]],dict_zuord_Meth_Transfers[[#This Row],[ID_Transfers]],"")</f>
        <v/>
      </c>
    </row>
    <row r="3181" spans="1:4" x14ac:dyDescent="0.45">
      <c r="A3181">
        <v>529</v>
      </c>
      <c r="B3181">
        <f t="shared" ca="1" si="49"/>
        <v>17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1" t="str">
        <f ca="1">IF(dict_zuord_Meth_Transfers[[#This Row],[kval_active]],dict_zuord_Meth_Transfers[[#This Row],[ID_Transfers]],"")</f>
        <v/>
      </c>
    </row>
    <row r="3182" spans="1:4" x14ac:dyDescent="0.45">
      <c r="A3182">
        <v>530</v>
      </c>
      <c r="B3182">
        <f t="shared" ca="1" si="49"/>
        <v>79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2" t="str">
        <f ca="1">IF(dict_zuord_Meth_Transfers[[#This Row],[kval_active]],dict_zuord_Meth_Transfers[[#This Row],[ID_Transfers]],"")</f>
        <v/>
      </c>
    </row>
    <row r="3183" spans="1:4" x14ac:dyDescent="0.45">
      <c r="A3183">
        <v>530</v>
      </c>
      <c r="B3183" s="3">
        <f t="shared" ca="1" si="49"/>
        <v>174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3" t="str">
        <f ca="1">IF(dict_zuord_Meth_Transfers[[#This Row],[kval_active]],dict_zuord_Meth_Transfers[[#This Row],[ID_Transfers]],"")</f>
        <v/>
      </c>
    </row>
    <row r="3184" spans="1:4" x14ac:dyDescent="0.45">
      <c r="A3184">
        <v>530</v>
      </c>
      <c r="B3184" s="3">
        <f t="shared" ca="1" si="49"/>
        <v>139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4" t="str">
        <f ca="1">IF(dict_zuord_Meth_Transfers[[#This Row],[kval_active]],dict_zuord_Meth_Transfers[[#This Row],[ID_Transfers]],"")</f>
        <v/>
      </c>
    </row>
    <row r="3185" spans="1:4" x14ac:dyDescent="0.45">
      <c r="A3185">
        <v>530</v>
      </c>
      <c r="B3185" s="3">
        <f t="shared" ca="1" si="49"/>
        <v>176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5" t="str">
        <f ca="1">IF(dict_zuord_Meth_Transfers[[#This Row],[kval_active]],dict_zuord_Meth_Transfers[[#This Row],[ID_Transfers]],"")</f>
        <v/>
      </c>
    </row>
    <row r="3186" spans="1:4" x14ac:dyDescent="0.45">
      <c r="A3186">
        <v>530</v>
      </c>
      <c r="B3186">
        <f t="shared" ca="1" si="49"/>
        <v>151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6" t="str">
        <f ca="1">IF(dict_zuord_Meth_Transfers[[#This Row],[kval_active]],dict_zuord_Meth_Transfers[[#This Row],[ID_Transfers]],"")</f>
        <v/>
      </c>
    </row>
    <row r="3187" spans="1:4" x14ac:dyDescent="0.45">
      <c r="A3187">
        <v>530</v>
      </c>
      <c r="B3187">
        <f t="shared" ca="1" si="49"/>
        <v>139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7" t="str">
        <f ca="1">IF(dict_zuord_Meth_Transfers[[#This Row],[kval_active]],dict_zuord_Meth_Transfers[[#This Row],[ID_Transfers]],"")</f>
        <v/>
      </c>
    </row>
    <row r="3188" spans="1:4" x14ac:dyDescent="0.45">
      <c r="A3188">
        <v>531</v>
      </c>
      <c r="B3188" s="3">
        <f t="shared" ca="1" si="49"/>
        <v>67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8" t="str">
        <f ca="1">IF(dict_zuord_Meth_Transfers[[#This Row],[kval_active]],dict_zuord_Meth_Transfers[[#This Row],[ID_Transfers]],"")</f>
        <v/>
      </c>
    </row>
    <row r="3189" spans="1:4" x14ac:dyDescent="0.45">
      <c r="A3189">
        <v>531</v>
      </c>
      <c r="B3189">
        <f t="shared" ca="1" si="49"/>
        <v>62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9" t="str">
        <f ca="1">IF(dict_zuord_Meth_Transfers[[#This Row],[kval_active]],dict_zuord_Meth_Transfers[[#This Row],[ID_Transfers]],"")</f>
        <v/>
      </c>
    </row>
    <row r="3190" spans="1:4" x14ac:dyDescent="0.45">
      <c r="A3190">
        <v>531</v>
      </c>
      <c r="B3190" s="3">
        <f t="shared" ca="1" si="49"/>
        <v>18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0" t="str">
        <f ca="1">IF(dict_zuord_Meth_Transfers[[#This Row],[kval_active]],dict_zuord_Meth_Transfers[[#This Row],[ID_Transfers]],"")</f>
        <v/>
      </c>
    </row>
    <row r="3191" spans="1:4" x14ac:dyDescent="0.45">
      <c r="A3191">
        <v>531</v>
      </c>
      <c r="B3191">
        <f t="shared" ca="1" si="49"/>
        <v>32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1" t="str">
        <f ca="1">IF(dict_zuord_Meth_Transfers[[#This Row],[kval_active]],dict_zuord_Meth_Transfers[[#This Row],[ID_Transfers]],"")</f>
        <v/>
      </c>
    </row>
    <row r="3192" spans="1:4" x14ac:dyDescent="0.45">
      <c r="A3192">
        <v>531</v>
      </c>
      <c r="B3192" s="3">
        <f t="shared" ca="1" si="49"/>
        <v>49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2" t="str">
        <f ca="1">IF(dict_zuord_Meth_Transfers[[#This Row],[kval_active]],dict_zuord_Meth_Transfers[[#This Row],[ID_Transfers]],"")</f>
        <v/>
      </c>
    </row>
    <row r="3193" spans="1:4" x14ac:dyDescent="0.45">
      <c r="A3193">
        <v>531</v>
      </c>
      <c r="B3193">
        <f t="shared" ca="1" si="49"/>
        <v>43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3" t="str">
        <f ca="1">IF(dict_zuord_Meth_Transfers[[#This Row],[kval_active]],dict_zuord_Meth_Transfers[[#This Row],[ID_Transfers]],"")</f>
        <v/>
      </c>
    </row>
    <row r="3194" spans="1:4" x14ac:dyDescent="0.45">
      <c r="A3194">
        <v>532</v>
      </c>
      <c r="B3194" s="3">
        <f t="shared" ca="1" si="49"/>
        <v>117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4" t="str">
        <f ca="1">IF(dict_zuord_Meth_Transfers[[#This Row],[kval_active]],dict_zuord_Meth_Transfers[[#This Row],[ID_Transfers]],"")</f>
        <v/>
      </c>
    </row>
    <row r="3195" spans="1:4" x14ac:dyDescent="0.45">
      <c r="A3195">
        <v>532</v>
      </c>
      <c r="B3195">
        <f t="shared" ca="1" si="49"/>
        <v>144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5" t="str">
        <f ca="1">IF(dict_zuord_Meth_Transfers[[#This Row],[kval_active]],dict_zuord_Meth_Transfers[[#This Row],[ID_Transfers]],"")</f>
        <v/>
      </c>
    </row>
    <row r="3196" spans="1:4" x14ac:dyDescent="0.45">
      <c r="A3196">
        <v>532</v>
      </c>
      <c r="B3196">
        <f t="shared" ca="1" si="49"/>
        <v>138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6" t="str">
        <f ca="1">IF(dict_zuord_Meth_Transfers[[#This Row],[kval_active]],dict_zuord_Meth_Transfers[[#This Row],[ID_Transfers]],"")</f>
        <v/>
      </c>
    </row>
    <row r="3197" spans="1:4" x14ac:dyDescent="0.45">
      <c r="A3197">
        <v>532</v>
      </c>
      <c r="B3197">
        <f t="shared" ca="1" si="49"/>
        <v>195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7" t="str">
        <f ca="1">IF(dict_zuord_Meth_Transfers[[#This Row],[kval_active]],dict_zuord_Meth_Transfers[[#This Row],[ID_Transfers]],"")</f>
        <v/>
      </c>
    </row>
    <row r="3198" spans="1:4" x14ac:dyDescent="0.45">
      <c r="A3198">
        <v>532</v>
      </c>
      <c r="B3198" s="3">
        <f t="shared" ca="1" si="49"/>
        <v>183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8" t="str">
        <f ca="1">IF(dict_zuord_Meth_Transfers[[#This Row],[kval_active]],dict_zuord_Meth_Transfers[[#This Row],[ID_Transfers]],"")</f>
        <v/>
      </c>
    </row>
    <row r="3199" spans="1:4" x14ac:dyDescent="0.45">
      <c r="A3199">
        <v>532</v>
      </c>
      <c r="B3199" s="3">
        <f t="shared" ca="1" si="49"/>
        <v>157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9" t="str">
        <f ca="1">IF(dict_zuord_Meth_Transfers[[#This Row],[kval_active]],dict_zuord_Meth_Transfers[[#This Row],[ID_Transfers]],"")</f>
        <v/>
      </c>
    </row>
    <row r="3200" spans="1:4" x14ac:dyDescent="0.45">
      <c r="A3200">
        <v>533</v>
      </c>
      <c r="B3200">
        <f t="shared" ca="1" si="49"/>
        <v>147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0" t="str">
        <f ca="1">IF(dict_zuord_Meth_Transfers[[#This Row],[kval_active]],dict_zuord_Meth_Transfers[[#This Row],[ID_Transfers]],"")</f>
        <v/>
      </c>
    </row>
    <row r="3201" spans="1:4" x14ac:dyDescent="0.45">
      <c r="A3201">
        <v>533</v>
      </c>
      <c r="B3201" s="3">
        <f t="shared" ca="1" si="49"/>
        <v>171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1" t="str">
        <f ca="1">IF(dict_zuord_Meth_Transfers[[#This Row],[kval_active]],dict_zuord_Meth_Transfers[[#This Row],[ID_Transfers]],"")</f>
        <v/>
      </c>
    </row>
    <row r="3202" spans="1:4" x14ac:dyDescent="0.45">
      <c r="A3202">
        <v>533</v>
      </c>
      <c r="B3202">
        <f t="shared" ref="B3202:B3265" ca="1" si="50">RANDBETWEEN(0,200)</f>
        <v>84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2" t="str">
        <f ca="1">IF(dict_zuord_Meth_Transfers[[#This Row],[kval_active]],dict_zuord_Meth_Transfers[[#This Row],[ID_Transfers]],"")</f>
        <v/>
      </c>
    </row>
    <row r="3203" spans="1:4" x14ac:dyDescent="0.45">
      <c r="A3203">
        <v>533</v>
      </c>
      <c r="B3203">
        <f t="shared" ca="1" si="50"/>
        <v>30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3" t="str">
        <f ca="1">IF(dict_zuord_Meth_Transfers[[#This Row],[kval_active]],dict_zuord_Meth_Transfers[[#This Row],[ID_Transfers]],"")</f>
        <v/>
      </c>
    </row>
    <row r="3204" spans="1:4" x14ac:dyDescent="0.45">
      <c r="A3204">
        <v>533</v>
      </c>
      <c r="B3204" s="3">
        <f t="shared" ca="1" si="50"/>
        <v>166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4" t="str">
        <f ca="1">IF(dict_zuord_Meth_Transfers[[#This Row],[kval_active]],dict_zuord_Meth_Transfers[[#This Row],[ID_Transfers]],"")</f>
        <v/>
      </c>
    </row>
    <row r="3205" spans="1:4" x14ac:dyDescent="0.45">
      <c r="A3205">
        <v>533</v>
      </c>
      <c r="B3205" s="3">
        <f t="shared" ca="1" si="50"/>
        <v>177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5" t="str">
        <f ca="1">IF(dict_zuord_Meth_Transfers[[#This Row],[kval_active]],dict_zuord_Meth_Transfers[[#This Row],[ID_Transfers]],"")</f>
        <v/>
      </c>
    </row>
    <row r="3206" spans="1:4" x14ac:dyDescent="0.45">
      <c r="A3206">
        <v>534</v>
      </c>
      <c r="B3206">
        <f t="shared" ca="1" si="50"/>
        <v>151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6" t="str">
        <f ca="1">IF(dict_zuord_Meth_Transfers[[#This Row],[kval_active]],dict_zuord_Meth_Transfers[[#This Row],[ID_Transfers]],"")</f>
        <v/>
      </c>
    </row>
    <row r="3207" spans="1:4" x14ac:dyDescent="0.45">
      <c r="A3207">
        <v>534</v>
      </c>
      <c r="B3207" s="3">
        <f t="shared" ca="1" si="50"/>
        <v>162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7" t="str">
        <f ca="1">IF(dict_zuord_Meth_Transfers[[#This Row],[kval_active]],dict_zuord_Meth_Transfers[[#This Row],[ID_Transfers]],"")</f>
        <v/>
      </c>
    </row>
    <row r="3208" spans="1:4" x14ac:dyDescent="0.45">
      <c r="A3208">
        <v>534</v>
      </c>
      <c r="B3208">
        <f t="shared" ca="1" si="50"/>
        <v>189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8" t="str">
        <f ca="1">IF(dict_zuord_Meth_Transfers[[#This Row],[kval_active]],dict_zuord_Meth_Transfers[[#This Row],[ID_Transfers]],"")</f>
        <v/>
      </c>
    </row>
    <row r="3209" spans="1:4" x14ac:dyDescent="0.45">
      <c r="A3209">
        <v>534</v>
      </c>
      <c r="B3209" s="3">
        <f t="shared" ca="1" si="50"/>
        <v>75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9" t="str">
        <f ca="1">IF(dict_zuord_Meth_Transfers[[#This Row],[kval_active]],dict_zuord_Meth_Transfers[[#This Row],[ID_Transfers]],"")</f>
        <v/>
      </c>
    </row>
    <row r="3210" spans="1:4" x14ac:dyDescent="0.45">
      <c r="A3210">
        <v>534</v>
      </c>
      <c r="B3210" s="3">
        <f t="shared" ca="1" si="50"/>
        <v>76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0" t="str">
        <f ca="1">IF(dict_zuord_Meth_Transfers[[#This Row],[kval_active]],dict_zuord_Meth_Transfers[[#This Row],[ID_Transfers]],"")</f>
        <v/>
      </c>
    </row>
    <row r="3211" spans="1:4" x14ac:dyDescent="0.45">
      <c r="A3211">
        <v>534</v>
      </c>
      <c r="B3211">
        <f t="shared" ca="1" si="50"/>
        <v>177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1" t="str">
        <f ca="1">IF(dict_zuord_Meth_Transfers[[#This Row],[kval_active]],dict_zuord_Meth_Transfers[[#This Row],[ID_Transfers]],"")</f>
        <v/>
      </c>
    </row>
    <row r="3212" spans="1:4" x14ac:dyDescent="0.45">
      <c r="A3212">
        <v>535</v>
      </c>
      <c r="B3212" s="3">
        <f t="shared" ca="1" si="50"/>
        <v>149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2" t="str">
        <f ca="1">IF(dict_zuord_Meth_Transfers[[#This Row],[kval_active]],dict_zuord_Meth_Transfers[[#This Row],[ID_Transfers]],"")</f>
        <v/>
      </c>
    </row>
    <row r="3213" spans="1:4" x14ac:dyDescent="0.45">
      <c r="A3213">
        <v>535</v>
      </c>
      <c r="B3213">
        <f t="shared" ca="1" si="50"/>
        <v>158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3" t="str">
        <f ca="1">IF(dict_zuord_Meth_Transfers[[#This Row],[kval_active]],dict_zuord_Meth_Transfers[[#This Row],[ID_Transfers]],"")</f>
        <v/>
      </c>
    </row>
    <row r="3214" spans="1:4" x14ac:dyDescent="0.45">
      <c r="A3214">
        <v>535</v>
      </c>
      <c r="B3214" s="3">
        <f t="shared" ca="1" si="50"/>
        <v>136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4" t="str">
        <f ca="1">IF(dict_zuord_Meth_Transfers[[#This Row],[kval_active]],dict_zuord_Meth_Transfers[[#This Row],[ID_Transfers]],"")</f>
        <v/>
      </c>
    </row>
    <row r="3215" spans="1:4" x14ac:dyDescent="0.45">
      <c r="A3215">
        <v>535</v>
      </c>
      <c r="B3215" s="3">
        <f t="shared" ca="1" si="50"/>
        <v>134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5" t="str">
        <f ca="1">IF(dict_zuord_Meth_Transfers[[#This Row],[kval_active]],dict_zuord_Meth_Transfers[[#This Row],[ID_Transfers]],"")</f>
        <v/>
      </c>
    </row>
    <row r="3216" spans="1:4" x14ac:dyDescent="0.45">
      <c r="A3216">
        <v>535</v>
      </c>
      <c r="B3216">
        <f t="shared" ca="1" si="50"/>
        <v>109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6" t="str">
        <f ca="1">IF(dict_zuord_Meth_Transfers[[#This Row],[kval_active]],dict_zuord_Meth_Transfers[[#This Row],[ID_Transfers]],"")</f>
        <v/>
      </c>
    </row>
    <row r="3217" spans="1:4" x14ac:dyDescent="0.45">
      <c r="A3217">
        <v>535</v>
      </c>
      <c r="B3217">
        <f t="shared" ca="1" si="50"/>
        <v>121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7" t="str">
        <f ca="1">IF(dict_zuord_Meth_Transfers[[#This Row],[kval_active]],dict_zuord_Meth_Transfers[[#This Row],[ID_Transfers]],"")</f>
        <v/>
      </c>
    </row>
    <row r="3218" spans="1:4" x14ac:dyDescent="0.45">
      <c r="A3218">
        <v>536</v>
      </c>
      <c r="B3218" s="3">
        <f t="shared" ca="1" si="50"/>
        <v>189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8" t="str">
        <f ca="1">IF(dict_zuord_Meth_Transfers[[#This Row],[kval_active]],dict_zuord_Meth_Transfers[[#This Row],[ID_Transfers]],"")</f>
        <v/>
      </c>
    </row>
    <row r="3219" spans="1:4" x14ac:dyDescent="0.45">
      <c r="A3219">
        <v>536</v>
      </c>
      <c r="B3219" s="3">
        <f t="shared" ca="1" si="50"/>
        <v>151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9" t="str">
        <f ca="1">IF(dict_zuord_Meth_Transfers[[#This Row],[kval_active]],dict_zuord_Meth_Transfers[[#This Row],[ID_Transfers]],"")</f>
        <v/>
      </c>
    </row>
    <row r="3220" spans="1:4" x14ac:dyDescent="0.45">
      <c r="A3220">
        <v>536</v>
      </c>
      <c r="B3220">
        <f t="shared" ca="1" si="50"/>
        <v>2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0" t="str">
        <f ca="1">IF(dict_zuord_Meth_Transfers[[#This Row],[kval_active]],dict_zuord_Meth_Transfers[[#This Row],[ID_Transfers]],"")</f>
        <v/>
      </c>
    </row>
    <row r="3221" spans="1:4" x14ac:dyDescent="0.45">
      <c r="A3221">
        <v>536</v>
      </c>
      <c r="B3221">
        <f t="shared" ca="1" si="50"/>
        <v>42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1" t="str">
        <f ca="1">IF(dict_zuord_Meth_Transfers[[#This Row],[kval_active]],dict_zuord_Meth_Transfers[[#This Row],[ID_Transfers]],"")</f>
        <v/>
      </c>
    </row>
    <row r="3222" spans="1:4" x14ac:dyDescent="0.45">
      <c r="A3222">
        <v>536</v>
      </c>
      <c r="B3222" s="3">
        <f t="shared" ca="1" si="50"/>
        <v>116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2" t="str">
        <f ca="1">IF(dict_zuord_Meth_Transfers[[#This Row],[kval_active]],dict_zuord_Meth_Transfers[[#This Row],[ID_Transfers]],"")</f>
        <v/>
      </c>
    </row>
    <row r="3223" spans="1:4" x14ac:dyDescent="0.45">
      <c r="A3223">
        <v>536</v>
      </c>
      <c r="B3223">
        <f t="shared" ca="1" si="50"/>
        <v>3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3" t="str">
        <f ca="1">IF(dict_zuord_Meth_Transfers[[#This Row],[kval_active]],dict_zuord_Meth_Transfers[[#This Row],[ID_Transfers]],"")</f>
        <v/>
      </c>
    </row>
    <row r="3224" spans="1:4" x14ac:dyDescent="0.45">
      <c r="A3224">
        <v>537</v>
      </c>
      <c r="B3224">
        <f t="shared" ca="1" si="50"/>
        <v>114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4" t="str">
        <f ca="1">IF(dict_zuord_Meth_Transfers[[#This Row],[kval_active]],dict_zuord_Meth_Transfers[[#This Row],[ID_Transfers]],"")</f>
        <v/>
      </c>
    </row>
    <row r="3225" spans="1:4" x14ac:dyDescent="0.45">
      <c r="A3225">
        <v>537</v>
      </c>
      <c r="B3225" s="3">
        <f t="shared" ca="1" si="50"/>
        <v>30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5" t="str">
        <f ca="1">IF(dict_zuord_Meth_Transfers[[#This Row],[kval_active]],dict_zuord_Meth_Transfers[[#This Row],[ID_Transfers]],"")</f>
        <v/>
      </c>
    </row>
    <row r="3226" spans="1:4" x14ac:dyDescent="0.45">
      <c r="A3226">
        <v>537</v>
      </c>
      <c r="B3226">
        <f t="shared" ca="1" si="50"/>
        <v>37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6" t="str">
        <f ca="1">IF(dict_zuord_Meth_Transfers[[#This Row],[kval_active]],dict_zuord_Meth_Transfers[[#This Row],[ID_Transfers]],"")</f>
        <v/>
      </c>
    </row>
    <row r="3227" spans="1:4" x14ac:dyDescent="0.45">
      <c r="A3227">
        <v>537</v>
      </c>
      <c r="B3227">
        <f t="shared" ca="1" si="50"/>
        <v>71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7" t="str">
        <f ca="1">IF(dict_zuord_Meth_Transfers[[#This Row],[kval_active]],dict_zuord_Meth_Transfers[[#This Row],[ID_Transfers]],"")</f>
        <v/>
      </c>
    </row>
    <row r="3228" spans="1:4" x14ac:dyDescent="0.45">
      <c r="A3228">
        <v>537</v>
      </c>
      <c r="B3228" s="3">
        <f t="shared" ca="1" si="50"/>
        <v>168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8" t="str">
        <f ca="1">IF(dict_zuord_Meth_Transfers[[#This Row],[kval_active]],dict_zuord_Meth_Transfers[[#This Row],[ID_Transfers]],"")</f>
        <v/>
      </c>
    </row>
    <row r="3229" spans="1:4" x14ac:dyDescent="0.45">
      <c r="A3229">
        <v>537</v>
      </c>
      <c r="B3229" s="3">
        <f t="shared" ca="1" si="50"/>
        <v>163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9" t="str">
        <f ca="1">IF(dict_zuord_Meth_Transfers[[#This Row],[kval_active]],dict_zuord_Meth_Transfers[[#This Row],[ID_Transfers]],"")</f>
        <v/>
      </c>
    </row>
    <row r="3230" spans="1:4" x14ac:dyDescent="0.45">
      <c r="A3230">
        <v>538</v>
      </c>
      <c r="B3230" s="3">
        <f t="shared" ca="1" si="50"/>
        <v>28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0" t="str">
        <f ca="1">IF(dict_zuord_Meth_Transfers[[#This Row],[kval_active]],dict_zuord_Meth_Transfers[[#This Row],[ID_Transfers]],"")</f>
        <v/>
      </c>
    </row>
    <row r="3231" spans="1:4" x14ac:dyDescent="0.45">
      <c r="A3231">
        <v>538</v>
      </c>
      <c r="B3231">
        <f t="shared" ca="1" si="50"/>
        <v>159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1" t="str">
        <f ca="1">IF(dict_zuord_Meth_Transfers[[#This Row],[kval_active]],dict_zuord_Meth_Transfers[[#This Row],[ID_Transfers]],"")</f>
        <v/>
      </c>
    </row>
    <row r="3232" spans="1:4" x14ac:dyDescent="0.45">
      <c r="A3232">
        <v>538</v>
      </c>
      <c r="B3232" s="3">
        <f t="shared" ca="1" si="50"/>
        <v>186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2" t="str">
        <f ca="1">IF(dict_zuord_Meth_Transfers[[#This Row],[kval_active]],dict_zuord_Meth_Transfers[[#This Row],[ID_Transfers]],"")</f>
        <v/>
      </c>
    </row>
    <row r="3233" spans="1:4" x14ac:dyDescent="0.45">
      <c r="A3233">
        <v>538</v>
      </c>
      <c r="B3233">
        <f t="shared" ca="1" si="50"/>
        <v>47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3" t="str">
        <f ca="1">IF(dict_zuord_Meth_Transfers[[#This Row],[kval_active]],dict_zuord_Meth_Transfers[[#This Row],[ID_Transfers]],"")</f>
        <v/>
      </c>
    </row>
    <row r="3234" spans="1:4" x14ac:dyDescent="0.45">
      <c r="A3234">
        <v>538</v>
      </c>
      <c r="B3234" s="3">
        <f t="shared" ca="1" si="50"/>
        <v>44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4" t="str">
        <f ca="1">IF(dict_zuord_Meth_Transfers[[#This Row],[kval_active]],dict_zuord_Meth_Transfers[[#This Row],[ID_Transfers]],"")</f>
        <v/>
      </c>
    </row>
    <row r="3235" spans="1:4" x14ac:dyDescent="0.45">
      <c r="A3235">
        <v>538</v>
      </c>
      <c r="B3235">
        <f t="shared" ca="1" si="50"/>
        <v>52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5" t="str">
        <f ca="1">IF(dict_zuord_Meth_Transfers[[#This Row],[kval_active]],dict_zuord_Meth_Transfers[[#This Row],[ID_Transfers]],"")</f>
        <v/>
      </c>
    </row>
    <row r="3236" spans="1:4" x14ac:dyDescent="0.45">
      <c r="A3236">
        <v>539</v>
      </c>
      <c r="B3236">
        <f t="shared" ca="1" si="50"/>
        <v>162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6" t="str">
        <f ca="1">IF(dict_zuord_Meth_Transfers[[#This Row],[kval_active]],dict_zuord_Meth_Transfers[[#This Row],[ID_Transfers]],"")</f>
        <v/>
      </c>
    </row>
    <row r="3237" spans="1:4" x14ac:dyDescent="0.45">
      <c r="A3237">
        <v>539</v>
      </c>
      <c r="B3237">
        <f t="shared" ca="1" si="50"/>
        <v>128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7" t="str">
        <f ca="1">IF(dict_zuord_Meth_Transfers[[#This Row],[kval_active]],dict_zuord_Meth_Transfers[[#This Row],[ID_Transfers]],"")</f>
        <v/>
      </c>
    </row>
    <row r="3238" spans="1:4" x14ac:dyDescent="0.45">
      <c r="A3238">
        <v>539</v>
      </c>
      <c r="B3238" s="3">
        <f t="shared" ca="1" si="50"/>
        <v>14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8" t="str">
        <f ca="1">IF(dict_zuord_Meth_Transfers[[#This Row],[kval_active]],dict_zuord_Meth_Transfers[[#This Row],[ID_Transfers]],"")</f>
        <v/>
      </c>
    </row>
    <row r="3239" spans="1:4" x14ac:dyDescent="0.45">
      <c r="A3239">
        <v>539</v>
      </c>
      <c r="B3239" s="3">
        <f t="shared" ca="1" si="50"/>
        <v>156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9" t="str">
        <f ca="1">IF(dict_zuord_Meth_Transfers[[#This Row],[kval_active]],dict_zuord_Meth_Transfers[[#This Row],[ID_Transfers]],"")</f>
        <v/>
      </c>
    </row>
    <row r="3240" spans="1:4" x14ac:dyDescent="0.45">
      <c r="A3240">
        <v>539</v>
      </c>
      <c r="B3240">
        <f t="shared" ca="1" si="50"/>
        <v>154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0" t="str">
        <f ca="1">IF(dict_zuord_Meth_Transfers[[#This Row],[kval_active]],dict_zuord_Meth_Transfers[[#This Row],[ID_Transfers]],"")</f>
        <v/>
      </c>
    </row>
    <row r="3241" spans="1:4" x14ac:dyDescent="0.45">
      <c r="A3241">
        <v>539</v>
      </c>
      <c r="B3241" s="3">
        <f t="shared" ca="1" si="50"/>
        <v>113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1" t="str">
        <f ca="1">IF(dict_zuord_Meth_Transfers[[#This Row],[kval_active]],dict_zuord_Meth_Transfers[[#This Row],[ID_Transfers]],"")</f>
        <v/>
      </c>
    </row>
    <row r="3242" spans="1:4" x14ac:dyDescent="0.45">
      <c r="A3242">
        <v>540</v>
      </c>
      <c r="B3242" s="3">
        <f t="shared" ca="1" si="50"/>
        <v>92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2" t="str">
        <f ca="1">IF(dict_zuord_Meth_Transfers[[#This Row],[kval_active]],dict_zuord_Meth_Transfers[[#This Row],[ID_Transfers]],"")</f>
        <v/>
      </c>
    </row>
    <row r="3243" spans="1:4" x14ac:dyDescent="0.45">
      <c r="A3243">
        <v>540</v>
      </c>
      <c r="B3243" s="3">
        <f t="shared" ca="1" si="50"/>
        <v>71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3" t="str">
        <f ca="1">IF(dict_zuord_Meth_Transfers[[#This Row],[kval_active]],dict_zuord_Meth_Transfers[[#This Row],[ID_Transfers]],"")</f>
        <v/>
      </c>
    </row>
    <row r="3244" spans="1:4" x14ac:dyDescent="0.45">
      <c r="A3244">
        <v>540</v>
      </c>
      <c r="B3244">
        <f t="shared" ca="1" si="50"/>
        <v>164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4" t="str">
        <f ca="1">IF(dict_zuord_Meth_Transfers[[#This Row],[kval_active]],dict_zuord_Meth_Transfers[[#This Row],[ID_Transfers]],"")</f>
        <v/>
      </c>
    </row>
    <row r="3245" spans="1:4" x14ac:dyDescent="0.45">
      <c r="A3245">
        <v>540</v>
      </c>
      <c r="B3245">
        <f t="shared" ca="1" si="50"/>
        <v>78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5" t="str">
        <f ca="1">IF(dict_zuord_Meth_Transfers[[#This Row],[kval_active]],dict_zuord_Meth_Transfers[[#This Row],[ID_Transfers]],"")</f>
        <v/>
      </c>
    </row>
    <row r="3246" spans="1:4" x14ac:dyDescent="0.45">
      <c r="A3246">
        <v>540</v>
      </c>
      <c r="B3246" s="3">
        <f t="shared" ca="1" si="50"/>
        <v>35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6" t="str">
        <f ca="1">IF(dict_zuord_Meth_Transfers[[#This Row],[kval_active]],dict_zuord_Meth_Transfers[[#This Row],[ID_Transfers]],"")</f>
        <v/>
      </c>
    </row>
    <row r="3247" spans="1:4" x14ac:dyDescent="0.45">
      <c r="A3247">
        <v>540</v>
      </c>
      <c r="B3247">
        <f t="shared" ca="1" si="50"/>
        <v>196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7" t="str">
        <f ca="1">IF(dict_zuord_Meth_Transfers[[#This Row],[kval_active]],dict_zuord_Meth_Transfers[[#This Row],[ID_Transfers]],"")</f>
        <v/>
      </c>
    </row>
    <row r="3248" spans="1:4" x14ac:dyDescent="0.45">
      <c r="A3248">
        <v>541</v>
      </c>
      <c r="B3248">
        <f t="shared" ca="1" si="50"/>
        <v>146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8" t="str">
        <f ca="1">IF(dict_zuord_Meth_Transfers[[#This Row],[kval_active]],dict_zuord_Meth_Transfers[[#This Row],[ID_Transfers]],"")</f>
        <v/>
      </c>
    </row>
    <row r="3249" spans="1:4" x14ac:dyDescent="0.45">
      <c r="A3249">
        <v>541</v>
      </c>
      <c r="B3249" s="3">
        <f t="shared" ca="1" si="50"/>
        <v>77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9" t="str">
        <f ca="1">IF(dict_zuord_Meth_Transfers[[#This Row],[kval_active]],dict_zuord_Meth_Transfers[[#This Row],[ID_Transfers]],"")</f>
        <v/>
      </c>
    </row>
    <row r="3250" spans="1:4" x14ac:dyDescent="0.45">
      <c r="A3250">
        <v>541</v>
      </c>
      <c r="B3250">
        <f t="shared" ca="1" si="50"/>
        <v>187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0" t="str">
        <f ca="1">IF(dict_zuord_Meth_Transfers[[#This Row],[kval_active]],dict_zuord_Meth_Transfers[[#This Row],[ID_Transfers]],"")</f>
        <v/>
      </c>
    </row>
    <row r="3251" spans="1:4" x14ac:dyDescent="0.45">
      <c r="A3251">
        <v>541</v>
      </c>
      <c r="B3251" s="3">
        <f t="shared" ca="1" si="50"/>
        <v>74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1" t="str">
        <f ca="1">IF(dict_zuord_Meth_Transfers[[#This Row],[kval_active]],dict_zuord_Meth_Transfers[[#This Row],[ID_Transfers]],"")</f>
        <v/>
      </c>
    </row>
    <row r="3252" spans="1:4" x14ac:dyDescent="0.45">
      <c r="A3252">
        <v>541</v>
      </c>
      <c r="B3252">
        <f t="shared" ca="1" si="50"/>
        <v>22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2" t="str">
        <f ca="1">IF(dict_zuord_Meth_Transfers[[#This Row],[kval_active]],dict_zuord_Meth_Transfers[[#This Row],[ID_Transfers]],"")</f>
        <v/>
      </c>
    </row>
    <row r="3253" spans="1:4" x14ac:dyDescent="0.45">
      <c r="A3253">
        <v>541</v>
      </c>
      <c r="B3253" s="3">
        <f t="shared" ca="1" si="50"/>
        <v>23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3" t="str">
        <f ca="1">IF(dict_zuord_Meth_Transfers[[#This Row],[kval_active]],dict_zuord_Meth_Transfers[[#This Row],[ID_Transfers]],"")</f>
        <v/>
      </c>
    </row>
    <row r="3254" spans="1:4" x14ac:dyDescent="0.45">
      <c r="A3254">
        <v>542</v>
      </c>
      <c r="B3254" s="3">
        <f t="shared" ca="1" si="50"/>
        <v>80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4" t="str">
        <f ca="1">IF(dict_zuord_Meth_Transfers[[#This Row],[kval_active]],dict_zuord_Meth_Transfers[[#This Row],[ID_Transfers]],"")</f>
        <v/>
      </c>
    </row>
    <row r="3255" spans="1:4" x14ac:dyDescent="0.45">
      <c r="A3255">
        <v>542</v>
      </c>
      <c r="B3255" s="3">
        <f t="shared" ca="1" si="50"/>
        <v>109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5" t="str">
        <f ca="1">IF(dict_zuord_Meth_Transfers[[#This Row],[kval_active]],dict_zuord_Meth_Transfers[[#This Row],[ID_Transfers]],"")</f>
        <v/>
      </c>
    </row>
    <row r="3256" spans="1:4" x14ac:dyDescent="0.45">
      <c r="A3256">
        <v>542</v>
      </c>
      <c r="B3256">
        <f t="shared" ca="1" si="50"/>
        <v>59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6" t="str">
        <f ca="1">IF(dict_zuord_Meth_Transfers[[#This Row],[kval_active]],dict_zuord_Meth_Transfers[[#This Row],[ID_Transfers]],"")</f>
        <v/>
      </c>
    </row>
    <row r="3257" spans="1:4" x14ac:dyDescent="0.45">
      <c r="A3257">
        <v>542</v>
      </c>
      <c r="B3257">
        <f t="shared" ca="1" si="50"/>
        <v>158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7" t="str">
        <f ca="1">IF(dict_zuord_Meth_Transfers[[#This Row],[kval_active]],dict_zuord_Meth_Transfers[[#This Row],[ID_Transfers]],"")</f>
        <v/>
      </c>
    </row>
    <row r="3258" spans="1:4" x14ac:dyDescent="0.45">
      <c r="A3258">
        <v>542</v>
      </c>
      <c r="B3258">
        <f t="shared" ca="1" si="50"/>
        <v>178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8" t="str">
        <f ca="1">IF(dict_zuord_Meth_Transfers[[#This Row],[kval_active]],dict_zuord_Meth_Transfers[[#This Row],[ID_Transfers]],"")</f>
        <v/>
      </c>
    </row>
    <row r="3259" spans="1:4" x14ac:dyDescent="0.45">
      <c r="A3259">
        <v>542</v>
      </c>
      <c r="B3259" s="3">
        <f t="shared" ca="1" si="50"/>
        <v>186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9" t="str">
        <f ca="1">IF(dict_zuord_Meth_Transfers[[#This Row],[kval_active]],dict_zuord_Meth_Transfers[[#This Row],[ID_Transfers]],"")</f>
        <v/>
      </c>
    </row>
    <row r="3260" spans="1:4" x14ac:dyDescent="0.45">
      <c r="A3260">
        <v>543</v>
      </c>
      <c r="B3260">
        <f t="shared" ca="1" si="50"/>
        <v>56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0" t="str">
        <f ca="1">IF(dict_zuord_Meth_Transfers[[#This Row],[kval_active]],dict_zuord_Meth_Transfers[[#This Row],[ID_Transfers]],"")</f>
        <v/>
      </c>
    </row>
    <row r="3261" spans="1:4" x14ac:dyDescent="0.45">
      <c r="A3261">
        <v>543</v>
      </c>
      <c r="B3261" s="3">
        <f t="shared" ca="1" si="50"/>
        <v>186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1" t="str">
        <f ca="1">IF(dict_zuord_Meth_Transfers[[#This Row],[kval_active]],dict_zuord_Meth_Transfers[[#This Row],[ID_Transfers]],"")</f>
        <v/>
      </c>
    </row>
    <row r="3262" spans="1:4" x14ac:dyDescent="0.45">
      <c r="A3262">
        <v>543</v>
      </c>
      <c r="B3262" s="3">
        <f t="shared" ca="1" si="50"/>
        <v>122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2" t="str">
        <f ca="1">IF(dict_zuord_Meth_Transfers[[#This Row],[kval_active]],dict_zuord_Meth_Transfers[[#This Row],[ID_Transfers]],"")</f>
        <v/>
      </c>
    </row>
    <row r="3263" spans="1:4" x14ac:dyDescent="0.45">
      <c r="A3263">
        <v>543</v>
      </c>
      <c r="B3263" s="3">
        <f t="shared" ca="1" si="50"/>
        <v>105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3" t="str">
        <f ca="1">IF(dict_zuord_Meth_Transfers[[#This Row],[kval_active]],dict_zuord_Meth_Transfers[[#This Row],[ID_Transfers]],"")</f>
        <v/>
      </c>
    </row>
    <row r="3264" spans="1:4" x14ac:dyDescent="0.45">
      <c r="A3264">
        <v>543</v>
      </c>
      <c r="B3264">
        <f t="shared" ca="1" si="50"/>
        <v>92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4" t="str">
        <f ca="1">IF(dict_zuord_Meth_Transfers[[#This Row],[kval_active]],dict_zuord_Meth_Transfers[[#This Row],[ID_Transfers]],"")</f>
        <v/>
      </c>
    </row>
    <row r="3265" spans="1:4" x14ac:dyDescent="0.45">
      <c r="A3265">
        <v>543</v>
      </c>
      <c r="B3265">
        <f t="shared" ca="1" si="50"/>
        <v>50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5" t="str">
        <f ca="1">IF(dict_zuord_Meth_Transfers[[#This Row],[kval_active]],dict_zuord_Meth_Transfers[[#This Row],[ID_Transfers]],"")</f>
        <v/>
      </c>
    </row>
    <row r="3266" spans="1:4" x14ac:dyDescent="0.45">
      <c r="A3266">
        <v>544</v>
      </c>
      <c r="B3266" s="3">
        <f t="shared" ref="B3266:B3329" ca="1" si="51">RANDBETWEEN(0,200)</f>
        <v>27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6" t="str">
        <f ca="1">IF(dict_zuord_Meth_Transfers[[#This Row],[kval_active]],dict_zuord_Meth_Transfers[[#This Row],[ID_Transfers]],"")</f>
        <v/>
      </c>
    </row>
    <row r="3267" spans="1:4" x14ac:dyDescent="0.45">
      <c r="A3267">
        <v>544</v>
      </c>
      <c r="B3267">
        <f t="shared" ca="1" si="51"/>
        <v>132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7" t="str">
        <f ca="1">IF(dict_zuord_Meth_Transfers[[#This Row],[kval_active]],dict_zuord_Meth_Transfers[[#This Row],[ID_Transfers]],"")</f>
        <v/>
      </c>
    </row>
    <row r="3268" spans="1:4" x14ac:dyDescent="0.45">
      <c r="A3268">
        <v>544</v>
      </c>
      <c r="B3268">
        <f t="shared" ca="1" si="51"/>
        <v>35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8" t="str">
        <f ca="1">IF(dict_zuord_Meth_Transfers[[#This Row],[kval_active]],dict_zuord_Meth_Transfers[[#This Row],[ID_Transfers]],"")</f>
        <v/>
      </c>
    </row>
    <row r="3269" spans="1:4" x14ac:dyDescent="0.45">
      <c r="A3269">
        <v>544</v>
      </c>
      <c r="B3269" s="3">
        <f t="shared" ca="1" si="51"/>
        <v>55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9" t="str">
        <f ca="1">IF(dict_zuord_Meth_Transfers[[#This Row],[kval_active]],dict_zuord_Meth_Transfers[[#This Row],[ID_Transfers]],"")</f>
        <v/>
      </c>
    </row>
    <row r="3270" spans="1:4" x14ac:dyDescent="0.45">
      <c r="A3270">
        <v>544</v>
      </c>
      <c r="B3270" s="3">
        <f t="shared" ca="1" si="51"/>
        <v>173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0" t="str">
        <f ca="1">IF(dict_zuord_Meth_Transfers[[#This Row],[kval_active]],dict_zuord_Meth_Transfers[[#This Row],[ID_Transfers]],"")</f>
        <v/>
      </c>
    </row>
    <row r="3271" spans="1:4" x14ac:dyDescent="0.45">
      <c r="A3271">
        <v>544</v>
      </c>
      <c r="B3271">
        <f t="shared" ca="1" si="51"/>
        <v>95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1" t="str">
        <f ca="1">IF(dict_zuord_Meth_Transfers[[#This Row],[kval_active]],dict_zuord_Meth_Transfers[[#This Row],[ID_Transfers]],"")</f>
        <v/>
      </c>
    </row>
    <row r="3272" spans="1:4" x14ac:dyDescent="0.45">
      <c r="A3272">
        <v>545</v>
      </c>
      <c r="B3272">
        <f t="shared" ca="1" si="51"/>
        <v>39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2" t="str">
        <f ca="1">IF(dict_zuord_Meth_Transfers[[#This Row],[kval_active]],dict_zuord_Meth_Transfers[[#This Row],[ID_Transfers]],"")</f>
        <v/>
      </c>
    </row>
    <row r="3273" spans="1:4" x14ac:dyDescent="0.45">
      <c r="A3273">
        <v>545</v>
      </c>
      <c r="B3273">
        <f t="shared" ca="1" si="51"/>
        <v>50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3" t="str">
        <f ca="1">IF(dict_zuord_Meth_Transfers[[#This Row],[kval_active]],dict_zuord_Meth_Transfers[[#This Row],[ID_Transfers]],"")</f>
        <v/>
      </c>
    </row>
    <row r="3274" spans="1:4" x14ac:dyDescent="0.45">
      <c r="A3274">
        <v>545</v>
      </c>
      <c r="B3274">
        <f t="shared" ca="1" si="51"/>
        <v>169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4" t="str">
        <f ca="1">IF(dict_zuord_Meth_Transfers[[#This Row],[kval_active]],dict_zuord_Meth_Transfers[[#This Row],[ID_Transfers]],"")</f>
        <v/>
      </c>
    </row>
    <row r="3275" spans="1:4" x14ac:dyDescent="0.45">
      <c r="A3275">
        <v>545</v>
      </c>
      <c r="B3275" s="3">
        <f t="shared" ca="1" si="51"/>
        <v>193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5" t="str">
        <f ca="1">IF(dict_zuord_Meth_Transfers[[#This Row],[kval_active]],dict_zuord_Meth_Transfers[[#This Row],[ID_Transfers]],"")</f>
        <v/>
      </c>
    </row>
    <row r="3276" spans="1:4" x14ac:dyDescent="0.45">
      <c r="A3276">
        <v>545</v>
      </c>
      <c r="B3276" s="3">
        <f t="shared" ca="1" si="51"/>
        <v>39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6" t="str">
        <f ca="1">IF(dict_zuord_Meth_Transfers[[#This Row],[kval_active]],dict_zuord_Meth_Transfers[[#This Row],[ID_Transfers]],"")</f>
        <v/>
      </c>
    </row>
    <row r="3277" spans="1:4" x14ac:dyDescent="0.45">
      <c r="A3277">
        <v>545</v>
      </c>
      <c r="B3277" s="3">
        <f t="shared" ca="1" si="51"/>
        <v>37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7" t="str">
        <f ca="1">IF(dict_zuord_Meth_Transfers[[#This Row],[kval_active]],dict_zuord_Meth_Transfers[[#This Row],[ID_Transfers]],"")</f>
        <v/>
      </c>
    </row>
    <row r="3278" spans="1:4" x14ac:dyDescent="0.45">
      <c r="A3278">
        <v>546</v>
      </c>
      <c r="B3278">
        <f t="shared" ca="1" si="51"/>
        <v>189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8" t="str">
        <f ca="1">IF(dict_zuord_Meth_Transfers[[#This Row],[kval_active]],dict_zuord_Meth_Transfers[[#This Row],[ID_Transfers]],"")</f>
        <v/>
      </c>
    </row>
    <row r="3279" spans="1:4" x14ac:dyDescent="0.45">
      <c r="A3279">
        <v>546</v>
      </c>
      <c r="B3279" s="3">
        <f t="shared" ca="1" si="51"/>
        <v>126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9" t="str">
        <f ca="1">IF(dict_zuord_Meth_Transfers[[#This Row],[kval_active]],dict_zuord_Meth_Transfers[[#This Row],[ID_Transfers]],"")</f>
        <v/>
      </c>
    </row>
    <row r="3280" spans="1:4" x14ac:dyDescent="0.45">
      <c r="A3280">
        <v>546</v>
      </c>
      <c r="B3280" s="3">
        <f t="shared" ca="1" si="51"/>
        <v>104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0" t="str">
        <f ca="1">IF(dict_zuord_Meth_Transfers[[#This Row],[kval_active]],dict_zuord_Meth_Transfers[[#This Row],[ID_Transfers]],"")</f>
        <v/>
      </c>
    </row>
    <row r="3281" spans="1:4" x14ac:dyDescent="0.45">
      <c r="A3281">
        <v>546</v>
      </c>
      <c r="B3281">
        <f t="shared" ca="1" si="51"/>
        <v>186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1" t="str">
        <f ca="1">IF(dict_zuord_Meth_Transfers[[#This Row],[kval_active]],dict_zuord_Meth_Transfers[[#This Row],[ID_Transfers]],"")</f>
        <v/>
      </c>
    </row>
    <row r="3282" spans="1:4" x14ac:dyDescent="0.45">
      <c r="A3282">
        <v>546</v>
      </c>
      <c r="B3282">
        <f t="shared" ca="1" si="51"/>
        <v>154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2" t="str">
        <f ca="1">IF(dict_zuord_Meth_Transfers[[#This Row],[kval_active]],dict_zuord_Meth_Transfers[[#This Row],[ID_Transfers]],"")</f>
        <v/>
      </c>
    </row>
    <row r="3283" spans="1:4" x14ac:dyDescent="0.45">
      <c r="A3283">
        <v>546</v>
      </c>
      <c r="B3283" s="3">
        <f t="shared" ca="1" si="51"/>
        <v>107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3" t="str">
        <f ca="1">IF(dict_zuord_Meth_Transfers[[#This Row],[kval_active]],dict_zuord_Meth_Transfers[[#This Row],[ID_Transfers]],"")</f>
        <v/>
      </c>
    </row>
    <row r="3284" spans="1:4" x14ac:dyDescent="0.45">
      <c r="A3284">
        <v>547</v>
      </c>
      <c r="B3284">
        <f t="shared" ca="1" si="51"/>
        <v>68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4" t="str">
        <f ca="1">IF(dict_zuord_Meth_Transfers[[#This Row],[kval_active]],dict_zuord_Meth_Transfers[[#This Row],[ID_Transfers]],"")</f>
        <v/>
      </c>
    </row>
    <row r="3285" spans="1:4" x14ac:dyDescent="0.45">
      <c r="A3285">
        <v>547</v>
      </c>
      <c r="B3285" s="3">
        <f t="shared" ca="1" si="51"/>
        <v>150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5" t="str">
        <f ca="1">IF(dict_zuord_Meth_Transfers[[#This Row],[kval_active]],dict_zuord_Meth_Transfers[[#This Row],[ID_Transfers]],"")</f>
        <v/>
      </c>
    </row>
    <row r="3286" spans="1:4" x14ac:dyDescent="0.45">
      <c r="A3286">
        <v>547</v>
      </c>
      <c r="B3286" s="3">
        <f t="shared" ca="1" si="51"/>
        <v>189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6" t="str">
        <f ca="1">IF(dict_zuord_Meth_Transfers[[#This Row],[kval_active]],dict_zuord_Meth_Transfers[[#This Row],[ID_Transfers]],"")</f>
        <v/>
      </c>
    </row>
    <row r="3287" spans="1:4" x14ac:dyDescent="0.45">
      <c r="A3287">
        <v>547</v>
      </c>
      <c r="B3287">
        <f t="shared" ca="1" si="51"/>
        <v>96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7" t="str">
        <f ca="1">IF(dict_zuord_Meth_Transfers[[#This Row],[kval_active]],dict_zuord_Meth_Transfers[[#This Row],[ID_Transfers]],"")</f>
        <v/>
      </c>
    </row>
    <row r="3288" spans="1:4" x14ac:dyDescent="0.45">
      <c r="A3288">
        <v>547</v>
      </c>
      <c r="B3288">
        <f t="shared" ca="1" si="51"/>
        <v>78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8" t="str">
        <f ca="1">IF(dict_zuord_Meth_Transfers[[#This Row],[kval_active]],dict_zuord_Meth_Transfers[[#This Row],[ID_Transfers]],"")</f>
        <v/>
      </c>
    </row>
    <row r="3289" spans="1:4" x14ac:dyDescent="0.45">
      <c r="A3289">
        <v>547</v>
      </c>
      <c r="B3289" s="3">
        <f t="shared" ca="1" si="51"/>
        <v>156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9" t="str">
        <f ca="1">IF(dict_zuord_Meth_Transfers[[#This Row],[kval_active]],dict_zuord_Meth_Transfers[[#This Row],[ID_Transfers]],"")</f>
        <v/>
      </c>
    </row>
    <row r="3290" spans="1:4" x14ac:dyDescent="0.45">
      <c r="A3290">
        <v>548</v>
      </c>
      <c r="B3290" s="3">
        <f t="shared" ca="1" si="51"/>
        <v>69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0" t="str">
        <f ca="1">IF(dict_zuord_Meth_Transfers[[#This Row],[kval_active]],dict_zuord_Meth_Transfers[[#This Row],[ID_Transfers]],"")</f>
        <v/>
      </c>
    </row>
    <row r="3291" spans="1:4" x14ac:dyDescent="0.45">
      <c r="A3291">
        <v>548</v>
      </c>
      <c r="B3291">
        <f t="shared" ca="1" si="51"/>
        <v>141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1" t="str">
        <f ca="1">IF(dict_zuord_Meth_Transfers[[#This Row],[kval_active]],dict_zuord_Meth_Transfers[[#This Row],[ID_Transfers]],"")</f>
        <v/>
      </c>
    </row>
    <row r="3292" spans="1:4" x14ac:dyDescent="0.45">
      <c r="A3292">
        <v>548</v>
      </c>
      <c r="B3292">
        <f t="shared" ca="1" si="51"/>
        <v>95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2" t="str">
        <f ca="1">IF(dict_zuord_Meth_Transfers[[#This Row],[kval_active]],dict_zuord_Meth_Transfers[[#This Row],[ID_Transfers]],"")</f>
        <v/>
      </c>
    </row>
    <row r="3293" spans="1:4" x14ac:dyDescent="0.45">
      <c r="A3293">
        <v>548</v>
      </c>
      <c r="B3293" s="3">
        <f t="shared" ca="1" si="51"/>
        <v>151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3" t="str">
        <f ca="1">IF(dict_zuord_Meth_Transfers[[#This Row],[kval_active]],dict_zuord_Meth_Transfers[[#This Row],[ID_Transfers]],"")</f>
        <v/>
      </c>
    </row>
    <row r="3294" spans="1:4" x14ac:dyDescent="0.45">
      <c r="A3294">
        <v>548</v>
      </c>
      <c r="B3294" s="3">
        <f t="shared" ca="1" si="51"/>
        <v>158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4" t="str">
        <f ca="1">IF(dict_zuord_Meth_Transfers[[#This Row],[kval_active]],dict_zuord_Meth_Transfers[[#This Row],[ID_Transfers]],"")</f>
        <v/>
      </c>
    </row>
    <row r="3295" spans="1:4" x14ac:dyDescent="0.45">
      <c r="A3295">
        <v>548</v>
      </c>
      <c r="B3295">
        <f t="shared" ca="1" si="51"/>
        <v>90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5" t="str">
        <f ca="1">IF(dict_zuord_Meth_Transfers[[#This Row],[kval_active]],dict_zuord_Meth_Transfers[[#This Row],[ID_Transfers]],"")</f>
        <v/>
      </c>
    </row>
    <row r="3296" spans="1:4" x14ac:dyDescent="0.45">
      <c r="A3296">
        <v>549</v>
      </c>
      <c r="B3296">
        <f t="shared" ca="1" si="51"/>
        <v>56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6" t="str">
        <f ca="1">IF(dict_zuord_Meth_Transfers[[#This Row],[kval_active]],dict_zuord_Meth_Transfers[[#This Row],[ID_Transfers]],"")</f>
        <v/>
      </c>
    </row>
    <row r="3297" spans="1:4" x14ac:dyDescent="0.45">
      <c r="A3297">
        <v>549</v>
      </c>
      <c r="B3297" s="3">
        <f t="shared" ca="1" si="51"/>
        <v>11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7" t="str">
        <f ca="1">IF(dict_zuord_Meth_Transfers[[#This Row],[kval_active]],dict_zuord_Meth_Transfers[[#This Row],[ID_Transfers]],"")</f>
        <v/>
      </c>
    </row>
    <row r="3298" spans="1:4" x14ac:dyDescent="0.45">
      <c r="A3298">
        <v>549</v>
      </c>
      <c r="B3298">
        <f t="shared" ca="1" si="51"/>
        <v>105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8" t="str">
        <f ca="1">IF(dict_zuord_Meth_Transfers[[#This Row],[kval_active]],dict_zuord_Meth_Transfers[[#This Row],[ID_Transfers]],"")</f>
        <v/>
      </c>
    </row>
    <row r="3299" spans="1:4" x14ac:dyDescent="0.45">
      <c r="A3299">
        <v>549</v>
      </c>
      <c r="B3299" s="3">
        <f t="shared" ca="1" si="51"/>
        <v>190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9" t="str">
        <f ca="1">IF(dict_zuord_Meth_Transfers[[#This Row],[kval_active]],dict_zuord_Meth_Transfers[[#This Row],[ID_Transfers]],"")</f>
        <v/>
      </c>
    </row>
    <row r="3300" spans="1:4" x14ac:dyDescent="0.45">
      <c r="A3300">
        <v>549</v>
      </c>
      <c r="B3300" s="3">
        <f t="shared" ca="1" si="51"/>
        <v>168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0" t="str">
        <f ca="1">IF(dict_zuord_Meth_Transfers[[#This Row],[kval_active]],dict_zuord_Meth_Transfers[[#This Row],[ID_Transfers]],"")</f>
        <v/>
      </c>
    </row>
    <row r="3301" spans="1:4" x14ac:dyDescent="0.45">
      <c r="A3301">
        <v>549</v>
      </c>
      <c r="B3301">
        <f t="shared" ca="1" si="51"/>
        <v>74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1" t="str">
        <f ca="1">IF(dict_zuord_Meth_Transfers[[#This Row],[kval_active]],dict_zuord_Meth_Transfers[[#This Row],[ID_Transfers]],"")</f>
        <v/>
      </c>
    </row>
    <row r="3302" spans="1:4" x14ac:dyDescent="0.45">
      <c r="A3302">
        <v>550</v>
      </c>
      <c r="B3302">
        <f t="shared" ca="1" si="51"/>
        <v>190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2" t="str">
        <f ca="1">IF(dict_zuord_Meth_Transfers[[#This Row],[kval_active]],dict_zuord_Meth_Transfers[[#This Row],[ID_Transfers]],"")</f>
        <v/>
      </c>
    </row>
    <row r="3303" spans="1:4" x14ac:dyDescent="0.45">
      <c r="A3303">
        <v>550</v>
      </c>
      <c r="B3303" s="3">
        <f t="shared" ca="1" si="51"/>
        <v>140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3" t="str">
        <f ca="1">IF(dict_zuord_Meth_Transfers[[#This Row],[kval_active]],dict_zuord_Meth_Transfers[[#This Row],[ID_Transfers]],"")</f>
        <v/>
      </c>
    </row>
    <row r="3304" spans="1:4" x14ac:dyDescent="0.45">
      <c r="A3304">
        <v>550</v>
      </c>
      <c r="B3304" s="3">
        <f t="shared" ca="1" si="51"/>
        <v>34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4" t="str">
        <f ca="1">IF(dict_zuord_Meth_Transfers[[#This Row],[kval_active]],dict_zuord_Meth_Transfers[[#This Row],[ID_Transfers]],"")</f>
        <v/>
      </c>
    </row>
    <row r="3305" spans="1:4" x14ac:dyDescent="0.45">
      <c r="A3305">
        <v>550</v>
      </c>
      <c r="B3305" s="3">
        <f t="shared" ca="1" si="51"/>
        <v>134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5" t="str">
        <f ca="1">IF(dict_zuord_Meth_Transfers[[#This Row],[kval_active]],dict_zuord_Meth_Transfers[[#This Row],[ID_Transfers]],"")</f>
        <v/>
      </c>
    </row>
    <row r="3306" spans="1:4" x14ac:dyDescent="0.45">
      <c r="A3306">
        <v>550</v>
      </c>
      <c r="B3306">
        <f t="shared" ca="1" si="51"/>
        <v>149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6" t="str">
        <f ca="1">IF(dict_zuord_Meth_Transfers[[#This Row],[kval_active]],dict_zuord_Meth_Transfers[[#This Row],[ID_Transfers]],"")</f>
        <v/>
      </c>
    </row>
    <row r="3307" spans="1:4" x14ac:dyDescent="0.45">
      <c r="A3307">
        <v>550</v>
      </c>
      <c r="B3307">
        <f t="shared" ca="1" si="51"/>
        <v>72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7" t="str">
        <f ca="1">IF(dict_zuord_Meth_Transfers[[#This Row],[kval_active]],dict_zuord_Meth_Transfers[[#This Row],[ID_Transfers]],"")</f>
        <v/>
      </c>
    </row>
    <row r="3308" spans="1:4" x14ac:dyDescent="0.45">
      <c r="A3308">
        <v>551</v>
      </c>
      <c r="B3308" s="3">
        <f t="shared" ca="1" si="51"/>
        <v>123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8" t="str">
        <f ca="1">IF(dict_zuord_Meth_Transfers[[#This Row],[kval_active]],dict_zuord_Meth_Transfers[[#This Row],[ID_Transfers]],"")</f>
        <v/>
      </c>
    </row>
    <row r="3309" spans="1:4" x14ac:dyDescent="0.45">
      <c r="A3309">
        <v>551</v>
      </c>
      <c r="B3309" s="3">
        <f t="shared" ca="1" si="51"/>
        <v>110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9" t="str">
        <f ca="1">IF(dict_zuord_Meth_Transfers[[#This Row],[kval_active]],dict_zuord_Meth_Transfers[[#This Row],[ID_Transfers]],"")</f>
        <v/>
      </c>
    </row>
    <row r="3310" spans="1:4" x14ac:dyDescent="0.45">
      <c r="A3310">
        <v>551</v>
      </c>
      <c r="B3310">
        <f t="shared" ca="1" si="51"/>
        <v>146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0" t="str">
        <f ca="1">IF(dict_zuord_Meth_Transfers[[#This Row],[kval_active]],dict_zuord_Meth_Transfers[[#This Row],[ID_Transfers]],"")</f>
        <v/>
      </c>
    </row>
    <row r="3311" spans="1:4" x14ac:dyDescent="0.45">
      <c r="A3311">
        <v>551</v>
      </c>
      <c r="B3311" s="3">
        <f t="shared" ca="1" si="51"/>
        <v>83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1" t="str">
        <f ca="1">IF(dict_zuord_Meth_Transfers[[#This Row],[kval_active]],dict_zuord_Meth_Transfers[[#This Row],[ID_Transfers]],"")</f>
        <v/>
      </c>
    </row>
    <row r="3312" spans="1:4" x14ac:dyDescent="0.45">
      <c r="A3312">
        <v>551</v>
      </c>
      <c r="B3312">
        <f t="shared" ca="1" si="51"/>
        <v>87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2" t="str">
        <f ca="1">IF(dict_zuord_Meth_Transfers[[#This Row],[kval_active]],dict_zuord_Meth_Transfers[[#This Row],[ID_Transfers]],"")</f>
        <v/>
      </c>
    </row>
    <row r="3313" spans="1:4" x14ac:dyDescent="0.45">
      <c r="A3313">
        <v>551</v>
      </c>
      <c r="B3313">
        <f t="shared" ca="1" si="51"/>
        <v>72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3" t="str">
        <f ca="1">IF(dict_zuord_Meth_Transfers[[#This Row],[kval_active]],dict_zuord_Meth_Transfers[[#This Row],[ID_Transfers]],"")</f>
        <v/>
      </c>
    </row>
    <row r="3314" spans="1:4" x14ac:dyDescent="0.45">
      <c r="A3314">
        <v>552</v>
      </c>
      <c r="B3314">
        <f t="shared" ca="1" si="51"/>
        <v>96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4" t="str">
        <f ca="1">IF(dict_zuord_Meth_Transfers[[#This Row],[kval_active]],dict_zuord_Meth_Transfers[[#This Row],[ID_Transfers]],"")</f>
        <v/>
      </c>
    </row>
    <row r="3315" spans="1:4" x14ac:dyDescent="0.45">
      <c r="A3315">
        <v>552</v>
      </c>
      <c r="B3315" s="3">
        <f t="shared" ca="1" si="51"/>
        <v>167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5" t="str">
        <f ca="1">IF(dict_zuord_Meth_Transfers[[#This Row],[kval_active]],dict_zuord_Meth_Transfers[[#This Row],[ID_Transfers]],"")</f>
        <v/>
      </c>
    </row>
    <row r="3316" spans="1:4" x14ac:dyDescent="0.45">
      <c r="A3316">
        <v>552</v>
      </c>
      <c r="B3316">
        <f t="shared" ca="1" si="51"/>
        <v>197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6" t="str">
        <f ca="1">IF(dict_zuord_Meth_Transfers[[#This Row],[kval_active]],dict_zuord_Meth_Transfers[[#This Row],[ID_Transfers]],"")</f>
        <v/>
      </c>
    </row>
    <row r="3317" spans="1:4" x14ac:dyDescent="0.45">
      <c r="A3317">
        <v>552</v>
      </c>
      <c r="B3317" s="3">
        <f t="shared" ca="1" si="51"/>
        <v>147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7" t="str">
        <f ca="1">IF(dict_zuord_Meth_Transfers[[#This Row],[kval_active]],dict_zuord_Meth_Transfers[[#This Row],[ID_Transfers]],"")</f>
        <v/>
      </c>
    </row>
    <row r="3318" spans="1:4" x14ac:dyDescent="0.45">
      <c r="A3318">
        <v>552</v>
      </c>
      <c r="B3318" s="3">
        <f t="shared" ca="1" si="51"/>
        <v>83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8" t="str">
        <f ca="1">IF(dict_zuord_Meth_Transfers[[#This Row],[kval_active]],dict_zuord_Meth_Transfers[[#This Row],[ID_Transfers]],"")</f>
        <v/>
      </c>
    </row>
    <row r="3319" spans="1:4" x14ac:dyDescent="0.45">
      <c r="A3319">
        <v>552</v>
      </c>
      <c r="B3319">
        <f t="shared" ca="1" si="51"/>
        <v>121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9" t="str">
        <f ca="1">IF(dict_zuord_Meth_Transfers[[#This Row],[kval_active]],dict_zuord_Meth_Transfers[[#This Row],[ID_Transfers]],"")</f>
        <v/>
      </c>
    </row>
    <row r="3320" spans="1:4" x14ac:dyDescent="0.45">
      <c r="A3320">
        <v>553</v>
      </c>
      <c r="B3320">
        <f t="shared" ca="1" si="51"/>
        <v>11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0" t="str">
        <f ca="1">IF(dict_zuord_Meth_Transfers[[#This Row],[kval_active]],dict_zuord_Meth_Transfers[[#This Row],[ID_Transfers]],"")</f>
        <v/>
      </c>
    </row>
    <row r="3321" spans="1:4" x14ac:dyDescent="0.45">
      <c r="A3321">
        <v>553</v>
      </c>
      <c r="B3321" s="3">
        <f t="shared" ca="1" si="51"/>
        <v>169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1" t="str">
        <f ca="1">IF(dict_zuord_Meth_Transfers[[#This Row],[kval_active]],dict_zuord_Meth_Transfers[[#This Row],[ID_Transfers]],"")</f>
        <v/>
      </c>
    </row>
    <row r="3322" spans="1:4" x14ac:dyDescent="0.45">
      <c r="A3322">
        <v>553</v>
      </c>
      <c r="B3322" s="3">
        <f t="shared" ca="1" si="51"/>
        <v>137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2" t="str">
        <f ca="1">IF(dict_zuord_Meth_Transfers[[#This Row],[kval_active]],dict_zuord_Meth_Transfers[[#This Row],[ID_Transfers]],"")</f>
        <v/>
      </c>
    </row>
    <row r="3323" spans="1:4" x14ac:dyDescent="0.45">
      <c r="A3323">
        <v>553</v>
      </c>
      <c r="B3323">
        <f t="shared" ca="1" si="51"/>
        <v>81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3" t="str">
        <f ca="1">IF(dict_zuord_Meth_Transfers[[#This Row],[kval_active]],dict_zuord_Meth_Transfers[[#This Row],[ID_Transfers]],"")</f>
        <v/>
      </c>
    </row>
    <row r="3324" spans="1:4" x14ac:dyDescent="0.45">
      <c r="A3324">
        <v>553</v>
      </c>
      <c r="B3324">
        <f t="shared" ca="1" si="51"/>
        <v>155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4" t="str">
        <f ca="1">IF(dict_zuord_Meth_Transfers[[#This Row],[kval_active]],dict_zuord_Meth_Transfers[[#This Row],[ID_Transfers]],"")</f>
        <v/>
      </c>
    </row>
    <row r="3325" spans="1:4" x14ac:dyDescent="0.45">
      <c r="A3325">
        <v>553</v>
      </c>
      <c r="B3325" s="3">
        <f t="shared" ca="1" si="51"/>
        <v>86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5" t="str">
        <f ca="1">IF(dict_zuord_Meth_Transfers[[#This Row],[kval_active]],dict_zuord_Meth_Transfers[[#This Row],[ID_Transfers]],"")</f>
        <v/>
      </c>
    </row>
    <row r="3326" spans="1:4" x14ac:dyDescent="0.45">
      <c r="A3326">
        <v>554</v>
      </c>
      <c r="B3326">
        <f t="shared" ca="1" si="51"/>
        <v>103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6">
        <f ca="1">IF(dict_zuord_Meth_Transfers[[#This Row],[kval_active]],dict_zuord_Meth_Transfers[[#This Row],[ID_Transfers]],"")</f>
        <v>103</v>
      </c>
    </row>
    <row r="3327" spans="1:4" x14ac:dyDescent="0.45">
      <c r="A3327">
        <v>554</v>
      </c>
      <c r="B3327" s="3">
        <f t="shared" ca="1" si="51"/>
        <v>49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7">
        <f ca="1">IF(dict_zuord_Meth_Transfers[[#This Row],[kval_active]],dict_zuord_Meth_Transfers[[#This Row],[ID_Transfers]],"")</f>
        <v>49</v>
      </c>
    </row>
    <row r="3328" spans="1:4" x14ac:dyDescent="0.45">
      <c r="A3328">
        <v>554</v>
      </c>
      <c r="B3328" s="3">
        <f t="shared" ca="1" si="51"/>
        <v>34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8">
        <f ca="1">IF(dict_zuord_Meth_Transfers[[#This Row],[kval_active]],dict_zuord_Meth_Transfers[[#This Row],[ID_Transfers]],"")</f>
        <v>34</v>
      </c>
    </row>
    <row r="3329" spans="1:4" x14ac:dyDescent="0.45">
      <c r="A3329">
        <v>554</v>
      </c>
      <c r="B3329">
        <f t="shared" ca="1" si="51"/>
        <v>130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9">
        <f ca="1">IF(dict_zuord_Meth_Transfers[[#This Row],[kval_active]],dict_zuord_Meth_Transfers[[#This Row],[ID_Transfers]],"")</f>
        <v>130</v>
      </c>
    </row>
    <row r="3330" spans="1:4" x14ac:dyDescent="0.45">
      <c r="A3330">
        <v>554</v>
      </c>
      <c r="B3330">
        <f t="shared" ref="B3330:B3393" ca="1" si="52">RANDBETWEEN(0,200)</f>
        <v>176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0">
        <f ca="1">IF(dict_zuord_Meth_Transfers[[#This Row],[kval_active]],dict_zuord_Meth_Transfers[[#This Row],[ID_Transfers]],"")</f>
        <v>176</v>
      </c>
    </row>
    <row r="3331" spans="1:4" x14ac:dyDescent="0.45">
      <c r="A3331">
        <v>554</v>
      </c>
      <c r="B3331" s="3">
        <f t="shared" ca="1" si="52"/>
        <v>73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1">
        <f ca="1">IF(dict_zuord_Meth_Transfers[[#This Row],[kval_active]],dict_zuord_Meth_Transfers[[#This Row],[ID_Transfers]],"")</f>
        <v>73</v>
      </c>
    </row>
    <row r="3332" spans="1:4" x14ac:dyDescent="0.45">
      <c r="A3332">
        <v>555</v>
      </c>
      <c r="B3332">
        <f t="shared" ca="1" si="52"/>
        <v>173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2" t="str">
        <f ca="1">IF(dict_zuord_Meth_Transfers[[#This Row],[kval_active]],dict_zuord_Meth_Transfers[[#This Row],[ID_Transfers]],"")</f>
        <v/>
      </c>
    </row>
    <row r="3333" spans="1:4" x14ac:dyDescent="0.45">
      <c r="A3333">
        <v>555</v>
      </c>
      <c r="B3333" s="3">
        <f t="shared" ca="1" si="52"/>
        <v>143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3" t="str">
        <f ca="1">IF(dict_zuord_Meth_Transfers[[#This Row],[kval_active]],dict_zuord_Meth_Transfers[[#This Row],[ID_Transfers]],"")</f>
        <v/>
      </c>
    </row>
    <row r="3334" spans="1:4" x14ac:dyDescent="0.45">
      <c r="A3334">
        <v>555</v>
      </c>
      <c r="B3334">
        <f t="shared" ca="1" si="52"/>
        <v>156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4" t="str">
        <f ca="1">IF(dict_zuord_Meth_Transfers[[#This Row],[kval_active]],dict_zuord_Meth_Transfers[[#This Row],[ID_Transfers]],"")</f>
        <v/>
      </c>
    </row>
    <row r="3335" spans="1:4" x14ac:dyDescent="0.45">
      <c r="A3335">
        <v>555</v>
      </c>
      <c r="B3335" s="3">
        <f t="shared" ca="1" si="52"/>
        <v>187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5" t="str">
        <f ca="1">IF(dict_zuord_Meth_Transfers[[#This Row],[kval_active]],dict_zuord_Meth_Transfers[[#This Row],[ID_Transfers]],"")</f>
        <v/>
      </c>
    </row>
    <row r="3336" spans="1:4" x14ac:dyDescent="0.45">
      <c r="A3336">
        <v>555</v>
      </c>
      <c r="B3336" s="3">
        <f t="shared" ca="1" si="52"/>
        <v>155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6" t="str">
        <f ca="1">IF(dict_zuord_Meth_Transfers[[#This Row],[kval_active]],dict_zuord_Meth_Transfers[[#This Row],[ID_Transfers]],"")</f>
        <v/>
      </c>
    </row>
    <row r="3337" spans="1:4" x14ac:dyDescent="0.45">
      <c r="A3337">
        <v>555</v>
      </c>
      <c r="B3337">
        <f t="shared" ca="1" si="52"/>
        <v>72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7" t="str">
        <f ca="1">IF(dict_zuord_Meth_Transfers[[#This Row],[kval_active]],dict_zuord_Meth_Transfers[[#This Row],[ID_Transfers]],"")</f>
        <v/>
      </c>
    </row>
    <row r="3338" spans="1:4" x14ac:dyDescent="0.45">
      <c r="A3338">
        <v>556</v>
      </c>
      <c r="B3338" s="3">
        <f t="shared" ca="1" si="52"/>
        <v>12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8" t="str">
        <f ca="1">IF(dict_zuord_Meth_Transfers[[#This Row],[kval_active]],dict_zuord_Meth_Transfers[[#This Row],[ID_Transfers]],"")</f>
        <v/>
      </c>
    </row>
    <row r="3339" spans="1:4" x14ac:dyDescent="0.45">
      <c r="A3339">
        <v>556</v>
      </c>
      <c r="B3339">
        <f t="shared" ca="1" si="52"/>
        <v>179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9" t="str">
        <f ca="1">IF(dict_zuord_Meth_Transfers[[#This Row],[kval_active]],dict_zuord_Meth_Transfers[[#This Row],[ID_Transfers]],"")</f>
        <v/>
      </c>
    </row>
    <row r="3340" spans="1:4" x14ac:dyDescent="0.45">
      <c r="A3340">
        <v>556</v>
      </c>
      <c r="B3340">
        <f t="shared" ca="1" si="52"/>
        <v>176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0" t="str">
        <f ca="1">IF(dict_zuord_Meth_Transfers[[#This Row],[kval_active]],dict_zuord_Meth_Transfers[[#This Row],[ID_Transfers]],"")</f>
        <v/>
      </c>
    </row>
    <row r="3341" spans="1:4" x14ac:dyDescent="0.45">
      <c r="A3341">
        <v>556</v>
      </c>
      <c r="B3341">
        <f t="shared" ca="1" si="52"/>
        <v>3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1" t="str">
        <f ca="1">IF(dict_zuord_Meth_Transfers[[#This Row],[kval_active]],dict_zuord_Meth_Transfers[[#This Row],[ID_Transfers]],"")</f>
        <v/>
      </c>
    </row>
    <row r="3342" spans="1:4" x14ac:dyDescent="0.45">
      <c r="A3342">
        <v>556</v>
      </c>
      <c r="B3342" s="3">
        <f t="shared" ca="1" si="52"/>
        <v>7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2" t="str">
        <f ca="1">IF(dict_zuord_Meth_Transfers[[#This Row],[kval_active]],dict_zuord_Meth_Transfers[[#This Row],[ID_Transfers]],"")</f>
        <v/>
      </c>
    </row>
    <row r="3343" spans="1:4" x14ac:dyDescent="0.45">
      <c r="A3343">
        <v>556</v>
      </c>
      <c r="B3343" s="3">
        <f t="shared" ca="1" si="52"/>
        <v>159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3" t="str">
        <f ca="1">IF(dict_zuord_Meth_Transfers[[#This Row],[kval_active]],dict_zuord_Meth_Transfers[[#This Row],[ID_Transfers]],"")</f>
        <v/>
      </c>
    </row>
    <row r="3344" spans="1:4" x14ac:dyDescent="0.45">
      <c r="A3344">
        <v>557</v>
      </c>
      <c r="B3344" s="3">
        <f t="shared" ca="1" si="52"/>
        <v>131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4" t="str">
        <f ca="1">IF(dict_zuord_Meth_Transfers[[#This Row],[kval_active]],dict_zuord_Meth_Transfers[[#This Row],[ID_Transfers]],"")</f>
        <v/>
      </c>
    </row>
    <row r="3345" spans="1:4" x14ac:dyDescent="0.45">
      <c r="A3345">
        <v>557</v>
      </c>
      <c r="B3345" s="3">
        <f t="shared" ca="1" si="52"/>
        <v>176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5" t="str">
        <f ca="1">IF(dict_zuord_Meth_Transfers[[#This Row],[kval_active]],dict_zuord_Meth_Transfers[[#This Row],[ID_Transfers]],"")</f>
        <v/>
      </c>
    </row>
    <row r="3346" spans="1:4" x14ac:dyDescent="0.45">
      <c r="A3346">
        <v>557</v>
      </c>
      <c r="B3346" s="3">
        <f t="shared" ca="1" si="52"/>
        <v>42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6" t="str">
        <f ca="1">IF(dict_zuord_Meth_Transfers[[#This Row],[kval_active]],dict_zuord_Meth_Transfers[[#This Row],[ID_Transfers]],"")</f>
        <v/>
      </c>
    </row>
    <row r="3347" spans="1:4" x14ac:dyDescent="0.45">
      <c r="A3347">
        <v>557</v>
      </c>
      <c r="B3347">
        <f t="shared" ca="1" si="52"/>
        <v>196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7" t="str">
        <f ca="1">IF(dict_zuord_Meth_Transfers[[#This Row],[kval_active]],dict_zuord_Meth_Transfers[[#This Row],[ID_Transfers]],"")</f>
        <v/>
      </c>
    </row>
    <row r="3348" spans="1:4" x14ac:dyDescent="0.45">
      <c r="A3348">
        <v>557</v>
      </c>
      <c r="B3348">
        <f t="shared" ca="1" si="52"/>
        <v>173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8" t="str">
        <f ca="1">IF(dict_zuord_Meth_Transfers[[#This Row],[kval_active]],dict_zuord_Meth_Transfers[[#This Row],[ID_Transfers]],"")</f>
        <v/>
      </c>
    </row>
    <row r="3349" spans="1:4" x14ac:dyDescent="0.45">
      <c r="A3349">
        <v>557</v>
      </c>
      <c r="B3349">
        <f t="shared" ca="1" si="52"/>
        <v>177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9" t="str">
        <f ca="1">IF(dict_zuord_Meth_Transfers[[#This Row],[kval_active]],dict_zuord_Meth_Transfers[[#This Row],[ID_Transfers]],"")</f>
        <v/>
      </c>
    </row>
    <row r="3350" spans="1:4" x14ac:dyDescent="0.45">
      <c r="A3350">
        <v>558</v>
      </c>
      <c r="B3350" s="3">
        <f t="shared" ca="1" si="52"/>
        <v>55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0" t="str">
        <f ca="1">IF(dict_zuord_Meth_Transfers[[#This Row],[kval_active]],dict_zuord_Meth_Transfers[[#This Row],[ID_Transfers]],"")</f>
        <v/>
      </c>
    </row>
    <row r="3351" spans="1:4" x14ac:dyDescent="0.45">
      <c r="A3351">
        <v>558</v>
      </c>
      <c r="B3351" s="3">
        <f t="shared" ca="1" si="52"/>
        <v>136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1" t="str">
        <f ca="1">IF(dict_zuord_Meth_Transfers[[#This Row],[kval_active]],dict_zuord_Meth_Transfers[[#This Row],[ID_Transfers]],"")</f>
        <v/>
      </c>
    </row>
    <row r="3352" spans="1:4" x14ac:dyDescent="0.45">
      <c r="A3352">
        <v>558</v>
      </c>
      <c r="B3352">
        <f t="shared" ca="1" si="52"/>
        <v>37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2" t="str">
        <f ca="1">IF(dict_zuord_Meth_Transfers[[#This Row],[kval_active]],dict_zuord_Meth_Transfers[[#This Row],[ID_Transfers]],"")</f>
        <v/>
      </c>
    </row>
    <row r="3353" spans="1:4" x14ac:dyDescent="0.45">
      <c r="A3353">
        <v>558</v>
      </c>
      <c r="B3353">
        <f t="shared" ca="1" si="52"/>
        <v>168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3" t="str">
        <f ca="1">IF(dict_zuord_Meth_Transfers[[#This Row],[kval_active]],dict_zuord_Meth_Transfers[[#This Row],[ID_Transfers]],"")</f>
        <v/>
      </c>
    </row>
    <row r="3354" spans="1:4" x14ac:dyDescent="0.45">
      <c r="A3354">
        <v>558</v>
      </c>
      <c r="B3354" s="3">
        <f t="shared" ca="1" si="52"/>
        <v>78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4" t="str">
        <f ca="1">IF(dict_zuord_Meth_Transfers[[#This Row],[kval_active]],dict_zuord_Meth_Transfers[[#This Row],[ID_Transfers]],"")</f>
        <v/>
      </c>
    </row>
    <row r="3355" spans="1:4" x14ac:dyDescent="0.45">
      <c r="A3355">
        <v>558</v>
      </c>
      <c r="B3355">
        <f t="shared" ca="1" si="52"/>
        <v>171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5" t="str">
        <f ca="1">IF(dict_zuord_Meth_Transfers[[#This Row],[kval_active]],dict_zuord_Meth_Transfers[[#This Row],[ID_Transfers]],"")</f>
        <v/>
      </c>
    </row>
    <row r="3356" spans="1:4" x14ac:dyDescent="0.45">
      <c r="A3356">
        <v>559</v>
      </c>
      <c r="B3356" s="3">
        <f t="shared" ca="1" si="52"/>
        <v>131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6">
        <f ca="1">IF(dict_zuord_Meth_Transfers[[#This Row],[kval_active]],dict_zuord_Meth_Transfers[[#This Row],[ID_Transfers]],"")</f>
        <v>131</v>
      </c>
    </row>
    <row r="3357" spans="1:4" x14ac:dyDescent="0.45">
      <c r="A3357">
        <v>559</v>
      </c>
      <c r="B3357">
        <f t="shared" ca="1" si="52"/>
        <v>185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7">
        <f ca="1">IF(dict_zuord_Meth_Transfers[[#This Row],[kval_active]],dict_zuord_Meth_Transfers[[#This Row],[ID_Transfers]],"")</f>
        <v>185</v>
      </c>
    </row>
    <row r="3358" spans="1:4" x14ac:dyDescent="0.45">
      <c r="A3358">
        <v>559</v>
      </c>
      <c r="B3358" s="3">
        <f t="shared" ca="1" si="52"/>
        <v>145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8">
        <f ca="1">IF(dict_zuord_Meth_Transfers[[#This Row],[kval_active]],dict_zuord_Meth_Transfers[[#This Row],[ID_Transfers]],"")</f>
        <v>145</v>
      </c>
    </row>
    <row r="3359" spans="1:4" x14ac:dyDescent="0.45">
      <c r="A3359">
        <v>559</v>
      </c>
      <c r="B3359">
        <f t="shared" ca="1" si="52"/>
        <v>46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9">
        <f ca="1">IF(dict_zuord_Meth_Transfers[[#This Row],[kval_active]],dict_zuord_Meth_Transfers[[#This Row],[ID_Transfers]],"")</f>
        <v>46</v>
      </c>
    </row>
    <row r="3360" spans="1:4" x14ac:dyDescent="0.45">
      <c r="A3360">
        <v>559</v>
      </c>
      <c r="B3360" s="3">
        <f t="shared" ca="1" si="52"/>
        <v>186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0">
        <f ca="1">IF(dict_zuord_Meth_Transfers[[#This Row],[kval_active]],dict_zuord_Meth_Transfers[[#This Row],[ID_Transfers]],"")</f>
        <v>186</v>
      </c>
    </row>
    <row r="3361" spans="1:4" x14ac:dyDescent="0.45">
      <c r="A3361">
        <v>559</v>
      </c>
      <c r="B3361">
        <f t="shared" ca="1" si="52"/>
        <v>136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1">
        <f ca="1">IF(dict_zuord_Meth_Transfers[[#This Row],[kval_active]],dict_zuord_Meth_Transfers[[#This Row],[ID_Transfers]],"")</f>
        <v>136</v>
      </c>
    </row>
    <row r="3362" spans="1:4" x14ac:dyDescent="0.45">
      <c r="A3362">
        <v>560</v>
      </c>
      <c r="B3362" s="3">
        <f t="shared" ca="1" si="52"/>
        <v>127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2" t="str">
        <f ca="1">IF(dict_zuord_Meth_Transfers[[#This Row],[kval_active]],dict_zuord_Meth_Transfers[[#This Row],[ID_Transfers]],"")</f>
        <v/>
      </c>
    </row>
    <row r="3363" spans="1:4" x14ac:dyDescent="0.45">
      <c r="A3363">
        <v>560</v>
      </c>
      <c r="B3363">
        <f t="shared" ca="1" si="52"/>
        <v>59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3" t="str">
        <f ca="1">IF(dict_zuord_Meth_Transfers[[#This Row],[kval_active]],dict_zuord_Meth_Transfers[[#This Row],[ID_Transfers]],"")</f>
        <v/>
      </c>
    </row>
    <row r="3364" spans="1:4" x14ac:dyDescent="0.45">
      <c r="A3364">
        <v>560</v>
      </c>
      <c r="B3364" s="3">
        <f t="shared" ca="1" si="52"/>
        <v>164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4" t="str">
        <f ca="1">IF(dict_zuord_Meth_Transfers[[#This Row],[kval_active]],dict_zuord_Meth_Transfers[[#This Row],[ID_Transfers]],"")</f>
        <v/>
      </c>
    </row>
    <row r="3365" spans="1:4" x14ac:dyDescent="0.45">
      <c r="A3365">
        <v>560</v>
      </c>
      <c r="B3365">
        <f t="shared" ca="1" si="52"/>
        <v>13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5" t="str">
        <f ca="1">IF(dict_zuord_Meth_Transfers[[#This Row],[kval_active]],dict_zuord_Meth_Transfers[[#This Row],[ID_Transfers]],"")</f>
        <v/>
      </c>
    </row>
    <row r="3366" spans="1:4" x14ac:dyDescent="0.45">
      <c r="A3366">
        <v>560</v>
      </c>
      <c r="B3366">
        <f t="shared" ca="1" si="52"/>
        <v>144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6" t="str">
        <f ca="1">IF(dict_zuord_Meth_Transfers[[#This Row],[kval_active]],dict_zuord_Meth_Transfers[[#This Row],[ID_Transfers]],"")</f>
        <v/>
      </c>
    </row>
    <row r="3367" spans="1:4" x14ac:dyDescent="0.45">
      <c r="A3367">
        <v>560</v>
      </c>
      <c r="B3367" s="3">
        <f t="shared" ca="1" si="52"/>
        <v>69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7" t="str">
        <f ca="1">IF(dict_zuord_Meth_Transfers[[#This Row],[kval_active]],dict_zuord_Meth_Transfers[[#This Row],[ID_Transfers]],"")</f>
        <v/>
      </c>
    </row>
    <row r="3368" spans="1:4" x14ac:dyDescent="0.45">
      <c r="A3368">
        <v>561</v>
      </c>
      <c r="B3368">
        <f t="shared" ca="1" si="52"/>
        <v>0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8" t="str">
        <f ca="1">IF(dict_zuord_Meth_Transfers[[#This Row],[kval_active]],dict_zuord_Meth_Transfers[[#This Row],[ID_Transfers]],"")</f>
        <v/>
      </c>
    </row>
    <row r="3369" spans="1:4" x14ac:dyDescent="0.45">
      <c r="A3369">
        <v>561</v>
      </c>
      <c r="B3369">
        <f t="shared" ca="1" si="52"/>
        <v>102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9" t="str">
        <f ca="1">IF(dict_zuord_Meth_Transfers[[#This Row],[kval_active]],dict_zuord_Meth_Transfers[[#This Row],[ID_Transfers]],"")</f>
        <v/>
      </c>
    </row>
    <row r="3370" spans="1:4" x14ac:dyDescent="0.45">
      <c r="A3370">
        <v>561</v>
      </c>
      <c r="B3370" s="3">
        <f t="shared" ca="1" si="52"/>
        <v>136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0" t="str">
        <f ca="1">IF(dict_zuord_Meth_Transfers[[#This Row],[kval_active]],dict_zuord_Meth_Transfers[[#This Row],[ID_Transfers]],"")</f>
        <v/>
      </c>
    </row>
    <row r="3371" spans="1:4" x14ac:dyDescent="0.45">
      <c r="A3371">
        <v>561</v>
      </c>
      <c r="B3371">
        <f t="shared" ca="1" si="52"/>
        <v>90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1" t="str">
        <f ca="1">IF(dict_zuord_Meth_Transfers[[#This Row],[kval_active]],dict_zuord_Meth_Transfers[[#This Row],[ID_Transfers]],"")</f>
        <v/>
      </c>
    </row>
    <row r="3372" spans="1:4" x14ac:dyDescent="0.45">
      <c r="A3372">
        <v>561</v>
      </c>
      <c r="B3372" s="3">
        <f t="shared" ca="1" si="52"/>
        <v>76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2" t="str">
        <f ca="1">IF(dict_zuord_Meth_Transfers[[#This Row],[kval_active]],dict_zuord_Meth_Transfers[[#This Row],[ID_Transfers]],"")</f>
        <v/>
      </c>
    </row>
    <row r="3373" spans="1:4" x14ac:dyDescent="0.45">
      <c r="A3373">
        <v>561</v>
      </c>
      <c r="B3373" s="3">
        <f t="shared" ca="1" si="52"/>
        <v>74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3" t="str">
        <f ca="1">IF(dict_zuord_Meth_Transfers[[#This Row],[kval_active]],dict_zuord_Meth_Transfers[[#This Row],[ID_Transfers]],"")</f>
        <v/>
      </c>
    </row>
    <row r="3374" spans="1:4" x14ac:dyDescent="0.45">
      <c r="A3374">
        <v>562</v>
      </c>
      <c r="B3374" s="3">
        <f t="shared" ca="1" si="52"/>
        <v>184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4" t="str">
        <f ca="1">IF(dict_zuord_Meth_Transfers[[#This Row],[kval_active]],dict_zuord_Meth_Transfers[[#This Row],[ID_Transfers]],"")</f>
        <v/>
      </c>
    </row>
    <row r="3375" spans="1:4" x14ac:dyDescent="0.45">
      <c r="A3375">
        <v>562</v>
      </c>
      <c r="B3375" s="3">
        <f t="shared" ca="1" si="52"/>
        <v>40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5" t="str">
        <f ca="1">IF(dict_zuord_Meth_Transfers[[#This Row],[kval_active]],dict_zuord_Meth_Transfers[[#This Row],[ID_Transfers]],"")</f>
        <v/>
      </c>
    </row>
    <row r="3376" spans="1:4" x14ac:dyDescent="0.45">
      <c r="A3376">
        <v>562</v>
      </c>
      <c r="B3376">
        <f t="shared" ca="1" si="52"/>
        <v>120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6" t="str">
        <f ca="1">IF(dict_zuord_Meth_Transfers[[#This Row],[kval_active]],dict_zuord_Meth_Transfers[[#This Row],[ID_Transfers]],"")</f>
        <v/>
      </c>
    </row>
    <row r="3377" spans="1:4" x14ac:dyDescent="0.45">
      <c r="A3377">
        <v>562</v>
      </c>
      <c r="B3377" s="3">
        <f t="shared" ca="1" si="52"/>
        <v>51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7" t="str">
        <f ca="1">IF(dict_zuord_Meth_Transfers[[#This Row],[kval_active]],dict_zuord_Meth_Transfers[[#This Row],[ID_Transfers]],"")</f>
        <v/>
      </c>
    </row>
    <row r="3378" spans="1:4" x14ac:dyDescent="0.45">
      <c r="A3378">
        <v>562</v>
      </c>
      <c r="B3378">
        <f t="shared" ca="1" si="52"/>
        <v>139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8" t="str">
        <f ca="1">IF(dict_zuord_Meth_Transfers[[#This Row],[kval_active]],dict_zuord_Meth_Transfers[[#This Row],[ID_Transfers]],"")</f>
        <v/>
      </c>
    </row>
    <row r="3379" spans="1:4" x14ac:dyDescent="0.45">
      <c r="A3379">
        <v>562</v>
      </c>
      <c r="B3379">
        <f t="shared" ca="1" si="52"/>
        <v>125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9" t="str">
        <f ca="1">IF(dict_zuord_Meth_Transfers[[#This Row],[kval_active]],dict_zuord_Meth_Transfers[[#This Row],[ID_Transfers]],"")</f>
        <v/>
      </c>
    </row>
    <row r="3380" spans="1:4" x14ac:dyDescent="0.45">
      <c r="A3380">
        <v>563</v>
      </c>
      <c r="B3380" s="3">
        <f t="shared" ca="1" si="52"/>
        <v>4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0" t="str">
        <f ca="1">IF(dict_zuord_Meth_Transfers[[#This Row],[kval_active]],dict_zuord_Meth_Transfers[[#This Row],[ID_Transfers]],"")</f>
        <v/>
      </c>
    </row>
    <row r="3381" spans="1:4" x14ac:dyDescent="0.45">
      <c r="A3381">
        <v>563</v>
      </c>
      <c r="B3381">
        <f t="shared" ca="1" si="52"/>
        <v>16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1" t="str">
        <f ca="1">IF(dict_zuord_Meth_Transfers[[#This Row],[kval_active]],dict_zuord_Meth_Transfers[[#This Row],[ID_Transfers]],"")</f>
        <v/>
      </c>
    </row>
    <row r="3382" spans="1:4" x14ac:dyDescent="0.45">
      <c r="A3382">
        <v>563</v>
      </c>
      <c r="B3382" s="3">
        <f t="shared" ca="1" si="52"/>
        <v>161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2" t="str">
        <f ca="1">IF(dict_zuord_Meth_Transfers[[#This Row],[kval_active]],dict_zuord_Meth_Transfers[[#This Row],[ID_Transfers]],"")</f>
        <v/>
      </c>
    </row>
    <row r="3383" spans="1:4" x14ac:dyDescent="0.45">
      <c r="A3383">
        <v>563</v>
      </c>
      <c r="B3383">
        <f t="shared" ca="1" si="52"/>
        <v>108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3" t="str">
        <f ca="1">IF(dict_zuord_Meth_Transfers[[#This Row],[kval_active]],dict_zuord_Meth_Transfers[[#This Row],[ID_Transfers]],"")</f>
        <v/>
      </c>
    </row>
    <row r="3384" spans="1:4" x14ac:dyDescent="0.45">
      <c r="A3384">
        <v>563</v>
      </c>
      <c r="B3384" s="3">
        <f t="shared" ca="1" si="52"/>
        <v>76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4" t="str">
        <f ca="1">IF(dict_zuord_Meth_Transfers[[#This Row],[kval_active]],dict_zuord_Meth_Transfers[[#This Row],[ID_Transfers]],"")</f>
        <v/>
      </c>
    </row>
    <row r="3385" spans="1:4" x14ac:dyDescent="0.45">
      <c r="A3385">
        <v>563</v>
      </c>
      <c r="B3385">
        <f t="shared" ca="1" si="52"/>
        <v>10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5" t="str">
        <f ca="1">IF(dict_zuord_Meth_Transfers[[#This Row],[kval_active]],dict_zuord_Meth_Transfers[[#This Row],[ID_Transfers]],"")</f>
        <v/>
      </c>
    </row>
    <row r="3386" spans="1:4" x14ac:dyDescent="0.45">
      <c r="A3386">
        <v>564</v>
      </c>
      <c r="B3386" s="3">
        <f t="shared" ca="1" si="52"/>
        <v>122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6" t="str">
        <f ca="1">IF(dict_zuord_Meth_Transfers[[#This Row],[kval_active]],dict_zuord_Meth_Transfers[[#This Row],[ID_Transfers]],"")</f>
        <v/>
      </c>
    </row>
    <row r="3387" spans="1:4" x14ac:dyDescent="0.45">
      <c r="A3387">
        <v>564</v>
      </c>
      <c r="B3387">
        <f t="shared" ca="1" si="52"/>
        <v>50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7" t="str">
        <f ca="1">IF(dict_zuord_Meth_Transfers[[#This Row],[kval_active]],dict_zuord_Meth_Transfers[[#This Row],[ID_Transfers]],"")</f>
        <v/>
      </c>
    </row>
    <row r="3388" spans="1:4" x14ac:dyDescent="0.45">
      <c r="A3388">
        <v>564</v>
      </c>
      <c r="B3388">
        <f t="shared" ca="1" si="52"/>
        <v>23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8" t="str">
        <f ca="1">IF(dict_zuord_Meth_Transfers[[#This Row],[kval_active]],dict_zuord_Meth_Transfers[[#This Row],[ID_Transfers]],"")</f>
        <v/>
      </c>
    </row>
    <row r="3389" spans="1:4" x14ac:dyDescent="0.45">
      <c r="A3389">
        <v>564</v>
      </c>
      <c r="B3389" s="3">
        <f t="shared" ca="1" si="52"/>
        <v>87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9" t="str">
        <f ca="1">IF(dict_zuord_Meth_Transfers[[#This Row],[kval_active]],dict_zuord_Meth_Transfers[[#This Row],[ID_Transfers]],"")</f>
        <v/>
      </c>
    </row>
    <row r="3390" spans="1:4" x14ac:dyDescent="0.45">
      <c r="A3390">
        <v>564</v>
      </c>
      <c r="B3390" s="3">
        <f t="shared" ca="1" si="52"/>
        <v>39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0" t="str">
        <f ca="1">IF(dict_zuord_Meth_Transfers[[#This Row],[kval_active]],dict_zuord_Meth_Transfers[[#This Row],[ID_Transfers]],"")</f>
        <v/>
      </c>
    </row>
    <row r="3391" spans="1:4" x14ac:dyDescent="0.45">
      <c r="A3391">
        <v>564</v>
      </c>
      <c r="B3391">
        <f t="shared" ca="1" si="52"/>
        <v>182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1" t="str">
        <f ca="1">IF(dict_zuord_Meth_Transfers[[#This Row],[kval_active]],dict_zuord_Meth_Transfers[[#This Row],[ID_Transfers]],"")</f>
        <v/>
      </c>
    </row>
    <row r="3392" spans="1:4" x14ac:dyDescent="0.45">
      <c r="A3392">
        <v>565</v>
      </c>
      <c r="B3392" s="3">
        <f t="shared" ca="1" si="52"/>
        <v>150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2" t="str">
        <f ca="1">IF(dict_zuord_Meth_Transfers[[#This Row],[kval_active]],dict_zuord_Meth_Transfers[[#This Row],[ID_Transfers]],"")</f>
        <v/>
      </c>
    </row>
    <row r="3393" spans="1:4" x14ac:dyDescent="0.45">
      <c r="A3393">
        <v>565</v>
      </c>
      <c r="B3393">
        <f t="shared" ca="1" si="52"/>
        <v>61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3" t="str">
        <f ca="1">IF(dict_zuord_Meth_Transfers[[#This Row],[kval_active]],dict_zuord_Meth_Transfers[[#This Row],[ID_Transfers]],"")</f>
        <v/>
      </c>
    </row>
    <row r="3394" spans="1:4" x14ac:dyDescent="0.45">
      <c r="A3394">
        <v>565</v>
      </c>
      <c r="B3394" s="3">
        <f t="shared" ref="B3394:B3457" ca="1" si="53">RANDBETWEEN(0,200)</f>
        <v>173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4" t="str">
        <f ca="1">IF(dict_zuord_Meth_Transfers[[#This Row],[kval_active]],dict_zuord_Meth_Transfers[[#This Row],[ID_Transfers]],"")</f>
        <v/>
      </c>
    </row>
    <row r="3395" spans="1:4" x14ac:dyDescent="0.45">
      <c r="A3395">
        <v>565</v>
      </c>
      <c r="B3395">
        <f t="shared" ca="1" si="53"/>
        <v>180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5" t="str">
        <f ca="1">IF(dict_zuord_Meth_Transfers[[#This Row],[kval_active]],dict_zuord_Meth_Transfers[[#This Row],[ID_Transfers]],"")</f>
        <v/>
      </c>
    </row>
    <row r="3396" spans="1:4" x14ac:dyDescent="0.45">
      <c r="A3396">
        <v>565</v>
      </c>
      <c r="B3396" s="3">
        <f t="shared" ca="1" si="53"/>
        <v>100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6" t="str">
        <f ca="1">IF(dict_zuord_Meth_Transfers[[#This Row],[kval_active]],dict_zuord_Meth_Transfers[[#This Row],[ID_Transfers]],"")</f>
        <v/>
      </c>
    </row>
    <row r="3397" spans="1:4" x14ac:dyDescent="0.45">
      <c r="A3397">
        <v>565</v>
      </c>
      <c r="B3397">
        <f t="shared" ca="1" si="53"/>
        <v>5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7" t="str">
        <f ca="1">IF(dict_zuord_Meth_Transfers[[#This Row],[kval_active]],dict_zuord_Meth_Transfers[[#This Row],[ID_Transfers]],"")</f>
        <v/>
      </c>
    </row>
    <row r="3398" spans="1:4" x14ac:dyDescent="0.45">
      <c r="A3398">
        <v>566</v>
      </c>
      <c r="B3398">
        <f t="shared" ca="1" si="53"/>
        <v>150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8" t="str">
        <f ca="1">IF(dict_zuord_Meth_Transfers[[#This Row],[kval_active]],dict_zuord_Meth_Transfers[[#This Row],[ID_Transfers]],"")</f>
        <v/>
      </c>
    </row>
    <row r="3399" spans="1:4" x14ac:dyDescent="0.45">
      <c r="A3399">
        <v>566</v>
      </c>
      <c r="B3399">
        <f t="shared" ca="1" si="53"/>
        <v>25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9" t="str">
        <f ca="1">IF(dict_zuord_Meth_Transfers[[#This Row],[kval_active]],dict_zuord_Meth_Transfers[[#This Row],[ID_Transfers]],"")</f>
        <v/>
      </c>
    </row>
    <row r="3400" spans="1:4" x14ac:dyDescent="0.45">
      <c r="A3400">
        <v>566</v>
      </c>
      <c r="B3400">
        <f t="shared" ca="1" si="53"/>
        <v>105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0" t="str">
        <f ca="1">IF(dict_zuord_Meth_Transfers[[#This Row],[kval_active]],dict_zuord_Meth_Transfers[[#This Row],[ID_Transfers]],"")</f>
        <v/>
      </c>
    </row>
    <row r="3401" spans="1:4" x14ac:dyDescent="0.45">
      <c r="A3401">
        <v>566</v>
      </c>
      <c r="B3401" s="3">
        <f t="shared" ca="1" si="53"/>
        <v>34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1" t="str">
        <f ca="1">IF(dict_zuord_Meth_Transfers[[#This Row],[kval_active]],dict_zuord_Meth_Transfers[[#This Row],[ID_Transfers]],"")</f>
        <v/>
      </c>
    </row>
    <row r="3402" spans="1:4" x14ac:dyDescent="0.45">
      <c r="A3402">
        <v>566</v>
      </c>
      <c r="B3402" s="3">
        <f t="shared" ca="1" si="53"/>
        <v>42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2" t="str">
        <f ca="1">IF(dict_zuord_Meth_Transfers[[#This Row],[kval_active]],dict_zuord_Meth_Transfers[[#This Row],[ID_Transfers]],"")</f>
        <v/>
      </c>
    </row>
    <row r="3403" spans="1:4" x14ac:dyDescent="0.45">
      <c r="A3403">
        <v>566</v>
      </c>
      <c r="B3403" s="3">
        <f t="shared" ca="1" si="53"/>
        <v>144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3" t="str">
        <f ca="1">IF(dict_zuord_Meth_Transfers[[#This Row],[kval_active]],dict_zuord_Meth_Transfers[[#This Row],[ID_Transfers]],"")</f>
        <v/>
      </c>
    </row>
    <row r="3404" spans="1:4" x14ac:dyDescent="0.45">
      <c r="A3404">
        <v>567</v>
      </c>
      <c r="B3404">
        <f t="shared" ca="1" si="53"/>
        <v>78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4" t="str">
        <f ca="1">IF(dict_zuord_Meth_Transfers[[#This Row],[kval_active]],dict_zuord_Meth_Transfers[[#This Row],[ID_Transfers]],"")</f>
        <v/>
      </c>
    </row>
    <row r="3405" spans="1:4" x14ac:dyDescent="0.45">
      <c r="A3405">
        <v>567</v>
      </c>
      <c r="B3405">
        <f t="shared" ca="1" si="53"/>
        <v>131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5" t="str">
        <f ca="1">IF(dict_zuord_Meth_Transfers[[#This Row],[kval_active]],dict_zuord_Meth_Transfers[[#This Row],[ID_Transfers]],"")</f>
        <v/>
      </c>
    </row>
    <row r="3406" spans="1:4" x14ac:dyDescent="0.45">
      <c r="A3406">
        <v>567</v>
      </c>
      <c r="B3406" s="3">
        <f t="shared" ca="1" si="53"/>
        <v>192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6" t="str">
        <f ca="1">IF(dict_zuord_Meth_Transfers[[#This Row],[kval_active]],dict_zuord_Meth_Transfers[[#This Row],[ID_Transfers]],"")</f>
        <v/>
      </c>
    </row>
    <row r="3407" spans="1:4" x14ac:dyDescent="0.45">
      <c r="A3407">
        <v>567</v>
      </c>
      <c r="B3407">
        <f t="shared" ca="1" si="53"/>
        <v>198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7" t="str">
        <f ca="1">IF(dict_zuord_Meth_Transfers[[#This Row],[kval_active]],dict_zuord_Meth_Transfers[[#This Row],[ID_Transfers]],"")</f>
        <v/>
      </c>
    </row>
    <row r="3408" spans="1:4" x14ac:dyDescent="0.45">
      <c r="A3408">
        <v>567</v>
      </c>
      <c r="B3408" s="3">
        <f t="shared" ca="1" si="53"/>
        <v>60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8" t="str">
        <f ca="1">IF(dict_zuord_Meth_Transfers[[#This Row],[kval_active]],dict_zuord_Meth_Transfers[[#This Row],[ID_Transfers]],"")</f>
        <v/>
      </c>
    </row>
    <row r="3409" spans="1:4" x14ac:dyDescent="0.45">
      <c r="A3409">
        <v>567</v>
      </c>
      <c r="B3409" s="3">
        <f t="shared" ca="1" si="53"/>
        <v>94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9" t="str">
        <f ca="1">IF(dict_zuord_Meth_Transfers[[#This Row],[kval_active]],dict_zuord_Meth_Transfers[[#This Row],[ID_Transfers]],"")</f>
        <v/>
      </c>
    </row>
    <row r="3410" spans="1:4" x14ac:dyDescent="0.45">
      <c r="A3410">
        <v>568</v>
      </c>
      <c r="B3410">
        <f t="shared" ca="1" si="53"/>
        <v>8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0" t="str">
        <f ca="1">IF(dict_zuord_Meth_Transfers[[#This Row],[kval_active]],dict_zuord_Meth_Transfers[[#This Row],[ID_Transfers]],"")</f>
        <v/>
      </c>
    </row>
    <row r="3411" spans="1:4" x14ac:dyDescent="0.45">
      <c r="A3411">
        <v>568</v>
      </c>
      <c r="B3411" s="3">
        <f t="shared" ca="1" si="53"/>
        <v>26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1" t="str">
        <f ca="1">IF(dict_zuord_Meth_Transfers[[#This Row],[kval_active]],dict_zuord_Meth_Transfers[[#This Row],[ID_Transfers]],"")</f>
        <v/>
      </c>
    </row>
    <row r="3412" spans="1:4" x14ac:dyDescent="0.45">
      <c r="A3412">
        <v>568</v>
      </c>
      <c r="B3412">
        <f t="shared" ca="1" si="53"/>
        <v>84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2" t="str">
        <f ca="1">IF(dict_zuord_Meth_Transfers[[#This Row],[kval_active]],dict_zuord_Meth_Transfers[[#This Row],[ID_Transfers]],"")</f>
        <v/>
      </c>
    </row>
    <row r="3413" spans="1:4" x14ac:dyDescent="0.45">
      <c r="A3413">
        <v>568</v>
      </c>
      <c r="B3413" s="3">
        <f t="shared" ca="1" si="53"/>
        <v>124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3" t="str">
        <f ca="1">IF(dict_zuord_Meth_Transfers[[#This Row],[kval_active]],dict_zuord_Meth_Transfers[[#This Row],[ID_Transfers]],"")</f>
        <v/>
      </c>
    </row>
    <row r="3414" spans="1:4" x14ac:dyDescent="0.45">
      <c r="A3414">
        <v>568</v>
      </c>
      <c r="B3414" s="3">
        <f t="shared" ca="1" si="53"/>
        <v>187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4" t="str">
        <f ca="1">IF(dict_zuord_Meth_Transfers[[#This Row],[kval_active]],dict_zuord_Meth_Transfers[[#This Row],[ID_Transfers]],"")</f>
        <v/>
      </c>
    </row>
    <row r="3415" spans="1:4" x14ac:dyDescent="0.45">
      <c r="A3415">
        <v>568</v>
      </c>
      <c r="B3415">
        <f t="shared" ca="1" si="53"/>
        <v>140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5" t="str">
        <f ca="1">IF(dict_zuord_Meth_Transfers[[#This Row],[kval_active]],dict_zuord_Meth_Transfers[[#This Row],[ID_Transfers]],"")</f>
        <v/>
      </c>
    </row>
    <row r="3416" spans="1:4" x14ac:dyDescent="0.45">
      <c r="A3416">
        <v>569</v>
      </c>
      <c r="B3416" s="3">
        <f t="shared" ca="1" si="53"/>
        <v>27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6">
        <f ca="1">IF(dict_zuord_Meth_Transfers[[#This Row],[kval_active]],dict_zuord_Meth_Transfers[[#This Row],[ID_Transfers]],"")</f>
        <v>27</v>
      </c>
    </row>
    <row r="3417" spans="1:4" x14ac:dyDescent="0.45">
      <c r="A3417">
        <v>569</v>
      </c>
      <c r="B3417" s="3">
        <f t="shared" ca="1" si="53"/>
        <v>101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7">
        <f ca="1">IF(dict_zuord_Meth_Transfers[[#This Row],[kval_active]],dict_zuord_Meth_Transfers[[#This Row],[ID_Transfers]],"")</f>
        <v>101</v>
      </c>
    </row>
    <row r="3418" spans="1:4" x14ac:dyDescent="0.45">
      <c r="A3418">
        <v>569</v>
      </c>
      <c r="B3418" s="3">
        <f t="shared" ca="1" si="53"/>
        <v>160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8">
        <f ca="1">IF(dict_zuord_Meth_Transfers[[#This Row],[kval_active]],dict_zuord_Meth_Transfers[[#This Row],[ID_Transfers]],"")</f>
        <v>160</v>
      </c>
    </row>
    <row r="3419" spans="1:4" x14ac:dyDescent="0.45">
      <c r="A3419">
        <v>569</v>
      </c>
      <c r="B3419">
        <f t="shared" ca="1" si="53"/>
        <v>124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9">
        <f ca="1">IF(dict_zuord_Meth_Transfers[[#This Row],[kval_active]],dict_zuord_Meth_Transfers[[#This Row],[ID_Transfers]],"")</f>
        <v>124</v>
      </c>
    </row>
    <row r="3420" spans="1:4" x14ac:dyDescent="0.45">
      <c r="A3420">
        <v>569</v>
      </c>
      <c r="B3420">
        <f t="shared" ca="1" si="53"/>
        <v>104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0">
        <f ca="1">IF(dict_zuord_Meth_Transfers[[#This Row],[kval_active]],dict_zuord_Meth_Transfers[[#This Row],[ID_Transfers]],"")</f>
        <v>104</v>
      </c>
    </row>
    <row r="3421" spans="1:4" x14ac:dyDescent="0.45">
      <c r="A3421">
        <v>569</v>
      </c>
      <c r="B3421">
        <f t="shared" ca="1" si="53"/>
        <v>143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1">
        <f ca="1">IF(dict_zuord_Meth_Transfers[[#This Row],[kval_active]],dict_zuord_Meth_Transfers[[#This Row],[ID_Transfers]],"")</f>
        <v>143</v>
      </c>
    </row>
    <row r="3422" spans="1:4" x14ac:dyDescent="0.45">
      <c r="A3422">
        <v>570</v>
      </c>
      <c r="B3422">
        <f t="shared" ca="1" si="53"/>
        <v>147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2" t="str">
        <f ca="1">IF(dict_zuord_Meth_Transfers[[#This Row],[kval_active]],dict_zuord_Meth_Transfers[[#This Row],[ID_Transfers]],"")</f>
        <v/>
      </c>
    </row>
    <row r="3423" spans="1:4" x14ac:dyDescent="0.45">
      <c r="A3423">
        <v>570</v>
      </c>
      <c r="B3423">
        <f t="shared" ca="1" si="53"/>
        <v>179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3" t="str">
        <f ca="1">IF(dict_zuord_Meth_Transfers[[#This Row],[kval_active]],dict_zuord_Meth_Transfers[[#This Row],[ID_Transfers]],"")</f>
        <v/>
      </c>
    </row>
    <row r="3424" spans="1:4" x14ac:dyDescent="0.45">
      <c r="A3424">
        <v>570</v>
      </c>
      <c r="B3424" s="3">
        <f t="shared" ca="1" si="53"/>
        <v>153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4" t="str">
        <f ca="1">IF(dict_zuord_Meth_Transfers[[#This Row],[kval_active]],dict_zuord_Meth_Transfers[[#This Row],[ID_Transfers]],"")</f>
        <v/>
      </c>
    </row>
    <row r="3425" spans="1:4" x14ac:dyDescent="0.45">
      <c r="A3425">
        <v>570</v>
      </c>
      <c r="B3425" s="3">
        <f t="shared" ca="1" si="53"/>
        <v>160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5" t="str">
        <f ca="1">IF(dict_zuord_Meth_Transfers[[#This Row],[kval_active]],dict_zuord_Meth_Transfers[[#This Row],[ID_Transfers]],"")</f>
        <v/>
      </c>
    </row>
    <row r="3426" spans="1:4" x14ac:dyDescent="0.45">
      <c r="A3426">
        <v>570</v>
      </c>
      <c r="B3426">
        <f t="shared" ca="1" si="53"/>
        <v>39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6" t="str">
        <f ca="1">IF(dict_zuord_Meth_Transfers[[#This Row],[kval_active]],dict_zuord_Meth_Transfers[[#This Row],[ID_Transfers]],"")</f>
        <v/>
      </c>
    </row>
    <row r="3427" spans="1:4" x14ac:dyDescent="0.45">
      <c r="A3427">
        <v>570</v>
      </c>
      <c r="B3427" s="3">
        <f t="shared" ca="1" si="53"/>
        <v>144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7" t="str">
        <f ca="1">IF(dict_zuord_Meth_Transfers[[#This Row],[kval_active]],dict_zuord_Meth_Transfers[[#This Row],[ID_Transfers]],"")</f>
        <v/>
      </c>
    </row>
    <row r="3428" spans="1:4" x14ac:dyDescent="0.45">
      <c r="A3428">
        <v>571</v>
      </c>
      <c r="B3428">
        <f t="shared" ca="1" si="53"/>
        <v>192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8" t="str">
        <f ca="1">IF(dict_zuord_Meth_Transfers[[#This Row],[kval_active]],dict_zuord_Meth_Transfers[[#This Row],[ID_Transfers]],"")</f>
        <v/>
      </c>
    </row>
    <row r="3429" spans="1:4" x14ac:dyDescent="0.45">
      <c r="A3429">
        <v>571</v>
      </c>
      <c r="B3429" s="3">
        <f t="shared" ca="1" si="53"/>
        <v>149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9" t="str">
        <f ca="1">IF(dict_zuord_Meth_Transfers[[#This Row],[kval_active]],dict_zuord_Meth_Transfers[[#This Row],[ID_Transfers]],"")</f>
        <v/>
      </c>
    </row>
    <row r="3430" spans="1:4" x14ac:dyDescent="0.45">
      <c r="A3430">
        <v>571</v>
      </c>
      <c r="B3430">
        <f t="shared" ca="1" si="53"/>
        <v>54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0" t="str">
        <f ca="1">IF(dict_zuord_Meth_Transfers[[#This Row],[kval_active]],dict_zuord_Meth_Transfers[[#This Row],[ID_Transfers]],"")</f>
        <v/>
      </c>
    </row>
    <row r="3431" spans="1:4" x14ac:dyDescent="0.45">
      <c r="A3431">
        <v>571</v>
      </c>
      <c r="B3431" s="3">
        <f t="shared" ca="1" si="53"/>
        <v>17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1" t="str">
        <f ca="1">IF(dict_zuord_Meth_Transfers[[#This Row],[kval_active]],dict_zuord_Meth_Transfers[[#This Row],[ID_Transfers]],"")</f>
        <v/>
      </c>
    </row>
    <row r="3432" spans="1:4" x14ac:dyDescent="0.45">
      <c r="A3432">
        <v>571</v>
      </c>
      <c r="B3432" s="3">
        <f t="shared" ca="1" si="53"/>
        <v>86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2" t="str">
        <f ca="1">IF(dict_zuord_Meth_Transfers[[#This Row],[kval_active]],dict_zuord_Meth_Transfers[[#This Row],[ID_Transfers]],"")</f>
        <v/>
      </c>
    </row>
    <row r="3433" spans="1:4" x14ac:dyDescent="0.45">
      <c r="A3433">
        <v>571</v>
      </c>
      <c r="B3433">
        <f t="shared" ca="1" si="53"/>
        <v>155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3" t="str">
        <f ca="1">IF(dict_zuord_Meth_Transfers[[#This Row],[kval_active]],dict_zuord_Meth_Transfers[[#This Row],[ID_Transfers]],"")</f>
        <v/>
      </c>
    </row>
    <row r="3434" spans="1:4" x14ac:dyDescent="0.45">
      <c r="A3434">
        <v>572</v>
      </c>
      <c r="B3434">
        <f t="shared" ca="1" si="53"/>
        <v>35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4" t="str">
        <f ca="1">IF(dict_zuord_Meth_Transfers[[#This Row],[kval_active]],dict_zuord_Meth_Transfers[[#This Row],[ID_Transfers]],"")</f>
        <v/>
      </c>
    </row>
    <row r="3435" spans="1:4" x14ac:dyDescent="0.45">
      <c r="A3435">
        <v>572</v>
      </c>
      <c r="B3435" s="3">
        <f t="shared" ca="1" si="53"/>
        <v>98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5" t="str">
        <f ca="1">IF(dict_zuord_Meth_Transfers[[#This Row],[kval_active]],dict_zuord_Meth_Transfers[[#This Row],[ID_Transfers]],"")</f>
        <v/>
      </c>
    </row>
    <row r="3436" spans="1:4" x14ac:dyDescent="0.45">
      <c r="A3436">
        <v>572</v>
      </c>
      <c r="B3436">
        <f t="shared" ca="1" si="53"/>
        <v>83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6" t="str">
        <f ca="1">IF(dict_zuord_Meth_Transfers[[#This Row],[kval_active]],dict_zuord_Meth_Transfers[[#This Row],[ID_Transfers]],"")</f>
        <v/>
      </c>
    </row>
    <row r="3437" spans="1:4" x14ac:dyDescent="0.45">
      <c r="A3437">
        <v>572</v>
      </c>
      <c r="B3437" s="3">
        <f t="shared" ca="1" si="53"/>
        <v>29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7" t="str">
        <f ca="1">IF(dict_zuord_Meth_Transfers[[#This Row],[kval_active]],dict_zuord_Meth_Transfers[[#This Row],[ID_Transfers]],"")</f>
        <v/>
      </c>
    </row>
    <row r="3438" spans="1:4" x14ac:dyDescent="0.45">
      <c r="A3438">
        <v>572</v>
      </c>
      <c r="B3438">
        <f t="shared" ca="1" si="53"/>
        <v>119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8" t="str">
        <f ca="1">IF(dict_zuord_Meth_Transfers[[#This Row],[kval_active]],dict_zuord_Meth_Transfers[[#This Row],[ID_Transfers]],"")</f>
        <v/>
      </c>
    </row>
    <row r="3439" spans="1:4" x14ac:dyDescent="0.45">
      <c r="A3439">
        <v>572</v>
      </c>
      <c r="B3439" s="3">
        <f t="shared" ca="1" si="53"/>
        <v>108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9" t="str">
        <f ca="1">IF(dict_zuord_Meth_Transfers[[#This Row],[kval_active]],dict_zuord_Meth_Transfers[[#This Row],[ID_Transfers]],"")</f>
        <v/>
      </c>
    </row>
    <row r="3440" spans="1:4" x14ac:dyDescent="0.45">
      <c r="A3440">
        <v>573</v>
      </c>
      <c r="B3440" s="3">
        <f t="shared" ca="1" si="53"/>
        <v>154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0" t="str">
        <f ca="1">IF(dict_zuord_Meth_Transfers[[#This Row],[kval_active]],dict_zuord_Meth_Transfers[[#This Row],[ID_Transfers]],"")</f>
        <v/>
      </c>
    </row>
    <row r="3441" spans="1:4" x14ac:dyDescent="0.45">
      <c r="A3441">
        <v>573</v>
      </c>
      <c r="B3441">
        <f t="shared" ca="1" si="53"/>
        <v>165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1" t="str">
        <f ca="1">IF(dict_zuord_Meth_Transfers[[#This Row],[kval_active]],dict_zuord_Meth_Transfers[[#This Row],[ID_Transfers]],"")</f>
        <v/>
      </c>
    </row>
    <row r="3442" spans="1:4" x14ac:dyDescent="0.45">
      <c r="A3442">
        <v>573</v>
      </c>
      <c r="B3442" s="3">
        <f t="shared" ca="1" si="53"/>
        <v>8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2" t="str">
        <f ca="1">IF(dict_zuord_Meth_Transfers[[#This Row],[kval_active]],dict_zuord_Meth_Transfers[[#This Row],[ID_Transfers]],"")</f>
        <v/>
      </c>
    </row>
    <row r="3443" spans="1:4" x14ac:dyDescent="0.45">
      <c r="A3443">
        <v>573</v>
      </c>
      <c r="B3443">
        <f t="shared" ca="1" si="53"/>
        <v>109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3" t="str">
        <f ca="1">IF(dict_zuord_Meth_Transfers[[#This Row],[kval_active]],dict_zuord_Meth_Transfers[[#This Row],[ID_Transfers]],"")</f>
        <v/>
      </c>
    </row>
    <row r="3444" spans="1:4" x14ac:dyDescent="0.45">
      <c r="A3444">
        <v>573</v>
      </c>
      <c r="B3444">
        <f t="shared" ca="1" si="53"/>
        <v>177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4" t="str">
        <f ca="1">IF(dict_zuord_Meth_Transfers[[#This Row],[kval_active]],dict_zuord_Meth_Transfers[[#This Row],[ID_Transfers]],"")</f>
        <v/>
      </c>
    </row>
    <row r="3445" spans="1:4" x14ac:dyDescent="0.45">
      <c r="A3445">
        <v>573</v>
      </c>
      <c r="B3445" s="3">
        <f t="shared" ca="1" si="53"/>
        <v>21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5" t="str">
        <f ca="1">IF(dict_zuord_Meth_Transfers[[#This Row],[kval_active]],dict_zuord_Meth_Transfers[[#This Row],[ID_Transfers]],"")</f>
        <v/>
      </c>
    </row>
    <row r="3446" spans="1:4" x14ac:dyDescent="0.45">
      <c r="A3446">
        <v>574</v>
      </c>
      <c r="B3446" s="3">
        <f t="shared" ca="1" si="53"/>
        <v>143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6" t="str">
        <f ca="1">IF(dict_zuord_Meth_Transfers[[#This Row],[kval_active]],dict_zuord_Meth_Transfers[[#This Row],[ID_Transfers]],"")</f>
        <v/>
      </c>
    </row>
    <row r="3447" spans="1:4" x14ac:dyDescent="0.45">
      <c r="A3447">
        <v>574</v>
      </c>
      <c r="B3447" s="3">
        <f t="shared" ca="1" si="53"/>
        <v>88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7" t="str">
        <f ca="1">IF(dict_zuord_Meth_Transfers[[#This Row],[kval_active]],dict_zuord_Meth_Transfers[[#This Row],[ID_Transfers]],"")</f>
        <v/>
      </c>
    </row>
    <row r="3448" spans="1:4" x14ac:dyDescent="0.45">
      <c r="A3448">
        <v>574</v>
      </c>
      <c r="B3448">
        <f t="shared" ca="1" si="53"/>
        <v>27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8" t="str">
        <f ca="1">IF(dict_zuord_Meth_Transfers[[#This Row],[kval_active]],dict_zuord_Meth_Transfers[[#This Row],[ID_Transfers]],"")</f>
        <v/>
      </c>
    </row>
    <row r="3449" spans="1:4" x14ac:dyDescent="0.45">
      <c r="A3449">
        <v>574</v>
      </c>
      <c r="B3449">
        <f t="shared" ca="1" si="53"/>
        <v>177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9" t="str">
        <f ca="1">IF(dict_zuord_Meth_Transfers[[#This Row],[kval_active]],dict_zuord_Meth_Transfers[[#This Row],[ID_Transfers]],"")</f>
        <v/>
      </c>
    </row>
    <row r="3450" spans="1:4" x14ac:dyDescent="0.45">
      <c r="A3450">
        <v>574</v>
      </c>
      <c r="B3450">
        <f t="shared" ca="1" si="53"/>
        <v>33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0" t="str">
        <f ca="1">IF(dict_zuord_Meth_Transfers[[#This Row],[kval_active]],dict_zuord_Meth_Transfers[[#This Row],[ID_Transfers]],"")</f>
        <v/>
      </c>
    </row>
    <row r="3451" spans="1:4" x14ac:dyDescent="0.45">
      <c r="A3451">
        <v>574</v>
      </c>
      <c r="B3451" s="3">
        <f t="shared" ca="1" si="53"/>
        <v>30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1" t="str">
        <f ca="1">IF(dict_zuord_Meth_Transfers[[#This Row],[kval_active]],dict_zuord_Meth_Transfers[[#This Row],[ID_Transfers]],"")</f>
        <v/>
      </c>
    </row>
    <row r="3452" spans="1:4" x14ac:dyDescent="0.45">
      <c r="A3452">
        <v>575</v>
      </c>
      <c r="B3452" s="3">
        <f t="shared" ca="1" si="53"/>
        <v>190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2" t="str">
        <f ca="1">IF(dict_zuord_Meth_Transfers[[#This Row],[kval_active]],dict_zuord_Meth_Transfers[[#This Row],[ID_Transfers]],"")</f>
        <v/>
      </c>
    </row>
    <row r="3453" spans="1:4" x14ac:dyDescent="0.45">
      <c r="A3453">
        <v>575</v>
      </c>
      <c r="B3453">
        <f t="shared" ca="1" si="53"/>
        <v>156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3" t="str">
        <f ca="1">IF(dict_zuord_Meth_Transfers[[#This Row],[kval_active]],dict_zuord_Meth_Transfers[[#This Row],[ID_Transfers]],"")</f>
        <v/>
      </c>
    </row>
    <row r="3454" spans="1:4" x14ac:dyDescent="0.45">
      <c r="A3454">
        <v>575</v>
      </c>
      <c r="B3454">
        <f t="shared" ca="1" si="53"/>
        <v>149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4" t="str">
        <f ca="1">IF(dict_zuord_Meth_Transfers[[#This Row],[kval_active]],dict_zuord_Meth_Transfers[[#This Row],[ID_Transfers]],"")</f>
        <v/>
      </c>
    </row>
    <row r="3455" spans="1:4" x14ac:dyDescent="0.45">
      <c r="A3455">
        <v>575</v>
      </c>
      <c r="B3455">
        <f t="shared" ca="1" si="53"/>
        <v>173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5" t="str">
        <f ca="1">IF(dict_zuord_Meth_Transfers[[#This Row],[kval_active]],dict_zuord_Meth_Transfers[[#This Row],[ID_Transfers]],"")</f>
        <v/>
      </c>
    </row>
    <row r="3456" spans="1:4" x14ac:dyDescent="0.45">
      <c r="A3456">
        <v>575</v>
      </c>
      <c r="B3456" s="3">
        <f t="shared" ca="1" si="53"/>
        <v>51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6" t="str">
        <f ca="1">IF(dict_zuord_Meth_Transfers[[#This Row],[kval_active]],dict_zuord_Meth_Transfers[[#This Row],[ID_Transfers]],"")</f>
        <v/>
      </c>
    </row>
    <row r="3457" spans="1:4" x14ac:dyDescent="0.45">
      <c r="A3457">
        <v>575</v>
      </c>
      <c r="B3457" s="3">
        <f t="shared" ca="1" si="53"/>
        <v>41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7" t="str">
        <f ca="1">IF(dict_zuord_Meth_Transfers[[#This Row],[kval_active]],dict_zuord_Meth_Transfers[[#This Row],[ID_Transfers]],"")</f>
        <v/>
      </c>
    </row>
    <row r="3458" spans="1:4" x14ac:dyDescent="0.45">
      <c r="A3458">
        <v>576</v>
      </c>
      <c r="B3458">
        <f t="shared" ref="B3458:B3521" ca="1" si="54">RANDBETWEEN(0,200)</f>
        <v>76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8" t="str">
        <f ca="1">IF(dict_zuord_Meth_Transfers[[#This Row],[kval_active]],dict_zuord_Meth_Transfers[[#This Row],[ID_Transfers]],"")</f>
        <v/>
      </c>
    </row>
    <row r="3459" spans="1:4" x14ac:dyDescent="0.45">
      <c r="A3459">
        <v>576</v>
      </c>
      <c r="B3459" s="3">
        <f t="shared" ca="1" si="54"/>
        <v>16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9" t="str">
        <f ca="1">IF(dict_zuord_Meth_Transfers[[#This Row],[kval_active]],dict_zuord_Meth_Transfers[[#This Row],[ID_Transfers]],"")</f>
        <v/>
      </c>
    </row>
    <row r="3460" spans="1:4" x14ac:dyDescent="0.45">
      <c r="A3460">
        <v>576</v>
      </c>
      <c r="B3460" s="3">
        <f t="shared" ca="1" si="54"/>
        <v>65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0" t="str">
        <f ca="1">IF(dict_zuord_Meth_Transfers[[#This Row],[kval_active]],dict_zuord_Meth_Transfers[[#This Row],[ID_Transfers]],"")</f>
        <v/>
      </c>
    </row>
    <row r="3461" spans="1:4" x14ac:dyDescent="0.45">
      <c r="A3461">
        <v>576</v>
      </c>
      <c r="B3461">
        <f t="shared" ca="1" si="54"/>
        <v>142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1" t="str">
        <f ca="1">IF(dict_zuord_Meth_Transfers[[#This Row],[kval_active]],dict_zuord_Meth_Transfers[[#This Row],[ID_Transfers]],"")</f>
        <v/>
      </c>
    </row>
    <row r="3462" spans="1:4" x14ac:dyDescent="0.45">
      <c r="A3462">
        <v>576</v>
      </c>
      <c r="B3462">
        <f t="shared" ca="1" si="54"/>
        <v>141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2" t="str">
        <f ca="1">IF(dict_zuord_Meth_Transfers[[#This Row],[kval_active]],dict_zuord_Meth_Transfers[[#This Row],[ID_Transfers]],"")</f>
        <v/>
      </c>
    </row>
    <row r="3463" spans="1:4" x14ac:dyDescent="0.45">
      <c r="A3463">
        <v>576</v>
      </c>
      <c r="B3463" s="3">
        <f t="shared" ca="1" si="54"/>
        <v>163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3" t="str">
        <f ca="1">IF(dict_zuord_Meth_Transfers[[#This Row],[kval_active]],dict_zuord_Meth_Transfers[[#This Row],[ID_Transfers]],"")</f>
        <v/>
      </c>
    </row>
    <row r="3464" spans="1:4" x14ac:dyDescent="0.45">
      <c r="A3464">
        <v>577</v>
      </c>
      <c r="B3464">
        <f t="shared" ca="1" si="54"/>
        <v>106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4" t="str">
        <f ca="1">IF(dict_zuord_Meth_Transfers[[#This Row],[kval_active]],dict_zuord_Meth_Transfers[[#This Row],[ID_Transfers]],"")</f>
        <v/>
      </c>
    </row>
    <row r="3465" spans="1:4" x14ac:dyDescent="0.45">
      <c r="A3465">
        <v>577</v>
      </c>
      <c r="B3465">
        <f t="shared" ca="1" si="54"/>
        <v>5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5" t="str">
        <f ca="1">IF(dict_zuord_Meth_Transfers[[#This Row],[kval_active]],dict_zuord_Meth_Transfers[[#This Row],[ID_Transfers]],"")</f>
        <v/>
      </c>
    </row>
    <row r="3466" spans="1:4" x14ac:dyDescent="0.45">
      <c r="A3466">
        <v>577</v>
      </c>
      <c r="B3466" s="3">
        <f t="shared" ca="1" si="54"/>
        <v>156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6" t="str">
        <f ca="1">IF(dict_zuord_Meth_Transfers[[#This Row],[kval_active]],dict_zuord_Meth_Transfers[[#This Row],[ID_Transfers]],"")</f>
        <v/>
      </c>
    </row>
    <row r="3467" spans="1:4" x14ac:dyDescent="0.45">
      <c r="A3467">
        <v>577</v>
      </c>
      <c r="B3467" s="3">
        <f t="shared" ca="1" si="54"/>
        <v>77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7" t="str">
        <f ca="1">IF(dict_zuord_Meth_Transfers[[#This Row],[kval_active]],dict_zuord_Meth_Transfers[[#This Row],[ID_Transfers]],"")</f>
        <v/>
      </c>
    </row>
    <row r="3468" spans="1:4" x14ac:dyDescent="0.45">
      <c r="A3468">
        <v>577</v>
      </c>
      <c r="B3468" s="3">
        <f t="shared" ca="1" si="54"/>
        <v>125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8" t="str">
        <f ca="1">IF(dict_zuord_Meth_Transfers[[#This Row],[kval_active]],dict_zuord_Meth_Transfers[[#This Row],[ID_Transfers]],"")</f>
        <v/>
      </c>
    </row>
    <row r="3469" spans="1:4" x14ac:dyDescent="0.45">
      <c r="A3469">
        <v>577</v>
      </c>
      <c r="B3469">
        <f t="shared" ca="1" si="54"/>
        <v>94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9" t="str">
        <f ca="1">IF(dict_zuord_Meth_Transfers[[#This Row],[kval_active]],dict_zuord_Meth_Transfers[[#This Row],[ID_Transfers]],"")</f>
        <v/>
      </c>
    </row>
    <row r="3470" spans="1:4" x14ac:dyDescent="0.45">
      <c r="A3470">
        <v>578</v>
      </c>
      <c r="B3470">
        <f t="shared" ca="1" si="54"/>
        <v>59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0">
        <f ca="1">IF(dict_zuord_Meth_Transfers[[#This Row],[kval_active]],dict_zuord_Meth_Transfers[[#This Row],[ID_Transfers]],"")</f>
        <v>59</v>
      </c>
    </row>
    <row r="3471" spans="1:4" x14ac:dyDescent="0.45">
      <c r="A3471">
        <v>578</v>
      </c>
      <c r="B3471" s="3">
        <f t="shared" ca="1" si="54"/>
        <v>105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1">
        <f ca="1">IF(dict_zuord_Meth_Transfers[[#This Row],[kval_active]],dict_zuord_Meth_Transfers[[#This Row],[ID_Transfers]],"")</f>
        <v>105</v>
      </c>
    </row>
    <row r="3472" spans="1:4" x14ac:dyDescent="0.45">
      <c r="A3472">
        <v>578</v>
      </c>
      <c r="B3472" s="3">
        <f t="shared" ca="1" si="54"/>
        <v>125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2">
        <f ca="1">IF(dict_zuord_Meth_Transfers[[#This Row],[kval_active]],dict_zuord_Meth_Transfers[[#This Row],[ID_Transfers]],"")</f>
        <v>125</v>
      </c>
    </row>
    <row r="3473" spans="1:4" x14ac:dyDescent="0.45">
      <c r="A3473">
        <v>578</v>
      </c>
      <c r="B3473" s="3">
        <f t="shared" ca="1" si="54"/>
        <v>46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3">
        <f ca="1">IF(dict_zuord_Meth_Transfers[[#This Row],[kval_active]],dict_zuord_Meth_Transfers[[#This Row],[ID_Transfers]],"")</f>
        <v>46</v>
      </c>
    </row>
    <row r="3474" spans="1:4" x14ac:dyDescent="0.45">
      <c r="A3474">
        <v>578</v>
      </c>
      <c r="B3474">
        <f t="shared" ca="1" si="54"/>
        <v>32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4">
        <f ca="1">IF(dict_zuord_Meth_Transfers[[#This Row],[kval_active]],dict_zuord_Meth_Transfers[[#This Row],[ID_Transfers]],"")</f>
        <v>32</v>
      </c>
    </row>
    <row r="3475" spans="1:4" x14ac:dyDescent="0.45">
      <c r="A3475">
        <v>578</v>
      </c>
      <c r="B3475">
        <f t="shared" ca="1" si="54"/>
        <v>68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5">
        <f ca="1">IF(dict_zuord_Meth_Transfers[[#This Row],[kval_active]],dict_zuord_Meth_Transfers[[#This Row],[ID_Transfers]],"")</f>
        <v>68</v>
      </c>
    </row>
    <row r="3476" spans="1:4" x14ac:dyDescent="0.45">
      <c r="A3476">
        <v>579</v>
      </c>
      <c r="B3476" s="3">
        <f t="shared" ca="1" si="54"/>
        <v>34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6" t="str">
        <f ca="1">IF(dict_zuord_Meth_Transfers[[#This Row],[kval_active]],dict_zuord_Meth_Transfers[[#This Row],[ID_Transfers]],"")</f>
        <v/>
      </c>
    </row>
    <row r="3477" spans="1:4" x14ac:dyDescent="0.45">
      <c r="A3477">
        <v>579</v>
      </c>
      <c r="B3477">
        <f t="shared" ca="1" si="54"/>
        <v>19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7" t="str">
        <f ca="1">IF(dict_zuord_Meth_Transfers[[#This Row],[kval_active]],dict_zuord_Meth_Transfers[[#This Row],[ID_Transfers]],"")</f>
        <v/>
      </c>
    </row>
    <row r="3478" spans="1:4" x14ac:dyDescent="0.45">
      <c r="A3478">
        <v>579</v>
      </c>
      <c r="B3478">
        <f t="shared" ca="1" si="54"/>
        <v>170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8" t="str">
        <f ca="1">IF(dict_zuord_Meth_Transfers[[#This Row],[kval_active]],dict_zuord_Meth_Transfers[[#This Row],[ID_Transfers]],"")</f>
        <v/>
      </c>
    </row>
    <row r="3479" spans="1:4" x14ac:dyDescent="0.45">
      <c r="A3479">
        <v>579</v>
      </c>
      <c r="B3479" s="3">
        <f t="shared" ca="1" si="54"/>
        <v>180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9" t="str">
        <f ca="1">IF(dict_zuord_Meth_Transfers[[#This Row],[kval_active]],dict_zuord_Meth_Transfers[[#This Row],[ID_Transfers]],"")</f>
        <v/>
      </c>
    </row>
    <row r="3480" spans="1:4" x14ac:dyDescent="0.45">
      <c r="A3480">
        <v>579</v>
      </c>
      <c r="B3480" s="3">
        <f t="shared" ca="1" si="54"/>
        <v>186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0" t="str">
        <f ca="1">IF(dict_zuord_Meth_Transfers[[#This Row],[kval_active]],dict_zuord_Meth_Transfers[[#This Row],[ID_Transfers]],"")</f>
        <v/>
      </c>
    </row>
    <row r="3481" spans="1:4" x14ac:dyDescent="0.45">
      <c r="A3481">
        <v>579</v>
      </c>
      <c r="B3481">
        <f t="shared" ca="1" si="54"/>
        <v>196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1" t="str">
        <f ca="1">IF(dict_zuord_Meth_Transfers[[#This Row],[kval_active]],dict_zuord_Meth_Transfers[[#This Row],[ID_Transfers]],"")</f>
        <v/>
      </c>
    </row>
    <row r="3482" spans="1:4" x14ac:dyDescent="0.45">
      <c r="A3482">
        <v>580</v>
      </c>
      <c r="B3482" s="3">
        <f t="shared" ca="1" si="54"/>
        <v>172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2" t="str">
        <f ca="1">IF(dict_zuord_Meth_Transfers[[#This Row],[kval_active]],dict_zuord_Meth_Transfers[[#This Row],[ID_Transfers]],"")</f>
        <v/>
      </c>
    </row>
    <row r="3483" spans="1:4" x14ac:dyDescent="0.45">
      <c r="A3483">
        <v>580</v>
      </c>
      <c r="B3483" s="3">
        <f t="shared" ca="1" si="54"/>
        <v>82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3" t="str">
        <f ca="1">IF(dict_zuord_Meth_Transfers[[#This Row],[kval_active]],dict_zuord_Meth_Transfers[[#This Row],[ID_Transfers]],"")</f>
        <v/>
      </c>
    </row>
    <row r="3484" spans="1:4" x14ac:dyDescent="0.45">
      <c r="A3484">
        <v>580</v>
      </c>
      <c r="B3484">
        <f t="shared" ca="1" si="54"/>
        <v>37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4" t="str">
        <f ca="1">IF(dict_zuord_Meth_Transfers[[#This Row],[kval_active]],dict_zuord_Meth_Transfers[[#This Row],[ID_Transfers]],"")</f>
        <v/>
      </c>
    </row>
    <row r="3485" spans="1:4" x14ac:dyDescent="0.45">
      <c r="A3485">
        <v>580</v>
      </c>
      <c r="B3485" s="3">
        <f t="shared" ca="1" si="54"/>
        <v>154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5" t="str">
        <f ca="1">IF(dict_zuord_Meth_Transfers[[#This Row],[kval_active]],dict_zuord_Meth_Transfers[[#This Row],[ID_Transfers]],"")</f>
        <v/>
      </c>
    </row>
    <row r="3486" spans="1:4" x14ac:dyDescent="0.45">
      <c r="A3486">
        <v>580</v>
      </c>
      <c r="B3486">
        <f t="shared" ca="1" si="54"/>
        <v>43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6" t="str">
        <f ca="1">IF(dict_zuord_Meth_Transfers[[#This Row],[kval_active]],dict_zuord_Meth_Transfers[[#This Row],[ID_Transfers]],"")</f>
        <v/>
      </c>
    </row>
    <row r="3487" spans="1:4" x14ac:dyDescent="0.45">
      <c r="A3487">
        <v>580</v>
      </c>
      <c r="B3487">
        <f t="shared" ca="1" si="54"/>
        <v>140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7" t="str">
        <f ca="1">IF(dict_zuord_Meth_Transfers[[#This Row],[kval_active]],dict_zuord_Meth_Transfers[[#This Row],[ID_Transfers]],"")</f>
        <v/>
      </c>
    </row>
    <row r="3488" spans="1:4" x14ac:dyDescent="0.45">
      <c r="A3488">
        <v>581</v>
      </c>
      <c r="B3488" s="3">
        <f t="shared" ca="1" si="54"/>
        <v>150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8" t="str">
        <f ca="1">IF(dict_zuord_Meth_Transfers[[#This Row],[kval_active]],dict_zuord_Meth_Transfers[[#This Row],[ID_Transfers]],"")</f>
        <v/>
      </c>
    </row>
    <row r="3489" spans="1:4" x14ac:dyDescent="0.45">
      <c r="A3489">
        <v>581</v>
      </c>
      <c r="B3489" s="3">
        <f t="shared" ca="1" si="54"/>
        <v>164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9" t="str">
        <f ca="1">IF(dict_zuord_Meth_Transfers[[#This Row],[kval_active]],dict_zuord_Meth_Transfers[[#This Row],[ID_Transfers]],"")</f>
        <v/>
      </c>
    </row>
    <row r="3490" spans="1:4" x14ac:dyDescent="0.45">
      <c r="A3490">
        <v>581</v>
      </c>
      <c r="B3490">
        <f t="shared" ca="1" si="54"/>
        <v>81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0" t="str">
        <f ca="1">IF(dict_zuord_Meth_Transfers[[#This Row],[kval_active]],dict_zuord_Meth_Transfers[[#This Row],[ID_Transfers]],"")</f>
        <v/>
      </c>
    </row>
    <row r="3491" spans="1:4" x14ac:dyDescent="0.45">
      <c r="A3491">
        <v>581</v>
      </c>
      <c r="B3491" s="3">
        <f t="shared" ca="1" si="54"/>
        <v>124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1" t="str">
        <f ca="1">IF(dict_zuord_Meth_Transfers[[#This Row],[kval_active]],dict_zuord_Meth_Transfers[[#This Row],[ID_Transfers]],"")</f>
        <v/>
      </c>
    </row>
    <row r="3492" spans="1:4" x14ac:dyDescent="0.45">
      <c r="A3492">
        <v>581</v>
      </c>
      <c r="B3492">
        <f t="shared" ca="1" si="54"/>
        <v>194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2" t="str">
        <f ca="1">IF(dict_zuord_Meth_Transfers[[#This Row],[kval_active]],dict_zuord_Meth_Transfers[[#This Row],[ID_Transfers]],"")</f>
        <v/>
      </c>
    </row>
    <row r="3493" spans="1:4" x14ac:dyDescent="0.45">
      <c r="A3493">
        <v>581</v>
      </c>
      <c r="B3493">
        <f t="shared" ca="1" si="54"/>
        <v>144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3" t="str">
        <f ca="1">IF(dict_zuord_Meth_Transfers[[#This Row],[kval_active]],dict_zuord_Meth_Transfers[[#This Row],[ID_Transfers]],"")</f>
        <v/>
      </c>
    </row>
    <row r="3494" spans="1:4" x14ac:dyDescent="0.45">
      <c r="A3494">
        <v>582</v>
      </c>
      <c r="B3494" s="3">
        <f t="shared" ca="1" si="54"/>
        <v>164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4" t="str">
        <f ca="1">IF(dict_zuord_Meth_Transfers[[#This Row],[kval_active]],dict_zuord_Meth_Transfers[[#This Row],[ID_Transfers]],"")</f>
        <v/>
      </c>
    </row>
    <row r="3495" spans="1:4" x14ac:dyDescent="0.45">
      <c r="A3495">
        <v>582</v>
      </c>
      <c r="B3495">
        <f t="shared" ca="1" si="54"/>
        <v>138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5" t="str">
        <f ca="1">IF(dict_zuord_Meth_Transfers[[#This Row],[kval_active]],dict_zuord_Meth_Transfers[[#This Row],[ID_Transfers]],"")</f>
        <v/>
      </c>
    </row>
    <row r="3496" spans="1:4" x14ac:dyDescent="0.45">
      <c r="A3496">
        <v>582</v>
      </c>
      <c r="B3496" s="3">
        <f t="shared" ca="1" si="54"/>
        <v>142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6" t="str">
        <f ca="1">IF(dict_zuord_Meth_Transfers[[#This Row],[kval_active]],dict_zuord_Meth_Transfers[[#This Row],[ID_Transfers]],"")</f>
        <v/>
      </c>
    </row>
    <row r="3497" spans="1:4" x14ac:dyDescent="0.45">
      <c r="A3497">
        <v>582</v>
      </c>
      <c r="B3497">
        <f t="shared" ca="1" si="54"/>
        <v>75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7" t="str">
        <f ca="1">IF(dict_zuord_Meth_Transfers[[#This Row],[kval_active]],dict_zuord_Meth_Transfers[[#This Row],[ID_Transfers]],"")</f>
        <v/>
      </c>
    </row>
    <row r="3498" spans="1:4" x14ac:dyDescent="0.45">
      <c r="A3498">
        <v>582</v>
      </c>
      <c r="B3498">
        <f t="shared" ca="1" si="54"/>
        <v>29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8" t="str">
        <f ca="1">IF(dict_zuord_Meth_Transfers[[#This Row],[kval_active]],dict_zuord_Meth_Transfers[[#This Row],[ID_Transfers]],"")</f>
        <v/>
      </c>
    </row>
    <row r="3499" spans="1:4" x14ac:dyDescent="0.45">
      <c r="A3499">
        <v>582</v>
      </c>
      <c r="B3499" s="3">
        <f t="shared" ca="1" si="54"/>
        <v>141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9" t="str">
        <f ca="1">IF(dict_zuord_Meth_Transfers[[#This Row],[kval_active]],dict_zuord_Meth_Transfers[[#This Row],[ID_Transfers]],"")</f>
        <v/>
      </c>
    </row>
    <row r="3500" spans="1:4" x14ac:dyDescent="0.45">
      <c r="A3500">
        <v>583</v>
      </c>
      <c r="B3500" s="3">
        <f t="shared" ca="1" si="54"/>
        <v>91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0" t="str">
        <f ca="1">IF(dict_zuord_Meth_Transfers[[#This Row],[kval_active]],dict_zuord_Meth_Transfers[[#This Row],[ID_Transfers]],"")</f>
        <v/>
      </c>
    </row>
    <row r="3501" spans="1:4" x14ac:dyDescent="0.45">
      <c r="A3501">
        <v>583</v>
      </c>
      <c r="B3501">
        <f t="shared" ca="1" si="54"/>
        <v>106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1" t="str">
        <f ca="1">IF(dict_zuord_Meth_Transfers[[#This Row],[kval_active]],dict_zuord_Meth_Transfers[[#This Row],[ID_Transfers]],"")</f>
        <v/>
      </c>
    </row>
    <row r="3502" spans="1:4" x14ac:dyDescent="0.45">
      <c r="A3502">
        <v>583</v>
      </c>
      <c r="B3502" s="3">
        <f t="shared" ca="1" si="54"/>
        <v>87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2" t="str">
        <f ca="1">IF(dict_zuord_Meth_Transfers[[#This Row],[kval_active]],dict_zuord_Meth_Transfers[[#This Row],[ID_Transfers]],"")</f>
        <v/>
      </c>
    </row>
    <row r="3503" spans="1:4" x14ac:dyDescent="0.45">
      <c r="A3503">
        <v>583</v>
      </c>
      <c r="B3503" s="3">
        <f t="shared" ca="1" si="54"/>
        <v>3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3" t="str">
        <f ca="1">IF(dict_zuord_Meth_Transfers[[#This Row],[kval_active]],dict_zuord_Meth_Transfers[[#This Row],[ID_Transfers]],"")</f>
        <v/>
      </c>
    </row>
    <row r="3504" spans="1:4" x14ac:dyDescent="0.45">
      <c r="A3504">
        <v>583</v>
      </c>
      <c r="B3504">
        <f t="shared" ca="1" si="54"/>
        <v>9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4" t="str">
        <f ca="1">IF(dict_zuord_Meth_Transfers[[#This Row],[kval_active]],dict_zuord_Meth_Transfers[[#This Row],[ID_Transfers]],"")</f>
        <v/>
      </c>
    </row>
    <row r="3505" spans="1:4" x14ac:dyDescent="0.45">
      <c r="A3505">
        <v>583</v>
      </c>
      <c r="B3505">
        <f t="shared" ca="1" si="54"/>
        <v>172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5" t="str">
        <f ca="1">IF(dict_zuord_Meth_Transfers[[#This Row],[kval_active]],dict_zuord_Meth_Transfers[[#This Row],[ID_Transfers]],"")</f>
        <v/>
      </c>
    </row>
    <row r="3506" spans="1:4" x14ac:dyDescent="0.45">
      <c r="A3506">
        <v>584</v>
      </c>
      <c r="B3506" s="3">
        <f t="shared" ca="1" si="54"/>
        <v>81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6" t="str">
        <f ca="1">IF(dict_zuord_Meth_Transfers[[#This Row],[kval_active]],dict_zuord_Meth_Transfers[[#This Row],[ID_Transfers]],"")</f>
        <v/>
      </c>
    </row>
    <row r="3507" spans="1:4" x14ac:dyDescent="0.45">
      <c r="A3507">
        <v>584</v>
      </c>
      <c r="B3507" s="3">
        <f t="shared" ca="1" si="54"/>
        <v>25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7" t="str">
        <f ca="1">IF(dict_zuord_Meth_Transfers[[#This Row],[kval_active]],dict_zuord_Meth_Transfers[[#This Row],[ID_Transfers]],"")</f>
        <v/>
      </c>
    </row>
    <row r="3508" spans="1:4" x14ac:dyDescent="0.45">
      <c r="A3508">
        <v>584</v>
      </c>
      <c r="B3508">
        <f t="shared" ca="1" si="54"/>
        <v>16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8" t="str">
        <f ca="1">IF(dict_zuord_Meth_Transfers[[#This Row],[kval_active]],dict_zuord_Meth_Transfers[[#This Row],[ID_Transfers]],"")</f>
        <v/>
      </c>
    </row>
    <row r="3509" spans="1:4" x14ac:dyDescent="0.45">
      <c r="A3509">
        <v>584</v>
      </c>
      <c r="B3509">
        <f t="shared" ca="1" si="54"/>
        <v>61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9" t="str">
        <f ca="1">IF(dict_zuord_Meth_Transfers[[#This Row],[kval_active]],dict_zuord_Meth_Transfers[[#This Row],[ID_Transfers]],"")</f>
        <v/>
      </c>
    </row>
    <row r="3510" spans="1:4" x14ac:dyDescent="0.45">
      <c r="A3510">
        <v>584</v>
      </c>
      <c r="B3510" s="3">
        <f t="shared" ca="1" si="54"/>
        <v>176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0" t="str">
        <f ca="1">IF(dict_zuord_Meth_Transfers[[#This Row],[kval_active]],dict_zuord_Meth_Transfers[[#This Row],[ID_Transfers]],"")</f>
        <v/>
      </c>
    </row>
    <row r="3511" spans="1:4" x14ac:dyDescent="0.45">
      <c r="A3511">
        <v>584</v>
      </c>
      <c r="B3511">
        <f t="shared" ca="1" si="54"/>
        <v>32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1" t="str">
        <f ca="1">IF(dict_zuord_Meth_Transfers[[#This Row],[kval_active]],dict_zuord_Meth_Transfers[[#This Row],[ID_Transfers]],"")</f>
        <v/>
      </c>
    </row>
    <row r="3512" spans="1:4" x14ac:dyDescent="0.45">
      <c r="A3512">
        <v>585</v>
      </c>
      <c r="B3512">
        <f t="shared" ca="1" si="54"/>
        <v>94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2">
        <f ca="1">IF(dict_zuord_Meth_Transfers[[#This Row],[kval_active]],dict_zuord_Meth_Transfers[[#This Row],[ID_Transfers]],"")</f>
        <v>94</v>
      </c>
    </row>
    <row r="3513" spans="1:4" x14ac:dyDescent="0.45">
      <c r="A3513">
        <v>585</v>
      </c>
      <c r="B3513">
        <f t="shared" ca="1" si="54"/>
        <v>152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3">
        <f ca="1">IF(dict_zuord_Meth_Transfers[[#This Row],[kval_active]],dict_zuord_Meth_Transfers[[#This Row],[ID_Transfers]],"")</f>
        <v>152</v>
      </c>
    </row>
    <row r="3514" spans="1:4" x14ac:dyDescent="0.45">
      <c r="A3514">
        <v>585</v>
      </c>
      <c r="B3514" s="3">
        <f t="shared" ca="1" si="54"/>
        <v>187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4">
        <f ca="1">IF(dict_zuord_Meth_Transfers[[#This Row],[kval_active]],dict_zuord_Meth_Transfers[[#This Row],[ID_Transfers]],"")</f>
        <v>187</v>
      </c>
    </row>
    <row r="3515" spans="1:4" x14ac:dyDescent="0.45">
      <c r="A3515">
        <v>585</v>
      </c>
      <c r="B3515">
        <f t="shared" ca="1" si="54"/>
        <v>151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5">
        <f ca="1">IF(dict_zuord_Meth_Transfers[[#This Row],[kval_active]],dict_zuord_Meth_Transfers[[#This Row],[ID_Transfers]],"")</f>
        <v>151</v>
      </c>
    </row>
    <row r="3516" spans="1:4" x14ac:dyDescent="0.45">
      <c r="A3516">
        <v>585</v>
      </c>
      <c r="B3516" s="3">
        <f t="shared" ca="1" si="54"/>
        <v>137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6">
        <f ca="1">IF(dict_zuord_Meth_Transfers[[#This Row],[kval_active]],dict_zuord_Meth_Transfers[[#This Row],[ID_Transfers]],"")</f>
        <v>137</v>
      </c>
    </row>
    <row r="3517" spans="1:4" x14ac:dyDescent="0.45">
      <c r="A3517">
        <v>585</v>
      </c>
      <c r="B3517" s="3">
        <f t="shared" ca="1" si="54"/>
        <v>1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7">
        <f ca="1">IF(dict_zuord_Meth_Transfers[[#This Row],[kval_active]],dict_zuord_Meth_Transfers[[#This Row],[ID_Transfers]],"")</f>
        <v>1</v>
      </c>
    </row>
    <row r="3518" spans="1:4" x14ac:dyDescent="0.45">
      <c r="A3518">
        <v>586</v>
      </c>
      <c r="B3518">
        <f t="shared" ca="1" si="54"/>
        <v>151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8" t="str">
        <f ca="1">IF(dict_zuord_Meth_Transfers[[#This Row],[kval_active]],dict_zuord_Meth_Transfers[[#This Row],[ID_Transfers]],"")</f>
        <v/>
      </c>
    </row>
    <row r="3519" spans="1:4" x14ac:dyDescent="0.45">
      <c r="A3519">
        <v>586</v>
      </c>
      <c r="B3519" s="3">
        <f t="shared" ca="1" si="54"/>
        <v>173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9" t="str">
        <f ca="1">IF(dict_zuord_Meth_Transfers[[#This Row],[kval_active]],dict_zuord_Meth_Transfers[[#This Row],[ID_Transfers]],"")</f>
        <v/>
      </c>
    </row>
    <row r="3520" spans="1:4" x14ac:dyDescent="0.45">
      <c r="A3520">
        <v>586</v>
      </c>
      <c r="B3520">
        <f t="shared" ca="1" si="54"/>
        <v>130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0" t="str">
        <f ca="1">IF(dict_zuord_Meth_Transfers[[#This Row],[kval_active]],dict_zuord_Meth_Transfers[[#This Row],[ID_Transfers]],"")</f>
        <v/>
      </c>
    </row>
    <row r="3521" spans="1:4" x14ac:dyDescent="0.45">
      <c r="A3521">
        <v>586</v>
      </c>
      <c r="B3521" s="3">
        <f t="shared" ca="1" si="54"/>
        <v>52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1" t="str">
        <f ca="1">IF(dict_zuord_Meth_Transfers[[#This Row],[kval_active]],dict_zuord_Meth_Transfers[[#This Row],[ID_Transfers]],"")</f>
        <v/>
      </c>
    </row>
    <row r="3522" spans="1:4" x14ac:dyDescent="0.45">
      <c r="A3522">
        <v>586</v>
      </c>
      <c r="B3522" s="3">
        <f t="shared" ref="B3522:B3585" ca="1" si="55">RANDBETWEEN(0,200)</f>
        <v>16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2" t="str">
        <f ca="1">IF(dict_zuord_Meth_Transfers[[#This Row],[kval_active]],dict_zuord_Meth_Transfers[[#This Row],[ID_Transfers]],"")</f>
        <v/>
      </c>
    </row>
    <row r="3523" spans="1:4" x14ac:dyDescent="0.45">
      <c r="A3523">
        <v>586</v>
      </c>
      <c r="B3523">
        <f t="shared" ca="1" si="55"/>
        <v>157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3" t="str">
        <f ca="1">IF(dict_zuord_Meth_Transfers[[#This Row],[kval_active]],dict_zuord_Meth_Transfers[[#This Row],[ID_Transfers]],"")</f>
        <v/>
      </c>
    </row>
    <row r="3524" spans="1:4" x14ac:dyDescent="0.45">
      <c r="A3524">
        <v>587</v>
      </c>
      <c r="B3524">
        <f t="shared" ca="1" si="55"/>
        <v>5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4" t="str">
        <f ca="1">IF(dict_zuord_Meth_Transfers[[#This Row],[kval_active]],dict_zuord_Meth_Transfers[[#This Row],[ID_Transfers]],"")</f>
        <v/>
      </c>
    </row>
    <row r="3525" spans="1:4" x14ac:dyDescent="0.45">
      <c r="A3525">
        <v>587</v>
      </c>
      <c r="B3525">
        <f t="shared" ca="1" si="55"/>
        <v>77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5" t="str">
        <f ca="1">IF(dict_zuord_Meth_Transfers[[#This Row],[kval_active]],dict_zuord_Meth_Transfers[[#This Row],[ID_Transfers]],"")</f>
        <v/>
      </c>
    </row>
    <row r="3526" spans="1:4" x14ac:dyDescent="0.45">
      <c r="A3526">
        <v>587</v>
      </c>
      <c r="B3526" s="3">
        <f t="shared" ca="1" si="55"/>
        <v>131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6" t="str">
        <f ca="1">IF(dict_zuord_Meth_Transfers[[#This Row],[kval_active]],dict_zuord_Meth_Transfers[[#This Row],[ID_Transfers]],"")</f>
        <v/>
      </c>
    </row>
    <row r="3527" spans="1:4" x14ac:dyDescent="0.45">
      <c r="A3527">
        <v>587</v>
      </c>
      <c r="B3527" s="3">
        <f t="shared" ca="1" si="55"/>
        <v>80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7" t="str">
        <f ca="1">IF(dict_zuord_Meth_Transfers[[#This Row],[kval_active]],dict_zuord_Meth_Transfers[[#This Row],[ID_Transfers]],"")</f>
        <v/>
      </c>
    </row>
    <row r="3528" spans="1:4" x14ac:dyDescent="0.45">
      <c r="A3528">
        <v>587</v>
      </c>
      <c r="B3528" s="3">
        <f t="shared" ca="1" si="55"/>
        <v>93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8" t="str">
        <f ca="1">IF(dict_zuord_Meth_Transfers[[#This Row],[kval_active]],dict_zuord_Meth_Transfers[[#This Row],[ID_Transfers]],"")</f>
        <v/>
      </c>
    </row>
    <row r="3529" spans="1:4" x14ac:dyDescent="0.45">
      <c r="A3529">
        <v>587</v>
      </c>
      <c r="B3529">
        <f t="shared" ca="1" si="55"/>
        <v>166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9" t="str">
        <f ca="1">IF(dict_zuord_Meth_Transfers[[#This Row],[kval_active]],dict_zuord_Meth_Transfers[[#This Row],[ID_Transfers]],"")</f>
        <v/>
      </c>
    </row>
    <row r="3530" spans="1:4" x14ac:dyDescent="0.45">
      <c r="A3530">
        <v>588</v>
      </c>
      <c r="B3530">
        <f t="shared" ca="1" si="55"/>
        <v>121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0" t="str">
        <f ca="1">IF(dict_zuord_Meth_Transfers[[#This Row],[kval_active]],dict_zuord_Meth_Transfers[[#This Row],[ID_Transfers]],"")</f>
        <v/>
      </c>
    </row>
    <row r="3531" spans="1:4" x14ac:dyDescent="0.45">
      <c r="A3531">
        <v>588</v>
      </c>
      <c r="B3531" s="3">
        <f t="shared" ca="1" si="55"/>
        <v>191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1" t="str">
        <f ca="1">IF(dict_zuord_Meth_Transfers[[#This Row],[kval_active]],dict_zuord_Meth_Transfers[[#This Row],[ID_Transfers]],"")</f>
        <v/>
      </c>
    </row>
    <row r="3532" spans="1:4" x14ac:dyDescent="0.45">
      <c r="A3532">
        <v>588</v>
      </c>
      <c r="B3532" s="3">
        <f t="shared" ca="1" si="55"/>
        <v>153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2" t="str">
        <f ca="1">IF(dict_zuord_Meth_Transfers[[#This Row],[kval_active]],dict_zuord_Meth_Transfers[[#This Row],[ID_Transfers]],"")</f>
        <v/>
      </c>
    </row>
    <row r="3533" spans="1:4" x14ac:dyDescent="0.45">
      <c r="A3533">
        <v>588</v>
      </c>
      <c r="B3533">
        <f t="shared" ca="1" si="55"/>
        <v>85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3" t="str">
        <f ca="1">IF(dict_zuord_Meth_Transfers[[#This Row],[kval_active]],dict_zuord_Meth_Transfers[[#This Row],[ID_Transfers]],"")</f>
        <v/>
      </c>
    </row>
    <row r="3534" spans="1:4" x14ac:dyDescent="0.45">
      <c r="A3534">
        <v>588</v>
      </c>
      <c r="B3534">
        <f t="shared" ca="1" si="55"/>
        <v>142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4" t="str">
        <f ca="1">IF(dict_zuord_Meth_Transfers[[#This Row],[kval_active]],dict_zuord_Meth_Transfers[[#This Row],[ID_Transfers]],"")</f>
        <v/>
      </c>
    </row>
    <row r="3535" spans="1:4" x14ac:dyDescent="0.45">
      <c r="A3535">
        <v>588</v>
      </c>
      <c r="B3535" s="3">
        <f t="shared" ca="1" si="55"/>
        <v>56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5" t="str">
        <f ca="1">IF(dict_zuord_Meth_Transfers[[#This Row],[kval_active]],dict_zuord_Meth_Transfers[[#This Row],[ID_Transfers]],"")</f>
        <v/>
      </c>
    </row>
    <row r="3536" spans="1:4" x14ac:dyDescent="0.45">
      <c r="A3536">
        <v>589</v>
      </c>
      <c r="B3536" s="3">
        <f t="shared" ca="1" si="55"/>
        <v>6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6" t="str">
        <f ca="1">IF(dict_zuord_Meth_Transfers[[#This Row],[kval_active]],dict_zuord_Meth_Transfers[[#This Row],[ID_Transfers]],"")</f>
        <v/>
      </c>
    </row>
    <row r="3537" spans="1:4" x14ac:dyDescent="0.45">
      <c r="A3537">
        <v>589</v>
      </c>
      <c r="B3537">
        <f t="shared" ca="1" si="55"/>
        <v>187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7" t="str">
        <f ca="1">IF(dict_zuord_Meth_Transfers[[#This Row],[kval_active]],dict_zuord_Meth_Transfers[[#This Row],[ID_Transfers]],"")</f>
        <v/>
      </c>
    </row>
    <row r="3538" spans="1:4" x14ac:dyDescent="0.45">
      <c r="A3538">
        <v>589</v>
      </c>
      <c r="B3538" s="3">
        <f t="shared" ca="1" si="55"/>
        <v>33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8" t="str">
        <f ca="1">IF(dict_zuord_Meth_Transfers[[#This Row],[kval_active]],dict_zuord_Meth_Transfers[[#This Row],[ID_Transfers]],"")</f>
        <v/>
      </c>
    </row>
    <row r="3539" spans="1:4" x14ac:dyDescent="0.45">
      <c r="A3539">
        <v>589</v>
      </c>
      <c r="B3539" s="3">
        <f t="shared" ca="1" si="55"/>
        <v>185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9" t="str">
        <f ca="1">IF(dict_zuord_Meth_Transfers[[#This Row],[kval_active]],dict_zuord_Meth_Transfers[[#This Row],[ID_Transfers]],"")</f>
        <v/>
      </c>
    </row>
    <row r="3540" spans="1:4" x14ac:dyDescent="0.45">
      <c r="A3540">
        <v>589</v>
      </c>
      <c r="B3540">
        <f t="shared" ca="1" si="55"/>
        <v>12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0" t="str">
        <f ca="1">IF(dict_zuord_Meth_Transfers[[#This Row],[kval_active]],dict_zuord_Meth_Transfers[[#This Row],[ID_Transfers]],"")</f>
        <v/>
      </c>
    </row>
    <row r="3541" spans="1:4" x14ac:dyDescent="0.45">
      <c r="A3541">
        <v>589</v>
      </c>
      <c r="B3541">
        <f t="shared" ca="1" si="55"/>
        <v>13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1" t="str">
        <f ca="1">IF(dict_zuord_Meth_Transfers[[#This Row],[kval_active]],dict_zuord_Meth_Transfers[[#This Row],[ID_Transfers]],"")</f>
        <v/>
      </c>
    </row>
    <row r="3542" spans="1:4" x14ac:dyDescent="0.45">
      <c r="A3542">
        <v>590</v>
      </c>
      <c r="B3542" s="3">
        <f t="shared" ca="1" si="55"/>
        <v>51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2" t="str">
        <f ca="1">IF(dict_zuord_Meth_Transfers[[#This Row],[kval_active]],dict_zuord_Meth_Transfers[[#This Row],[ID_Transfers]],"")</f>
        <v/>
      </c>
    </row>
    <row r="3543" spans="1:4" x14ac:dyDescent="0.45">
      <c r="A3543">
        <v>590</v>
      </c>
      <c r="B3543" s="3">
        <f t="shared" ca="1" si="55"/>
        <v>14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3" t="str">
        <f ca="1">IF(dict_zuord_Meth_Transfers[[#This Row],[kval_active]],dict_zuord_Meth_Transfers[[#This Row],[ID_Transfers]],"")</f>
        <v/>
      </c>
    </row>
    <row r="3544" spans="1:4" x14ac:dyDescent="0.45">
      <c r="A3544">
        <v>590</v>
      </c>
      <c r="B3544">
        <f t="shared" ca="1" si="55"/>
        <v>169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4" t="str">
        <f ca="1">IF(dict_zuord_Meth_Transfers[[#This Row],[kval_active]],dict_zuord_Meth_Transfers[[#This Row],[ID_Transfers]],"")</f>
        <v/>
      </c>
    </row>
    <row r="3545" spans="1:4" x14ac:dyDescent="0.45">
      <c r="A3545">
        <v>590</v>
      </c>
      <c r="B3545">
        <f t="shared" ca="1" si="55"/>
        <v>106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5" t="str">
        <f ca="1">IF(dict_zuord_Meth_Transfers[[#This Row],[kval_active]],dict_zuord_Meth_Transfers[[#This Row],[ID_Transfers]],"")</f>
        <v/>
      </c>
    </row>
    <row r="3546" spans="1:4" x14ac:dyDescent="0.45">
      <c r="A3546">
        <v>590</v>
      </c>
      <c r="B3546" s="3">
        <f t="shared" ca="1" si="55"/>
        <v>192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6" t="str">
        <f ca="1">IF(dict_zuord_Meth_Transfers[[#This Row],[kval_active]],dict_zuord_Meth_Transfers[[#This Row],[ID_Transfers]],"")</f>
        <v/>
      </c>
    </row>
    <row r="3547" spans="1:4" x14ac:dyDescent="0.45">
      <c r="A3547">
        <v>590</v>
      </c>
      <c r="B3547">
        <f t="shared" ca="1" si="55"/>
        <v>174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7" t="str">
        <f ca="1">IF(dict_zuord_Meth_Transfers[[#This Row],[kval_active]],dict_zuord_Meth_Transfers[[#This Row],[ID_Transfers]],"")</f>
        <v/>
      </c>
    </row>
    <row r="3548" spans="1:4" x14ac:dyDescent="0.45">
      <c r="A3548">
        <v>591</v>
      </c>
      <c r="B3548">
        <f t="shared" ca="1" si="55"/>
        <v>37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8" t="str">
        <f ca="1">IF(dict_zuord_Meth_Transfers[[#This Row],[kval_active]],dict_zuord_Meth_Transfers[[#This Row],[ID_Transfers]],"")</f>
        <v/>
      </c>
    </row>
    <row r="3549" spans="1:4" x14ac:dyDescent="0.45">
      <c r="A3549">
        <v>591</v>
      </c>
      <c r="B3549">
        <f t="shared" ca="1" si="55"/>
        <v>34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9" t="str">
        <f ca="1">IF(dict_zuord_Meth_Transfers[[#This Row],[kval_active]],dict_zuord_Meth_Transfers[[#This Row],[ID_Transfers]],"")</f>
        <v/>
      </c>
    </row>
    <row r="3550" spans="1:4" x14ac:dyDescent="0.45">
      <c r="A3550">
        <v>591</v>
      </c>
      <c r="B3550">
        <f t="shared" ca="1" si="55"/>
        <v>53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0" t="str">
        <f ca="1">IF(dict_zuord_Meth_Transfers[[#This Row],[kval_active]],dict_zuord_Meth_Transfers[[#This Row],[ID_Transfers]],"")</f>
        <v/>
      </c>
    </row>
    <row r="3551" spans="1:4" x14ac:dyDescent="0.45">
      <c r="A3551">
        <v>591</v>
      </c>
      <c r="B3551" s="3">
        <f t="shared" ca="1" si="55"/>
        <v>30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1" t="str">
        <f ca="1">IF(dict_zuord_Meth_Transfers[[#This Row],[kval_active]],dict_zuord_Meth_Transfers[[#This Row],[ID_Transfers]],"")</f>
        <v/>
      </c>
    </row>
    <row r="3552" spans="1:4" x14ac:dyDescent="0.45">
      <c r="A3552">
        <v>591</v>
      </c>
      <c r="B3552" s="3">
        <f t="shared" ca="1" si="55"/>
        <v>34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2" t="str">
        <f ca="1">IF(dict_zuord_Meth_Transfers[[#This Row],[kval_active]],dict_zuord_Meth_Transfers[[#This Row],[ID_Transfers]],"")</f>
        <v/>
      </c>
    </row>
    <row r="3553" spans="1:4" x14ac:dyDescent="0.45">
      <c r="A3553">
        <v>591</v>
      </c>
      <c r="B3553" s="3">
        <f t="shared" ca="1" si="55"/>
        <v>28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3" t="str">
        <f ca="1">IF(dict_zuord_Meth_Transfers[[#This Row],[kval_active]],dict_zuord_Meth_Transfers[[#This Row],[ID_Transfers]],"")</f>
        <v/>
      </c>
    </row>
    <row r="3554" spans="1:4" x14ac:dyDescent="0.45">
      <c r="A3554">
        <v>592</v>
      </c>
      <c r="B3554" s="3">
        <f t="shared" ca="1" si="55"/>
        <v>131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4" t="str">
        <f ca="1">IF(dict_zuord_Meth_Transfers[[#This Row],[kval_active]],dict_zuord_Meth_Transfers[[#This Row],[ID_Transfers]],"")</f>
        <v/>
      </c>
    </row>
    <row r="3555" spans="1:4" x14ac:dyDescent="0.45">
      <c r="A3555">
        <v>592</v>
      </c>
      <c r="B3555" s="3">
        <f t="shared" ca="1" si="55"/>
        <v>174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5" t="str">
        <f ca="1">IF(dict_zuord_Meth_Transfers[[#This Row],[kval_active]],dict_zuord_Meth_Transfers[[#This Row],[ID_Transfers]],"")</f>
        <v/>
      </c>
    </row>
    <row r="3556" spans="1:4" x14ac:dyDescent="0.45">
      <c r="A3556">
        <v>592</v>
      </c>
      <c r="B3556">
        <f t="shared" ca="1" si="55"/>
        <v>11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6" t="str">
        <f ca="1">IF(dict_zuord_Meth_Transfers[[#This Row],[kval_active]],dict_zuord_Meth_Transfers[[#This Row],[ID_Transfers]],"")</f>
        <v/>
      </c>
    </row>
    <row r="3557" spans="1:4" x14ac:dyDescent="0.45">
      <c r="A3557">
        <v>592</v>
      </c>
      <c r="B3557" s="3">
        <f t="shared" ca="1" si="55"/>
        <v>10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7" t="str">
        <f ca="1">IF(dict_zuord_Meth_Transfers[[#This Row],[kval_active]],dict_zuord_Meth_Transfers[[#This Row],[ID_Transfers]],"")</f>
        <v/>
      </c>
    </row>
    <row r="3558" spans="1:4" x14ac:dyDescent="0.45">
      <c r="A3558">
        <v>592</v>
      </c>
      <c r="B3558">
        <f t="shared" ca="1" si="55"/>
        <v>127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8" t="str">
        <f ca="1">IF(dict_zuord_Meth_Transfers[[#This Row],[kval_active]],dict_zuord_Meth_Transfers[[#This Row],[ID_Transfers]],"")</f>
        <v/>
      </c>
    </row>
    <row r="3559" spans="1:4" x14ac:dyDescent="0.45">
      <c r="A3559">
        <v>592</v>
      </c>
      <c r="B3559">
        <f t="shared" ca="1" si="55"/>
        <v>19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9" t="str">
        <f ca="1">IF(dict_zuord_Meth_Transfers[[#This Row],[kval_active]],dict_zuord_Meth_Transfers[[#This Row],[ID_Transfers]],"")</f>
        <v/>
      </c>
    </row>
    <row r="3560" spans="1:4" x14ac:dyDescent="0.45">
      <c r="A3560">
        <v>593</v>
      </c>
      <c r="B3560" s="3">
        <f t="shared" ca="1" si="55"/>
        <v>124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0">
        <f ca="1">IF(dict_zuord_Meth_Transfers[[#This Row],[kval_active]],dict_zuord_Meth_Transfers[[#This Row],[ID_Transfers]],"")</f>
        <v>124</v>
      </c>
    </row>
    <row r="3561" spans="1:4" x14ac:dyDescent="0.45">
      <c r="A3561">
        <v>593</v>
      </c>
      <c r="B3561" s="3">
        <f t="shared" ca="1" si="55"/>
        <v>161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1">
        <f ca="1">IF(dict_zuord_Meth_Transfers[[#This Row],[kval_active]],dict_zuord_Meth_Transfers[[#This Row],[ID_Transfers]],"")</f>
        <v>161</v>
      </c>
    </row>
    <row r="3562" spans="1:4" x14ac:dyDescent="0.45">
      <c r="A3562">
        <v>593</v>
      </c>
      <c r="B3562">
        <f t="shared" ca="1" si="55"/>
        <v>9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2">
        <f ca="1">IF(dict_zuord_Meth_Transfers[[#This Row],[kval_active]],dict_zuord_Meth_Transfers[[#This Row],[ID_Transfers]],"")</f>
        <v>9</v>
      </c>
    </row>
    <row r="3563" spans="1:4" x14ac:dyDescent="0.45">
      <c r="A3563">
        <v>593</v>
      </c>
      <c r="B3563">
        <f t="shared" ca="1" si="55"/>
        <v>191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3">
        <f ca="1">IF(dict_zuord_Meth_Transfers[[#This Row],[kval_active]],dict_zuord_Meth_Transfers[[#This Row],[ID_Transfers]],"")</f>
        <v>191</v>
      </c>
    </row>
    <row r="3564" spans="1:4" x14ac:dyDescent="0.45">
      <c r="A3564">
        <v>593</v>
      </c>
      <c r="B3564" s="3">
        <f t="shared" ca="1" si="55"/>
        <v>32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4">
        <f ca="1">IF(dict_zuord_Meth_Transfers[[#This Row],[kval_active]],dict_zuord_Meth_Transfers[[#This Row],[ID_Transfers]],"")</f>
        <v>32</v>
      </c>
    </row>
    <row r="3565" spans="1:4" x14ac:dyDescent="0.45">
      <c r="A3565">
        <v>593</v>
      </c>
      <c r="B3565">
        <f t="shared" ca="1" si="55"/>
        <v>42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5">
        <f ca="1">IF(dict_zuord_Meth_Transfers[[#This Row],[kval_active]],dict_zuord_Meth_Transfers[[#This Row],[ID_Transfers]],"")</f>
        <v>42</v>
      </c>
    </row>
    <row r="3566" spans="1:4" x14ac:dyDescent="0.45">
      <c r="A3566">
        <v>594</v>
      </c>
      <c r="B3566" s="3">
        <f t="shared" ca="1" si="55"/>
        <v>29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6" t="str">
        <f ca="1">IF(dict_zuord_Meth_Transfers[[#This Row],[kval_active]],dict_zuord_Meth_Transfers[[#This Row],[ID_Transfers]],"")</f>
        <v/>
      </c>
    </row>
    <row r="3567" spans="1:4" x14ac:dyDescent="0.45">
      <c r="A3567">
        <v>594</v>
      </c>
      <c r="B3567">
        <f t="shared" ca="1" si="55"/>
        <v>184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7" t="str">
        <f ca="1">IF(dict_zuord_Meth_Transfers[[#This Row],[kval_active]],dict_zuord_Meth_Transfers[[#This Row],[ID_Transfers]],"")</f>
        <v/>
      </c>
    </row>
    <row r="3568" spans="1:4" x14ac:dyDescent="0.45">
      <c r="A3568">
        <v>594</v>
      </c>
      <c r="B3568">
        <f t="shared" ca="1" si="55"/>
        <v>21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8" t="str">
        <f ca="1">IF(dict_zuord_Meth_Transfers[[#This Row],[kval_active]],dict_zuord_Meth_Transfers[[#This Row],[ID_Transfers]],"")</f>
        <v/>
      </c>
    </row>
    <row r="3569" spans="1:4" x14ac:dyDescent="0.45">
      <c r="A3569">
        <v>594</v>
      </c>
      <c r="B3569" s="3">
        <f t="shared" ca="1" si="55"/>
        <v>198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9" t="str">
        <f ca="1">IF(dict_zuord_Meth_Transfers[[#This Row],[kval_active]],dict_zuord_Meth_Transfers[[#This Row],[ID_Transfers]],"")</f>
        <v/>
      </c>
    </row>
    <row r="3570" spans="1:4" x14ac:dyDescent="0.45">
      <c r="A3570">
        <v>594</v>
      </c>
      <c r="B3570">
        <f t="shared" ca="1" si="55"/>
        <v>122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0" t="str">
        <f ca="1">IF(dict_zuord_Meth_Transfers[[#This Row],[kval_active]],dict_zuord_Meth_Transfers[[#This Row],[ID_Transfers]],"")</f>
        <v/>
      </c>
    </row>
    <row r="3571" spans="1:4" x14ac:dyDescent="0.45">
      <c r="A3571">
        <v>594</v>
      </c>
      <c r="B3571" s="3">
        <f t="shared" ca="1" si="55"/>
        <v>98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1" t="str">
        <f ca="1">IF(dict_zuord_Meth_Transfers[[#This Row],[kval_active]],dict_zuord_Meth_Transfers[[#This Row],[ID_Transfers]],"")</f>
        <v/>
      </c>
    </row>
    <row r="3572" spans="1:4" x14ac:dyDescent="0.45">
      <c r="A3572">
        <v>595</v>
      </c>
      <c r="B3572">
        <f t="shared" ca="1" si="55"/>
        <v>2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2" t="str">
        <f ca="1">IF(dict_zuord_Meth_Transfers[[#This Row],[kval_active]],dict_zuord_Meth_Transfers[[#This Row],[ID_Transfers]],"")</f>
        <v/>
      </c>
    </row>
    <row r="3573" spans="1:4" x14ac:dyDescent="0.45">
      <c r="A3573">
        <v>595</v>
      </c>
      <c r="B3573" s="3">
        <f t="shared" ca="1" si="55"/>
        <v>148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3" t="str">
        <f ca="1">IF(dict_zuord_Meth_Transfers[[#This Row],[kval_active]],dict_zuord_Meth_Transfers[[#This Row],[ID_Transfers]],"")</f>
        <v/>
      </c>
    </row>
    <row r="3574" spans="1:4" x14ac:dyDescent="0.45">
      <c r="A3574">
        <v>595</v>
      </c>
      <c r="B3574">
        <f t="shared" ca="1" si="55"/>
        <v>9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4" t="str">
        <f ca="1">IF(dict_zuord_Meth_Transfers[[#This Row],[kval_active]],dict_zuord_Meth_Transfers[[#This Row],[ID_Transfers]],"")</f>
        <v/>
      </c>
    </row>
    <row r="3575" spans="1:4" x14ac:dyDescent="0.45">
      <c r="A3575">
        <v>595</v>
      </c>
      <c r="B3575" s="3">
        <f t="shared" ca="1" si="55"/>
        <v>1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5" t="str">
        <f ca="1">IF(dict_zuord_Meth_Transfers[[#This Row],[kval_active]],dict_zuord_Meth_Transfers[[#This Row],[ID_Transfers]],"")</f>
        <v/>
      </c>
    </row>
    <row r="3576" spans="1:4" x14ac:dyDescent="0.45">
      <c r="A3576">
        <v>595</v>
      </c>
      <c r="B3576" s="3">
        <f t="shared" ca="1" si="55"/>
        <v>98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6" t="str">
        <f ca="1">IF(dict_zuord_Meth_Transfers[[#This Row],[kval_active]],dict_zuord_Meth_Transfers[[#This Row],[ID_Transfers]],"")</f>
        <v/>
      </c>
    </row>
    <row r="3577" spans="1:4" x14ac:dyDescent="0.45">
      <c r="A3577">
        <v>595</v>
      </c>
      <c r="B3577">
        <f t="shared" ca="1" si="55"/>
        <v>197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7" t="str">
        <f ca="1">IF(dict_zuord_Meth_Transfers[[#This Row],[kval_active]],dict_zuord_Meth_Transfers[[#This Row],[ID_Transfers]],"")</f>
        <v/>
      </c>
    </row>
    <row r="3578" spans="1:4" x14ac:dyDescent="0.45">
      <c r="A3578">
        <v>596</v>
      </c>
      <c r="B3578" s="3">
        <f t="shared" ca="1" si="55"/>
        <v>107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8" t="str">
        <f ca="1">IF(dict_zuord_Meth_Transfers[[#This Row],[kval_active]],dict_zuord_Meth_Transfers[[#This Row],[ID_Transfers]],"")</f>
        <v/>
      </c>
    </row>
    <row r="3579" spans="1:4" x14ac:dyDescent="0.45">
      <c r="A3579">
        <v>596</v>
      </c>
      <c r="B3579">
        <f t="shared" ca="1" si="55"/>
        <v>119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9" t="str">
        <f ca="1">IF(dict_zuord_Meth_Transfers[[#This Row],[kval_active]],dict_zuord_Meth_Transfers[[#This Row],[ID_Transfers]],"")</f>
        <v/>
      </c>
    </row>
    <row r="3580" spans="1:4" x14ac:dyDescent="0.45">
      <c r="A3580">
        <v>596</v>
      </c>
      <c r="B3580" s="3">
        <f t="shared" ca="1" si="55"/>
        <v>188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0" t="str">
        <f ca="1">IF(dict_zuord_Meth_Transfers[[#This Row],[kval_active]],dict_zuord_Meth_Transfers[[#This Row],[ID_Transfers]],"")</f>
        <v/>
      </c>
    </row>
    <row r="3581" spans="1:4" x14ac:dyDescent="0.45">
      <c r="A3581">
        <v>596</v>
      </c>
      <c r="B3581">
        <f t="shared" ca="1" si="55"/>
        <v>135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1" t="str">
        <f ca="1">IF(dict_zuord_Meth_Transfers[[#This Row],[kval_active]],dict_zuord_Meth_Transfers[[#This Row],[ID_Transfers]],"")</f>
        <v/>
      </c>
    </row>
    <row r="3582" spans="1:4" x14ac:dyDescent="0.45">
      <c r="A3582">
        <v>596</v>
      </c>
      <c r="B3582" s="3">
        <f t="shared" ca="1" si="55"/>
        <v>155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2" t="str">
        <f ca="1">IF(dict_zuord_Meth_Transfers[[#This Row],[kval_active]],dict_zuord_Meth_Transfers[[#This Row],[ID_Transfers]],"")</f>
        <v/>
      </c>
    </row>
    <row r="3583" spans="1:4" x14ac:dyDescent="0.45">
      <c r="A3583">
        <v>596</v>
      </c>
      <c r="B3583">
        <f t="shared" ca="1" si="55"/>
        <v>134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3" t="str">
        <f ca="1">IF(dict_zuord_Meth_Transfers[[#This Row],[kval_active]],dict_zuord_Meth_Transfers[[#This Row],[ID_Transfers]],"")</f>
        <v/>
      </c>
    </row>
    <row r="3584" spans="1:4" x14ac:dyDescent="0.45">
      <c r="A3584">
        <v>597</v>
      </c>
      <c r="B3584" s="3">
        <f t="shared" ca="1" si="55"/>
        <v>13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4" t="str">
        <f ca="1">IF(dict_zuord_Meth_Transfers[[#This Row],[kval_active]],dict_zuord_Meth_Transfers[[#This Row],[ID_Transfers]],"")</f>
        <v/>
      </c>
    </row>
    <row r="3585" spans="1:4" x14ac:dyDescent="0.45">
      <c r="A3585">
        <v>597</v>
      </c>
      <c r="B3585">
        <f t="shared" ca="1" si="55"/>
        <v>171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5" t="str">
        <f ca="1">IF(dict_zuord_Meth_Transfers[[#This Row],[kval_active]],dict_zuord_Meth_Transfers[[#This Row],[ID_Transfers]],"")</f>
        <v/>
      </c>
    </row>
    <row r="3586" spans="1:4" x14ac:dyDescent="0.45">
      <c r="A3586">
        <v>597</v>
      </c>
      <c r="B3586">
        <f t="shared" ref="B3586:B3649" ca="1" si="56">RANDBETWEEN(0,200)</f>
        <v>131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6" t="str">
        <f ca="1">IF(dict_zuord_Meth_Transfers[[#This Row],[kval_active]],dict_zuord_Meth_Transfers[[#This Row],[ID_Transfers]],"")</f>
        <v/>
      </c>
    </row>
    <row r="3587" spans="1:4" x14ac:dyDescent="0.45">
      <c r="A3587">
        <v>597</v>
      </c>
      <c r="B3587" s="3">
        <f t="shared" ca="1" si="56"/>
        <v>141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7" t="str">
        <f ca="1">IF(dict_zuord_Meth_Transfers[[#This Row],[kval_active]],dict_zuord_Meth_Transfers[[#This Row],[ID_Transfers]],"")</f>
        <v/>
      </c>
    </row>
    <row r="3588" spans="1:4" x14ac:dyDescent="0.45">
      <c r="A3588">
        <v>597</v>
      </c>
      <c r="B3588">
        <f t="shared" ca="1" si="56"/>
        <v>95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8" t="str">
        <f ca="1">IF(dict_zuord_Meth_Transfers[[#This Row],[kval_active]],dict_zuord_Meth_Transfers[[#This Row],[ID_Transfers]],"")</f>
        <v/>
      </c>
    </row>
    <row r="3589" spans="1:4" x14ac:dyDescent="0.45">
      <c r="A3589">
        <v>597</v>
      </c>
      <c r="B3589" s="3">
        <f t="shared" ca="1" si="56"/>
        <v>178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9" t="str">
        <f ca="1">IF(dict_zuord_Meth_Transfers[[#This Row],[kval_active]],dict_zuord_Meth_Transfers[[#This Row],[ID_Transfers]],"")</f>
        <v/>
      </c>
    </row>
    <row r="3590" spans="1:4" x14ac:dyDescent="0.45">
      <c r="A3590">
        <v>598</v>
      </c>
      <c r="B3590" s="3">
        <f t="shared" ca="1" si="56"/>
        <v>145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0" t="str">
        <f ca="1">IF(dict_zuord_Meth_Transfers[[#This Row],[kval_active]],dict_zuord_Meth_Transfers[[#This Row],[ID_Transfers]],"")</f>
        <v/>
      </c>
    </row>
    <row r="3591" spans="1:4" x14ac:dyDescent="0.45">
      <c r="A3591">
        <v>598</v>
      </c>
      <c r="B3591" s="3">
        <f t="shared" ca="1" si="56"/>
        <v>1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1" t="str">
        <f ca="1">IF(dict_zuord_Meth_Transfers[[#This Row],[kval_active]],dict_zuord_Meth_Transfers[[#This Row],[ID_Transfers]],"")</f>
        <v/>
      </c>
    </row>
    <row r="3592" spans="1:4" x14ac:dyDescent="0.45">
      <c r="A3592">
        <v>598</v>
      </c>
      <c r="B3592" s="3">
        <f t="shared" ca="1" si="56"/>
        <v>45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2" t="str">
        <f ca="1">IF(dict_zuord_Meth_Transfers[[#This Row],[kval_active]],dict_zuord_Meth_Transfers[[#This Row],[ID_Transfers]],"")</f>
        <v/>
      </c>
    </row>
    <row r="3593" spans="1:4" x14ac:dyDescent="0.45">
      <c r="A3593">
        <v>598</v>
      </c>
      <c r="B3593">
        <f t="shared" ca="1" si="56"/>
        <v>34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3" t="str">
        <f ca="1">IF(dict_zuord_Meth_Transfers[[#This Row],[kval_active]],dict_zuord_Meth_Transfers[[#This Row],[ID_Transfers]],"")</f>
        <v/>
      </c>
    </row>
    <row r="3594" spans="1:4" x14ac:dyDescent="0.45">
      <c r="A3594">
        <v>598</v>
      </c>
      <c r="B3594">
        <f t="shared" ca="1" si="56"/>
        <v>83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4" t="str">
        <f ca="1">IF(dict_zuord_Meth_Transfers[[#This Row],[kval_active]],dict_zuord_Meth_Transfers[[#This Row],[ID_Transfers]],"")</f>
        <v/>
      </c>
    </row>
    <row r="3595" spans="1:4" x14ac:dyDescent="0.45">
      <c r="A3595">
        <v>598</v>
      </c>
      <c r="B3595">
        <f t="shared" ca="1" si="56"/>
        <v>197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5" t="str">
        <f ca="1">IF(dict_zuord_Meth_Transfers[[#This Row],[kval_active]],dict_zuord_Meth_Transfers[[#This Row],[ID_Transfers]],"")</f>
        <v/>
      </c>
    </row>
    <row r="3596" spans="1:4" x14ac:dyDescent="0.45">
      <c r="A3596">
        <v>599</v>
      </c>
      <c r="B3596">
        <f t="shared" ca="1" si="56"/>
        <v>112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6" t="str">
        <f ca="1">IF(dict_zuord_Meth_Transfers[[#This Row],[kval_active]],dict_zuord_Meth_Transfers[[#This Row],[ID_Transfers]],"")</f>
        <v/>
      </c>
    </row>
    <row r="3597" spans="1:4" x14ac:dyDescent="0.45">
      <c r="A3597">
        <v>599</v>
      </c>
      <c r="B3597">
        <f t="shared" ca="1" si="56"/>
        <v>61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7" t="str">
        <f ca="1">IF(dict_zuord_Meth_Transfers[[#This Row],[kval_active]],dict_zuord_Meth_Transfers[[#This Row],[ID_Transfers]],"")</f>
        <v/>
      </c>
    </row>
    <row r="3598" spans="1:4" x14ac:dyDescent="0.45">
      <c r="A3598">
        <v>599</v>
      </c>
      <c r="B3598">
        <f t="shared" ca="1" si="56"/>
        <v>159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8" t="str">
        <f ca="1">IF(dict_zuord_Meth_Transfers[[#This Row],[kval_active]],dict_zuord_Meth_Transfers[[#This Row],[ID_Transfers]],"")</f>
        <v/>
      </c>
    </row>
    <row r="3599" spans="1:4" x14ac:dyDescent="0.45">
      <c r="A3599">
        <v>599</v>
      </c>
      <c r="B3599" s="3">
        <f t="shared" ca="1" si="56"/>
        <v>65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9" t="str">
        <f ca="1">IF(dict_zuord_Meth_Transfers[[#This Row],[kval_active]],dict_zuord_Meth_Transfers[[#This Row],[ID_Transfers]],"")</f>
        <v/>
      </c>
    </row>
    <row r="3600" spans="1:4" x14ac:dyDescent="0.45">
      <c r="A3600">
        <v>599</v>
      </c>
      <c r="B3600" s="3">
        <f t="shared" ca="1" si="56"/>
        <v>82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0" t="str">
        <f ca="1">IF(dict_zuord_Meth_Transfers[[#This Row],[kval_active]],dict_zuord_Meth_Transfers[[#This Row],[ID_Transfers]],"")</f>
        <v/>
      </c>
    </row>
    <row r="3601" spans="1:4" x14ac:dyDescent="0.45">
      <c r="A3601">
        <v>599</v>
      </c>
      <c r="B3601" s="3">
        <f t="shared" ca="1" si="56"/>
        <v>123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1" t="str">
        <f ca="1">IF(dict_zuord_Meth_Transfers[[#This Row],[kval_active]],dict_zuord_Meth_Transfers[[#This Row],[ID_Transfers]],"")</f>
        <v/>
      </c>
    </row>
    <row r="3602" spans="1:4" x14ac:dyDescent="0.45">
      <c r="A3602">
        <v>600</v>
      </c>
      <c r="B3602" s="3">
        <f t="shared" ca="1" si="56"/>
        <v>0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2" t="str">
        <f ca="1">IF(dict_zuord_Meth_Transfers[[#This Row],[kval_active]],dict_zuord_Meth_Transfers[[#This Row],[ID_Transfers]],"")</f>
        <v/>
      </c>
    </row>
    <row r="3603" spans="1:4" x14ac:dyDescent="0.45">
      <c r="A3603">
        <v>600</v>
      </c>
      <c r="B3603">
        <f t="shared" ca="1" si="56"/>
        <v>30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3" t="str">
        <f ca="1">IF(dict_zuord_Meth_Transfers[[#This Row],[kval_active]],dict_zuord_Meth_Transfers[[#This Row],[ID_Transfers]],"")</f>
        <v/>
      </c>
    </row>
    <row r="3604" spans="1:4" x14ac:dyDescent="0.45">
      <c r="A3604">
        <v>600</v>
      </c>
      <c r="B3604">
        <f t="shared" ca="1" si="56"/>
        <v>172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4" t="str">
        <f ca="1">IF(dict_zuord_Meth_Transfers[[#This Row],[kval_active]],dict_zuord_Meth_Transfers[[#This Row],[ID_Transfers]],"")</f>
        <v/>
      </c>
    </row>
    <row r="3605" spans="1:4" x14ac:dyDescent="0.45">
      <c r="A3605">
        <v>600</v>
      </c>
      <c r="B3605" s="3">
        <f t="shared" ca="1" si="56"/>
        <v>24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5" t="str">
        <f ca="1">IF(dict_zuord_Meth_Transfers[[#This Row],[kval_active]],dict_zuord_Meth_Transfers[[#This Row],[ID_Transfers]],"")</f>
        <v/>
      </c>
    </row>
    <row r="3606" spans="1:4" x14ac:dyDescent="0.45">
      <c r="A3606">
        <v>600</v>
      </c>
      <c r="B3606" s="3">
        <f t="shared" ca="1" si="56"/>
        <v>22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6" t="str">
        <f ca="1">IF(dict_zuord_Meth_Transfers[[#This Row],[kval_active]],dict_zuord_Meth_Transfers[[#This Row],[ID_Transfers]],"")</f>
        <v/>
      </c>
    </row>
    <row r="3607" spans="1:4" x14ac:dyDescent="0.45">
      <c r="A3607">
        <v>600</v>
      </c>
      <c r="B3607">
        <f t="shared" ca="1" si="56"/>
        <v>17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7" t="str">
        <f ca="1">IF(dict_zuord_Meth_Transfers[[#This Row],[kval_active]],dict_zuord_Meth_Transfers[[#This Row],[ID_Transfers]],"")</f>
        <v/>
      </c>
    </row>
    <row r="3608" spans="1:4" x14ac:dyDescent="0.45">
      <c r="A3608">
        <v>601</v>
      </c>
      <c r="B3608">
        <f t="shared" ca="1" si="56"/>
        <v>41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8" t="str">
        <f ca="1">IF(dict_zuord_Meth_Transfers[[#This Row],[kval_active]],dict_zuord_Meth_Transfers[[#This Row],[ID_Transfers]],"")</f>
        <v/>
      </c>
    </row>
    <row r="3609" spans="1:4" x14ac:dyDescent="0.45">
      <c r="A3609">
        <v>601</v>
      </c>
      <c r="B3609" s="3">
        <f t="shared" ca="1" si="56"/>
        <v>106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9" t="str">
        <f ca="1">IF(dict_zuord_Meth_Transfers[[#This Row],[kval_active]],dict_zuord_Meth_Transfers[[#This Row],[ID_Transfers]],"")</f>
        <v/>
      </c>
    </row>
    <row r="3610" spans="1:4" x14ac:dyDescent="0.45">
      <c r="A3610">
        <v>601</v>
      </c>
      <c r="B3610">
        <f t="shared" ca="1" si="56"/>
        <v>25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0" t="str">
        <f ca="1">IF(dict_zuord_Meth_Transfers[[#This Row],[kval_active]],dict_zuord_Meth_Transfers[[#This Row],[ID_Transfers]],"")</f>
        <v/>
      </c>
    </row>
    <row r="3611" spans="1:4" x14ac:dyDescent="0.45">
      <c r="A3611">
        <v>601</v>
      </c>
      <c r="B3611">
        <f t="shared" ca="1" si="56"/>
        <v>160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1" t="str">
        <f ca="1">IF(dict_zuord_Meth_Transfers[[#This Row],[kval_active]],dict_zuord_Meth_Transfers[[#This Row],[ID_Transfers]],"")</f>
        <v/>
      </c>
    </row>
    <row r="3612" spans="1:4" x14ac:dyDescent="0.45">
      <c r="A3612">
        <v>601</v>
      </c>
      <c r="B3612" s="3">
        <f t="shared" ca="1" si="56"/>
        <v>10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2" t="str">
        <f ca="1">IF(dict_zuord_Meth_Transfers[[#This Row],[kval_active]],dict_zuord_Meth_Transfers[[#This Row],[ID_Transfers]],"")</f>
        <v/>
      </c>
    </row>
    <row r="3613" spans="1:4" x14ac:dyDescent="0.45">
      <c r="A3613">
        <v>601</v>
      </c>
      <c r="B3613" s="3">
        <f t="shared" ca="1" si="56"/>
        <v>192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3" t="str">
        <f ca="1">IF(dict_zuord_Meth_Transfers[[#This Row],[kval_active]],dict_zuord_Meth_Transfers[[#This Row],[ID_Transfers]],"")</f>
        <v/>
      </c>
    </row>
    <row r="3614" spans="1:4" x14ac:dyDescent="0.45">
      <c r="A3614">
        <v>602</v>
      </c>
      <c r="B3614" s="3">
        <f t="shared" ca="1" si="56"/>
        <v>188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4" t="str">
        <f ca="1">IF(dict_zuord_Meth_Transfers[[#This Row],[kval_active]],dict_zuord_Meth_Transfers[[#This Row],[ID_Transfers]],"")</f>
        <v/>
      </c>
    </row>
    <row r="3615" spans="1:4" x14ac:dyDescent="0.45">
      <c r="A3615">
        <v>602</v>
      </c>
      <c r="B3615">
        <f t="shared" ca="1" si="56"/>
        <v>191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5" t="str">
        <f ca="1">IF(dict_zuord_Meth_Transfers[[#This Row],[kval_active]],dict_zuord_Meth_Transfers[[#This Row],[ID_Transfers]],"")</f>
        <v/>
      </c>
    </row>
    <row r="3616" spans="1:4" x14ac:dyDescent="0.45">
      <c r="A3616">
        <v>602</v>
      </c>
      <c r="B3616" s="3">
        <f t="shared" ca="1" si="56"/>
        <v>136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6" t="str">
        <f ca="1">IF(dict_zuord_Meth_Transfers[[#This Row],[kval_active]],dict_zuord_Meth_Transfers[[#This Row],[ID_Transfers]],"")</f>
        <v/>
      </c>
    </row>
    <row r="3617" spans="1:4" x14ac:dyDescent="0.45">
      <c r="A3617">
        <v>602</v>
      </c>
      <c r="B3617">
        <f t="shared" ca="1" si="56"/>
        <v>1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7" t="str">
        <f ca="1">IF(dict_zuord_Meth_Transfers[[#This Row],[kval_active]],dict_zuord_Meth_Transfers[[#This Row],[ID_Transfers]],"")</f>
        <v/>
      </c>
    </row>
    <row r="3618" spans="1:4" x14ac:dyDescent="0.45">
      <c r="A3618">
        <v>602</v>
      </c>
      <c r="B3618">
        <f t="shared" ca="1" si="56"/>
        <v>163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8" t="str">
        <f ca="1">IF(dict_zuord_Meth_Transfers[[#This Row],[kval_active]],dict_zuord_Meth_Transfers[[#This Row],[ID_Transfers]],"")</f>
        <v/>
      </c>
    </row>
    <row r="3619" spans="1:4" x14ac:dyDescent="0.45">
      <c r="A3619">
        <v>602</v>
      </c>
      <c r="B3619" s="3">
        <f t="shared" ca="1" si="56"/>
        <v>16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9" t="str">
        <f ca="1">IF(dict_zuord_Meth_Transfers[[#This Row],[kval_active]],dict_zuord_Meth_Transfers[[#This Row],[ID_Transfers]],"")</f>
        <v/>
      </c>
    </row>
    <row r="3620" spans="1:4" x14ac:dyDescent="0.45">
      <c r="A3620">
        <v>603</v>
      </c>
      <c r="B3620" s="3">
        <f t="shared" ca="1" si="56"/>
        <v>142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0" t="str">
        <f ca="1">IF(dict_zuord_Meth_Transfers[[#This Row],[kval_active]],dict_zuord_Meth_Transfers[[#This Row],[ID_Transfers]],"")</f>
        <v/>
      </c>
    </row>
    <row r="3621" spans="1:4" x14ac:dyDescent="0.45">
      <c r="A3621">
        <v>603</v>
      </c>
      <c r="B3621">
        <f t="shared" ca="1" si="56"/>
        <v>71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1" t="str">
        <f ca="1">IF(dict_zuord_Meth_Transfers[[#This Row],[kval_active]],dict_zuord_Meth_Transfers[[#This Row],[ID_Transfers]],"")</f>
        <v/>
      </c>
    </row>
    <row r="3622" spans="1:4" x14ac:dyDescent="0.45">
      <c r="A3622">
        <v>603</v>
      </c>
      <c r="B3622">
        <f t="shared" ca="1" si="56"/>
        <v>125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2" t="str">
        <f ca="1">IF(dict_zuord_Meth_Transfers[[#This Row],[kval_active]],dict_zuord_Meth_Transfers[[#This Row],[ID_Transfers]],"")</f>
        <v/>
      </c>
    </row>
    <row r="3623" spans="1:4" x14ac:dyDescent="0.45">
      <c r="A3623">
        <v>603</v>
      </c>
      <c r="B3623" s="3">
        <f t="shared" ca="1" si="56"/>
        <v>52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3" t="str">
        <f ca="1">IF(dict_zuord_Meth_Transfers[[#This Row],[kval_active]],dict_zuord_Meth_Transfers[[#This Row],[ID_Transfers]],"")</f>
        <v/>
      </c>
    </row>
    <row r="3624" spans="1:4" x14ac:dyDescent="0.45">
      <c r="A3624">
        <v>603</v>
      </c>
      <c r="B3624">
        <f t="shared" ca="1" si="56"/>
        <v>78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4" t="str">
        <f ca="1">IF(dict_zuord_Meth_Transfers[[#This Row],[kval_active]],dict_zuord_Meth_Transfers[[#This Row],[ID_Transfers]],"")</f>
        <v/>
      </c>
    </row>
    <row r="3625" spans="1:4" x14ac:dyDescent="0.45">
      <c r="A3625">
        <v>603</v>
      </c>
      <c r="B3625" s="3">
        <f t="shared" ca="1" si="56"/>
        <v>4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5" t="str">
        <f ca="1">IF(dict_zuord_Meth_Transfers[[#This Row],[kval_active]],dict_zuord_Meth_Transfers[[#This Row],[ID_Transfers]],"")</f>
        <v/>
      </c>
    </row>
    <row r="3626" spans="1:4" x14ac:dyDescent="0.45">
      <c r="A3626">
        <v>604</v>
      </c>
      <c r="B3626">
        <f t="shared" ca="1" si="56"/>
        <v>6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6" t="str">
        <f ca="1">IF(dict_zuord_Meth_Transfers[[#This Row],[kval_active]],dict_zuord_Meth_Transfers[[#This Row],[ID_Transfers]],"")</f>
        <v/>
      </c>
    </row>
    <row r="3627" spans="1:4" x14ac:dyDescent="0.45">
      <c r="A3627">
        <v>604</v>
      </c>
      <c r="B3627" s="3">
        <f t="shared" ca="1" si="56"/>
        <v>49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7" t="str">
        <f ca="1">IF(dict_zuord_Meth_Transfers[[#This Row],[kval_active]],dict_zuord_Meth_Transfers[[#This Row],[ID_Transfers]],"")</f>
        <v/>
      </c>
    </row>
    <row r="3628" spans="1:4" x14ac:dyDescent="0.45">
      <c r="A3628">
        <v>604</v>
      </c>
      <c r="B3628" s="3">
        <f t="shared" ca="1" si="56"/>
        <v>147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8" t="str">
        <f ca="1">IF(dict_zuord_Meth_Transfers[[#This Row],[kval_active]],dict_zuord_Meth_Transfers[[#This Row],[ID_Transfers]],"")</f>
        <v/>
      </c>
    </row>
    <row r="3629" spans="1:4" x14ac:dyDescent="0.45">
      <c r="A3629">
        <v>604</v>
      </c>
      <c r="B3629" s="3">
        <f t="shared" ca="1" si="56"/>
        <v>24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9" t="str">
        <f ca="1">IF(dict_zuord_Meth_Transfers[[#This Row],[kval_active]],dict_zuord_Meth_Transfers[[#This Row],[ID_Transfers]],"")</f>
        <v/>
      </c>
    </row>
    <row r="3630" spans="1:4" x14ac:dyDescent="0.45">
      <c r="A3630">
        <v>604</v>
      </c>
      <c r="B3630">
        <f t="shared" ca="1" si="56"/>
        <v>59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0" t="str">
        <f ca="1">IF(dict_zuord_Meth_Transfers[[#This Row],[kval_active]],dict_zuord_Meth_Transfers[[#This Row],[ID_Transfers]],"")</f>
        <v/>
      </c>
    </row>
    <row r="3631" spans="1:4" x14ac:dyDescent="0.45">
      <c r="A3631">
        <v>604</v>
      </c>
      <c r="B3631">
        <f t="shared" ca="1" si="56"/>
        <v>105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1" t="str">
        <f ca="1">IF(dict_zuord_Meth_Transfers[[#This Row],[kval_active]],dict_zuord_Meth_Transfers[[#This Row],[ID_Transfers]],"")</f>
        <v/>
      </c>
    </row>
    <row r="3632" spans="1:4" x14ac:dyDescent="0.45">
      <c r="A3632">
        <v>605</v>
      </c>
      <c r="B3632" s="3">
        <f t="shared" ca="1" si="56"/>
        <v>111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2" t="str">
        <f ca="1">IF(dict_zuord_Meth_Transfers[[#This Row],[kval_active]],dict_zuord_Meth_Transfers[[#This Row],[ID_Transfers]],"")</f>
        <v/>
      </c>
    </row>
    <row r="3633" spans="1:4" x14ac:dyDescent="0.45">
      <c r="A3633">
        <v>605</v>
      </c>
      <c r="B3633" s="3">
        <f t="shared" ca="1" si="56"/>
        <v>59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3" t="str">
        <f ca="1">IF(dict_zuord_Meth_Transfers[[#This Row],[kval_active]],dict_zuord_Meth_Transfers[[#This Row],[ID_Transfers]],"")</f>
        <v/>
      </c>
    </row>
    <row r="3634" spans="1:4" x14ac:dyDescent="0.45">
      <c r="A3634">
        <v>605</v>
      </c>
      <c r="B3634">
        <f t="shared" ca="1" si="56"/>
        <v>63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4" t="str">
        <f ca="1">IF(dict_zuord_Meth_Transfers[[#This Row],[kval_active]],dict_zuord_Meth_Transfers[[#This Row],[ID_Transfers]],"")</f>
        <v/>
      </c>
    </row>
    <row r="3635" spans="1:4" x14ac:dyDescent="0.45">
      <c r="A3635">
        <v>605</v>
      </c>
      <c r="B3635">
        <f t="shared" ca="1" si="56"/>
        <v>1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5" t="str">
        <f ca="1">IF(dict_zuord_Meth_Transfers[[#This Row],[kval_active]],dict_zuord_Meth_Transfers[[#This Row],[ID_Transfers]],"")</f>
        <v/>
      </c>
    </row>
    <row r="3636" spans="1:4" x14ac:dyDescent="0.45">
      <c r="A3636">
        <v>605</v>
      </c>
      <c r="B3636">
        <f t="shared" ca="1" si="56"/>
        <v>40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6" t="str">
        <f ca="1">IF(dict_zuord_Meth_Transfers[[#This Row],[kval_active]],dict_zuord_Meth_Transfers[[#This Row],[ID_Transfers]],"")</f>
        <v/>
      </c>
    </row>
    <row r="3637" spans="1:4" x14ac:dyDescent="0.45">
      <c r="A3637">
        <v>605</v>
      </c>
      <c r="B3637" s="3">
        <f t="shared" ca="1" si="56"/>
        <v>37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7" t="str">
        <f ca="1">IF(dict_zuord_Meth_Transfers[[#This Row],[kval_active]],dict_zuord_Meth_Transfers[[#This Row],[ID_Transfers]],"")</f>
        <v/>
      </c>
    </row>
    <row r="3638" spans="1:4" x14ac:dyDescent="0.45">
      <c r="A3638">
        <v>606</v>
      </c>
      <c r="B3638" s="3">
        <f t="shared" ca="1" si="56"/>
        <v>174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8" t="str">
        <f ca="1">IF(dict_zuord_Meth_Transfers[[#This Row],[kval_active]],dict_zuord_Meth_Transfers[[#This Row],[ID_Transfers]],"")</f>
        <v/>
      </c>
    </row>
    <row r="3639" spans="1:4" x14ac:dyDescent="0.45">
      <c r="A3639">
        <v>606</v>
      </c>
      <c r="B3639">
        <f t="shared" ca="1" si="56"/>
        <v>134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9" t="str">
        <f ca="1">IF(dict_zuord_Meth_Transfers[[#This Row],[kval_active]],dict_zuord_Meth_Transfers[[#This Row],[ID_Transfers]],"")</f>
        <v/>
      </c>
    </row>
    <row r="3640" spans="1:4" x14ac:dyDescent="0.45">
      <c r="A3640">
        <v>606</v>
      </c>
      <c r="B3640">
        <f t="shared" ca="1" si="56"/>
        <v>183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0" t="str">
        <f ca="1">IF(dict_zuord_Meth_Transfers[[#This Row],[kval_active]],dict_zuord_Meth_Transfers[[#This Row],[ID_Transfers]],"")</f>
        <v/>
      </c>
    </row>
    <row r="3641" spans="1:4" x14ac:dyDescent="0.45">
      <c r="A3641">
        <v>606</v>
      </c>
      <c r="B3641">
        <f t="shared" ca="1" si="56"/>
        <v>7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1" t="str">
        <f ca="1">IF(dict_zuord_Meth_Transfers[[#This Row],[kval_active]],dict_zuord_Meth_Transfers[[#This Row],[ID_Transfers]],"")</f>
        <v/>
      </c>
    </row>
    <row r="3642" spans="1:4" x14ac:dyDescent="0.45">
      <c r="A3642">
        <v>606</v>
      </c>
      <c r="B3642" s="3">
        <f t="shared" ca="1" si="56"/>
        <v>25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2" t="str">
        <f ca="1">IF(dict_zuord_Meth_Transfers[[#This Row],[kval_active]],dict_zuord_Meth_Transfers[[#This Row],[ID_Transfers]],"")</f>
        <v/>
      </c>
    </row>
    <row r="3643" spans="1:4" x14ac:dyDescent="0.45">
      <c r="A3643">
        <v>606</v>
      </c>
      <c r="B3643" s="3">
        <f t="shared" ca="1" si="56"/>
        <v>40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3" t="str">
        <f ca="1">IF(dict_zuord_Meth_Transfers[[#This Row],[kval_active]],dict_zuord_Meth_Transfers[[#This Row],[ID_Transfers]],"")</f>
        <v/>
      </c>
    </row>
    <row r="3644" spans="1:4" x14ac:dyDescent="0.45">
      <c r="A3644">
        <v>607</v>
      </c>
      <c r="B3644">
        <f t="shared" ca="1" si="56"/>
        <v>126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4" t="str">
        <f ca="1">IF(dict_zuord_Meth_Transfers[[#This Row],[kval_active]],dict_zuord_Meth_Transfers[[#This Row],[ID_Transfers]],"")</f>
        <v/>
      </c>
    </row>
    <row r="3645" spans="1:4" x14ac:dyDescent="0.45">
      <c r="A3645">
        <v>607</v>
      </c>
      <c r="B3645">
        <f t="shared" ca="1" si="56"/>
        <v>28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5" t="str">
        <f ca="1">IF(dict_zuord_Meth_Transfers[[#This Row],[kval_active]],dict_zuord_Meth_Transfers[[#This Row],[ID_Transfers]],"")</f>
        <v/>
      </c>
    </row>
    <row r="3646" spans="1:4" x14ac:dyDescent="0.45">
      <c r="A3646">
        <v>607</v>
      </c>
      <c r="B3646">
        <f t="shared" ca="1" si="56"/>
        <v>177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6" t="str">
        <f ca="1">IF(dict_zuord_Meth_Transfers[[#This Row],[kval_active]],dict_zuord_Meth_Transfers[[#This Row],[ID_Transfers]],"")</f>
        <v/>
      </c>
    </row>
    <row r="3647" spans="1:4" x14ac:dyDescent="0.45">
      <c r="A3647">
        <v>607</v>
      </c>
      <c r="B3647" s="3">
        <f t="shared" ca="1" si="56"/>
        <v>35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7" t="str">
        <f ca="1">IF(dict_zuord_Meth_Transfers[[#This Row],[kval_active]],dict_zuord_Meth_Transfers[[#This Row],[ID_Transfers]],"")</f>
        <v/>
      </c>
    </row>
    <row r="3648" spans="1:4" x14ac:dyDescent="0.45">
      <c r="A3648">
        <v>607</v>
      </c>
      <c r="B3648" s="3">
        <f t="shared" ca="1" si="56"/>
        <v>187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8" t="str">
        <f ca="1">IF(dict_zuord_Meth_Transfers[[#This Row],[kval_active]],dict_zuord_Meth_Transfers[[#This Row],[ID_Transfers]],"")</f>
        <v/>
      </c>
    </row>
    <row r="3649" spans="1:4" x14ac:dyDescent="0.45">
      <c r="A3649">
        <v>607</v>
      </c>
      <c r="B3649" s="3">
        <f t="shared" ca="1" si="56"/>
        <v>53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9" t="str">
        <f ca="1">IF(dict_zuord_Meth_Transfers[[#This Row],[kval_active]],dict_zuord_Meth_Transfers[[#This Row],[ID_Transfers]],"")</f>
        <v/>
      </c>
    </row>
    <row r="3650" spans="1:4" x14ac:dyDescent="0.45">
      <c r="A3650">
        <v>608</v>
      </c>
      <c r="B3650" s="3">
        <f t="shared" ref="B3650:B3713" ca="1" si="57">RANDBETWEEN(0,200)</f>
        <v>147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0" t="str">
        <f ca="1">IF(dict_zuord_Meth_Transfers[[#This Row],[kval_active]],dict_zuord_Meth_Transfers[[#This Row],[ID_Transfers]],"")</f>
        <v/>
      </c>
    </row>
    <row r="3651" spans="1:4" x14ac:dyDescent="0.45">
      <c r="A3651">
        <v>608</v>
      </c>
      <c r="B3651">
        <f t="shared" ca="1" si="57"/>
        <v>97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1" t="str">
        <f ca="1">IF(dict_zuord_Meth_Transfers[[#This Row],[kval_active]],dict_zuord_Meth_Transfers[[#This Row],[ID_Transfers]],"")</f>
        <v/>
      </c>
    </row>
    <row r="3652" spans="1:4" x14ac:dyDescent="0.45">
      <c r="A3652">
        <v>608</v>
      </c>
      <c r="B3652">
        <f t="shared" ca="1" si="57"/>
        <v>17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2" t="str">
        <f ca="1">IF(dict_zuord_Meth_Transfers[[#This Row],[kval_active]],dict_zuord_Meth_Transfers[[#This Row],[ID_Transfers]],"")</f>
        <v/>
      </c>
    </row>
    <row r="3653" spans="1:4" x14ac:dyDescent="0.45">
      <c r="A3653">
        <v>608</v>
      </c>
      <c r="B3653" s="3">
        <f t="shared" ca="1" si="57"/>
        <v>184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3" t="str">
        <f ca="1">IF(dict_zuord_Meth_Transfers[[#This Row],[kval_active]],dict_zuord_Meth_Transfers[[#This Row],[ID_Transfers]],"")</f>
        <v/>
      </c>
    </row>
    <row r="3654" spans="1:4" x14ac:dyDescent="0.45">
      <c r="A3654">
        <v>608</v>
      </c>
      <c r="B3654" s="3">
        <f t="shared" ca="1" si="57"/>
        <v>70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4" t="str">
        <f ca="1">IF(dict_zuord_Meth_Transfers[[#This Row],[kval_active]],dict_zuord_Meth_Transfers[[#This Row],[ID_Transfers]],"")</f>
        <v/>
      </c>
    </row>
    <row r="3655" spans="1:4" x14ac:dyDescent="0.45">
      <c r="A3655">
        <v>608</v>
      </c>
      <c r="B3655">
        <f t="shared" ca="1" si="57"/>
        <v>21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5" t="str">
        <f ca="1">IF(dict_zuord_Meth_Transfers[[#This Row],[kval_active]],dict_zuord_Meth_Transfers[[#This Row],[ID_Transfers]],"")</f>
        <v/>
      </c>
    </row>
    <row r="3656" spans="1:4" x14ac:dyDescent="0.45">
      <c r="A3656">
        <v>609</v>
      </c>
      <c r="B3656" s="3">
        <f t="shared" ca="1" si="57"/>
        <v>106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6" t="str">
        <f ca="1">IF(dict_zuord_Meth_Transfers[[#This Row],[kval_active]],dict_zuord_Meth_Transfers[[#This Row],[ID_Transfers]],"")</f>
        <v/>
      </c>
    </row>
    <row r="3657" spans="1:4" x14ac:dyDescent="0.45">
      <c r="A3657">
        <v>609</v>
      </c>
      <c r="B3657">
        <f t="shared" ca="1" si="57"/>
        <v>37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7" t="str">
        <f ca="1">IF(dict_zuord_Meth_Transfers[[#This Row],[kval_active]],dict_zuord_Meth_Transfers[[#This Row],[ID_Transfers]],"")</f>
        <v/>
      </c>
    </row>
    <row r="3658" spans="1:4" x14ac:dyDescent="0.45">
      <c r="A3658">
        <v>609</v>
      </c>
      <c r="B3658">
        <f t="shared" ca="1" si="57"/>
        <v>187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8" t="str">
        <f ca="1">IF(dict_zuord_Meth_Transfers[[#This Row],[kval_active]],dict_zuord_Meth_Transfers[[#This Row],[ID_Transfers]],"")</f>
        <v/>
      </c>
    </row>
    <row r="3659" spans="1:4" x14ac:dyDescent="0.45">
      <c r="A3659">
        <v>609</v>
      </c>
      <c r="B3659" s="3">
        <f t="shared" ca="1" si="57"/>
        <v>33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9" t="str">
        <f ca="1">IF(dict_zuord_Meth_Transfers[[#This Row],[kval_active]],dict_zuord_Meth_Transfers[[#This Row],[ID_Transfers]],"")</f>
        <v/>
      </c>
    </row>
    <row r="3660" spans="1:4" x14ac:dyDescent="0.45">
      <c r="A3660">
        <v>609</v>
      </c>
      <c r="B3660">
        <f t="shared" ca="1" si="57"/>
        <v>183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0" t="str">
        <f ca="1">IF(dict_zuord_Meth_Transfers[[#This Row],[kval_active]],dict_zuord_Meth_Transfers[[#This Row],[ID_Transfers]],"")</f>
        <v/>
      </c>
    </row>
    <row r="3661" spans="1:4" x14ac:dyDescent="0.45">
      <c r="A3661">
        <v>609</v>
      </c>
      <c r="B3661" s="3">
        <f t="shared" ca="1" si="57"/>
        <v>149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1" t="str">
        <f ca="1">IF(dict_zuord_Meth_Transfers[[#This Row],[kval_active]],dict_zuord_Meth_Transfers[[#This Row],[ID_Transfers]],"")</f>
        <v/>
      </c>
    </row>
    <row r="3662" spans="1:4" x14ac:dyDescent="0.45">
      <c r="A3662">
        <v>610</v>
      </c>
      <c r="B3662">
        <f t="shared" ca="1" si="57"/>
        <v>141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2" t="str">
        <f ca="1">IF(dict_zuord_Meth_Transfers[[#This Row],[kval_active]],dict_zuord_Meth_Transfers[[#This Row],[ID_Transfers]],"")</f>
        <v/>
      </c>
    </row>
    <row r="3663" spans="1:4" x14ac:dyDescent="0.45">
      <c r="A3663">
        <v>610</v>
      </c>
      <c r="B3663">
        <f t="shared" ca="1" si="57"/>
        <v>28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3" t="str">
        <f ca="1">IF(dict_zuord_Meth_Transfers[[#This Row],[kval_active]],dict_zuord_Meth_Transfers[[#This Row],[ID_Transfers]],"")</f>
        <v/>
      </c>
    </row>
    <row r="3664" spans="1:4" x14ac:dyDescent="0.45">
      <c r="A3664">
        <v>610</v>
      </c>
      <c r="B3664" s="3">
        <f t="shared" ca="1" si="57"/>
        <v>50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4" t="str">
        <f ca="1">IF(dict_zuord_Meth_Transfers[[#This Row],[kval_active]],dict_zuord_Meth_Transfers[[#This Row],[ID_Transfers]],"")</f>
        <v/>
      </c>
    </row>
    <row r="3665" spans="1:4" x14ac:dyDescent="0.45">
      <c r="A3665">
        <v>610</v>
      </c>
      <c r="B3665" s="3">
        <f t="shared" ca="1" si="57"/>
        <v>170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5" t="str">
        <f ca="1">IF(dict_zuord_Meth_Transfers[[#This Row],[kval_active]],dict_zuord_Meth_Transfers[[#This Row],[ID_Transfers]],"")</f>
        <v/>
      </c>
    </row>
    <row r="3666" spans="1:4" x14ac:dyDescent="0.45">
      <c r="A3666">
        <v>610</v>
      </c>
      <c r="B3666" s="3">
        <f t="shared" ca="1" si="57"/>
        <v>11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6" t="str">
        <f ca="1">IF(dict_zuord_Meth_Transfers[[#This Row],[kval_active]],dict_zuord_Meth_Transfers[[#This Row],[ID_Transfers]],"")</f>
        <v/>
      </c>
    </row>
    <row r="3667" spans="1:4" x14ac:dyDescent="0.45">
      <c r="A3667">
        <v>610</v>
      </c>
      <c r="B3667">
        <f t="shared" ca="1" si="57"/>
        <v>55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7" t="str">
        <f ca="1">IF(dict_zuord_Meth_Transfers[[#This Row],[kval_active]],dict_zuord_Meth_Transfers[[#This Row],[ID_Transfers]],"")</f>
        <v/>
      </c>
    </row>
    <row r="3668" spans="1:4" x14ac:dyDescent="0.45">
      <c r="A3668">
        <v>611</v>
      </c>
      <c r="B3668" s="3">
        <f t="shared" ca="1" si="57"/>
        <v>3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8" t="str">
        <f ca="1">IF(dict_zuord_Meth_Transfers[[#This Row],[kval_active]],dict_zuord_Meth_Transfers[[#This Row],[ID_Transfers]],"")</f>
        <v/>
      </c>
    </row>
    <row r="3669" spans="1:4" x14ac:dyDescent="0.45">
      <c r="A3669">
        <v>611</v>
      </c>
      <c r="B3669">
        <f t="shared" ca="1" si="57"/>
        <v>31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9" t="str">
        <f ca="1">IF(dict_zuord_Meth_Transfers[[#This Row],[kval_active]],dict_zuord_Meth_Transfers[[#This Row],[ID_Transfers]],"")</f>
        <v/>
      </c>
    </row>
    <row r="3670" spans="1:4" x14ac:dyDescent="0.45">
      <c r="A3670">
        <v>611</v>
      </c>
      <c r="B3670" s="3">
        <f t="shared" ca="1" si="57"/>
        <v>129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0" t="str">
        <f ca="1">IF(dict_zuord_Meth_Transfers[[#This Row],[kval_active]],dict_zuord_Meth_Transfers[[#This Row],[ID_Transfers]],"")</f>
        <v/>
      </c>
    </row>
    <row r="3671" spans="1:4" x14ac:dyDescent="0.45">
      <c r="A3671">
        <v>611</v>
      </c>
      <c r="B3671" s="3">
        <f t="shared" ca="1" si="57"/>
        <v>66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1" t="str">
        <f ca="1">IF(dict_zuord_Meth_Transfers[[#This Row],[kval_active]],dict_zuord_Meth_Transfers[[#This Row],[ID_Transfers]],"")</f>
        <v/>
      </c>
    </row>
    <row r="3672" spans="1:4" x14ac:dyDescent="0.45">
      <c r="A3672">
        <v>611</v>
      </c>
      <c r="B3672">
        <f t="shared" ca="1" si="57"/>
        <v>192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2" t="str">
        <f ca="1">IF(dict_zuord_Meth_Transfers[[#This Row],[kval_active]],dict_zuord_Meth_Transfers[[#This Row],[ID_Transfers]],"")</f>
        <v/>
      </c>
    </row>
    <row r="3673" spans="1:4" x14ac:dyDescent="0.45">
      <c r="A3673">
        <v>611</v>
      </c>
      <c r="B3673">
        <f t="shared" ca="1" si="57"/>
        <v>24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3" t="str">
        <f ca="1">IF(dict_zuord_Meth_Transfers[[#This Row],[kval_active]],dict_zuord_Meth_Transfers[[#This Row],[ID_Transfers]],"")</f>
        <v/>
      </c>
    </row>
    <row r="3674" spans="1:4" x14ac:dyDescent="0.45">
      <c r="A3674">
        <v>612</v>
      </c>
      <c r="B3674" s="3">
        <f t="shared" ca="1" si="57"/>
        <v>4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4" t="str">
        <f ca="1">IF(dict_zuord_Meth_Transfers[[#This Row],[kval_active]],dict_zuord_Meth_Transfers[[#This Row],[ID_Transfers]],"")</f>
        <v/>
      </c>
    </row>
    <row r="3675" spans="1:4" x14ac:dyDescent="0.45">
      <c r="A3675">
        <v>612</v>
      </c>
      <c r="B3675">
        <f t="shared" ca="1" si="57"/>
        <v>108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5" t="str">
        <f ca="1">IF(dict_zuord_Meth_Transfers[[#This Row],[kval_active]],dict_zuord_Meth_Transfers[[#This Row],[ID_Transfers]],"")</f>
        <v/>
      </c>
    </row>
    <row r="3676" spans="1:4" x14ac:dyDescent="0.45">
      <c r="A3676">
        <v>612</v>
      </c>
      <c r="B3676" s="3">
        <f t="shared" ca="1" si="57"/>
        <v>85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6" t="str">
        <f ca="1">IF(dict_zuord_Meth_Transfers[[#This Row],[kval_active]],dict_zuord_Meth_Transfers[[#This Row],[ID_Transfers]],"")</f>
        <v/>
      </c>
    </row>
    <row r="3677" spans="1:4" x14ac:dyDescent="0.45">
      <c r="A3677">
        <v>612</v>
      </c>
      <c r="B3677" s="3">
        <f t="shared" ca="1" si="57"/>
        <v>186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7" t="str">
        <f ca="1">IF(dict_zuord_Meth_Transfers[[#This Row],[kval_active]],dict_zuord_Meth_Transfers[[#This Row],[ID_Transfers]],"")</f>
        <v/>
      </c>
    </row>
    <row r="3678" spans="1:4" x14ac:dyDescent="0.45">
      <c r="A3678">
        <v>612</v>
      </c>
      <c r="B3678">
        <f t="shared" ca="1" si="57"/>
        <v>86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8" t="str">
        <f ca="1">IF(dict_zuord_Meth_Transfers[[#This Row],[kval_active]],dict_zuord_Meth_Transfers[[#This Row],[ID_Transfers]],"")</f>
        <v/>
      </c>
    </row>
    <row r="3679" spans="1:4" x14ac:dyDescent="0.45">
      <c r="A3679">
        <v>612</v>
      </c>
      <c r="B3679">
        <f t="shared" ca="1" si="57"/>
        <v>177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9" t="str">
        <f ca="1">IF(dict_zuord_Meth_Transfers[[#This Row],[kval_active]],dict_zuord_Meth_Transfers[[#This Row],[ID_Transfers]],"")</f>
        <v/>
      </c>
    </row>
    <row r="3680" spans="1:4" x14ac:dyDescent="0.45">
      <c r="A3680">
        <v>613</v>
      </c>
      <c r="B3680">
        <f t="shared" ca="1" si="57"/>
        <v>99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0" t="str">
        <f ca="1">IF(dict_zuord_Meth_Transfers[[#This Row],[kval_active]],dict_zuord_Meth_Transfers[[#This Row],[ID_Transfers]],"")</f>
        <v/>
      </c>
    </row>
    <row r="3681" spans="1:4" x14ac:dyDescent="0.45">
      <c r="A3681">
        <v>613</v>
      </c>
      <c r="B3681">
        <f t="shared" ca="1" si="57"/>
        <v>148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1" t="str">
        <f ca="1">IF(dict_zuord_Meth_Transfers[[#This Row],[kval_active]],dict_zuord_Meth_Transfers[[#This Row],[ID_Transfers]],"")</f>
        <v/>
      </c>
    </row>
    <row r="3682" spans="1:4" x14ac:dyDescent="0.45">
      <c r="A3682">
        <v>613</v>
      </c>
      <c r="B3682" s="3">
        <f t="shared" ca="1" si="57"/>
        <v>121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2" t="str">
        <f ca="1">IF(dict_zuord_Meth_Transfers[[#This Row],[kval_active]],dict_zuord_Meth_Transfers[[#This Row],[ID_Transfers]],"")</f>
        <v/>
      </c>
    </row>
    <row r="3683" spans="1:4" x14ac:dyDescent="0.45">
      <c r="A3683">
        <v>613</v>
      </c>
      <c r="B3683" s="3">
        <f t="shared" ca="1" si="57"/>
        <v>69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3" t="str">
        <f ca="1">IF(dict_zuord_Meth_Transfers[[#This Row],[kval_active]],dict_zuord_Meth_Transfers[[#This Row],[ID_Transfers]],"")</f>
        <v/>
      </c>
    </row>
    <row r="3684" spans="1:4" x14ac:dyDescent="0.45">
      <c r="A3684">
        <v>613</v>
      </c>
      <c r="B3684">
        <f t="shared" ca="1" si="57"/>
        <v>108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4" t="str">
        <f ca="1">IF(dict_zuord_Meth_Transfers[[#This Row],[kval_active]],dict_zuord_Meth_Transfers[[#This Row],[ID_Transfers]],"")</f>
        <v/>
      </c>
    </row>
    <row r="3685" spans="1:4" x14ac:dyDescent="0.45">
      <c r="A3685">
        <v>613</v>
      </c>
      <c r="B3685" s="3">
        <f t="shared" ca="1" si="57"/>
        <v>179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5" t="str">
        <f ca="1">IF(dict_zuord_Meth_Transfers[[#This Row],[kval_active]],dict_zuord_Meth_Transfers[[#This Row],[ID_Transfers]],"")</f>
        <v/>
      </c>
    </row>
    <row r="3686" spans="1:4" x14ac:dyDescent="0.45">
      <c r="A3686">
        <v>614</v>
      </c>
      <c r="B3686">
        <f t="shared" ca="1" si="57"/>
        <v>78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6" t="str">
        <f ca="1">IF(dict_zuord_Meth_Transfers[[#This Row],[kval_active]],dict_zuord_Meth_Transfers[[#This Row],[ID_Transfers]],"")</f>
        <v/>
      </c>
    </row>
    <row r="3687" spans="1:4" x14ac:dyDescent="0.45">
      <c r="A3687">
        <v>614</v>
      </c>
      <c r="B3687">
        <f t="shared" ca="1" si="57"/>
        <v>36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7" t="str">
        <f ca="1">IF(dict_zuord_Meth_Transfers[[#This Row],[kval_active]],dict_zuord_Meth_Transfers[[#This Row],[ID_Transfers]],"")</f>
        <v/>
      </c>
    </row>
    <row r="3688" spans="1:4" x14ac:dyDescent="0.45">
      <c r="A3688">
        <v>614</v>
      </c>
      <c r="B3688" s="3">
        <f t="shared" ca="1" si="57"/>
        <v>184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8" t="str">
        <f ca="1">IF(dict_zuord_Meth_Transfers[[#This Row],[kval_active]],dict_zuord_Meth_Transfers[[#This Row],[ID_Transfers]],"")</f>
        <v/>
      </c>
    </row>
    <row r="3689" spans="1:4" x14ac:dyDescent="0.45">
      <c r="A3689">
        <v>614</v>
      </c>
      <c r="B3689">
        <f t="shared" ca="1" si="57"/>
        <v>37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9" t="str">
        <f ca="1">IF(dict_zuord_Meth_Transfers[[#This Row],[kval_active]],dict_zuord_Meth_Transfers[[#This Row],[ID_Transfers]],"")</f>
        <v/>
      </c>
    </row>
    <row r="3690" spans="1:4" x14ac:dyDescent="0.45">
      <c r="A3690">
        <v>614</v>
      </c>
      <c r="B3690" s="3">
        <f t="shared" ca="1" si="57"/>
        <v>91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0" t="str">
        <f ca="1">IF(dict_zuord_Meth_Transfers[[#This Row],[kval_active]],dict_zuord_Meth_Transfers[[#This Row],[ID_Transfers]],"")</f>
        <v/>
      </c>
    </row>
    <row r="3691" spans="1:4" x14ac:dyDescent="0.45">
      <c r="A3691">
        <v>614</v>
      </c>
      <c r="B3691" s="3">
        <f t="shared" ca="1" si="57"/>
        <v>174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1" t="str">
        <f ca="1">IF(dict_zuord_Meth_Transfers[[#This Row],[kval_active]],dict_zuord_Meth_Transfers[[#This Row],[ID_Transfers]],"")</f>
        <v/>
      </c>
    </row>
    <row r="3692" spans="1:4" x14ac:dyDescent="0.45">
      <c r="A3692">
        <v>615</v>
      </c>
      <c r="B3692" s="3">
        <f t="shared" ca="1" si="57"/>
        <v>142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2" t="str">
        <f ca="1">IF(dict_zuord_Meth_Transfers[[#This Row],[kval_active]],dict_zuord_Meth_Transfers[[#This Row],[ID_Transfers]],"")</f>
        <v/>
      </c>
    </row>
    <row r="3693" spans="1:4" x14ac:dyDescent="0.45">
      <c r="A3693">
        <v>615</v>
      </c>
      <c r="B3693">
        <f t="shared" ca="1" si="57"/>
        <v>91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3" t="str">
        <f ca="1">IF(dict_zuord_Meth_Transfers[[#This Row],[kval_active]],dict_zuord_Meth_Transfers[[#This Row],[ID_Transfers]],"")</f>
        <v/>
      </c>
    </row>
    <row r="3694" spans="1:4" x14ac:dyDescent="0.45">
      <c r="A3694">
        <v>615</v>
      </c>
      <c r="B3694" s="3">
        <f t="shared" ca="1" si="57"/>
        <v>114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4" t="str">
        <f ca="1">IF(dict_zuord_Meth_Transfers[[#This Row],[kval_active]],dict_zuord_Meth_Transfers[[#This Row],[ID_Transfers]],"")</f>
        <v/>
      </c>
    </row>
    <row r="3695" spans="1:4" x14ac:dyDescent="0.45">
      <c r="A3695">
        <v>615</v>
      </c>
      <c r="B3695">
        <f t="shared" ca="1" si="57"/>
        <v>67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5" t="str">
        <f ca="1">IF(dict_zuord_Meth_Transfers[[#This Row],[kval_active]],dict_zuord_Meth_Transfers[[#This Row],[ID_Transfers]],"")</f>
        <v/>
      </c>
    </row>
    <row r="3696" spans="1:4" x14ac:dyDescent="0.45">
      <c r="A3696">
        <v>615</v>
      </c>
      <c r="B3696" s="3">
        <f t="shared" ca="1" si="57"/>
        <v>59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6" t="str">
        <f ca="1">IF(dict_zuord_Meth_Transfers[[#This Row],[kval_active]],dict_zuord_Meth_Transfers[[#This Row],[ID_Transfers]],"")</f>
        <v/>
      </c>
    </row>
    <row r="3697" spans="1:4" x14ac:dyDescent="0.45">
      <c r="A3697">
        <v>615</v>
      </c>
      <c r="B3697">
        <f t="shared" ca="1" si="57"/>
        <v>114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7" t="str">
        <f ca="1">IF(dict_zuord_Meth_Transfers[[#This Row],[kval_active]],dict_zuord_Meth_Transfers[[#This Row],[ID_Transfers]],"")</f>
        <v/>
      </c>
    </row>
    <row r="3698" spans="1:4" x14ac:dyDescent="0.45">
      <c r="A3698">
        <v>616</v>
      </c>
      <c r="B3698">
        <f t="shared" ca="1" si="57"/>
        <v>75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8" t="str">
        <f ca="1">IF(dict_zuord_Meth_Transfers[[#This Row],[kval_active]],dict_zuord_Meth_Transfers[[#This Row],[ID_Transfers]],"")</f>
        <v/>
      </c>
    </row>
    <row r="3699" spans="1:4" x14ac:dyDescent="0.45">
      <c r="A3699">
        <v>616</v>
      </c>
      <c r="B3699">
        <f t="shared" ca="1" si="57"/>
        <v>167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9" t="str">
        <f ca="1">IF(dict_zuord_Meth_Transfers[[#This Row],[kval_active]],dict_zuord_Meth_Transfers[[#This Row],[ID_Transfers]],"")</f>
        <v/>
      </c>
    </row>
    <row r="3700" spans="1:4" x14ac:dyDescent="0.45">
      <c r="A3700">
        <v>616</v>
      </c>
      <c r="B3700" s="3">
        <f t="shared" ca="1" si="57"/>
        <v>40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0" t="str">
        <f ca="1">IF(dict_zuord_Meth_Transfers[[#This Row],[kval_active]],dict_zuord_Meth_Transfers[[#This Row],[ID_Transfers]],"")</f>
        <v/>
      </c>
    </row>
    <row r="3701" spans="1:4" x14ac:dyDescent="0.45">
      <c r="A3701">
        <v>616</v>
      </c>
      <c r="B3701" s="3">
        <f t="shared" ca="1" si="57"/>
        <v>115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1" t="str">
        <f ca="1">IF(dict_zuord_Meth_Transfers[[#This Row],[kval_active]],dict_zuord_Meth_Transfers[[#This Row],[ID_Transfers]],"")</f>
        <v/>
      </c>
    </row>
    <row r="3702" spans="1:4" x14ac:dyDescent="0.45">
      <c r="A3702">
        <v>616</v>
      </c>
      <c r="B3702">
        <f t="shared" ca="1" si="57"/>
        <v>181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2" t="str">
        <f ca="1">IF(dict_zuord_Meth_Transfers[[#This Row],[kval_active]],dict_zuord_Meth_Transfers[[#This Row],[ID_Transfers]],"")</f>
        <v/>
      </c>
    </row>
    <row r="3703" spans="1:4" x14ac:dyDescent="0.45">
      <c r="A3703">
        <v>616</v>
      </c>
      <c r="B3703" s="3">
        <f t="shared" ca="1" si="57"/>
        <v>93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3" t="str">
        <f ca="1">IF(dict_zuord_Meth_Transfers[[#This Row],[kval_active]],dict_zuord_Meth_Transfers[[#This Row],[ID_Transfers]],"")</f>
        <v/>
      </c>
    </row>
    <row r="3704" spans="1:4" x14ac:dyDescent="0.45">
      <c r="A3704">
        <v>617</v>
      </c>
      <c r="B3704" s="3">
        <f t="shared" ca="1" si="57"/>
        <v>90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4" t="str">
        <f ca="1">IF(dict_zuord_Meth_Transfers[[#This Row],[kval_active]],dict_zuord_Meth_Transfers[[#This Row],[ID_Transfers]],"")</f>
        <v/>
      </c>
    </row>
    <row r="3705" spans="1:4" x14ac:dyDescent="0.45">
      <c r="A3705">
        <v>617</v>
      </c>
      <c r="B3705" s="3">
        <f t="shared" ca="1" si="57"/>
        <v>158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5" t="str">
        <f ca="1">IF(dict_zuord_Meth_Transfers[[#This Row],[kval_active]],dict_zuord_Meth_Transfers[[#This Row],[ID_Transfers]],"")</f>
        <v/>
      </c>
    </row>
    <row r="3706" spans="1:4" x14ac:dyDescent="0.45">
      <c r="A3706">
        <v>617</v>
      </c>
      <c r="B3706">
        <f t="shared" ca="1" si="57"/>
        <v>72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6" t="str">
        <f ca="1">IF(dict_zuord_Meth_Transfers[[#This Row],[kval_active]],dict_zuord_Meth_Transfers[[#This Row],[ID_Transfers]],"")</f>
        <v/>
      </c>
    </row>
    <row r="3707" spans="1:4" x14ac:dyDescent="0.45">
      <c r="A3707">
        <v>617</v>
      </c>
      <c r="B3707">
        <f t="shared" ca="1" si="57"/>
        <v>22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7" t="str">
        <f ca="1">IF(dict_zuord_Meth_Transfers[[#This Row],[kval_active]],dict_zuord_Meth_Transfers[[#This Row],[ID_Transfers]],"")</f>
        <v/>
      </c>
    </row>
    <row r="3708" spans="1:4" x14ac:dyDescent="0.45">
      <c r="A3708">
        <v>617</v>
      </c>
      <c r="B3708" s="3">
        <f t="shared" ca="1" si="57"/>
        <v>87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8" t="str">
        <f ca="1">IF(dict_zuord_Meth_Transfers[[#This Row],[kval_active]],dict_zuord_Meth_Transfers[[#This Row],[ID_Transfers]],"")</f>
        <v/>
      </c>
    </row>
    <row r="3709" spans="1:4" x14ac:dyDescent="0.45">
      <c r="A3709">
        <v>617</v>
      </c>
      <c r="B3709">
        <f t="shared" ca="1" si="57"/>
        <v>191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9" t="str">
        <f ca="1">IF(dict_zuord_Meth_Transfers[[#This Row],[kval_active]],dict_zuord_Meth_Transfers[[#This Row],[ID_Transfers]],"")</f>
        <v/>
      </c>
    </row>
    <row r="3710" spans="1:4" x14ac:dyDescent="0.45">
      <c r="A3710">
        <v>618</v>
      </c>
      <c r="B3710">
        <f t="shared" ca="1" si="57"/>
        <v>11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0" t="str">
        <f ca="1">IF(dict_zuord_Meth_Transfers[[#This Row],[kval_active]],dict_zuord_Meth_Transfers[[#This Row],[ID_Transfers]],"")</f>
        <v/>
      </c>
    </row>
    <row r="3711" spans="1:4" x14ac:dyDescent="0.45">
      <c r="A3711">
        <v>618</v>
      </c>
      <c r="B3711">
        <f t="shared" ca="1" si="57"/>
        <v>166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1" t="str">
        <f ca="1">IF(dict_zuord_Meth_Transfers[[#This Row],[kval_active]],dict_zuord_Meth_Transfers[[#This Row],[ID_Transfers]],"")</f>
        <v/>
      </c>
    </row>
    <row r="3712" spans="1:4" x14ac:dyDescent="0.45">
      <c r="A3712">
        <v>618</v>
      </c>
      <c r="B3712" s="3">
        <f t="shared" ca="1" si="57"/>
        <v>107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2" t="str">
        <f ca="1">IF(dict_zuord_Meth_Transfers[[#This Row],[kval_active]],dict_zuord_Meth_Transfers[[#This Row],[ID_Transfers]],"")</f>
        <v/>
      </c>
    </row>
    <row r="3713" spans="1:4" x14ac:dyDescent="0.45">
      <c r="A3713">
        <v>618</v>
      </c>
      <c r="B3713">
        <f t="shared" ca="1" si="57"/>
        <v>110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3" t="str">
        <f ca="1">IF(dict_zuord_Meth_Transfers[[#This Row],[kval_active]],dict_zuord_Meth_Transfers[[#This Row],[ID_Transfers]],"")</f>
        <v/>
      </c>
    </row>
    <row r="3714" spans="1:4" x14ac:dyDescent="0.45">
      <c r="A3714">
        <v>618</v>
      </c>
      <c r="B3714" s="3">
        <f t="shared" ref="B3714:B3777" ca="1" si="58">RANDBETWEEN(0,200)</f>
        <v>194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4" t="str">
        <f ca="1">IF(dict_zuord_Meth_Transfers[[#This Row],[kval_active]],dict_zuord_Meth_Transfers[[#This Row],[ID_Transfers]],"")</f>
        <v/>
      </c>
    </row>
    <row r="3715" spans="1:4" x14ac:dyDescent="0.45">
      <c r="A3715">
        <v>618</v>
      </c>
      <c r="B3715" s="3">
        <f t="shared" ca="1" si="58"/>
        <v>53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5" t="str">
        <f ca="1">IF(dict_zuord_Meth_Transfers[[#This Row],[kval_active]],dict_zuord_Meth_Transfers[[#This Row],[ID_Transfers]],"")</f>
        <v/>
      </c>
    </row>
    <row r="3716" spans="1:4" x14ac:dyDescent="0.45">
      <c r="A3716">
        <v>619</v>
      </c>
      <c r="B3716" s="3">
        <f t="shared" ca="1" si="58"/>
        <v>192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6" t="str">
        <f ca="1">IF(dict_zuord_Meth_Transfers[[#This Row],[kval_active]],dict_zuord_Meth_Transfers[[#This Row],[ID_Transfers]],"")</f>
        <v/>
      </c>
    </row>
    <row r="3717" spans="1:4" x14ac:dyDescent="0.45">
      <c r="A3717">
        <v>619</v>
      </c>
      <c r="B3717" s="3">
        <f t="shared" ca="1" si="58"/>
        <v>155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7" t="str">
        <f ca="1">IF(dict_zuord_Meth_Transfers[[#This Row],[kval_active]],dict_zuord_Meth_Transfers[[#This Row],[ID_Transfers]],"")</f>
        <v/>
      </c>
    </row>
    <row r="3718" spans="1:4" x14ac:dyDescent="0.45">
      <c r="A3718">
        <v>619</v>
      </c>
      <c r="B3718">
        <f t="shared" ca="1" si="58"/>
        <v>89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8" t="str">
        <f ca="1">IF(dict_zuord_Meth_Transfers[[#This Row],[kval_active]],dict_zuord_Meth_Transfers[[#This Row],[ID_Transfers]],"")</f>
        <v/>
      </c>
    </row>
    <row r="3719" spans="1:4" x14ac:dyDescent="0.45">
      <c r="A3719">
        <v>619</v>
      </c>
      <c r="B3719" s="3">
        <f t="shared" ca="1" si="58"/>
        <v>61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9" t="str">
        <f ca="1">IF(dict_zuord_Meth_Transfers[[#This Row],[kval_active]],dict_zuord_Meth_Transfers[[#This Row],[ID_Transfers]],"")</f>
        <v/>
      </c>
    </row>
    <row r="3720" spans="1:4" x14ac:dyDescent="0.45">
      <c r="A3720">
        <v>619</v>
      </c>
      <c r="B3720">
        <f t="shared" ca="1" si="58"/>
        <v>93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0" t="str">
        <f ca="1">IF(dict_zuord_Meth_Transfers[[#This Row],[kval_active]],dict_zuord_Meth_Transfers[[#This Row],[ID_Transfers]],"")</f>
        <v/>
      </c>
    </row>
    <row r="3721" spans="1:4" x14ac:dyDescent="0.45">
      <c r="A3721">
        <v>619</v>
      </c>
      <c r="B3721">
        <f t="shared" ca="1" si="58"/>
        <v>120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1" t="str">
        <f ca="1">IF(dict_zuord_Meth_Transfers[[#This Row],[kval_active]],dict_zuord_Meth_Transfers[[#This Row],[ID_Transfers]],"")</f>
        <v/>
      </c>
    </row>
    <row r="3722" spans="1:4" x14ac:dyDescent="0.45">
      <c r="A3722">
        <v>620</v>
      </c>
      <c r="B3722">
        <f t="shared" ca="1" si="58"/>
        <v>47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2" t="str">
        <f ca="1">IF(dict_zuord_Meth_Transfers[[#This Row],[kval_active]],dict_zuord_Meth_Transfers[[#This Row],[ID_Transfers]],"")</f>
        <v/>
      </c>
    </row>
    <row r="3723" spans="1:4" x14ac:dyDescent="0.45">
      <c r="A3723">
        <v>620</v>
      </c>
      <c r="B3723">
        <f t="shared" ca="1" si="58"/>
        <v>18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3" t="str">
        <f ca="1">IF(dict_zuord_Meth_Transfers[[#This Row],[kval_active]],dict_zuord_Meth_Transfers[[#This Row],[ID_Transfers]],"")</f>
        <v/>
      </c>
    </row>
    <row r="3724" spans="1:4" x14ac:dyDescent="0.45">
      <c r="A3724">
        <v>620</v>
      </c>
      <c r="B3724" s="3">
        <f t="shared" ca="1" si="58"/>
        <v>46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4" t="str">
        <f ca="1">IF(dict_zuord_Meth_Transfers[[#This Row],[kval_active]],dict_zuord_Meth_Transfers[[#This Row],[ID_Transfers]],"")</f>
        <v/>
      </c>
    </row>
    <row r="3725" spans="1:4" x14ac:dyDescent="0.45">
      <c r="A3725">
        <v>620</v>
      </c>
      <c r="B3725">
        <f t="shared" ca="1" si="58"/>
        <v>154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5" t="str">
        <f ca="1">IF(dict_zuord_Meth_Transfers[[#This Row],[kval_active]],dict_zuord_Meth_Transfers[[#This Row],[ID_Transfers]],"")</f>
        <v/>
      </c>
    </row>
    <row r="3726" spans="1:4" x14ac:dyDescent="0.45">
      <c r="A3726">
        <v>620</v>
      </c>
      <c r="B3726" s="3">
        <f t="shared" ca="1" si="58"/>
        <v>26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6" t="str">
        <f ca="1">IF(dict_zuord_Meth_Transfers[[#This Row],[kval_active]],dict_zuord_Meth_Transfers[[#This Row],[ID_Transfers]],"")</f>
        <v/>
      </c>
    </row>
    <row r="3727" spans="1:4" x14ac:dyDescent="0.45">
      <c r="A3727">
        <v>620</v>
      </c>
      <c r="B3727" s="3">
        <f t="shared" ca="1" si="58"/>
        <v>91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7" t="str">
        <f ca="1">IF(dict_zuord_Meth_Transfers[[#This Row],[kval_active]],dict_zuord_Meth_Transfers[[#This Row],[ID_Transfers]],"")</f>
        <v/>
      </c>
    </row>
    <row r="3728" spans="1:4" x14ac:dyDescent="0.45">
      <c r="A3728">
        <v>621</v>
      </c>
      <c r="B3728" s="3">
        <f t="shared" ca="1" si="58"/>
        <v>123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8" t="str">
        <f ca="1">IF(dict_zuord_Meth_Transfers[[#This Row],[kval_active]],dict_zuord_Meth_Transfers[[#This Row],[ID_Transfers]],"")</f>
        <v/>
      </c>
    </row>
    <row r="3729" spans="1:4" x14ac:dyDescent="0.45">
      <c r="A3729">
        <v>621</v>
      </c>
      <c r="B3729" s="3">
        <f t="shared" ca="1" si="58"/>
        <v>28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9" t="str">
        <f ca="1">IF(dict_zuord_Meth_Transfers[[#This Row],[kval_active]],dict_zuord_Meth_Transfers[[#This Row],[ID_Transfers]],"")</f>
        <v/>
      </c>
    </row>
    <row r="3730" spans="1:4" x14ac:dyDescent="0.45">
      <c r="A3730">
        <v>621</v>
      </c>
      <c r="B3730" s="3">
        <f t="shared" ca="1" si="58"/>
        <v>25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0" t="str">
        <f ca="1">IF(dict_zuord_Meth_Transfers[[#This Row],[kval_active]],dict_zuord_Meth_Transfers[[#This Row],[ID_Transfers]],"")</f>
        <v/>
      </c>
    </row>
    <row r="3731" spans="1:4" x14ac:dyDescent="0.45">
      <c r="A3731">
        <v>621</v>
      </c>
      <c r="B3731">
        <f t="shared" ca="1" si="58"/>
        <v>90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1" t="str">
        <f ca="1">IF(dict_zuord_Meth_Transfers[[#This Row],[kval_active]],dict_zuord_Meth_Transfers[[#This Row],[ID_Transfers]],"")</f>
        <v/>
      </c>
    </row>
    <row r="3732" spans="1:4" x14ac:dyDescent="0.45">
      <c r="A3732">
        <v>621</v>
      </c>
      <c r="B3732">
        <f t="shared" ca="1" si="58"/>
        <v>22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2" t="str">
        <f ca="1">IF(dict_zuord_Meth_Transfers[[#This Row],[kval_active]],dict_zuord_Meth_Transfers[[#This Row],[ID_Transfers]],"")</f>
        <v/>
      </c>
    </row>
    <row r="3733" spans="1:4" x14ac:dyDescent="0.45">
      <c r="A3733">
        <v>621</v>
      </c>
      <c r="B3733">
        <f t="shared" ca="1" si="58"/>
        <v>66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3" t="str">
        <f ca="1">IF(dict_zuord_Meth_Transfers[[#This Row],[kval_active]],dict_zuord_Meth_Transfers[[#This Row],[ID_Transfers]],"")</f>
        <v/>
      </c>
    </row>
    <row r="3734" spans="1:4" x14ac:dyDescent="0.45">
      <c r="A3734">
        <v>622</v>
      </c>
      <c r="B3734">
        <f t="shared" ca="1" si="58"/>
        <v>162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4" t="str">
        <f ca="1">IF(dict_zuord_Meth_Transfers[[#This Row],[kval_active]],dict_zuord_Meth_Transfers[[#This Row],[ID_Transfers]],"")</f>
        <v/>
      </c>
    </row>
    <row r="3735" spans="1:4" x14ac:dyDescent="0.45">
      <c r="A3735">
        <v>622</v>
      </c>
      <c r="B3735">
        <f t="shared" ca="1" si="58"/>
        <v>51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5" t="str">
        <f ca="1">IF(dict_zuord_Meth_Transfers[[#This Row],[kval_active]],dict_zuord_Meth_Transfers[[#This Row],[ID_Transfers]],"")</f>
        <v/>
      </c>
    </row>
    <row r="3736" spans="1:4" x14ac:dyDescent="0.45">
      <c r="A3736">
        <v>622</v>
      </c>
      <c r="B3736" s="3">
        <f t="shared" ca="1" si="58"/>
        <v>87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6" t="str">
        <f ca="1">IF(dict_zuord_Meth_Transfers[[#This Row],[kval_active]],dict_zuord_Meth_Transfers[[#This Row],[ID_Transfers]],"")</f>
        <v/>
      </c>
    </row>
    <row r="3737" spans="1:4" x14ac:dyDescent="0.45">
      <c r="A3737">
        <v>622</v>
      </c>
      <c r="B3737">
        <f t="shared" ca="1" si="58"/>
        <v>37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7" t="str">
        <f ca="1">IF(dict_zuord_Meth_Transfers[[#This Row],[kval_active]],dict_zuord_Meth_Transfers[[#This Row],[ID_Transfers]],"")</f>
        <v/>
      </c>
    </row>
    <row r="3738" spans="1:4" x14ac:dyDescent="0.45">
      <c r="A3738">
        <v>622</v>
      </c>
      <c r="B3738" s="3">
        <f t="shared" ca="1" si="58"/>
        <v>127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8" t="str">
        <f ca="1">IF(dict_zuord_Meth_Transfers[[#This Row],[kval_active]],dict_zuord_Meth_Transfers[[#This Row],[ID_Transfers]],"")</f>
        <v/>
      </c>
    </row>
    <row r="3739" spans="1:4" x14ac:dyDescent="0.45">
      <c r="A3739">
        <v>622</v>
      </c>
      <c r="B3739" s="3">
        <f t="shared" ca="1" si="58"/>
        <v>131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9" t="str">
        <f ca="1">IF(dict_zuord_Meth_Transfers[[#This Row],[kval_active]],dict_zuord_Meth_Transfers[[#This Row],[ID_Transfers]],"")</f>
        <v/>
      </c>
    </row>
    <row r="3740" spans="1:4" x14ac:dyDescent="0.45">
      <c r="A3740">
        <v>623</v>
      </c>
      <c r="B3740">
        <f t="shared" ca="1" si="58"/>
        <v>101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0" t="str">
        <f ca="1">IF(dict_zuord_Meth_Transfers[[#This Row],[kval_active]],dict_zuord_Meth_Transfers[[#This Row],[ID_Transfers]],"")</f>
        <v/>
      </c>
    </row>
    <row r="3741" spans="1:4" x14ac:dyDescent="0.45">
      <c r="A3741">
        <v>623</v>
      </c>
      <c r="B3741" s="3">
        <f t="shared" ca="1" si="58"/>
        <v>125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1" t="str">
        <f ca="1">IF(dict_zuord_Meth_Transfers[[#This Row],[kval_active]],dict_zuord_Meth_Transfers[[#This Row],[ID_Transfers]],"")</f>
        <v/>
      </c>
    </row>
    <row r="3742" spans="1:4" x14ac:dyDescent="0.45">
      <c r="A3742">
        <v>623</v>
      </c>
      <c r="B3742" s="3">
        <f t="shared" ca="1" si="58"/>
        <v>81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2" t="str">
        <f ca="1">IF(dict_zuord_Meth_Transfers[[#This Row],[kval_active]],dict_zuord_Meth_Transfers[[#This Row],[ID_Transfers]],"")</f>
        <v/>
      </c>
    </row>
    <row r="3743" spans="1:4" x14ac:dyDescent="0.45">
      <c r="A3743">
        <v>623</v>
      </c>
      <c r="B3743">
        <f t="shared" ca="1" si="58"/>
        <v>73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3" t="str">
        <f ca="1">IF(dict_zuord_Meth_Transfers[[#This Row],[kval_active]],dict_zuord_Meth_Transfers[[#This Row],[ID_Transfers]],"")</f>
        <v/>
      </c>
    </row>
    <row r="3744" spans="1:4" x14ac:dyDescent="0.45">
      <c r="A3744">
        <v>623</v>
      </c>
      <c r="B3744" s="3">
        <f t="shared" ca="1" si="58"/>
        <v>48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4" t="str">
        <f ca="1">IF(dict_zuord_Meth_Transfers[[#This Row],[kval_active]],dict_zuord_Meth_Transfers[[#This Row],[ID_Transfers]],"")</f>
        <v/>
      </c>
    </row>
    <row r="3745" spans="1:4" x14ac:dyDescent="0.45">
      <c r="A3745">
        <v>623</v>
      </c>
      <c r="B3745">
        <f t="shared" ca="1" si="58"/>
        <v>109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5" t="str">
        <f ca="1">IF(dict_zuord_Meth_Transfers[[#This Row],[kval_active]],dict_zuord_Meth_Transfers[[#This Row],[ID_Transfers]],"")</f>
        <v/>
      </c>
    </row>
    <row r="3746" spans="1:4" x14ac:dyDescent="0.45">
      <c r="A3746">
        <v>624</v>
      </c>
      <c r="B3746" s="3">
        <f t="shared" ca="1" si="58"/>
        <v>22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6" t="str">
        <f ca="1">IF(dict_zuord_Meth_Transfers[[#This Row],[kval_active]],dict_zuord_Meth_Transfers[[#This Row],[ID_Transfers]],"")</f>
        <v/>
      </c>
    </row>
    <row r="3747" spans="1:4" x14ac:dyDescent="0.45">
      <c r="A3747">
        <v>624</v>
      </c>
      <c r="B3747">
        <f t="shared" ca="1" si="58"/>
        <v>100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7" t="str">
        <f ca="1">IF(dict_zuord_Meth_Transfers[[#This Row],[kval_active]],dict_zuord_Meth_Transfers[[#This Row],[ID_Transfers]],"")</f>
        <v/>
      </c>
    </row>
    <row r="3748" spans="1:4" x14ac:dyDescent="0.45">
      <c r="A3748">
        <v>624</v>
      </c>
      <c r="B3748" s="3">
        <f t="shared" ca="1" si="58"/>
        <v>161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8" t="str">
        <f ca="1">IF(dict_zuord_Meth_Transfers[[#This Row],[kval_active]],dict_zuord_Meth_Transfers[[#This Row],[ID_Transfers]],"")</f>
        <v/>
      </c>
    </row>
    <row r="3749" spans="1:4" x14ac:dyDescent="0.45">
      <c r="A3749">
        <v>624</v>
      </c>
      <c r="B3749" s="3">
        <f t="shared" ca="1" si="58"/>
        <v>172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9" t="str">
        <f ca="1">IF(dict_zuord_Meth_Transfers[[#This Row],[kval_active]],dict_zuord_Meth_Transfers[[#This Row],[ID_Transfers]],"")</f>
        <v/>
      </c>
    </row>
    <row r="3750" spans="1:4" x14ac:dyDescent="0.45">
      <c r="A3750">
        <v>624</v>
      </c>
      <c r="B3750">
        <f t="shared" ca="1" si="58"/>
        <v>156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0" t="str">
        <f ca="1">IF(dict_zuord_Meth_Transfers[[#This Row],[kval_active]],dict_zuord_Meth_Transfers[[#This Row],[ID_Transfers]],"")</f>
        <v/>
      </c>
    </row>
    <row r="3751" spans="1:4" x14ac:dyDescent="0.45">
      <c r="A3751">
        <v>624</v>
      </c>
      <c r="B3751">
        <f t="shared" ca="1" si="58"/>
        <v>156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1" t="str">
        <f ca="1">IF(dict_zuord_Meth_Transfers[[#This Row],[kval_active]],dict_zuord_Meth_Transfers[[#This Row],[ID_Transfers]],"")</f>
        <v/>
      </c>
    </row>
    <row r="3752" spans="1:4" x14ac:dyDescent="0.45">
      <c r="A3752">
        <v>625</v>
      </c>
      <c r="B3752">
        <f t="shared" ca="1" si="58"/>
        <v>85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2" t="str">
        <f ca="1">IF(dict_zuord_Meth_Transfers[[#This Row],[kval_active]],dict_zuord_Meth_Transfers[[#This Row],[ID_Transfers]],"")</f>
        <v/>
      </c>
    </row>
    <row r="3753" spans="1:4" x14ac:dyDescent="0.45">
      <c r="A3753">
        <v>625</v>
      </c>
      <c r="B3753" s="3">
        <f t="shared" ca="1" si="58"/>
        <v>73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3" t="str">
        <f ca="1">IF(dict_zuord_Meth_Transfers[[#This Row],[kval_active]],dict_zuord_Meth_Transfers[[#This Row],[ID_Transfers]],"")</f>
        <v/>
      </c>
    </row>
    <row r="3754" spans="1:4" x14ac:dyDescent="0.45">
      <c r="A3754">
        <v>625</v>
      </c>
      <c r="B3754">
        <f t="shared" ca="1" si="58"/>
        <v>46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4" t="str">
        <f ca="1">IF(dict_zuord_Meth_Transfers[[#This Row],[kval_active]],dict_zuord_Meth_Transfers[[#This Row],[ID_Transfers]],"")</f>
        <v/>
      </c>
    </row>
    <row r="3755" spans="1:4" x14ac:dyDescent="0.45">
      <c r="A3755">
        <v>625</v>
      </c>
      <c r="B3755" s="3">
        <f t="shared" ca="1" si="58"/>
        <v>141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5" t="str">
        <f ca="1">IF(dict_zuord_Meth_Transfers[[#This Row],[kval_active]],dict_zuord_Meth_Transfers[[#This Row],[ID_Transfers]],"")</f>
        <v/>
      </c>
    </row>
    <row r="3756" spans="1:4" x14ac:dyDescent="0.45">
      <c r="A3756">
        <v>625</v>
      </c>
      <c r="B3756" s="3">
        <f t="shared" ca="1" si="58"/>
        <v>40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6" t="str">
        <f ca="1">IF(dict_zuord_Meth_Transfers[[#This Row],[kval_active]],dict_zuord_Meth_Transfers[[#This Row],[ID_Transfers]],"")</f>
        <v/>
      </c>
    </row>
    <row r="3757" spans="1:4" x14ac:dyDescent="0.45">
      <c r="A3757">
        <v>625</v>
      </c>
      <c r="B3757">
        <f t="shared" ca="1" si="58"/>
        <v>95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7" t="str">
        <f ca="1">IF(dict_zuord_Meth_Transfers[[#This Row],[kval_active]],dict_zuord_Meth_Transfers[[#This Row],[ID_Transfers]],"")</f>
        <v/>
      </c>
    </row>
    <row r="3758" spans="1:4" x14ac:dyDescent="0.45">
      <c r="A3758">
        <v>626</v>
      </c>
      <c r="B3758">
        <f t="shared" ca="1" si="58"/>
        <v>64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8" t="str">
        <f ca="1">IF(dict_zuord_Meth_Transfers[[#This Row],[kval_active]],dict_zuord_Meth_Transfers[[#This Row],[ID_Transfers]],"")</f>
        <v/>
      </c>
    </row>
    <row r="3759" spans="1:4" x14ac:dyDescent="0.45">
      <c r="A3759">
        <v>626</v>
      </c>
      <c r="B3759">
        <f t="shared" ca="1" si="58"/>
        <v>190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9" t="str">
        <f ca="1">IF(dict_zuord_Meth_Transfers[[#This Row],[kval_active]],dict_zuord_Meth_Transfers[[#This Row],[ID_Transfers]],"")</f>
        <v/>
      </c>
    </row>
    <row r="3760" spans="1:4" x14ac:dyDescent="0.45">
      <c r="A3760">
        <v>626</v>
      </c>
      <c r="B3760" s="3">
        <f t="shared" ca="1" si="58"/>
        <v>83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0" t="str">
        <f ca="1">IF(dict_zuord_Meth_Transfers[[#This Row],[kval_active]],dict_zuord_Meth_Transfers[[#This Row],[ID_Transfers]],"")</f>
        <v/>
      </c>
    </row>
    <row r="3761" spans="1:4" x14ac:dyDescent="0.45">
      <c r="A3761">
        <v>626</v>
      </c>
      <c r="B3761" s="3">
        <f t="shared" ca="1" si="58"/>
        <v>114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1" t="str">
        <f ca="1">IF(dict_zuord_Meth_Transfers[[#This Row],[kval_active]],dict_zuord_Meth_Transfers[[#This Row],[ID_Transfers]],"")</f>
        <v/>
      </c>
    </row>
    <row r="3762" spans="1:4" x14ac:dyDescent="0.45">
      <c r="A3762">
        <v>626</v>
      </c>
      <c r="B3762">
        <f t="shared" ca="1" si="58"/>
        <v>60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2" t="str">
        <f ca="1">IF(dict_zuord_Meth_Transfers[[#This Row],[kval_active]],dict_zuord_Meth_Transfers[[#This Row],[ID_Transfers]],"")</f>
        <v/>
      </c>
    </row>
    <row r="3763" spans="1:4" x14ac:dyDescent="0.45">
      <c r="A3763">
        <v>626</v>
      </c>
      <c r="B3763" s="3">
        <f t="shared" ca="1" si="58"/>
        <v>168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3" t="str">
        <f ca="1">IF(dict_zuord_Meth_Transfers[[#This Row],[kval_active]],dict_zuord_Meth_Transfers[[#This Row],[ID_Transfers]],"")</f>
        <v/>
      </c>
    </row>
    <row r="3764" spans="1:4" x14ac:dyDescent="0.45">
      <c r="A3764">
        <v>627</v>
      </c>
      <c r="B3764" s="3">
        <f t="shared" ca="1" si="58"/>
        <v>177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4" t="str">
        <f ca="1">IF(dict_zuord_Meth_Transfers[[#This Row],[kval_active]],dict_zuord_Meth_Transfers[[#This Row],[ID_Transfers]],"")</f>
        <v/>
      </c>
    </row>
    <row r="3765" spans="1:4" x14ac:dyDescent="0.45">
      <c r="A3765">
        <v>627</v>
      </c>
      <c r="B3765">
        <f t="shared" ca="1" si="58"/>
        <v>125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5" t="str">
        <f ca="1">IF(dict_zuord_Meth_Transfers[[#This Row],[kval_active]],dict_zuord_Meth_Transfers[[#This Row],[ID_Transfers]],"")</f>
        <v/>
      </c>
    </row>
    <row r="3766" spans="1:4" x14ac:dyDescent="0.45">
      <c r="A3766">
        <v>627</v>
      </c>
      <c r="B3766" s="3">
        <f t="shared" ca="1" si="58"/>
        <v>136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6" t="str">
        <f ca="1">IF(dict_zuord_Meth_Transfers[[#This Row],[kval_active]],dict_zuord_Meth_Transfers[[#This Row],[ID_Transfers]],"")</f>
        <v/>
      </c>
    </row>
    <row r="3767" spans="1:4" x14ac:dyDescent="0.45">
      <c r="A3767">
        <v>627</v>
      </c>
      <c r="B3767">
        <f t="shared" ca="1" si="58"/>
        <v>25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7" t="str">
        <f ca="1">IF(dict_zuord_Meth_Transfers[[#This Row],[kval_active]],dict_zuord_Meth_Transfers[[#This Row],[ID_Transfers]],"")</f>
        <v/>
      </c>
    </row>
    <row r="3768" spans="1:4" x14ac:dyDescent="0.45">
      <c r="A3768">
        <v>627</v>
      </c>
      <c r="B3768" s="3">
        <f t="shared" ca="1" si="58"/>
        <v>52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8" t="str">
        <f ca="1">IF(dict_zuord_Meth_Transfers[[#This Row],[kval_active]],dict_zuord_Meth_Transfers[[#This Row],[ID_Transfers]],"")</f>
        <v/>
      </c>
    </row>
    <row r="3769" spans="1:4" x14ac:dyDescent="0.45">
      <c r="A3769">
        <v>627</v>
      </c>
      <c r="B3769">
        <f t="shared" ca="1" si="58"/>
        <v>177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9" t="str">
        <f ca="1">IF(dict_zuord_Meth_Transfers[[#This Row],[kval_active]],dict_zuord_Meth_Transfers[[#This Row],[ID_Transfers]],"")</f>
        <v/>
      </c>
    </row>
    <row r="3770" spans="1:4" x14ac:dyDescent="0.45">
      <c r="A3770">
        <v>628</v>
      </c>
      <c r="B3770" s="3">
        <f t="shared" ca="1" si="58"/>
        <v>52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0" t="str">
        <f ca="1">IF(dict_zuord_Meth_Transfers[[#This Row],[kval_active]],dict_zuord_Meth_Transfers[[#This Row],[ID_Transfers]],"")</f>
        <v/>
      </c>
    </row>
    <row r="3771" spans="1:4" x14ac:dyDescent="0.45">
      <c r="A3771">
        <v>628</v>
      </c>
      <c r="B3771" s="3">
        <f t="shared" ca="1" si="58"/>
        <v>109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1" t="str">
        <f ca="1">IF(dict_zuord_Meth_Transfers[[#This Row],[kval_active]],dict_zuord_Meth_Transfers[[#This Row],[ID_Transfers]],"")</f>
        <v/>
      </c>
    </row>
    <row r="3772" spans="1:4" x14ac:dyDescent="0.45">
      <c r="A3772">
        <v>628</v>
      </c>
      <c r="B3772">
        <f t="shared" ca="1" si="58"/>
        <v>110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2" t="str">
        <f ca="1">IF(dict_zuord_Meth_Transfers[[#This Row],[kval_active]],dict_zuord_Meth_Transfers[[#This Row],[ID_Transfers]],"")</f>
        <v/>
      </c>
    </row>
    <row r="3773" spans="1:4" x14ac:dyDescent="0.45">
      <c r="A3773">
        <v>628</v>
      </c>
      <c r="B3773">
        <f t="shared" ca="1" si="58"/>
        <v>116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3" t="str">
        <f ca="1">IF(dict_zuord_Meth_Transfers[[#This Row],[kval_active]],dict_zuord_Meth_Transfers[[#This Row],[ID_Transfers]],"")</f>
        <v/>
      </c>
    </row>
    <row r="3774" spans="1:4" x14ac:dyDescent="0.45">
      <c r="A3774">
        <v>628</v>
      </c>
      <c r="B3774">
        <f t="shared" ca="1" si="58"/>
        <v>26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4" t="str">
        <f ca="1">IF(dict_zuord_Meth_Transfers[[#This Row],[kval_active]],dict_zuord_Meth_Transfers[[#This Row],[ID_Transfers]],"")</f>
        <v/>
      </c>
    </row>
    <row r="3775" spans="1:4" x14ac:dyDescent="0.45">
      <c r="A3775">
        <v>628</v>
      </c>
      <c r="B3775" s="3">
        <f t="shared" ca="1" si="58"/>
        <v>110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5" t="str">
        <f ca="1">IF(dict_zuord_Meth_Transfers[[#This Row],[kval_active]],dict_zuord_Meth_Transfers[[#This Row],[ID_Transfers]],"")</f>
        <v/>
      </c>
    </row>
    <row r="3776" spans="1:4" x14ac:dyDescent="0.45">
      <c r="A3776">
        <v>629</v>
      </c>
      <c r="B3776">
        <f t="shared" ca="1" si="58"/>
        <v>4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6" t="str">
        <f ca="1">IF(dict_zuord_Meth_Transfers[[#This Row],[kval_active]],dict_zuord_Meth_Transfers[[#This Row],[ID_Transfers]],"")</f>
        <v/>
      </c>
    </row>
    <row r="3777" spans="1:4" x14ac:dyDescent="0.45">
      <c r="A3777">
        <v>629</v>
      </c>
      <c r="B3777">
        <f t="shared" ca="1" si="58"/>
        <v>70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7" t="str">
        <f ca="1">IF(dict_zuord_Meth_Transfers[[#This Row],[kval_active]],dict_zuord_Meth_Transfers[[#This Row],[ID_Transfers]],"")</f>
        <v/>
      </c>
    </row>
    <row r="3778" spans="1:4" x14ac:dyDescent="0.45">
      <c r="A3778">
        <v>629</v>
      </c>
      <c r="B3778" s="3">
        <f t="shared" ref="B3778:B3841" ca="1" si="59">RANDBETWEEN(0,200)</f>
        <v>68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8" t="str">
        <f ca="1">IF(dict_zuord_Meth_Transfers[[#This Row],[kval_active]],dict_zuord_Meth_Transfers[[#This Row],[ID_Transfers]],"")</f>
        <v/>
      </c>
    </row>
    <row r="3779" spans="1:4" x14ac:dyDescent="0.45">
      <c r="A3779">
        <v>629</v>
      </c>
      <c r="B3779">
        <f t="shared" ca="1" si="59"/>
        <v>46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9" t="str">
        <f ca="1">IF(dict_zuord_Meth_Transfers[[#This Row],[kval_active]],dict_zuord_Meth_Transfers[[#This Row],[ID_Transfers]],"")</f>
        <v/>
      </c>
    </row>
    <row r="3780" spans="1:4" x14ac:dyDescent="0.45">
      <c r="A3780">
        <v>629</v>
      </c>
      <c r="B3780" s="3">
        <f t="shared" ca="1" si="59"/>
        <v>76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0" t="str">
        <f ca="1">IF(dict_zuord_Meth_Transfers[[#This Row],[kval_active]],dict_zuord_Meth_Transfers[[#This Row],[ID_Transfers]],"")</f>
        <v/>
      </c>
    </row>
    <row r="3781" spans="1:4" x14ac:dyDescent="0.45">
      <c r="A3781">
        <v>629</v>
      </c>
      <c r="B3781" s="3">
        <f t="shared" ca="1" si="59"/>
        <v>135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1" t="str">
        <f ca="1">IF(dict_zuord_Meth_Transfers[[#This Row],[kval_active]],dict_zuord_Meth_Transfers[[#This Row],[ID_Transfers]],"")</f>
        <v/>
      </c>
    </row>
    <row r="3782" spans="1:4" x14ac:dyDescent="0.45">
      <c r="A3782">
        <v>630</v>
      </c>
      <c r="B3782" s="3">
        <f t="shared" ca="1" si="59"/>
        <v>68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2" t="str">
        <f ca="1">IF(dict_zuord_Meth_Transfers[[#This Row],[kval_active]],dict_zuord_Meth_Transfers[[#This Row],[ID_Transfers]],"")</f>
        <v/>
      </c>
    </row>
    <row r="3783" spans="1:4" x14ac:dyDescent="0.45">
      <c r="A3783">
        <v>630</v>
      </c>
      <c r="B3783">
        <f t="shared" ca="1" si="59"/>
        <v>46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3" t="str">
        <f ca="1">IF(dict_zuord_Meth_Transfers[[#This Row],[kval_active]],dict_zuord_Meth_Transfers[[#This Row],[ID_Transfers]],"")</f>
        <v/>
      </c>
    </row>
    <row r="3784" spans="1:4" x14ac:dyDescent="0.45">
      <c r="A3784">
        <v>630</v>
      </c>
      <c r="B3784">
        <f t="shared" ca="1" si="59"/>
        <v>67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4" t="str">
        <f ca="1">IF(dict_zuord_Meth_Transfers[[#This Row],[kval_active]],dict_zuord_Meth_Transfers[[#This Row],[ID_Transfers]],"")</f>
        <v/>
      </c>
    </row>
    <row r="3785" spans="1:4" x14ac:dyDescent="0.45">
      <c r="A3785">
        <v>630</v>
      </c>
      <c r="B3785" s="3">
        <f t="shared" ca="1" si="59"/>
        <v>115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5" t="str">
        <f ca="1">IF(dict_zuord_Meth_Transfers[[#This Row],[kval_active]],dict_zuord_Meth_Transfers[[#This Row],[ID_Transfers]],"")</f>
        <v/>
      </c>
    </row>
    <row r="3786" spans="1:4" x14ac:dyDescent="0.45">
      <c r="A3786">
        <v>630</v>
      </c>
      <c r="B3786" s="3">
        <f t="shared" ca="1" si="59"/>
        <v>51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6" t="str">
        <f ca="1">IF(dict_zuord_Meth_Transfers[[#This Row],[kval_active]],dict_zuord_Meth_Transfers[[#This Row],[ID_Transfers]],"")</f>
        <v/>
      </c>
    </row>
    <row r="3787" spans="1:4" x14ac:dyDescent="0.45">
      <c r="A3787">
        <v>630</v>
      </c>
      <c r="B3787">
        <f t="shared" ca="1" si="59"/>
        <v>189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7" t="str">
        <f ca="1">IF(dict_zuord_Meth_Transfers[[#This Row],[kval_active]],dict_zuord_Meth_Transfers[[#This Row],[ID_Transfers]],"")</f>
        <v/>
      </c>
    </row>
    <row r="3788" spans="1:4" x14ac:dyDescent="0.45">
      <c r="A3788">
        <v>631</v>
      </c>
      <c r="B3788">
        <f t="shared" ca="1" si="59"/>
        <v>6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8" t="str">
        <f ca="1">IF(dict_zuord_Meth_Transfers[[#This Row],[kval_active]],dict_zuord_Meth_Transfers[[#This Row],[ID_Transfers]],"")</f>
        <v/>
      </c>
    </row>
    <row r="3789" spans="1:4" x14ac:dyDescent="0.45">
      <c r="A3789">
        <v>631</v>
      </c>
      <c r="B3789" s="3">
        <f t="shared" ca="1" si="59"/>
        <v>198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9" t="str">
        <f ca="1">IF(dict_zuord_Meth_Transfers[[#This Row],[kval_active]],dict_zuord_Meth_Transfers[[#This Row],[ID_Transfers]],"")</f>
        <v/>
      </c>
    </row>
    <row r="3790" spans="1:4" x14ac:dyDescent="0.45">
      <c r="A3790">
        <v>631</v>
      </c>
      <c r="B3790">
        <f t="shared" ca="1" si="59"/>
        <v>146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0" t="str">
        <f ca="1">IF(dict_zuord_Meth_Transfers[[#This Row],[kval_active]],dict_zuord_Meth_Transfers[[#This Row],[ID_Transfers]],"")</f>
        <v/>
      </c>
    </row>
    <row r="3791" spans="1:4" x14ac:dyDescent="0.45">
      <c r="A3791">
        <v>631</v>
      </c>
      <c r="B3791" s="3">
        <f t="shared" ca="1" si="59"/>
        <v>68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1" t="str">
        <f ca="1">IF(dict_zuord_Meth_Transfers[[#This Row],[kval_active]],dict_zuord_Meth_Transfers[[#This Row],[ID_Transfers]],"")</f>
        <v/>
      </c>
    </row>
    <row r="3792" spans="1:4" x14ac:dyDescent="0.45">
      <c r="A3792">
        <v>631</v>
      </c>
      <c r="B3792" s="3">
        <f t="shared" ca="1" si="59"/>
        <v>190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2" t="str">
        <f ca="1">IF(dict_zuord_Meth_Transfers[[#This Row],[kval_active]],dict_zuord_Meth_Transfers[[#This Row],[ID_Transfers]],"")</f>
        <v/>
      </c>
    </row>
    <row r="3793" spans="1:4" x14ac:dyDescent="0.45">
      <c r="A3793">
        <v>631</v>
      </c>
      <c r="B3793">
        <f t="shared" ca="1" si="59"/>
        <v>199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3" t="str">
        <f ca="1">IF(dict_zuord_Meth_Transfers[[#This Row],[kval_active]],dict_zuord_Meth_Transfers[[#This Row],[ID_Transfers]],"")</f>
        <v/>
      </c>
    </row>
    <row r="3794" spans="1:4" x14ac:dyDescent="0.45">
      <c r="A3794">
        <v>632</v>
      </c>
      <c r="B3794">
        <f t="shared" ca="1" si="59"/>
        <v>166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4" t="str">
        <f ca="1">IF(dict_zuord_Meth_Transfers[[#This Row],[kval_active]],dict_zuord_Meth_Transfers[[#This Row],[ID_Transfers]],"")</f>
        <v/>
      </c>
    </row>
    <row r="3795" spans="1:4" x14ac:dyDescent="0.45">
      <c r="A3795">
        <v>632</v>
      </c>
      <c r="B3795" s="3">
        <f t="shared" ca="1" si="59"/>
        <v>62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5" t="str">
        <f ca="1">IF(dict_zuord_Meth_Transfers[[#This Row],[kval_active]],dict_zuord_Meth_Transfers[[#This Row],[ID_Transfers]],"")</f>
        <v/>
      </c>
    </row>
    <row r="3796" spans="1:4" x14ac:dyDescent="0.45">
      <c r="A3796">
        <v>632</v>
      </c>
      <c r="B3796" s="3">
        <f t="shared" ca="1" si="59"/>
        <v>37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6" t="str">
        <f ca="1">IF(dict_zuord_Meth_Transfers[[#This Row],[kval_active]],dict_zuord_Meth_Transfers[[#This Row],[ID_Transfers]],"")</f>
        <v/>
      </c>
    </row>
    <row r="3797" spans="1:4" x14ac:dyDescent="0.45">
      <c r="A3797">
        <v>632</v>
      </c>
      <c r="B3797">
        <f t="shared" ca="1" si="59"/>
        <v>197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7" t="str">
        <f ca="1">IF(dict_zuord_Meth_Transfers[[#This Row],[kval_active]],dict_zuord_Meth_Transfers[[#This Row],[ID_Transfers]],"")</f>
        <v/>
      </c>
    </row>
    <row r="3798" spans="1:4" x14ac:dyDescent="0.45">
      <c r="A3798">
        <v>632</v>
      </c>
      <c r="B3798">
        <f t="shared" ca="1" si="59"/>
        <v>82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8" t="str">
        <f ca="1">IF(dict_zuord_Meth_Transfers[[#This Row],[kval_active]],dict_zuord_Meth_Transfers[[#This Row],[ID_Transfers]],"")</f>
        <v/>
      </c>
    </row>
    <row r="3799" spans="1:4" x14ac:dyDescent="0.45">
      <c r="A3799">
        <v>632</v>
      </c>
      <c r="B3799" s="3">
        <f t="shared" ca="1" si="59"/>
        <v>172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9" t="str">
        <f ca="1">IF(dict_zuord_Meth_Transfers[[#This Row],[kval_active]],dict_zuord_Meth_Transfers[[#This Row],[ID_Transfers]],"")</f>
        <v/>
      </c>
    </row>
    <row r="3800" spans="1:4" x14ac:dyDescent="0.45">
      <c r="A3800">
        <v>633</v>
      </c>
      <c r="B3800">
        <f t="shared" ca="1" si="59"/>
        <v>54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0" t="str">
        <f ca="1">IF(dict_zuord_Meth_Transfers[[#This Row],[kval_active]],dict_zuord_Meth_Transfers[[#This Row],[ID_Transfers]],"")</f>
        <v/>
      </c>
    </row>
    <row r="3801" spans="1:4" x14ac:dyDescent="0.45">
      <c r="A3801">
        <v>633</v>
      </c>
      <c r="B3801">
        <f t="shared" ca="1" si="59"/>
        <v>171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1" t="str">
        <f ca="1">IF(dict_zuord_Meth_Transfers[[#This Row],[kval_active]],dict_zuord_Meth_Transfers[[#This Row],[ID_Transfers]],"")</f>
        <v/>
      </c>
    </row>
    <row r="3802" spans="1:4" x14ac:dyDescent="0.45">
      <c r="A3802">
        <v>633</v>
      </c>
      <c r="B3802" s="3">
        <f t="shared" ca="1" si="59"/>
        <v>70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2" t="str">
        <f ca="1">IF(dict_zuord_Meth_Transfers[[#This Row],[kval_active]],dict_zuord_Meth_Transfers[[#This Row],[ID_Transfers]],"")</f>
        <v/>
      </c>
    </row>
    <row r="3803" spans="1:4" x14ac:dyDescent="0.45">
      <c r="A3803">
        <v>633</v>
      </c>
      <c r="B3803" s="3">
        <f t="shared" ca="1" si="59"/>
        <v>178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3" t="str">
        <f ca="1">IF(dict_zuord_Meth_Transfers[[#This Row],[kval_active]],dict_zuord_Meth_Transfers[[#This Row],[ID_Transfers]],"")</f>
        <v/>
      </c>
    </row>
    <row r="3804" spans="1:4" x14ac:dyDescent="0.45">
      <c r="A3804">
        <v>633</v>
      </c>
      <c r="B3804" s="3">
        <f t="shared" ca="1" si="59"/>
        <v>197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4" t="str">
        <f ca="1">IF(dict_zuord_Meth_Transfers[[#This Row],[kval_active]],dict_zuord_Meth_Transfers[[#This Row],[ID_Transfers]],"")</f>
        <v/>
      </c>
    </row>
    <row r="3805" spans="1:4" x14ac:dyDescent="0.45">
      <c r="A3805">
        <v>633</v>
      </c>
      <c r="B3805">
        <f t="shared" ca="1" si="59"/>
        <v>30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5" t="str">
        <f ca="1">IF(dict_zuord_Meth_Transfers[[#This Row],[kval_active]],dict_zuord_Meth_Transfers[[#This Row],[ID_Transfers]],"")</f>
        <v/>
      </c>
    </row>
    <row r="3806" spans="1:4" x14ac:dyDescent="0.45">
      <c r="A3806">
        <v>634</v>
      </c>
      <c r="B3806">
        <f t="shared" ca="1" si="59"/>
        <v>131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6" t="str">
        <f ca="1">IF(dict_zuord_Meth_Transfers[[#This Row],[kval_active]],dict_zuord_Meth_Transfers[[#This Row],[ID_Transfers]],"")</f>
        <v/>
      </c>
    </row>
    <row r="3807" spans="1:4" x14ac:dyDescent="0.45">
      <c r="A3807">
        <v>634</v>
      </c>
      <c r="B3807" s="3">
        <f t="shared" ca="1" si="59"/>
        <v>97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7" t="str">
        <f ca="1">IF(dict_zuord_Meth_Transfers[[#This Row],[kval_active]],dict_zuord_Meth_Transfers[[#This Row],[ID_Transfers]],"")</f>
        <v/>
      </c>
    </row>
    <row r="3808" spans="1:4" x14ac:dyDescent="0.45">
      <c r="A3808">
        <v>634</v>
      </c>
      <c r="B3808">
        <f t="shared" ca="1" si="59"/>
        <v>31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8" t="str">
        <f ca="1">IF(dict_zuord_Meth_Transfers[[#This Row],[kval_active]],dict_zuord_Meth_Transfers[[#This Row],[ID_Transfers]],"")</f>
        <v/>
      </c>
    </row>
    <row r="3809" spans="1:4" x14ac:dyDescent="0.45">
      <c r="A3809">
        <v>634</v>
      </c>
      <c r="B3809" s="3">
        <f t="shared" ca="1" si="59"/>
        <v>95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9" t="str">
        <f ca="1">IF(dict_zuord_Meth_Transfers[[#This Row],[kval_active]],dict_zuord_Meth_Transfers[[#This Row],[ID_Transfers]],"")</f>
        <v/>
      </c>
    </row>
    <row r="3810" spans="1:4" x14ac:dyDescent="0.45">
      <c r="A3810">
        <v>634</v>
      </c>
      <c r="B3810" s="3">
        <f t="shared" ca="1" si="59"/>
        <v>155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0" t="str">
        <f ca="1">IF(dict_zuord_Meth_Transfers[[#This Row],[kval_active]],dict_zuord_Meth_Transfers[[#This Row],[ID_Transfers]],"")</f>
        <v/>
      </c>
    </row>
    <row r="3811" spans="1:4" x14ac:dyDescent="0.45">
      <c r="A3811">
        <v>634</v>
      </c>
      <c r="B3811">
        <f t="shared" ca="1" si="59"/>
        <v>165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1" t="str">
        <f ca="1">IF(dict_zuord_Meth_Transfers[[#This Row],[kval_active]],dict_zuord_Meth_Transfers[[#This Row],[ID_Transfers]],"")</f>
        <v/>
      </c>
    </row>
    <row r="3812" spans="1:4" x14ac:dyDescent="0.45">
      <c r="A3812">
        <v>635</v>
      </c>
      <c r="B3812">
        <f t="shared" ca="1" si="59"/>
        <v>116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2" t="str">
        <f ca="1">IF(dict_zuord_Meth_Transfers[[#This Row],[kval_active]],dict_zuord_Meth_Transfers[[#This Row],[ID_Transfers]],"")</f>
        <v/>
      </c>
    </row>
    <row r="3813" spans="1:4" x14ac:dyDescent="0.45">
      <c r="A3813">
        <v>635</v>
      </c>
      <c r="B3813" s="3">
        <f t="shared" ca="1" si="59"/>
        <v>77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3" t="str">
        <f ca="1">IF(dict_zuord_Meth_Transfers[[#This Row],[kval_active]],dict_zuord_Meth_Transfers[[#This Row],[ID_Transfers]],"")</f>
        <v/>
      </c>
    </row>
    <row r="3814" spans="1:4" x14ac:dyDescent="0.45">
      <c r="A3814">
        <v>635</v>
      </c>
      <c r="B3814" s="3">
        <f t="shared" ca="1" si="59"/>
        <v>59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4" t="str">
        <f ca="1">IF(dict_zuord_Meth_Transfers[[#This Row],[kval_active]],dict_zuord_Meth_Transfers[[#This Row],[ID_Transfers]],"")</f>
        <v/>
      </c>
    </row>
    <row r="3815" spans="1:4" x14ac:dyDescent="0.45">
      <c r="A3815">
        <v>635</v>
      </c>
      <c r="B3815">
        <f t="shared" ca="1" si="59"/>
        <v>53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5" t="str">
        <f ca="1">IF(dict_zuord_Meth_Transfers[[#This Row],[kval_active]],dict_zuord_Meth_Transfers[[#This Row],[ID_Transfers]],"")</f>
        <v/>
      </c>
    </row>
    <row r="3816" spans="1:4" x14ac:dyDescent="0.45">
      <c r="A3816">
        <v>635</v>
      </c>
      <c r="B3816">
        <f t="shared" ca="1" si="59"/>
        <v>172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6" t="str">
        <f ca="1">IF(dict_zuord_Meth_Transfers[[#This Row],[kval_active]],dict_zuord_Meth_Transfers[[#This Row],[ID_Transfers]],"")</f>
        <v/>
      </c>
    </row>
    <row r="3817" spans="1:4" x14ac:dyDescent="0.45">
      <c r="A3817">
        <v>635</v>
      </c>
      <c r="B3817" s="3">
        <f t="shared" ca="1" si="59"/>
        <v>80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7" t="str">
        <f ca="1">IF(dict_zuord_Meth_Transfers[[#This Row],[kval_active]],dict_zuord_Meth_Transfers[[#This Row],[ID_Transfers]],"")</f>
        <v/>
      </c>
    </row>
    <row r="3818" spans="1:4" x14ac:dyDescent="0.45">
      <c r="A3818">
        <v>636</v>
      </c>
      <c r="B3818" s="3">
        <f t="shared" ca="1" si="59"/>
        <v>161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8" t="str">
        <f ca="1">IF(dict_zuord_Meth_Transfers[[#This Row],[kval_active]],dict_zuord_Meth_Transfers[[#This Row],[ID_Transfers]],"")</f>
        <v/>
      </c>
    </row>
    <row r="3819" spans="1:4" x14ac:dyDescent="0.45">
      <c r="A3819">
        <v>636</v>
      </c>
      <c r="B3819">
        <f t="shared" ca="1" si="59"/>
        <v>42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9" t="str">
        <f ca="1">IF(dict_zuord_Meth_Transfers[[#This Row],[kval_active]],dict_zuord_Meth_Transfers[[#This Row],[ID_Transfers]],"")</f>
        <v/>
      </c>
    </row>
    <row r="3820" spans="1:4" x14ac:dyDescent="0.45">
      <c r="A3820">
        <v>636</v>
      </c>
      <c r="B3820" s="3">
        <f t="shared" ca="1" si="59"/>
        <v>148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0" t="str">
        <f ca="1">IF(dict_zuord_Meth_Transfers[[#This Row],[kval_active]],dict_zuord_Meth_Transfers[[#This Row],[ID_Transfers]],"")</f>
        <v/>
      </c>
    </row>
    <row r="3821" spans="1:4" x14ac:dyDescent="0.45">
      <c r="A3821">
        <v>636</v>
      </c>
      <c r="B3821" s="3">
        <f t="shared" ca="1" si="59"/>
        <v>178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1" t="str">
        <f ca="1">IF(dict_zuord_Meth_Transfers[[#This Row],[kval_active]],dict_zuord_Meth_Transfers[[#This Row],[ID_Transfers]],"")</f>
        <v/>
      </c>
    </row>
    <row r="3822" spans="1:4" x14ac:dyDescent="0.45">
      <c r="A3822">
        <v>636</v>
      </c>
      <c r="B3822">
        <f t="shared" ca="1" si="59"/>
        <v>159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2" t="str">
        <f ca="1">IF(dict_zuord_Meth_Transfers[[#This Row],[kval_active]],dict_zuord_Meth_Transfers[[#This Row],[ID_Transfers]],"")</f>
        <v/>
      </c>
    </row>
    <row r="3823" spans="1:4" x14ac:dyDescent="0.45">
      <c r="A3823">
        <v>636</v>
      </c>
      <c r="B3823">
        <f t="shared" ca="1" si="59"/>
        <v>59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3" t="str">
        <f ca="1">IF(dict_zuord_Meth_Transfers[[#This Row],[kval_active]],dict_zuord_Meth_Transfers[[#This Row],[ID_Transfers]],"")</f>
        <v/>
      </c>
    </row>
    <row r="3824" spans="1:4" x14ac:dyDescent="0.45">
      <c r="A3824">
        <v>637</v>
      </c>
      <c r="B3824">
        <f t="shared" ca="1" si="59"/>
        <v>88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4" t="str">
        <f ca="1">IF(dict_zuord_Meth_Transfers[[#This Row],[kval_active]],dict_zuord_Meth_Transfers[[#This Row],[ID_Transfers]],"")</f>
        <v/>
      </c>
    </row>
    <row r="3825" spans="1:4" x14ac:dyDescent="0.45">
      <c r="A3825">
        <v>637</v>
      </c>
      <c r="B3825">
        <f t="shared" ca="1" si="59"/>
        <v>19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5" t="str">
        <f ca="1">IF(dict_zuord_Meth_Transfers[[#This Row],[kval_active]],dict_zuord_Meth_Transfers[[#This Row],[ID_Transfers]],"")</f>
        <v/>
      </c>
    </row>
    <row r="3826" spans="1:4" x14ac:dyDescent="0.45">
      <c r="A3826">
        <v>637</v>
      </c>
      <c r="B3826" s="3">
        <f t="shared" ca="1" si="59"/>
        <v>82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6" t="str">
        <f ca="1">IF(dict_zuord_Meth_Transfers[[#This Row],[kval_active]],dict_zuord_Meth_Transfers[[#This Row],[ID_Transfers]],"")</f>
        <v/>
      </c>
    </row>
    <row r="3827" spans="1:4" x14ac:dyDescent="0.45">
      <c r="A3827">
        <v>637</v>
      </c>
      <c r="B3827" s="3">
        <f t="shared" ca="1" si="59"/>
        <v>10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7" t="str">
        <f ca="1">IF(dict_zuord_Meth_Transfers[[#This Row],[kval_active]],dict_zuord_Meth_Transfers[[#This Row],[ID_Transfers]],"")</f>
        <v/>
      </c>
    </row>
    <row r="3828" spans="1:4" x14ac:dyDescent="0.45">
      <c r="A3828">
        <v>637</v>
      </c>
      <c r="B3828">
        <f t="shared" ca="1" si="59"/>
        <v>190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8" t="str">
        <f ca="1">IF(dict_zuord_Meth_Transfers[[#This Row],[kval_active]],dict_zuord_Meth_Transfers[[#This Row],[ID_Transfers]],"")</f>
        <v/>
      </c>
    </row>
    <row r="3829" spans="1:4" x14ac:dyDescent="0.45">
      <c r="A3829">
        <v>637</v>
      </c>
      <c r="B3829" s="3">
        <f t="shared" ca="1" si="59"/>
        <v>189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9" t="str">
        <f ca="1">IF(dict_zuord_Meth_Transfers[[#This Row],[kval_active]],dict_zuord_Meth_Transfers[[#This Row],[ID_Transfers]],"")</f>
        <v/>
      </c>
    </row>
    <row r="3830" spans="1:4" x14ac:dyDescent="0.45">
      <c r="A3830">
        <v>638</v>
      </c>
      <c r="B3830" s="3">
        <f t="shared" ca="1" si="59"/>
        <v>147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0" t="str">
        <f ca="1">IF(dict_zuord_Meth_Transfers[[#This Row],[kval_active]],dict_zuord_Meth_Transfers[[#This Row],[ID_Transfers]],"")</f>
        <v/>
      </c>
    </row>
    <row r="3831" spans="1:4" x14ac:dyDescent="0.45">
      <c r="A3831">
        <v>638</v>
      </c>
      <c r="B3831" s="3">
        <f t="shared" ca="1" si="59"/>
        <v>99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1" t="str">
        <f ca="1">IF(dict_zuord_Meth_Transfers[[#This Row],[kval_active]],dict_zuord_Meth_Transfers[[#This Row],[ID_Transfers]],"")</f>
        <v/>
      </c>
    </row>
    <row r="3832" spans="1:4" x14ac:dyDescent="0.45">
      <c r="A3832">
        <v>638</v>
      </c>
      <c r="B3832">
        <f t="shared" ca="1" si="59"/>
        <v>75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2" t="str">
        <f ca="1">IF(dict_zuord_Meth_Transfers[[#This Row],[kval_active]],dict_zuord_Meth_Transfers[[#This Row],[ID_Transfers]],"")</f>
        <v/>
      </c>
    </row>
    <row r="3833" spans="1:4" x14ac:dyDescent="0.45">
      <c r="A3833">
        <v>638</v>
      </c>
      <c r="B3833" s="3">
        <f t="shared" ca="1" si="59"/>
        <v>96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3" t="str">
        <f ca="1">IF(dict_zuord_Meth_Transfers[[#This Row],[kval_active]],dict_zuord_Meth_Transfers[[#This Row],[ID_Transfers]],"")</f>
        <v/>
      </c>
    </row>
    <row r="3834" spans="1:4" x14ac:dyDescent="0.45">
      <c r="A3834">
        <v>638</v>
      </c>
      <c r="B3834">
        <f t="shared" ca="1" si="59"/>
        <v>122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4" t="str">
        <f ca="1">IF(dict_zuord_Meth_Transfers[[#This Row],[kval_active]],dict_zuord_Meth_Transfers[[#This Row],[ID_Transfers]],"")</f>
        <v/>
      </c>
    </row>
    <row r="3835" spans="1:4" x14ac:dyDescent="0.45">
      <c r="A3835">
        <v>638</v>
      </c>
      <c r="B3835">
        <f t="shared" ca="1" si="59"/>
        <v>70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5" t="str">
        <f ca="1">IF(dict_zuord_Meth_Transfers[[#This Row],[kval_active]],dict_zuord_Meth_Transfers[[#This Row],[ID_Transfers]],"")</f>
        <v/>
      </c>
    </row>
    <row r="3836" spans="1:4" x14ac:dyDescent="0.45">
      <c r="A3836">
        <v>639</v>
      </c>
      <c r="B3836" s="3">
        <f t="shared" ca="1" si="59"/>
        <v>76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6" t="str">
        <f ca="1">IF(dict_zuord_Meth_Transfers[[#This Row],[kval_active]],dict_zuord_Meth_Transfers[[#This Row],[ID_Transfers]],"")</f>
        <v/>
      </c>
    </row>
    <row r="3837" spans="1:4" x14ac:dyDescent="0.45">
      <c r="A3837">
        <v>639</v>
      </c>
      <c r="B3837">
        <f t="shared" ca="1" si="59"/>
        <v>156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7" t="str">
        <f ca="1">IF(dict_zuord_Meth_Transfers[[#This Row],[kval_active]],dict_zuord_Meth_Transfers[[#This Row],[ID_Transfers]],"")</f>
        <v/>
      </c>
    </row>
    <row r="3838" spans="1:4" x14ac:dyDescent="0.45">
      <c r="A3838">
        <v>639</v>
      </c>
      <c r="B3838">
        <f t="shared" ca="1" si="59"/>
        <v>138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8" t="str">
        <f ca="1">IF(dict_zuord_Meth_Transfers[[#This Row],[kval_active]],dict_zuord_Meth_Transfers[[#This Row],[ID_Transfers]],"")</f>
        <v/>
      </c>
    </row>
    <row r="3839" spans="1:4" x14ac:dyDescent="0.45">
      <c r="A3839">
        <v>639</v>
      </c>
      <c r="B3839" s="3">
        <f t="shared" ca="1" si="59"/>
        <v>154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9" t="str">
        <f ca="1">IF(dict_zuord_Meth_Transfers[[#This Row],[kval_active]],dict_zuord_Meth_Transfers[[#This Row],[ID_Transfers]],"")</f>
        <v/>
      </c>
    </row>
    <row r="3840" spans="1:4" x14ac:dyDescent="0.45">
      <c r="A3840">
        <v>639</v>
      </c>
      <c r="B3840" s="3">
        <f t="shared" ca="1" si="59"/>
        <v>119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0" t="str">
        <f ca="1">IF(dict_zuord_Meth_Transfers[[#This Row],[kval_active]],dict_zuord_Meth_Transfers[[#This Row],[ID_Transfers]],"")</f>
        <v/>
      </c>
    </row>
    <row r="3841" spans="1:4" x14ac:dyDescent="0.45">
      <c r="A3841">
        <v>639</v>
      </c>
      <c r="B3841">
        <f t="shared" ca="1" si="59"/>
        <v>77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1" t="str">
        <f ca="1">IF(dict_zuord_Meth_Transfers[[#This Row],[kval_active]],dict_zuord_Meth_Transfers[[#This Row],[ID_Transfers]],"")</f>
        <v/>
      </c>
    </row>
    <row r="3842" spans="1:4" x14ac:dyDescent="0.45">
      <c r="A3842">
        <v>640</v>
      </c>
      <c r="B3842" s="3">
        <f t="shared" ref="B3842:B3905" ca="1" si="60">RANDBETWEEN(0,200)</f>
        <v>7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2" t="str">
        <f ca="1">IF(dict_zuord_Meth_Transfers[[#This Row],[kval_active]],dict_zuord_Meth_Transfers[[#This Row],[ID_Transfers]],"")</f>
        <v/>
      </c>
    </row>
    <row r="3843" spans="1:4" x14ac:dyDescent="0.45">
      <c r="A3843">
        <v>640</v>
      </c>
      <c r="B3843">
        <f t="shared" ca="1" si="60"/>
        <v>12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3" t="str">
        <f ca="1">IF(dict_zuord_Meth_Transfers[[#This Row],[kval_active]],dict_zuord_Meth_Transfers[[#This Row],[ID_Transfers]],"")</f>
        <v/>
      </c>
    </row>
    <row r="3844" spans="1:4" x14ac:dyDescent="0.45">
      <c r="A3844">
        <v>640</v>
      </c>
      <c r="B3844">
        <f t="shared" ca="1" si="60"/>
        <v>31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4" t="str">
        <f ca="1">IF(dict_zuord_Meth_Transfers[[#This Row],[kval_active]],dict_zuord_Meth_Transfers[[#This Row],[ID_Transfers]],"")</f>
        <v/>
      </c>
    </row>
    <row r="3845" spans="1:4" x14ac:dyDescent="0.45">
      <c r="A3845">
        <v>640</v>
      </c>
      <c r="B3845" s="3">
        <f t="shared" ca="1" si="60"/>
        <v>143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5" t="str">
        <f ca="1">IF(dict_zuord_Meth_Transfers[[#This Row],[kval_active]],dict_zuord_Meth_Transfers[[#This Row],[ID_Transfers]],"")</f>
        <v/>
      </c>
    </row>
    <row r="3846" spans="1:4" x14ac:dyDescent="0.45">
      <c r="A3846">
        <v>640</v>
      </c>
      <c r="B3846">
        <f t="shared" ca="1" si="60"/>
        <v>47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6" t="str">
        <f ca="1">IF(dict_zuord_Meth_Transfers[[#This Row],[kval_active]],dict_zuord_Meth_Transfers[[#This Row],[ID_Transfers]],"")</f>
        <v/>
      </c>
    </row>
    <row r="3847" spans="1:4" x14ac:dyDescent="0.45">
      <c r="A3847">
        <v>640</v>
      </c>
      <c r="B3847" s="3">
        <f t="shared" ca="1" si="60"/>
        <v>0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7" t="str">
        <f ca="1">IF(dict_zuord_Meth_Transfers[[#This Row],[kval_active]],dict_zuord_Meth_Transfers[[#This Row],[ID_Transfers]],"")</f>
        <v/>
      </c>
    </row>
    <row r="3848" spans="1:4" x14ac:dyDescent="0.45">
      <c r="A3848">
        <v>641</v>
      </c>
      <c r="B3848">
        <f t="shared" ca="1" si="60"/>
        <v>93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8" t="str">
        <f ca="1">IF(dict_zuord_Meth_Transfers[[#This Row],[kval_active]],dict_zuord_Meth_Transfers[[#This Row],[ID_Transfers]],"")</f>
        <v/>
      </c>
    </row>
    <row r="3849" spans="1:4" x14ac:dyDescent="0.45">
      <c r="A3849">
        <v>641</v>
      </c>
      <c r="B3849">
        <f t="shared" ca="1" si="60"/>
        <v>90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9" t="str">
        <f ca="1">IF(dict_zuord_Meth_Transfers[[#This Row],[kval_active]],dict_zuord_Meth_Transfers[[#This Row],[ID_Transfers]],"")</f>
        <v/>
      </c>
    </row>
    <row r="3850" spans="1:4" x14ac:dyDescent="0.45">
      <c r="A3850">
        <v>641</v>
      </c>
      <c r="B3850" s="3">
        <f t="shared" ca="1" si="60"/>
        <v>62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0" t="str">
        <f ca="1">IF(dict_zuord_Meth_Transfers[[#This Row],[kval_active]],dict_zuord_Meth_Transfers[[#This Row],[ID_Transfers]],"")</f>
        <v/>
      </c>
    </row>
    <row r="3851" spans="1:4" x14ac:dyDescent="0.45">
      <c r="A3851">
        <v>641</v>
      </c>
      <c r="B3851" s="3">
        <f t="shared" ca="1" si="60"/>
        <v>100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1" t="str">
        <f ca="1">IF(dict_zuord_Meth_Transfers[[#This Row],[kval_active]],dict_zuord_Meth_Transfers[[#This Row],[ID_Transfers]],"")</f>
        <v/>
      </c>
    </row>
    <row r="3852" spans="1:4" x14ac:dyDescent="0.45">
      <c r="A3852">
        <v>641</v>
      </c>
      <c r="B3852" s="3">
        <f t="shared" ca="1" si="60"/>
        <v>29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2" t="str">
        <f ca="1">IF(dict_zuord_Meth_Transfers[[#This Row],[kval_active]],dict_zuord_Meth_Transfers[[#This Row],[ID_Transfers]],"")</f>
        <v/>
      </c>
    </row>
    <row r="3853" spans="1:4" x14ac:dyDescent="0.45">
      <c r="A3853">
        <v>641</v>
      </c>
      <c r="B3853">
        <f t="shared" ca="1" si="60"/>
        <v>25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3" t="str">
        <f ca="1">IF(dict_zuord_Meth_Transfers[[#This Row],[kval_active]],dict_zuord_Meth_Transfers[[#This Row],[ID_Transfers]],"")</f>
        <v/>
      </c>
    </row>
    <row r="3854" spans="1:4" x14ac:dyDescent="0.45">
      <c r="A3854">
        <v>642</v>
      </c>
      <c r="B3854" s="3">
        <f t="shared" ca="1" si="60"/>
        <v>21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4" t="str">
        <f ca="1">IF(dict_zuord_Meth_Transfers[[#This Row],[kval_active]],dict_zuord_Meth_Transfers[[#This Row],[ID_Transfers]],"")</f>
        <v/>
      </c>
    </row>
    <row r="3855" spans="1:4" x14ac:dyDescent="0.45">
      <c r="A3855">
        <v>642</v>
      </c>
      <c r="B3855">
        <f t="shared" ca="1" si="60"/>
        <v>120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5" t="str">
        <f ca="1">IF(dict_zuord_Meth_Transfers[[#This Row],[kval_active]],dict_zuord_Meth_Transfers[[#This Row],[ID_Transfers]],"")</f>
        <v/>
      </c>
    </row>
    <row r="3856" spans="1:4" x14ac:dyDescent="0.45">
      <c r="A3856">
        <v>642</v>
      </c>
      <c r="B3856">
        <f t="shared" ca="1" si="60"/>
        <v>78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6" t="str">
        <f ca="1">IF(dict_zuord_Meth_Transfers[[#This Row],[kval_active]],dict_zuord_Meth_Transfers[[#This Row],[ID_Transfers]],"")</f>
        <v/>
      </c>
    </row>
    <row r="3857" spans="1:4" x14ac:dyDescent="0.45">
      <c r="A3857">
        <v>642</v>
      </c>
      <c r="B3857">
        <f t="shared" ca="1" si="60"/>
        <v>6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7" t="str">
        <f ca="1">IF(dict_zuord_Meth_Transfers[[#This Row],[kval_active]],dict_zuord_Meth_Transfers[[#This Row],[ID_Transfers]],"")</f>
        <v/>
      </c>
    </row>
    <row r="3858" spans="1:4" x14ac:dyDescent="0.45">
      <c r="A3858">
        <v>642</v>
      </c>
      <c r="B3858" s="3">
        <f t="shared" ca="1" si="60"/>
        <v>12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8" t="str">
        <f ca="1">IF(dict_zuord_Meth_Transfers[[#This Row],[kval_active]],dict_zuord_Meth_Transfers[[#This Row],[ID_Transfers]],"")</f>
        <v/>
      </c>
    </row>
    <row r="3859" spans="1:4" x14ac:dyDescent="0.45">
      <c r="A3859">
        <v>642</v>
      </c>
      <c r="B3859" s="3">
        <f t="shared" ca="1" si="60"/>
        <v>139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9" t="str">
        <f ca="1">IF(dict_zuord_Meth_Transfers[[#This Row],[kval_active]],dict_zuord_Meth_Transfers[[#This Row],[ID_Transfers]],"")</f>
        <v/>
      </c>
    </row>
    <row r="3860" spans="1:4" x14ac:dyDescent="0.45">
      <c r="A3860">
        <v>643</v>
      </c>
      <c r="B3860">
        <f t="shared" ca="1" si="60"/>
        <v>14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0" t="str">
        <f ca="1">IF(dict_zuord_Meth_Transfers[[#This Row],[kval_active]],dict_zuord_Meth_Transfers[[#This Row],[ID_Transfers]],"")</f>
        <v/>
      </c>
    </row>
    <row r="3861" spans="1:4" x14ac:dyDescent="0.45">
      <c r="A3861">
        <v>643</v>
      </c>
      <c r="B3861">
        <f t="shared" ca="1" si="60"/>
        <v>131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1" t="str">
        <f ca="1">IF(dict_zuord_Meth_Transfers[[#This Row],[kval_active]],dict_zuord_Meth_Transfers[[#This Row],[ID_Transfers]],"")</f>
        <v/>
      </c>
    </row>
    <row r="3862" spans="1:4" x14ac:dyDescent="0.45">
      <c r="A3862">
        <v>643</v>
      </c>
      <c r="B3862" s="3">
        <f t="shared" ca="1" si="60"/>
        <v>184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2" t="str">
        <f ca="1">IF(dict_zuord_Meth_Transfers[[#This Row],[kval_active]],dict_zuord_Meth_Transfers[[#This Row],[ID_Transfers]],"")</f>
        <v/>
      </c>
    </row>
    <row r="3863" spans="1:4" x14ac:dyDescent="0.45">
      <c r="A3863">
        <v>643</v>
      </c>
      <c r="B3863" s="3">
        <f t="shared" ca="1" si="60"/>
        <v>138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3" t="str">
        <f ca="1">IF(dict_zuord_Meth_Transfers[[#This Row],[kval_active]],dict_zuord_Meth_Transfers[[#This Row],[ID_Transfers]],"")</f>
        <v/>
      </c>
    </row>
    <row r="3864" spans="1:4" x14ac:dyDescent="0.45">
      <c r="A3864">
        <v>643</v>
      </c>
      <c r="B3864">
        <f t="shared" ca="1" si="60"/>
        <v>86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4" t="str">
        <f ca="1">IF(dict_zuord_Meth_Transfers[[#This Row],[kval_active]],dict_zuord_Meth_Transfers[[#This Row],[ID_Transfers]],"")</f>
        <v/>
      </c>
    </row>
    <row r="3865" spans="1:4" x14ac:dyDescent="0.45">
      <c r="A3865">
        <v>643</v>
      </c>
      <c r="B3865" s="3">
        <f t="shared" ca="1" si="60"/>
        <v>106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5" t="str">
        <f ca="1">IF(dict_zuord_Meth_Transfers[[#This Row],[kval_active]],dict_zuord_Meth_Transfers[[#This Row],[ID_Transfers]],"")</f>
        <v/>
      </c>
    </row>
    <row r="3866" spans="1:4" x14ac:dyDescent="0.45">
      <c r="A3866">
        <v>644</v>
      </c>
      <c r="B3866" s="3">
        <f t="shared" ca="1" si="60"/>
        <v>97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6" t="str">
        <f ca="1">IF(dict_zuord_Meth_Transfers[[#This Row],[kval_active]],dict_zuord_Meth_Transfers[[#This Row],[ID_Transfers]],"")</f>
        <v/>
      </c>
    </row>
    <row r="3867" spans="1:4" x14ac:dyDescent="0.45">
      <c r="A3867">
        <v>644</v>
      </c>
      <c r="B3867">
        <f t="shared" ca="1" si="60"/>
        <v>163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7" t="str">
        <f ca="1">IF(dict_zuord_Meth_Transfers[[#This Row],[kval_active]],dict_zuord_Meth_Transfers[[#This Row],[ID_Transfers]],"")</f>
        <v/>
      </c>
    </row>
    <row r="3868" spans="1:4" x14ac:dyDescent="0.45">
      <c r="A3868">
        <v>644</v>
      </c>
      <c r="B3868">
        <f t="shared" ca="1" si="60"/>
        <v>68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8" t="str">
        <f ca="1">IF(dict_zuord_Meth_Transfers[[#This Row],[kval_active]],dict_zuord_Meth_Transfers[[#This Row],[ID_Transfers]],"")</f>
        <v/>
      </c>
    </row>
    <row r="3869" spans="1:4" x14ac:dyDescent="0.45">
      <c r="A3869">
        <v>644</v>
      </c>
      <c r="B3869" s="3">
        <f t="shared" ca="1" si="60"/>
        <v>117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9" t="str">
        <f ca="1">IF(dict_zuord_Meth_Transfers[[#This Row],[kval_active]],dict_zuord_Meth_Transfers[[#This Row],[ID_Transfers]],"")</f>
        <v/>
      </c>
    </row>
    <row r="3870" spans="1:4" x14ac:dyDescent="0.45">
      <c r="A3870">
        <v>644</v>
      </c>
      <c r="B3870" s="3">
        <f t="shared" ca="1" si="60"/>
        <v>102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0" t="str">
        <f ca="1">IF(dict_zuord_Meth_Transfers[[#This Row],[kval_active]],dict_zuord_Meth_Transfers[[#This Row],[ID_Transfers]],"")</f>
        <v/>
      </c>
    </row>
    <row r="3871" spans="1:4" x14ac:dyDescent="0.45">
      <c r="A3871">
        <v>644</v>
      </c>
      <c r="B3871">
        <f t="shared" ca="1" si="60"/>
        <v>56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1" t="str">
        <f ca="1">IF(dict_zuord_Meth_Transfers[[#This Row],[kval_active]],dict_zuord_Meth_Transfers[[#This Row],[ID_Transfers]],"")</f>
        <v/>
      </c>
    </row>
    <row r="3872" spans="1:4" x14ac:dyDescent="0.45">
      <c r="A3872">
        <v>645</v>
      </c>
      <c r="B3872" s="3">
        <f t="shared" ca="1" si="60"/>
        <v>9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2" t="str">
        <f ca="1">IF(dict_zuord_Meth_Transfers[[#This Row],[kval_active]],dict_zuord_Meth_Transfers[[#This Row],[ID_Transfers]],"")</f>
        <v/>
      </c>
    </row>
    <row r="3873" spans="1:4" x14ac:dyDescent="0.45">
      <c r="A3873">
        <v>645</v>
      </c>
      <c r="B3873" s="3">
        <f t="shared" ca="1" si="60"/>
        <v>61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3" t="str">
        <f ca="1">IF(dict_zuord_Meth_Transfers[[#This Row],[kval_active]],dict_zuord_Meth_Transfers[[#This Row],[ID_Transfers]],"")</f>
        <v/>
      </c>
    </row>
    <row r="3874" spans="1:4" x14ac:dyDescent="0.45">
      <c r="A3874">
        <v>645</v>
      </c>
      <c r="B3874">
        <f t="shared" ca="1" si="60"/>
        <v>174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4" t="str">
        <f ca="1">IF(dict_zuord_Meth_Transfers[[#This Row],[kval_active]],dict_zuord_Meth_Transfers[[#This Row],[ID_Transfers]],"")</f>
        <v/>
      </c>
    </row>
    <row r="3875" spans="1:4" x14ac:dyDescent="0.45">
      <c r="A3875">
        <v>645</v>
      </c>
      <c r="B3875">
        <f t="shared" ca="1" si="60"/>
        <v>49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5" t="str">
        <f ca="1">IF(dict_zuord_Meth_Transfers[[#This Row],[kval_active]],dict_zuord_Meth_Transfers[[#This Row],[ID_Transfers]],"")</f>
        <v/>
      </c>
    </row>
    <row r="3876" spans="1:4" x14ac:dyDescent="0.45">
      <c r="A3876">
        <v>645</v>
      </c>
      <c r="B3876">
        <f t="shared" ca="1" si="60"/>
        <v>129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6" t="str">
        <f ca="1">IF(dict_zuord_Meth_Transfers[[#This Row],[kval_active]],dict_zuord_Meth_Transfers[[#This Row],[ID_Transfers]],"")</f>
        <v/>
      </c>
    </row>
    <row r="3877" spans="1:4" x14ac:dyDescent="0.45">
      <c r="A3877">
        <v>645</v>
      </c>
      <c r="B3877" s="3">
        <f t="shared" ca="1" si="60"/>
        <v>76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7" t="str">
        <f ca="1">IF(dict_zuord_Meth_Transfers[[#This Row],[kval_active]],dict_zuord_Meth_Transfers[[#This Row],[ID_Transfers]],"")</f>
        <v/>
      </c>
    </row>
    <row r="3878" spans="1:4" x14ac:dyDescent="0.45">
      <c r="A3878">
        <v>646</v>
      </c>
      <c r="B3878" s="3">
        <f t="shared" ca="1" si="60"/>
        <v>27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8" t="str">
        <f ca="1">IF(dict_zuord_Meth_Transfers[[#This Row],[kval_active]],dict_zuord_Meth_Transfers[[#This Row],[ID_Transfers]],"")</f>
        <v/>
      </c>
    </row>
    <row r="3879" spans="1:4" x14ac:dyDescent="0.45">
      <c r="A3879">
        <v>646</v>
      </c>
      <c r="B3879" s="3">
        <f t="shared" ca="1" si="60"/>
        <v>61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9" t="str">
        <f ca="1">IF(dict_zuord_Meth_Transfers[[#This Row],[kval_active]],dict_zuord_Meth_Transfers[[#This Row],[ID_Transfers]],"")</f>
        <v/>
      </c>
    </row>
    <row r="3880" spans="1:4" x14ac:dyDescent="0.45">
      <c r="A3880">
        <v>646</v>
      </c>
      <c r="B3880">
        <f t="shared" ca="1" si="60"/>
        <v>139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0" t="str">
        <f ca="1">IF(dict_zuord_Meth_Transfers[[#This Row],[kval_active]],dict_zuord_Meth_Transfers[[#This Row],[ID_Transfers]],"")</f>
        <v/>
      </c>
    </row>
    <row r="3881" spans="1:4" x14ac:dyDescent="0.45">
      <c r="A3881">
        <v>646</v>
      </c>
      <c r="B3881">
        <f t="shared" ca="1" si="60"/>
        <v>193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1" t="str">
        <f ca="1">IF(dict_zuord_Meth_Transfers[[#This Row],[kval_active]],dict_zuord_Meth_Transfers[[#This Row],[ID_Transfers]],"")</f>
        <v/>
      </c>
    </row>
    <row r="3882" spans="1:4" x14ac:dyDescent="0.45">
      <c r="A3882">
        <v>646</v>
      </c>
      <c r="B3882">
        <f t="shared" ca="1" si="60"/>
        <v>73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2" t="str">
        <f ca="1">IF(dict_zuord_Meth_Transfers[[#This Row],[kval_active]],dict_zuord_Meth_Transfers[[#This Row],[ID_Transfers]],"")</f>
        <v/>
      </c>
    </row>
    <row r="3883" spans="1:4" x14ac:dyDescent="0.45">
      <c r="A3883">
        <v>646</v>
      </c>
      <c r="B3883" s="3">
        <f t="shared" ca="1" si="60"/>
        <v>28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3" t="str">
        <f ca="1">IF(dict_zuord_Meth_Transfers[[#This Row],[kval_active]],dict_zuord_Meth_Transfers[[#This Row],[ID_Transfers]],"")</f>
        <v/>
      </c>
    </row>
    <row r="3884" spans="1:4" x14ac:dyDescent="0.45">
      <c r="A3884">
        <v>647</v>
      </c>
      <c r="B3884">
        <f t="shared" ca="1" si="60"/>
        <v>199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4" t="str">
        <f ca="1">IF(dict_zuord_Meth_Transfers[[#This Row],[kval_active]],dict_zuord_Meth_Transfers[[#This Row],[ID_Transfers]],"")</f>
        <v/>
      </c>
    </row>
    <row r="3885" spans="1:4" x14ac:dyDescent="0.45">
      <c r="A3885">
        <v>647</v>
      </c>
      <c r="B3885" s="3">
        <f t="shared" ca="1" si="60"/>
        <v>16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5" t="str">
        <f ca="1">IF(dict_zuord_Meth_Transfers[[#This Row],[kval_active]],dict_zuord_Meth_Transfers[[#This Row],[ID_Transfers]],"")</f>
        <v/>
      </c>
    </row>
    <row r="3886" spans="1:4" x14ac:dyDescent="0.45">
      <c r="A3886">
        <v>647</v>
      </c>
      <c r="B3886">
        <f t="shared" ca="1" si="60"/>
        <v>43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6" t="str">
        <f ca="1">IF(dict_zuord_Meth_Transfers[[#This Row],[kval_active]],dict_zuord_Meth_Transfers[[#This Row],[ID_Transfers]],"")</f>
        <v/>
      </c>
    </row>
    <row r="3887" spans="1:4" x14ac:dyDescent="0.45">
      <c r="A3887">
        <v>647</v>
      </c>
      <c r="B3887">
        <f t="shared" ca="1" si="60"/>
        <v>116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7" t="str">
        <f ca="1">IF(dict_zuord_Meth_Transfers[[#This Row],[kval_active]],dict_zuord_Meth_Transfers[[#This Row],[ID_Transfers]],"")</f>
        <v/>
      </c>
    </row>
    <row r="3888" spans="1:4" x14ac:dyDescent="0.45">
      <c r="A3888">
        <v>647</v>
      </c>
      <c r="B3888" s="3">
        <f t="shared" ca="1" si="60"/>
        <v>82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8" t="str">
        <f ca="1">IF(dict_zuord_Meth_Transfers[[#This Row],[kval_active]],dict_zuord_Meth_Transfers[[#This Row],[ID_Transfers]],"")</f>
        <v/>
      </c>
    </row>
    <row r="3889" spans="1:4" x14ac:dyDescent="0.45">
      <c r="A3889">
        <v>647</v>
      </c>
      <c r="B3889" s="3">
        <f t="shared" ca="1" si="60"/>
        <v>41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9" t="str">
        <f ca="1">IF(dict_zuord_Meth_Transfers[[#This Row],[kval_active]],dict_zuord_Meth_Transfers[[#This Row],[ID_Transfers]],"")</f>
        <v/>
      </c>
    </row>
    <row r="3890" spans="1:4" x14ac:dyDescent="0.45">
      <c r="A3890">
        <v>648</v>
      </c>
      <c r="B3890">
        <f t="shared" ca="1" si="60"/>
        <v>138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0" t="str">
        <f ca="1">IF(dict_zuord_Meth_Transfers[[#This Row],[kval_active]],dict_zuord_Meth_Transfers[[#This Row],[ID_Transfers]],"")</f>
        <v/>
      </c>
    </row>
    <row r="3891" spans="1:4" x14ac:dyDescent="0.45">
      <c r="A3891">
        <v>648</v>
      </c>
      <c r="B3891" s="3">
        <f t="shared" ca="1" si="60"/>
        <v>149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1" t="str">
        <f ca="1">IF(dict_zuord_Meth_Transfers[[#This Row],[kval_active]],dict_zuord_Meth_Transfers[[#This Row],[ID_Transfers]],"")</f>
        <v/>
      </c>
    </row>
    <row r="3892" spans="1:4" x14ac:dyDescent="0.45">
      <c r="A3892">
        <v>648</v>
      </c>
      <c r="B3892">
        <f t="shared" ca="1" si="60"/>
        <v>149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2" t="str">
        <f ca="1">IF(dict_zuord_Meth_Transfers[[#This Row],[kval_active]],dict_zuord_Meth_Transfers[[#This Row],[ID_Transfers]],"")</f>
        <v/>
      </c>
    </row>
    <row r="3893" spans="1:4" x14ac:dyDescent="0.45">
      <c r="A3893">
        <v>648</v>
      </c>
      <c r="B3893">
        <f t="shared" ca="1" si="60"/>
        <v>167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3" t="str">
        <f ca="1">IF(dict_zuord_Meth_Transfers[[#This Row],[kval_active]],dict_zuord_Meth_Transfers[[#This Row],[ID_Transfers]],"")</f>
        <v/>
      </c>
    </row>
    <row r="3894" spans="1:4" x14ac:dyDescent="0.45">
      <c r="A3894">
        <v>648</v>
      </c>
      <c r="B3894" s="3">
        <f t="shared" ca="1" si="60"/>
        <v>128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4" t="str">
        <f ca="1">IF(dict_zuord_Meth_Transfers[[#This Row],[kval_active]],dict_zuord_Meth_Transfers[[#This Row],[ID_Transfers]],"")</f>
        <v/>
      </c>
    </row>
    <row r="3895" spans="1:4" x14ac:dyDescent="0.45">
      <c r="A3895">
        <v>648</v>
      </c>
      <c r="B3895" s="3">
        <f t="shared" ca="1" si="60"/>
        <v>54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5" t="str">
        <f ca="1">IF(dict_zuord_Meth_Transfers[[#This Row],[kval_active]],dict_zuord_Meth_Transfers[[#This Row],[ID_Transfers]],"")</f>
        <v/>
      </c>
    </row>
    <row r="3896" spans="1:4" x14ac:dyDescent="0.45">
      <c r="A3896">
        <v>649</v>
      </c>
      <c r="B3896">
        <f t="shared" ca="1" si="60"/>
        <v>133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6" t="str">
        <f ca="1">IF(dict_zuord_Meth_Transfers[[#This Row],[kval_active]],dict_zuord_Meth_Transfers[[#This Row],[ID_Transfers]],"")</f>
        <v/>
      </c>
    </row>
    <row r="3897" spans="1:4" x14ac:dyDescent="0.45">
      <c r="A3897">
        <v>649</v>
      </c>
      <c r="B3897">
        <f t="shared" ca="1" si="60"/>
        <v>139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7" t="str">
        <f ca="1">IF(dict_zuord_Meth_Transfers[[#This Row],[kval_active]],dict_zuord_Meth_Transfers[[#This Row],[ID_Transfers]],"")</f>
        <v/>
      </c>
    </row>
    <row r="3898" spans="1:4" x14ac:dyDescent="0.45">
      <c r="A3898">
        <v>649</v>
      </c>
      <c r="B3898" s="3">
        <f t="shared" ca="1" si="60"/>
        <v>105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8" t="str">
        <f ca="1">IF(dict_zuord_Meth_Transfers[[#This Row],[kval_active]],dict_zuord_Meth_Transfers[[#This Row],[ID_Transfers]],"")</f>
        <v/>
      </c>
    </row>
    <row r="3899" spans="1:4" x14ac:dyDescent="0.45">
      <c r="A3899">
        <v>649</v>
      </c>
      <c r="B3899">
        <f t="shared" ca="1" si="60"/>
        <v>138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9" t="str">
        <f ca="1">IF(dict_zuord_Meth_Transfers[[#This Row],[kval_active]],dict_zuord_Meth_Transfers[[#This Row],[ID_Transfers]],"")</f>
        <v/>
      </c>
    </row>
    <row r="3900" spans="1:4" x14ac:dyDescent="0.45">
      <c r="A3900">
        <v>649</v>
      </c>
      <c r="B3900" s="3">
        <f t="shared" ca="1" si="60"/>
        <v>93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0" t="str">
        <f ca="1">IF(dict_zuord_Meth_Transfers[[#This Row],[kval_active]],dict_zuord_Meth_Transfers[[#This Row],[ID_Transfers]],"")</f>
        <v/>
      </c>
    </row>
    <row r="3901" spans="1:4" x14ac:dyDescent="0.45">
      <c r="A3901">
        <v>649</v>
      </c>
      <c r="B3901" s="3">
        <f t="shared" ca="1" si="60"/>
        <v>111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1" t="str">
        <f ca="1">IF(dict_zuord_Meth_Transfers[[#This Row],[kval_active]],dict_zuord_Meth_Transfers[[#This Row],[ID_Transfers]],"")</f>
        <v/>
      </c>
    </row>
    <row r="3902" spans="1:4" x14ac:dyDescent="0.45">
      <c r="A3902">
        <v>650</v>
      </c>
      <c r="B3902">
        <f t="shared" ca="1" si="60"/>
        <v>39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2" t="str">
        <f ca="1">IF(dict_zuord_Meth_Transfers[[#This Row],[kval_active]],dict_zuord_Meth_Transfers[[#This Row],[ID_Transfers]],"")</f>
        <v/>
      </c>
    </row>
    <row r="3903" spans="1:4" x14ac:dyDescent="0.45">
      <c r="A3903">
        <v>650</v>
      </c>
      <c r="B3903">
        <f t="shared" ca="1" si="60"/>
        <v>73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3" t="str">
        <f ca="1">IF(dict_zuord_Meth_Transfers[[#This Row],[kval_active]],dict_zuord_Meth_Transfers[[#This Row],[ID_Transfers]],"")</f>
        <v/>
      </c>
    </row>
    <row r="3904" spans="1:4" x14ac:dyDescent="0.45">
      <c r="A3904">
        <v>650</v>
      </c>
      <c r="B3904">
        <f t="shared" ca="1" si="60"/>
        <v>196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4" t="str">
        <f ca="1">IF(dict_zuord_Meth_Transfers[[#This Row],[kval_active]],dict_zuord_Meth_Transfers[[#This Row],[ID_Transfers]],"")</f>
        <v/>
      </c>
    </row>
    <row r="3905" spans="1:4" x14ac:dyDescent="0.45">
      <c r="A3905">
        <v>650</v>
      </c>
      <c r="B3905" s="3">
        <f t="shared" ca="1" si="60"/>
        <v>21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5" t="str">
        <f ca="1">IF(dict_zuord_Meth_Transfers[[#This Row],[kval_active]],dict_zuord_Meth_Transfers[[#This Row],[ID_Transfers]],"")</f>
        <v/>
      </c>
    </row>
    <row r="3906" spans="1:4" x14ac:dyDescent="0.45">
      <c r="A3906">
        <v>650</v>
      </c>
      <c r="B3906" s="3">
        <f t="shared" ref="B3906:B3969" ca="1" si="61">RANDBETWEEN(0,200)</f>
        <v>60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6" t="str">
        <f ca="1">IF(dict_zuord_Meth_Transfers[[#This Row],[kval_active]],dict_zuord_Meth_Transfers[[#This Row],[ID_Transfers]],"")</f>
        <v/>
      </c>
    </row>
    <row r="3907" spans="1:4" x14ac:dyDescent="0.45">
      <c r="A3907">
        <v>650</v>
      </c>
      <c r="B3907" s="3">
        <f t="shared" ca="1" si="61"/>
        <v>91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7" t="str">
        <f ca="1">IF(dict_zuord_Meth_Transfers[[#This Row],[kval_active]],dict_zuord_Meth_Transfers[[#This Row],[ID_Transfers]],"")</f>
        <v/>
      </c>
    </row>
    <row r="3908" spans="1:4" x14ac:dyDescent="0.45">
      <c r="A3908">
        <v>651</v>
      </c>
      <c r="B3908">
        <f t="shared" ca="1" si="61"/>
        <v>55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8" t="str">
        <f ca="1">IF(dict_zuord_Meth_Transfers[[#This Row],[kval_active]],dict_zuord_Meth_Transfers[[#This Row],[ID_Transfers]],"")</f>
        <v/>
      </c>
    </row>
    <row r="3909" spans="1:4" x14ac:dyDescent="0.45">
      <c r="A3909">
        <v>651</v>
      </c>
      <c r="B3909" s="3">
        <f t="shared" ca="1" si="61"/>
        <v>82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9" t="str">
        <f ca="1">IF(dict_zuord_Meth_Transfers[[#This Row],[kval_active]],dict_zuord_Meth_Transfers[[#This Row],[ID_Transfers]],"")</f>
        <v/>
      </c>
    </row>
    <row r="3910" spans="1:4" x14ac:dyDescent="0.45">
      <c r="A3910">
        <v>651</v>
      </c>
      <c r="B3910">
        <f t="shared" ca="1" si="61"/>
        <v>76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0" t="str">
        <f ca="1">IF(dict_zuord_Meth_Transfers[[#This Row],[kval_active]],dict_zuord_Meth_Transfers[[#This Row],[ID_Transfers]],"")</f>
        <v/>
      </c>
    </row>
    <row r="3911" spans="1:4" x14ac:dyDescent="0.45">
      <c r="A3911">
        <v>651</v>
      </c>
      <c r="B3911" s="3">
        <f t="shared" ca="1" si="61"/>
        <v>187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1" t="str">
        <f ca="1">IF(dict_zuord_Meth_Transfers[[#This Row],[kval_active]],dict_zuord_Meth_Transfers[[#This Row],[ID_Transfers]],"")</f>
        <v/>
      </c>
    </row>
    <row r="3912" spans="1:4" x14ac:dyDescent="0.45">
      <c r="A3912">
        <v>651</v>
      </c>
      <c r="B3912">
        <f t="shared" ca="1" si="61"/>
        <v>103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2" t="str">
        <f ca="1">IF(dict_zuord_Meth_Transfers[[#This Row],[kval_active]],dict_zuord_Meth_Transfers[[#This Row],[ID_Transfers]],"")</f>
        <v/>
      </c>
    </row>
    <row r="3913" spans="1:4" x14ac:dyDescent="0.45">
      <c r="A3913">
        <v>651</v>
      </c>
      <c r="B3913" s="3">
        <f t="shared" ca="1" si="61"/>
        <v>149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3" t="str">
        <f ca="1">IF(dict_zuord_Meth_Transfers[[#This Row],[kval_active]],dict_zuord_Meth_Transfers[[#This Row],[ID_Transfers]],"")</f>
        <v/>
      </c>
    </row>
    <row r="3914" spans="1:4" x14ac:dyDescent="0.45">
      <c r="A3914">
        <v>652</v>
      </c>
      <c r="B3914">
        <f t="shared" ca="1" si="61"/>
        <v>114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4" t="str">
        <f ca="1">IF(dict_zuord_Meth_Transfers[[#This Row],[kval_active]],dict_zuord_Meth_Transfers[[#This Row],[ID_Transfers]],"")</f>
        <v/>
      </c>
    </row>
    <row r="3915" spans="1:4" x14ac:dyDescent="0.45">
      <c r="A3915">
        <v>652</v>
      </c>
      <c r="B3915" s="3">
        <f t="shared" ca="1" si="61"/>
        <v>126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5" t="str">
        <f ca="1">IF(dict_zuord_Meth_Transfers[[#This Row],[kval_active]],dict_zuord_Meth_Transfers[[#This Row],[ID_Transfers]],"")</f>
        <v/>
      </c>
    </row>
    <row r="3916" spans="1:4" x14ac:dyDescent="0.45">
      <c r="A3916">
        <v>652</v>
      </c>
      <c r="B3916">
        <f t="shared" ca="1" si="61"/>
        <v>15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6" t="str">
        <f ca="1">IF(dict_zuord_Meth_Transfers[[#This Row],[kval_active]],dict_zuord_Meth_Transfers[[#This Row],[ID_Transfers]],"")</f>
        <v/>
      </c>
    </row>
    <row r="3917" spans="1:4" x14ac:dyDescent="0.45">
      <c r="A3917">
        <v>652</v>
      </c>
      <c r="B3917" s="3">
        <f t="shared" ca="1" si="61"/>
        <v>65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7" t="str">
        <f ca="1">IF(dict_zuord_Meth_Transfers[[#This Row],[kval_active]],dict_zuord_Meth_Transfers[[#This Row],[ID_Transfers]],"")</f>
        <v/>
      </c>
    </row>
    <row r="3918" spans="1:4" x14ac:dyDescent="0.45">
      <c r="A3918">
        <v>652</v>
      </c>
      <c r="B3918" s="3">
        <f t="shared" ca="1" si="61"/>
        <v>117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8" t="str">
        <f ca="1">IF(dict_zuord_Meth_Transfers[[#This Row],[kval_active]],dict_zuord_Meth_Transfers[[#This Row],[ID_Transfers]],"")</f>
        <v/>
      </c>
    </row>
    <row r="3919" spans="1:4" x14ac:dyDescent="0.45">
      <c r="A3919">
        <v>652</v>
      </c>
      <c r="B3919">
        <f t="shared" ca="1" si="61"/>
        <v>62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9" t="str">
        <f ca="1">IF(dict_zuord_Meth_Transfers[[#This Row],[kval_active]],dict_zuord_Meth_Transfers[[#This Row],[ID_Transfers]],"")</f>
        <v/>
      </c>
    </row>
    <row r="3920" spans="1:4" x14ac:dyDescent="0.45">
      <c r="A3920">
        <v>653</v>
      </c>
      <c r="B3920">
        <f t="shared" ca="1" si="61"/>
        <v>32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0" t="str">
        <f ca="1">IF(dict_zuord_Meth_Transfers[[#This Row],[kval_active]],dict_zuord_Meth_Transfers[[#This Row],[ID_Transfers]],"")</f>
        <v/>
      </c>
    </row>
    <row r="3921" spans="1:4" x14ac:dyDescent="0.45">
      <c r="A3921">
        <v>653</v>
      </c>
      <c r="B3921">
        <f t="shared" ca="1" si="61"/>
        <v>153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1" t="str">
        <f ca="1">IF(dict_zuord_Meth_Transfers[[#This Row],[kval_active]],dict_zuord_Meth_Transfers[[#This Row],[ID_Transfers]],"")</f>
        <v/>
      </c>
    </row>
    <row r="3922" spans="1:4" x14ac:dyDescent="0.45">
      <c r="A3922">
        <v>653</v>
      </c>
      <c r="B3922">
        <f t="shared" ca="1" si="61"/>
        <v>44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2" t="str">
        <f ca="1">IF(dict_zuord_Meth_Transfers[[#This Row],[kval_active]],dict_zuord_Meth_Transfers[[#This Row],[ID_Transfers]],"")</f>
        <v/>
      </c>
    </row>
    <row r="3923" spans="1:4" x14ac:dyDescent="0.45">
      <c r="A3923">
        <v>653</v>
      </c>
      <c r="B3923" s="3">
        <f t="shared" ca="1" si="61"/>
        <v>125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3" t="str">
        <f ca="1">IF(dict_zuord_Meth_Transfers[[#This Row],[kval_active]],dict_zuord_Meth_Transfers[[#This Row],[ID_Transfers]],"")</f>
        <v/>
      </c>
    </row>
    <row r="3924" spans="1:4" x14ac:dyDescent="0.45">
      <c r="A3924">
        <v>653</v>
      </c>
      <c r="B3924" s="3">
        <f t="shared" ca="1" si="61"/>
        <v>190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4" t="str">
        <f ca="1">IF(dict_zuord_Meth_Transfers[[#This Row],[kval_active]],dict_zuord_Meth_Transfers[[#This Row],[ID_Transfers]],"")</f>
        <v/>
      </c>
    </row>
    <row r="3925" spans="1:4" x14ac:dyDescent="0.45">
      <c r="A3925">
        <v>653</v>
      </c>
      <c r="B3925" s="3">
        <f t="shared" ca="1" si="61"/>
        <v>98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5" t="str">
        <f ca="1">IF(dict_zuord_Meth_Transfers[[#This Row],[kval_active]],dict_zuord_Meth_Transfers[[#This Row],[ID_Transfers]],"")</f>
        <v/>
      </c>
    </row>
    <row r="3926" spans="1:4" x14ac:dyDescent="0.45">
      <c r="A3926">
        <v>654</v>
      </c>
      <c r="B3926">
        <f t="shared" ca="1" si="61"/>
        <v>160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6" t="str">
        <f ca="1">IF(dict_zuord_Meth_Transfers[[#This Row],[kval_active]],dict_zuord_Meth_Transfers[[#This Row],[ID_Transfers]],"")</f>
        <v/>
      </c>
    </row>
    <row r="3927" spans="1:4" x14ac:dyDescent="0.45">
      <c r="A3927">
        <v>654</v>
      </c>
      <c r="B3927" s="3">
        <f t="shared" ca="1" si="61"/>
        <v>178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7" t="str">
        <f ca="1">IF(dict_zuord_Meth_Transfers[[#This Row],[kval_active]],dict_zuord_Meth_Transfers[[#This Row],[ID_Transfers]],"")</f>
        <v/>
      </c>
    </row>
    <row r="3928" spans="1:4" x14ac:dyDescent="0.45">
      <c r="A3928">
        <v>654</v>
      </c>
      <c r="B3928" s="3">
        <f t="shared" ca="1" si="61"/>
        <v>90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8" t="str">
        <f ca="1">IF(dict_zuord_Meth_Transfers[[#This Row],[kval_active]],dict_zuord_Meth_Transfers[[#This Row],[ID_Transfers]],"")</f>
        <v/>
      </c>
    </row>
    <row r="3929" spans="1:4" x14ac:dyDescent="0.45">
      <c r="A3929">
        <v>654</v>
      </c>
      <c r="B3929">
        <f t="shared" ca="1" si="61"/>
        <v>76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9" t="str">
        <f ca="1">IF(dict_zuord_Meth_Transfers[[#This Row],[kval_active]],dict_zuord_Meth_Transfers[[#This Row],[ID_Transfers]],"")</f>
        <v/>
      </c>
    </row>
    <row r="3930" spans="1:4" x14ac:dyDescent="0.45">
      <c r="A3930">
        <v>654</v>
      </c>
      <c r="B3930">
        <f t="shared" ca="1" si="61"/>
        <v>199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0" t="str">
        <f ca="1">IF(dict_zuord_Meth_Transfers[[#This Row],[kval_active]],dict_zuord_Meth_Transfers[[#This Row],[ID_Transfers]],"")</f>
        <v/>
      </c>
    </row>
    <row r="3931" spans="1:4" x14ac:dyDescent="0.45">
      <c r="A3931">
        <v>654</v>
      </c>
      <c r="B3931" s="3">
        <f t="shared" ca="1" si="61"/>
        <v>29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1" t="str">
        <f ca="1">IF(dict_zuord_Meth_Transfers[[#This Row],[kval_active]],dict_zuord_Meth_Transfers[[#This Row],[ID_Transfers]],"")</f>
        <v/>
      </c>
    </row>
    <row r="3932" spans="1:4" x14ac:dyDescent="0.45">
      <c r="A3932">
        <v>655</v>
      </c>
      <c r="B3932" s="3">
        <f t="shared" ca="1" si="61"/>
        <v>81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2" t="str">
        <f ca="1">IF(dict_zuord_Meth_Transfers[[#This Row],[kval_active]],dict_zuord_Meth_Transfers[[#This Row],[ID_Transfers]],"")</f>
        <v/>
      </c>
    </row>
    <row r="3933" spans="1:4" x14ac:dyDescent="0.45">
      <c r="A3933">
        <v>655</v>
      </c>
      <c r="B3933" s="3">
        <f t="shared" ca="1" si="61"/>
        <v>49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3" t="str">
        <f ca="1">IF(dict_zuord_Meth_Transfers[[#This Row],[kval_active]],dict_zuord_Meth_Transfers[[#This Row],[ID_Transfers]],"")</f>
        <v/>
      </c>
    </row>
    <row r="3934" spans="1:4" x14ac:dyDescent="0.45">
      <c r="A3934">
        <v>655</v>
      </c>
      <c r="B3934" s="3">
        <f t="shared" ca="1" si="61"/>
        <v>99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4" t="str">
        <f ca="1">IF(dict_zuord_Meth_Transfers[[#This Row],[kval_active]],dict_zuord_Meth_Transfers[[#This Row],[ID_Transfers]],"")</f>
        <v/>
      </c>
    </row>
    <row r="3935" spans="1:4" x14ac:dyDescent="0.45">
      <c r="A3935">
        <v>655</v>
      </c>
      <c r="B3935">
        <f t="shared" ca="1" si="61"/>
        <v>20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5" t="str">
        <f ca="1">IF(dict_zuord_Meth_Transfers[[#This Row],[kval_active]],dict_zuord_Meth_Transfers[[#This Row],[ID_Transfers]],"")</f>
        <v/>
      </c>
    </row>
    <row r="3936" spans="1:4" x14ac:dyDescent="0.45">
      <c r="A3936">
        <v>655</v>
      </c>
      <c r="B3936">
        <f t="shared" ca="1" si="61"/>
        <v>124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6" t="str">
        <f ca="1">IF(dict_zuord_Meth_Transfers[[#This Row],[kval_active]],dict_zuord_Meth_Transfers[[#This Row],[ID_Transfers]],"")</f>
        <v/>
      </c>
    </row>
    <row r="3937" spans="1:4" x14ac:dyDescent="0.45">
      <c r="A3937">
        <v>655</v>
      </c>
      <c r="B3937">
        <f t="shared" ca="1" si="61"/>
        <v>55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7" t="str">
        <f ca="1">IF(dict_zuord_Meth_Transfers[[#This Row],[kval_active]],dict_zuord_Meth_Transfers[[#This Row],[ID_Transfers]],"")</f>
        <v/>
      </c>
    </row>
    <row r="3938" spans="1:4" x14ac:dyDescent="0.45">
      <c r="A3938">
        <v>656</v>
      </c>
      <c r="B3938">
        <f t="shared" ca="1" si="61"/>
        <v>18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8" t="str">
        <f ca="1">IF(dict_zuord_Meth_Transfers[[#This Row],[kval_active]],dict_zuord_Meth_Transfers[[#This Row],[ID_Transfers]],"")</f>
        <v/>
      </c>
    </row>
    <row r="3939" spans="1:4" x14ac:dyDescent="0.45">
      <c r="A3939">
        <v>656</v>
      </c>
      <c r="B3939" s="3">
        <f t="shared" ca="1" si="61"/>
        <v>2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9" t="str">
        <f ca="1">IF(dict_zuord_Meth_Transfers[[#This Row],[kval_active]],dict_zuord_Meth_Transfers[[#This Row],[ID_Transfers]],"")</f>
        <v/>
      </c>
    </row>
    <row r="3940" spans="1:4" x14ac:dyDescent="0.45">
      <c r="A3940">
        <v>656</v>
      </c>
      <c r="B3940" s="3">
        <f t="shared" ca="1" si="61"/>
        <v>135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0" t="str">
        <f ca="1">IF(dict_zuord_Meth_Transfers[[#This Row],[kval_active]],dict_zuord_Meth_Transfers[[#This Row],[ID_Transfers]],"")</f>
        <v/>
      </c>
    </row>
    <row r="3941" spans="1:4" x14ac:dyDescent="0.45">
      <c r="A3941">
        <v>656</v>
      </c>
      <c r="B3941" s="3">
        <f t="shared" ca="1" si="61"/>
        <v>129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1" t="str">
        <f ca="1">IF(dict_zuord_Meth_Transfers[[#This Row],[kval_active]],dict_zuord_Meth_Transfers[[#This Row],[ID_Transfers]],"")</f>
        <v/>
      </c>
    </row>
    <row r="3942" spans="1:4" x14ac:dyDescent="0.45">
      <c r="A3942">
        <v>656</v>
      </c>
      <c r="B3942">
        <f t="shared" ca="1" si="61"/>
        <v>115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2" t="str">
        <f ca="1">IF(dict_zuord_Meth_Transfers[[#This Row],[kval_active]],dict_zuord_Meth_Transfers[[#This Row],[ID_Transfers]],"")</f>
        <v/>
      </c>
    </row>
    <row r="3943" spans="1:4" x14ac:dyDescent="0.45">
      <c r="A3943">
        <v>656</v>
      </c>
      <c r="B3943">
        <f t="shared" ca="1" si="61"/>
        <v>129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3" t="str">
        <f ca="1">IF(dict_zuord_Meth_Transfers[[#This Row],[kval_active]],dict_zuord_Meth_Transfers[[#This Row],[ID_Transfers]],"")</f>
        <v/>
      </c>
    </row>
    <row r="3944" spans="1:4" x14ac:dyDescent="0.45">
      <c r="A3944">
        <v>657</v>
      </c>
      <c r="B3944">
        <f t="shared" ca="1" si="61"/>
        <v>135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4" t="str">
        <f ca="1">IF(dict_zuord_Meth_Transfers[[#This Row],[kval_active]],dict_zuord_Meth_Transfers[[#This Row],[ID_Transfers]],"")</f>
        <v/>
      </c>
    </row>
    <row r="3945" spans="1:4" x14ac:dyDescent="0.45">
      <c r="A3945">
        <v>657</v>
      </c>
      <c r="B3945" s="3">
        <f t="shared" ca="1" si="61"/>
        <v>16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5" t="str">
        <f ca="1">IF(dict_zuord_Meth_Transfers[[#This Row],[kval_active]],dict_zuord_Meth_Transfers[[#This Row],[ID_Transfers]],"")</f>
        <v/>
      </c>
    </row>
    <row r="3946" spans="1:4" x14ac:dyDescent="0.45">
      <c r="A3946">
        <v>657</v>
      </c>
      <c r="B3946" s="3">
        <f t="shared" ca="1" si="61"/>
        <v>130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6" t="str">
        <f ca="1">IF(dict_zuord_Meth_Transfers[[#This Row],[kval_active]],dict_zuord_Meth_Transfers[[#This Row],[ID_Transfers]],"")</f>
        <v/>
      </c>
    </row>
    <row r="3947" spans="1:4" x14ac:dyDescent="0.45">
      <c r="A3947">
        <v>657</v>
      </c>
      <c r="B3947" s="3">
        <f t="shared" ca="1" si="61"/>
        <v>179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7" t="str">
        <f ca="1">IF(dict_zuord_Meth_Transfers[[#This Row],[kval_active]],dict_zuord_Meth_Transfers[[#This Row],[ID_Transfers]],"")</f>
        <v/>
      </c>
    </row>
    <row r="3948" spans="1:4" x14ac:dyDescent="0.45">
      <c r="A3948">
        <v>657</v>
      </c>
      <c r="B3948">
        <f t="shared" ca="1" si="61"/>
        <v>148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8" t="str">
        <f ca="1">IF(dict_zuord_Meth_Transfers[[#This Row],[kval_active]],dict_zuord_Meth_Transfers[[#This Row],[ID_Transfers]],"")</f>
        <v/>
      </c>
    </row>
    <row r="3949" spans="1:4" x14ac:dyDescent="0.45">
      <c r="A3949">
        <v>657</v>
      </c>
      <c r="B3949">
        <f t="shared" ca="1" si="61"/>
        <v>81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9" t="str">
        <f ca="1">IF(dict_zuord_Meth_Transfers[[#This Row],[kval_active]],dict_zuord_Meth_Transfers[[#This Row],[ID_Transfers]],"")</f>
        <v/>
      </c>
    </row>
    <row r="3950" spans="1:4" x14ac:dyDescent="0.45">
      <c r="A3950">
        <v>658</v>
      </c>
      <c r="B3950">
        <f t="shared" ca="1" si="61"/>
        <v>149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0" t="str">
        <f ca="1">IF(dict_zuord_Meth_Transfers[[#This Row],[kval_active]],dict_zuord_Meth_Transfers[[#This Row],[ID_Transfers]],"")</f>
        <v/>
      </c>
    </row>
    <row r="3951" spans="1:4" x14ac:dyDescent="0.45">
      <c r="A3951">
        <v>658</v>
      </c>
      <c r="B3951" s="3">
        <f t="shared" ca="1" si="61"/>
        <v>124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1" t="str">
        <f ca="1">IF(dict_zuord_Meth_Transfers[[#This Row],[kval_active]],dict_zuord_Meth_Transfers[[#This Row],[ID_Transfers]],"")</f>
        <v/>
      </c>
    </row>
    <row r="3952" spans="1:4" x14ac:dyDescent="0.45">
      <c r="A3952">
        <v>658</v>
      </c>
      <c r="B3952" s="3">
        <f t="shared" ca="1" si="61"/>
        <v>11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2" t="str">
        <f ca="1">IF(dict_zuord_Meth_Transfers[[#This Row],[kval_active]],dict_zuord_Meth_Transfers[[#This Row],[ID_Transfers]],"")</f>
        <v/>
      </c>
    </row>
    <row r="3953" spans="1:4" x14ac:dyDescent="0.45">
      <c r="A3953">
        <v>658</v>
      </c>
      <c r="B3953" s="3">
        <f t="shared" ca="1" si="61"/>
        <v>48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3" t="str">
        <f ca="1">IF(dict_zuord_Meth_Transfers[[#This Row],[kval_active]],dict_zuord_Meth_Transfers[[#This Row],[ID_Transfers]],"")</f>
        <v/>
      </c>
    </row>
    <row r="3954" spans="1:4" x14ac:dyDescent="0.45">
      <c r="A3954">
        <v>658</v>
      </c>
      <c r="B3954">
        <f t="shared" ca="1" si="61"/>
        <v>163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4" t="str">
        <f ca="1">IF(dict_zuord_Meth_Transfers[[#This Row],[kval_active]],dict_zuord_Meth_Transfers[[#This Row],[ID_Transfers]],"")</f>
        <v/>
      </c>
    </row>
    <row r="3955" spans="1:4" x14ac:dyDescent="0.45">
      <c r="A3955">
        <v>658</v>
      </c>
      <c r="B3955">
        <f t="shared" ca="1" si="61"/>
        <v>163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5" t="str">
        <f ca="1">IF(dict_zuord_Meth_Transfers[[#This Row],[kval_active]],dict_zuord_Meth_Transfers[[#This Row],[ID_Transfers]],"")</f>
        <v/>
      </c>
    </row>
    <row r="3956" spans="1:4" x14ac:dyDescent="0.45">
      <c r="A3956">
        <v>659</v>
      </c>
      <c r="B3956">
        <f t="shared" ca="1" si="61"/>
        <v>25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6" t="str">
        <f ca="1">IF(dict_zuord_Meth_Transfers[[#This Row],[kval_active]],dict_zuord_Meth_Transfers[[#This Row],[ID_Transfers]],"")</f>
        <v/>
      </c>
    </row>
    <row r="3957" spans="1:4" x14ac:dyDescent="0.45">
      <c r="A3957">
        <v>659</v>
      </c>
      <c r="B3957">
        <f t="shared" ca="1" si="61"/>
        <v>187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7" t="str">
        <f ca="1">IF(dict_zuord_Meth_Transfers[[#This Row],[kval_active]],dict_zuord_Meth_Transfers[[#This Row],[ID_Transfers]],"")</f>
        <v/>
      </c>
    </row>
    <row r="3958" spans="1:4" x14ac:dyDescent="0.45">
      <c r="A3958">
        <v>659</v>
      </c>
      <c r="B3958" s="3">
        <f t="shared" ca="1" si="61"/>
        <v>16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8" t="str">
        <f ca="1">IF(dict_zuord_Meth_Transfers[[#This Row],[kval_active]],dict_zuord_Meth_Transfers[[#This Row],[ID_Transfers]],"")</f>
        <v/>
      </c>
    </row>
    <row r="3959" spans="1:4" x14ac:dyDescent="0.45">
      <c r="A3959">
        <v>659</v>
      </c>
      <c r="B3959">
        <f t="shared" ca="1" si="61"/>
        <v>0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9" t="str">
        <f ca="1">IF(dict_zuord_Meth_Transfers[[#This Row],[kval_active]],dict_zuord_Meth_Transfers[[#This Row],[ID_Transfers]],"")</f>
        <v/>
      </c>
    </row>
    <row r="3960" spans="1:4" x14ac:dyDescent="0.45">
      <c r="A3960">
        <v>659</v>
      </c>
      <c r="B3960" s="3">
        <f t="shared" ca="1" si="61"/>
        <v>23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0" t="str">
        <f ca="1">IF(dict_zuord_Meth_Transfers[[#This Row],[kval_active]],dict_zuord_Meth_Transfers[[#This Row],[ID_Transfers]],"")</f>
        <v/>
      </c>
    </row>
    <row r="3961" spans="1:4" x14ac:dyDescent="0.45">
      <c r="A3961">
        <v>659</v>
      </c>
      <c r="B3961" s="3">
        <f t="shared" ca="1" si="61"/>
        <v>28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1" t="str">
        <f ca="1">IF(dict_zuord_Meth_Transfers[[#This Row],[kval_active]],dict_zuord_Meth_Transfers[[#This Row],[ID_Transfers]],"")</f>
        <v/>
      </c>
    </row>
    <row r="3962" spans="1:4" x14ac:dyDescent="0.45">
      <c r="A3962">
        <v>660</v>
      </c>
      <c r="B3962">
        <f t="shared" ca="1" si="61"/>
        <v>17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2" t="str">
        <f ca="1">IF(dict_zuord_Meth_Transfers[[#This Row],[kval_active]],dict_zuord_Meth_Transfers[[#This Row],[ID_Transfers]],"")</f>
        <v/>
      </c>
    </row>
    <row r="3963" spans="1:4" x14ac:dyDescent="0.45">
      <c r="A3963">
        <v>660</v>
      </c>
      <c r="B3963">
        <f t="shared" ca="1" si="61"/>
        <v>34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3" t="str">
        <f ca="1">IF(dict_zuord_Meth_Transfers[[#This Row],[kval_active]],dict_zuord_Meth_Transfers[[#This Row],[ID_Transfers]],"")</f>
        <v/>
      </c>
    </row>
    <row r="3964" spans="1:4" x14ac:dyDescent="0.45">
      <c r="A3964">
        <v>660</v>
      </c>
      <c r="B3964" s="3">
        <f t="shared" ca="1" si="61"/>
        <v>60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4" t="str">
        <f ca="1">IF(dict_zuord_Meth_Transfers[[#This Row],[kval_active]],dict_zuord_Meth_Transfers[[#This Row],[ID_Transfers]],"")</f>
        <v/>
      </c>
    </row>
    <row r="3965" spans="1:4" x14ac:dyDescent="0.45">
      <c r="A3965">
        <v>660</v>
      </c>
      <c r="B3965" s="3">
        <f t="shared" ca="1" si="61"/>
        <v>110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5" t="str">
        <f ca="1">IF(dict_zuord_Meth_Transfers[[#This Row],[kval_active]],dict_zuord_Meth_Transfers[[#This Row],[ID_Transfers]],"")</f>
        <v/>
      </c>
    </row>
    <row r="3966" spans="1:4" x14ac:dyDescent="0.45">
      <c r="A3966">
        <v>660</v>
      </c>
      <c r="B3966">
        <f t="shared" ca="1" si="61"/>
        <v>164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6" t="str">
        <f ca="1">IF(dict_zuord_Meth_Transfers[[#This Row],[kval_active]],dict_zuord_Meth_Transfers[[#This Row],[ID_Transfers]],"")</f>
        <v/>
      </c>
    </row>
    <row r="3967" spans="1:4" x14ac:dyDescent="0.45">
      <c r="A3967">
        <v>660</v>
      </c>
      <c r="B3967" s="3">
        <f t="shared" ca="1" si="61"/>
        <v>122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7" t="str">
        <f ca="1">IF(dict_zuord_Meth_Transfers[[#This Row],[kval_active]],dict_zuord_Meth_Transfers[[#This Row],[ID_Transfers]],"")</f>
        <v/>
      </c>
    </row>
    <row r="3968" spans="1:4" x14ac:dyDescent="0.45">
      <c r="A3968">
        <v>661</v>
      </c>
      <c r="B3968" s="3">
        <f t="shared" ca="1" si="61"/>
        <v>152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8" t="str">
        <f ca="1">IF(dict_zuord_Meth_Transfers[[#This Row],[kval_active]],dict_zuord_Meth_Transfers[[#This Row],[ID_Transfers]],"")</f>
        <v/>
      </c>
    </row>
    <row r="3969" spans="1:4" x14ac:dyDescent="0.45">
      <c r="A3969">
        <v>661</v>
      </c>
      <c r="B3969">
        <f t="shared" ca="1" si="61"/>
        <v>92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9" t="str">
        <f ca="1">IF(dict_zuord_Meth_Transfers[[#This Row],[kval_active]],dict_zuord_Meth_Transfers[[#This Row],[ID_Transfers]],"")</f>
        <v/>
      </c>
    </row>
    <row r="3970" spans="1:4" x14ac:dyDescent="0.45">
      <c r="A3970">
        <v>661</v>
      </c>
      <c r="B3970">
        <f t="shared" ref="B3970:B4033" ca="1" si="62">RANDBETWEEN(0,200)</f>
        <v>135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0" t="str">
        <f ca="1">IF(dict_zuord_Meth_Transfers[[#This Row],[kval_active]],dict_zuord_Meth_Transfers[[#This Row],[ID_Transfers]],"")</f>
        <v/>
      </c>
    </row>
    <row r="3971" spans="1:4" x14ac:dyDescent="0.45">
      <c r="A3971">
        <v>661</v>
      </c>
      <c r="B3971" s="3">
        <f t="shared" ca="1" si="62"/>
        <v>181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1" t="str">
        <f ca="1">IF(dict_zuord_Meth_Transfers[[#This Row],[kval_active]],dict_zuord_Meth_Transfers[[#This Row],[ID_Transfers]],"")</f>
        <v/>
      </c>
    </row>
    <row r="3972" spans="1:4" x14ac:dyDescent="0.45">
      <c r="A3972">
        <v>661</v>
      </c>
      <c r="B3972">
        <f t="shared" ca="1" si="62"/>
        <v>118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2" t="str">
        <f ca="1">IF(dict_zuord_Meth_Transfers[[#This Row],[kval_active]],dict_zuord_Meth_Transfers[[#This Row],[ID_Transfers]],"")</f>
        <v/>
      </c>
    </row>
    <row r="3973" spans="1:4" x14ac:dyDescent="0.45">
      <c r="A3973">
        <v>661</v>
      </c>
      <c r="B3973" s="3">
        <f t="shared" ca="1" si="62"/>
        <v>10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3" t="str">
        <f ca="1">IF(dict_zuord_Meth_Transfers[[#This Row],[kval_active]],dict_zuord_Meth_Transfers[[#This Row],[ID_Transfers]],"")</f>
        <v/>
      </c>
    </row>
    <row r="3974" spans="1:4" x14ac:dyDescent="0.45">
      <c r="A3974">
        <v>662</v>
      </c>
      <c r="B3974">
        <f t="shared" ca="1" si="62"/>
        <v>25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4" t="str">
        <f ca="1">IF(dict_zuord_Meth_Transfers[[#This Row],[kval_active]],dict_zuord_Meth_Transfers[[#This Row],[ID_Transfers]],"")</f>
        <v/>
      </c>
    </row>
    <row r="3975" spans="1:4" x14ac:dyDescent="0.45">
      <c r="A3975">
        <v>662</v>
      </c>
      <c r="B3975" s="3">
        <f t="shared" ca="1" si="62"/>
        <v>129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5" t="str">
        <f ca="1">IF(dict_zuord_Meth_Transfers[[#This Row],[kval_active]],dict_zuord_Meth_Transfers[[#This Row],[ID_Transfers]],"")</f>
        <v/>
      </c>
    </row>
    <row r="3976" spans="1:4" x14ac:dyDescent="0.45">
      <c r="A3976">
        <v>662</v>
      </c>
      <c r="B3976" s="3">
        <f t="shared" ca="1" si="62"/>
        <v>175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6" t="str">
        <f ca="1">IF(dict_zuord_Meth_Transfers[[#This Row],[kval_active]],dict_zuord_Meth_Transfers[[#This Row],[ID_Transfers]],"")</f>
        <v/>
      </c>
    </row>
    <row r="3977" spans="1:4" x14ac:dyDescent="0.45">
      <c r="A3977">
        <v>662</v>
      </c>
      <c r="B3977">
        <f t="shared" ca="1" si="62"/>
        <v>185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7" t="str">
        <f ca="1">IF(dict_zuord_Meth_Transfers[[#This Row],[kval_active]],dict_zuord_Meth_Transfers[[#This Row],[ID_Transfers]],"")</f>
        <v/>
      </c>
    </row>
    <row r="3978" spans="1:4" x14ac:dyDescent="0.45">
      <c r="A3978">
        <v>662</v>
      </c>
      <c r="B3978">
        <f t="shared" ca="1" si="62"/>
        <v>140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8" t="str">
        <f ca="1">IF(dict_zuord_Meth_Transfers[[#This Row],[kval_active]],dict_zuord_Meth_Transfers[[#This Row],[ID_Transfers]],"")</f>
        <v/>
      </c>
    </row>
    <row r="3979" spans="1:4" x14ac:dyDescent="0.45">
      <c r="A3979">
        <v>662</v>
      </c>
      <c r="B3979" s="3">
        <f t="shared" ca="1" si="62"/>
        <v>180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9" t="str">
        <f ca="1">IF(dict_zuord_Meth_Transfers[[#This Row],[kval_active]],dict_zuord_Meth_Transfers[[#This Row],[ID_Transfers]],"")</f>
        <v/>
      </c>
    </row>
    <row r="3980" spans="1:4" x14ac:dyDescent="0.45">
      <c r="A3980">
        <v>663</v>
      </c>
      <c r="B3980" s="3">
        <f t="shared" ca="1" si="62"/>
        <v>48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0" t="str">
        <f ca="1">IF(dict_zuord_Meth_Transfers[[#This Row],[kval_active]],dict_zuord_Meth_Transfers[[#This Row],[ID_Transfers]],"")</f>
        <v/>
      </c>
    </row>
    <row r="3981" spans="1:4" x14ac:dyDescent="0.45">
      <c r="A3981">
        <v>663</v>
      </c>
      <c r="B3981">
        <f t="shared" ca="1" si="62"/>
        <v>61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1" t="str">
        <f ca="1">IF(dict_zuord_Meth_Transfers[[#This Row],[kval_active]],dict_zuord_Meth_Transfers[[#This Row],[ID_Transfers]],"")</f>
        <v/>
      </c>
    </row>
    <row r="3982" spans="1:4" x14ac:dyDescent="0.45">
      <c r="A3982">
        <v>663</v>
      </c>
      <c r="B3982">
        <f t="shared" ca="1" si="62"/>
        <v>132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2" t="str">
        <f ca="1">IF(dict_zuord_Meth_Transfers[[#This Row],[kval_active]],dict_zuord_Meth_Transfers[[#This Row],[ID_Transfers]],"")</f>
        <v/>
      </c>
    </row>
    <row r="3983" spans="1:4" x14ac:dyDescent="0.45">
      <c r="A3983">
        <v>663</v>
      </c>
      <c r="B3983" s="3">
        <f t="shared" ca="1" si="62"/>
        <v>196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3" t="str">
        <f ca="1">IF(dict_zuord_Meth_Transfers[[#This Row],[kval_active]],dict_zuord_Meth_Transfers[[#This Row],[ID_Transfers]],"")</f>
        <v/>
      </c>
    </row>
    <row r="3984" spans="1:4" x14ac:dyDescent="0.45">
      <c r="A3984">
        <v>663</v>
      </c>
      <c r="B3984" s="3">
        <f t="shared" ca="1" si="62"/>
        <v>74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4" t="str">
        <f ca="1">IF(dict_zuord_Meth_Transfers[[#This Row],[kval_active]],dict_zuord_Meth_Transfers[[#This Row],[ID_Transfers]],"")</f>
        <v/>
      </c>
    </row>
    <row r="3985" spans="1:4" x14ac:dyDescent="0.45">
      <c r="A3985">
        <v>663</v>
      </c>
      <c r="B3985">
        <f t="shared" ca="1" si="62"/>
        <v>100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5" t="str">
        <f ca="1">IF(dict_zuord_Meth_Transfers[[#This Row],[kval_active]],dict_zuord_Meth_Transfers[[#This Row],[ID_Transfers]],"")</f>
        <v/>
      </c>
    </row>
    <row r="3986" spans="1:4" x14ac:dyDescent="0.45">
      <c r="A3986">
        <v>664</v>
      </c>
      <c r="B3986">
        <f t="shared" ca="1" si="62"/>
        <v>110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6" t="str">
        <f ca="1">IF(dict_zuord_Meth_Transfers[[#This Row],[kval_active]],dict_zuord_Meth_Transfers[[#This Row],[ID_Transfers]],"")</f>
        <v/>
      </c>
    </row>
    <row r="3987" spans="1:4" x14ac:dyDescent="0.45">
      <c r="A3987">
        <v>664</v>
      </c>
      <c r="B3987" s="3">
        <f t="shared" ca="1" si="62"/>
        <v>29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7" t="str">
        <f ca="1">IF(dict_zuord_Meth_Transfers[[#This Row],[kval_active]],dict_zuord_Meth_Transfers[[#This Row],[ID_Transfers]],"")</f>
        <v/>
      </c>
    </row>
    <row r="3988" spans="1:4" x14ac:dyDescent="0.45">
      <c r="A3988">
        <v>664</v>
      </c>
      <c r="B3988">
        <f t="shared" ca="1" si="62"/>
        <v>71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8" t="str">
        <f ca="1">IF(dict_zuord_Meth_Transfers[[#This Row],[kval_active]],dict_zuord_Meth_Transfers[[#This Row],[ID_Transfers]],"")</f>
        <v/>
      </c>
    </row>
    <row r="3989" spans="1:4" x14ac:dyDescent="0.45">
      <c r="A3989">
        <v>664</v>
      </c>
      <c r="B3989" s="3">
        <f t="shared" ca="1" si="62"/>
        <v>178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9" t="str">
        <f ca="1">IF(dict_zuord_Meth_Transfers[[#This Row],[kval_active]],dict_zuord_Meth_Transfers[[#This Row],[ID_Transfers]],"")</f>
        <v/>
      </c>
    </row>
    <row r="3990" spans="1:4" x14ac:dyDescent="0.45">
      <c r="A3990">
        <v>664</v>
      </c>
      <c r="B3990" s="3">
        <f t="shared" ca="1" si="62"/>
        <v>36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0" t="str">
        <f ca="1">IF(dict_zuord_Meth_Transfers[[#This Row],[kval_active]],dict_zuord_Meth_Transfers[[#This Row],[ID_Transfers]],"")</f>
        <v/>
      </c>
    </row>
    <row r="3991" spans="1:4" x14ac:dyDescent="0.45">
      <c r="A3991">
        <v>664</v>
      </c>
      <c r="B3991">
        <f t="shared" ca="1" si="62"/>
        <v>57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1" t="str">
        <f ca="1">IF(dict_zuord_Meth_Transfers[[#This Row],[kval_active]],dict_zuord_Meth_Transfers[[#This Row],[ID_Transfers]],"")</f>
        <v/>
      </c>
    </row>
    <row r="3992" spans="1:4" x14ac:dyDescent="0.45">
      <c r="A3992">
        <v>665</v>
      </c>
      <c r="B3992" s="3">
        <f t="shared" ca="1" si="62"/>
        <v>197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2" t="str">
        <f ca="1">IF(dict_zuord_Meth_Transfers[[#This Row],[kval_active]],dict_zuord_Meth_Transfers[[#This Row],[ID_Transfers]],"")</f>
        <v/>
      </c>
    </row>
    <row r="3993" spans="1:4" x14ac:dyDescent="0.45">
      <c r="A3993">
        <v>665</v>
      </c>
      <c r="B3993" s="3">
        <f t="shared" ca="1" si="62"/>
        <v>25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3" t="str">
        <f ca="1">IF(dict_zuord_Meth_Transfers[[#This Row],[kval_active]],dict_zuord_Meth_Transfers[[#This Row],[ID_Transfers]],"")</f>
        <v/>
      </c>
    </row>
    <row r="3994" spans="1:4" x14ac:dyDescent="0.45">
      <c r="A3994">
        <v>665</v>
      </c>
      <c r="B3994" s="3">
        <f t="shared" ca="1" si="62"/>
        <v>4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4" t="str">
        <f ca="1">IF(dict_zuord_Meth_Transfers[[#This Row],[kval_active]],dict_zuord_Meth_Transfers[[#This Row],[ID_Transfers]],"")</f>
        <v/>
      </c>
    </row>
    <row r="3995" spans="1:4" x14ac:dyDescent="0.45">
      <c r="A3995">
        <v>665</v>
      </c>
      <c r="B3995">
        <f t="shared" ca="1" si="62"/>
        <v>200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5" t="str">
        <f ca="1">IF(dict_zuord_Meth_Transfers[[#This Row],[kval_active]],dict_zuord_Meth_Transfers[[#This Row],[ID_Transfers]],"")</f>
        <v/>
      </c>
    </row>
    <row r="3996" spans="1:4" x14ac:dyDescent="0.45">
      <c r="A3996">
        <v>665</v>
      </c>
      <c r="B3996">
        <f t="shared" ca="1" si="62"/>
        <v>179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6" t="str">
        <f ca="1">IF(dict_zuord_Meth_Transfers[[#This Row],[kval_active]],dict_zuord_Meth_Transfers[[#This Row],[ID_Transfers]],"")</f>
        <v/>
      </c>
    </row>
    <row r="3997" spans="1:4" x14ac:dyDescent="0.45">
      <c r="A3997">
        <v>665</v>
      </c>
      <c r="B3997">
        <f t="shared" ca="1" si="62"/>
        <v>108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7" t="str">
        <f ca="1">IF(dict_zuord_Meth_Transfers[[#This Row],[kval_active]],dict_zuord_Meth_Transfers[[#This Row],[ID_Transfers]],"")</f>
        <v/>
      </c>
    </row>
    <row r="3998" spans="1:4" x14ac:dyDescent="0.45">
      <c r="A3998">
        <v>666</v>
      </c>
      <c r="B3998">
        <f t="shared" ca="1" si="62"/>
        <v>181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8" t="str">
        <f ca="1">IF(dict_zuord_Meth_Transfers[[#This Row],[kval_active]],dict_zuord_Meth_Transfers[[#This Row],[ID_Transfers]],"")</f>
        <v/>
      </c>
    </row>
    <row r="3999" spans="1:4" x14ac:dyDescent="0.45">
      <c r="A3999">
        <v>666</v>
      </c>
      <c r="B3999" s="3">
        <f t="shared" ca="1" si="62"/>
        <v>160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9" t="str">
        <f ca="1">IF(dict_zuord_Meth_Transfers[[#This Row],[kval_active]],dict_zuord_Meth_Transfers[[#This Row],[ID_Transfers]],"")</f>
        <v/>
      </c>
    </row>
    <row r="4000" spans="1:4" x14ac:dyDescent="0.45">
      <c r="A4000">
        <v>666</v>
      </c>
      <c r="B4000">
        <f t="shared" ca="1" si="62"/>
        <v>152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0" t="str">
        <f ca="1">IF(dict_zuord_Meth_Transfers[[#This Row],[kval_active]],dict_zuord_Meth_Transfers[[#This Row],[ID_Transfers]],"")</f>
        <v/>
      </c>
    </row>
    <row r="4001" spans="1:4" x14ac:dyDescent="0.45">
      <c r="A4001">
        <v>666</v>
      </c>
      <c r="B4001" s="3">
        <f t="shared" ca="1" si="62"/>
        <v>164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1" t="str">
        <f ca="1">IF(dict_zuord_Meth_Transfers[[#This Row],[kval_active]],dict_zuord_Meth_Transfers[[#This Row],[ID_Transfers]],"")</f>
        <v/>
      </c>
    </row>
    <row r="4002" spans="1:4" x14ac:dyDescent="0.45">
      <c r="A4002">
        <v>666</v>
      </c>
      <c r="B4002">
        <f t="shared" ca="1" si="62"/>
        <v>90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2" t="str">
        <f ca="1">IF(dict_zuord_Meth_Transfers[[#This Row],[kval_active]],dict_zuord_Meth_Transfers[[#This Row],[ID_Transfers]],"")</f>
        <v/>
      </c>
    </row>
    <row r="4003" spans="1:4" x14ac:dyDescent="0.45">
      <c r="A4003">
        <v>666</v>
      </c>
      <c r="B4003" s="3">
        <f t="shared" ca="1" si="62"/>
        <v>117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3" t="str">
        <f ca="1">IF(dict_zuord_Meth_Transfers[[#This Row],[kval_active]],dict_zuord_Meth_Transfers[[#This Row],[ID_Transfers]],"")</f>
        <v/>
      </c>
    </row>
    <row r="4004" spans="1:4" x14ac:dyDescent="0.45">
      <c r="A4004">
        <v>667</v>
      </c>
      <c r="B4004" s="3">
        <f t="shared" ca="1" si="62"/>
        <v>135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4" t="str">
        <f ca="1">IF(dict_zuord_Meth_Transfers[[#This Row],[kval_active]],dict_zuord_Meth_Transfers[[#This Row],[ID_Transfers]],"")</f>
        <v/>
      </c>
    </row>
    <row r="4005" spans="1:4" x14ac:dyDescent="0.45">
      <c r="A4005">
        <v>667</v>
      </c>
      <c r="B4005">
        <f t="shared" ca="1" si="62"/>
        <v>79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5" t="str">
        <f ca="1">IF(dict_zuord_Meth_Transfers[[#This Row],[kval_active]],dict_zuord_Meth_Transfers[[#This Row],[ID_Transfers]],"")</f>
        <v/>
      </c>
    </row>
    <row r="4006" spans="1:4" x14ac:dyDescent="0.45">
      <c r="A4006">
        <v>667</v>
      </c>
      <c r="B4006" s="3">
        <f t="shared" ca="1" si="62"/>
        <v>37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6" t="str">
        <f ca="1">IF(dict_zuord_Meth_Transfers[[#This Row],[kval_active]],dict_zuord_Meth_Transfers[[#This Row],[ID_Transfers]],"")</f>
        <v/>
      </c>
    </row>
    <row r="4007" spans="1:4" x14ac:dyDescent="0.45">
      <c r="A4007">
        <v>667</v>
      </c>
      <c r="B4007">
        <f t="shared" ca="1" si="62"/>
        <v>98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7" t="str">
        <f ca="1">IF(dict_zuord_Meth_Transfers[[#This Row],[kval_active]],dict_zuord_Meth_Transfers[[#This Row],[ID_Transfers]],"")</f>
        <v/>
      </c>
    </row>
    <row r="4008" spans="1:4" x14ac:dyDescent="0.45">
      <c r="A4008">
        <v>667</v>
      </c>
      <c r="B4008">
        <f t="shared" ca="1" si="62"/>
        <v>104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8" t="str">
        <f ca="1">IF(dict_zuord_Meth_Transfers[[#This Row],[kval_active]],dict_zuord_Meth_Transfers[[#This Row],[ID_Transfers]],"")</f>
        <v/>
      </c>
    </row>
    <row r="4009" spans="1:4" x14ac:dyDescent="0.45">
      <c r="A4009">
        <v>667</v>
      </c>
      <c r="B4009" s="3">
        <f t="shared" ca="1" si="62"/>
        <v>88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9" t="str">
        <f ca="1">IF(dict_zuord_Meth_Transfers[[#This Row],[kval_active]],dict_zuord_Meth_Transfers[[#This Row],[ID_Transfers]],"")</f>
        <v/>
      </c>
    </row>
    <row r="4010" spans="1:4" x14ac:dyDescent="0.45">
      <c r="A4010">
        <v>668</v>
      </c>
      <c r="B4010" s="3">
        <f t="shared" ca="1" si="62"/>
        <v>193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0" t="str">
        <f ca="1">IF(dict_zuord_Meth_Transfers[[#This Row],[kval_active]],dict_zuord_Meth_Transfers[[#This Row],[ID_Transfers]],"")</f>
        <v/>
      </c>
    </row>
    <row r="4011" spans="1:4" x14ac:dyDescent="0.45">
      <c r="A4011">
        <v>668</v>
      </c>
      <c r="B4011" s="3">
        <f t="shared" ca="1" si="62"/>
        <v>19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1" t="str">
        <f ca="1">IF(dict_zuord_Meth_Transfers[[#This Row],[kval_active]],dict_zuord_Meth_Transfers[[#This Row],[ID_Transfers]],"")</f>
        <v/>
      </c>
    </row>
    <row r="4012" spans="1:4" x14ac:dyDescent="0.45">
      <c r="A4012">
        <v>668</v>
      </c>
      <c r="B4012">
        <f t="shared" ca="1" si="62"/>
        <v>114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2" t="str">
        <f ca="1">IF(dict_zuord_Meth_Transfers[[#This Row],[kval_active]],dict_zuord_Meth_Transfers[[#This Row],[ID_Transfers]],"")</f>
        <v/>
      </c>
    </row>
    <row r="4013" spans="1:4" x14ac:dyDescent="0.45">
      <c r="A4013">
        <v>668</v>
      </c>
      <c r="B4013" s="3">
        <f t="shared" ca="1" si="62"/>
        <v>78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3" t="str">
        <f ca="1">IF(dict_zuord_Meth_Transfers[[#This Row],[kval_active]],dict_zuord_Meth_Transfers[[#This Row],[ID_Transfers]],"")</f>
        <v/>
      </c>
    </row>
    <row r="4014" spans="1:4" x14ac:dyDescent="0.45">
      <c r="A4014">
        <v>668</v>
      </c>
      <c r="B4014">
        <f t="shared" ca="1" si="62"/>
        <v>144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4" t="str">
        <f ca="1">IF(dict_zuord_Meth_Transfers[[#This Row],[kval_active]],dict_zuord_Meth_Transfers[[#This Row],[ID_Transfers]],"")</f>
        <v/>
      </c>
    </row>
    <row r="4015" spans="1:4" x14ac:dyDescent="0.45">
      <c r="A4015">
        <v>668</v>
      </c>
      <c r="B4015">
        <f t="shared" ca="1" si="62"/>
        <v>177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5" t="str">
        <f ca="1">IF(dict_zuord_Meth_Transfers[[#This Row],[kval_active]],dict_zuord_Meth_Transfers[[#This Row],[ID_Transfers]],"")</f>
        <v/>
      </c>
    </row>
    <row r="4016" spans="1:4" x14ac:dyDescent="0.45">
      <c r="A4016">
        <v>669</v>
      </c>
      <c r="B4016" s="3">
        <f t="shared" ca="1" si="62"/>
        <v>60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6" t="str">
        <f ca="1">IF(dict_zuord_Meth_Transfers[[#This Row],[kval_active]],dict_zuord_Meth_Transfers[[#This Row],[ID_Transfers]],"")</f>
        <v/>
      </c>
    </row>
    <row r="4017" spans="1:4" x14ac:dyDescent="0.45">
      <c r="A4017">
        <v>669</v>
      </c>
      <c r="B4017">
        <f t="shared" ca="1" si="62"/>
        <v>149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7" t="str">
        <f ca="1">IF(dict_zuord_Meth_Transfers[[#This Row],[kval_active]],dict_zuord_Meth_Transfers[[#This Row],[ID_Transfers]],"")</f>
        <v/>
      </c>
    </row>
    <row r="4018" spans="1:4" x14ac:dyDescent="0.45">
      <c r="A4018">
        <v>669</v>
      </c>
      <c r="B4018" s="3">
        <f t="shared" ca="1" si="62"/>
        <v>191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8" t="str">
        <f ca="1">IF(dict_zuord_Meth_Transfers[[#This Row],[kval_active]],dict_zuord_Meth_Transfers[[#This Row],[ID_Transfers]],"")</f>
        <v/>
      </c>
    </row>
    <row r="4019" spans="1:4" x14ac:dyDescent="0.45">
      <c r="A4019">
        <v>669</v>
      </c>
      <c r="B4019">
        <f t="shared" ca="1" si="62"/>
        <v>195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9" t="str">
        <f ca="1">IF(dict_zuord_Meth_Transfers[[#This Row],[kval_active]],dict_zuord_Meth_Transfers[[#This Row],[ID_Transfers]],"")</f>
        <v/>
      </c>
    </row>
    <row r="4020" spans="1:4" x14ac:dyDescent="0.45">
      <c r="A4020">
        <v>669</v>
      </c>
      <c r="B4020" s="3">
        <f t="shared" ca="1" si="62"/>
        <v>152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0" t="str">
        <f ca="1">IF(dict_zuord_Meth_Transfers[[#This Row],[kval_active]],dict_zuord_Meth_Transfers[[#This Row],[ID_Transfers]],"")</f>
        <v/>
      </c>
    </row>
    <row r="4021" spans="1:4" x14ac:dyDescent="0.45">
      <c r="A4021">
        <v>669</v>
      </c>
      <c r="B4021">
        <f t="shared" ca="1" si="62"/>
        <v>57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1" t="str">
        <f ca="1">IF(dict_zuord_Meth_Transfers[[#This Row],[kval_active]],dict_zuord_Meth_Transfers[[#This Row],[ID_Transfers]],"")</f>
        <v/>
      </c>
    </row>
    <row r="4022" spans="1:4" x14ac:dyDescent="0.45">
      <c r="A4022">
        <v>670</v>
      </c>
      <c r="B4022">
        <f t="shared" ca="1" si="62"/>
        <v>160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2" t="str">
        <f ca="1">IF(dict_zuord_Meth_Transfers[[#This Row],[kval_active]],dict_zuord_Meth_Transfers[[#This Row],[ID_Transfers]],"")</f>
        <v/>
      </c>
    </row>
    <row r="4023" spans="1:4" x14ac:dyDescent="0.45">
      <c r="A4023">
        <v>670</v>
      </c>
      <c r="B4023" s="3">
        <f t="shared" ca="1" si="62"/>
        <v>55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3" t="str">
        <f ca="1">IF(dict_zuord_Meth_Transfers[[#This Row],[kval_active]],dict_zuord_Meth_Transfers[[#This Row],[ID_Transfers]],"")</f>
        <v/>
      </c>
    </row>
    <row r="4024" spans="1:4" x14ac:dyDescent="0.45">
      <c r="A4024">
        <v>670</v>
      </c>
      <c r="B4024">
        <f t="shared" ca="1" si="62"/>
        <v>14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4" t="str">
        <f ca="1">IF(dict_zuord_Meth_Transfers[[#This Row],[kval_active]],dict_zuord_Meth_Transfers[[#This Row],[ID_Transfers]],"")</f>
        <v/>
      </c>
    </row>
    <row r="4025" spans="1:4" x14ac:dyDescent="0.45">
      <c r="A4025">
        <v>670</v>
      </c>
      <c r="B4025" s="3">
        <f t="shared" ca="1" si="62"/>
        <v>15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5" t="str">
        <f ca="1">IF(dict_zuord_Meth_Transfers[[#This Row],[kval_active]],dict_zuord_Meth_Transfers[[#This Row],[ID_Transfers]],"")</f>
        <v/>
      </c>
    </row>
    <row r="4026" spans="1:4" x14ac:dyDescent="0.45">
      <c r="A4026">
        <v>670</v>
      </c>
      <c r="B4026">
        <f t="shared" ca="1" si="62"/>
        <v>194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6" t="str">
        <f ca="1">IF(dict_zuord_Meth_Transfers[[#This Row],[kval_active]],dict_zuord_Meth_Transfers[[#This Row],[ID_Transfers]],"")</f>
        <v/>
      </c>
    </row>
    <row r="4027" spans="1:4" x14ac:dyDescent="0.45">
      <c r="A4027">
        <v>670</v>
      </c>
      <c r="B4027" s="3">
        <f t="shared" ca="1" si="62"/>
        <v>183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7" t="str">
        <f ca="1">IF(dict_zuord_Meth_Transfers[[#This Row],[kval_active]],dict_zuord_Meth_Transfers[[#This Row],[ID_Transfers]],"")</f>
        <v/>
      </c>
    </row>
    <row r="4028" spans="1:4" x14ac:dyDescent="0.45">
      <c r="A4028">
        <v>671</v>
      </c>
      <c r="B4028">
        <f t="shared" ca="1" si="62"/>
        <v>5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8" t="str">
        <f ca="1">IF(dict_zuord_Meth_Transfers[[#This Row],[kval_active]],dict_zuord_Meth_Transfers[[#This Row],[ID_Transfers]],"")</f>
        <v/>
      </c>
    </row>
    <row r="4029" spans="1:4" x14ac:dyDescent="0.45">
      <c r="A4029">
        <v>671</v>
      </c>
      <c r="B4029">
        <f t="shared" ca="1" si="62"/>
        <v>178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9" t="str">
        <f ca="1">IF(dict_zuord_Meth_Transfers[[#This Row],[kval_active]],dict_zuord_Meth_Transfers[[#This Row],[ID_Transfers]],"")</f>
        <v/>
      </c>
    </row>
    <row r="4030" spans="1:4" x14ac:dyDescent="0.45">
      <c r="A4030">
        <v>671</v>
      </c>
      <c r="B4030">
        <f t="shared" ca="1" si="62"/>
        <v>151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0" t="str">
        <f ca="1">IF(dict_zuord_Meth_Transfers[[#This Row],[kval_active]],dict_zuord_Meth_Transfers[[#This Row],[ID_Transfers]],"")</f>
        <v/>
      </c>
    </row>
    <row r="4031" spans="1:4" x14ac:dyDescent="0.45">
      <c r="A4031">
        <v>671</v>
      </c>
      <c r="B4031" s="3">
        <f t="shared" ca="1" si="62"/>
        <v>21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1" t="str">
        <f ca="1">IF(dict_zuord_Meth_Transfers[[#This Row],[kval_active]],dict_zuord_Meth_Transfers[[#This Row],[ID_Transfers]],"")</f>
        <v/>
      </c>
    </row>
    <row r="4032" spans="1:4" x14ac:dyDescent="0.45">
      <c r="A4032">
        <v>671</v>
      </c>
      <c r="B4032" s="3">
        <f t="shared" ca="1" si="62"/>
        <v>87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2" t="str">
        <f ca="1">IF(dict_zuord_Meth_Transfers[[#This Row],[kval_active]],dict_zuord_Meth_Transfers[[#This Row],[ID_Transfers]],"")</f>
        <v/>
      </c>
    </row>
    <row r="4033" spans="1:4" x14ac:dyDescent="0.45">
      <c r="A4033">
        <v>671</v>
      </c>
      <c r="B4033" s="3">
        <f t="shared" ca="1" si="62"/>
        <v>34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3" t="str">
        <f ca="1">IF(dict_zuord_Meth_Transfers[[#This Row],[kval_active]],dict_zuord_Meth_Transfers[[#This Row],[ID_Transfers]],"")</f>
        <v/>
      </c>
    </row>
    <row r="4034" spans="1:4" x14ac:dyDescent="0.45">
      <c r="A4034">
        <v>672</v>
      </c>
      <c r="B4034">
        <f t="shared" ref="B4034:B4097" ca="1" si="63">RANDBETWEEN(0,200)</f>
        <v>3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4" t="str">
        <f ca="1">IF(dict_zuord_Meth_Transfers[[#This Row],[kval_active]],dict_zuord_Meth_Transfers[[#This Row],[ID_Transfers]],"")</f>
        <v/>
      </c>
    </row>
    <row r="4035" spans="1:4" x14ac:dyDescent="0.45">
      <c r="A4035">
        <v>672</v>
      </c>
      <c r="B4035" s="3">
        <f t="shared" ca="1" si="63"/>
        <v>41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5" t="str">
        <f ca="1">IF(dict_zuord_Meth_Transfers[[#This Row],[kval_active]],dict_zuord_Meth_Transfers[[#This Row],[ID_Transfers]],"")</f>
        <v/>
      </c>
    </row>
    <row r="4036" spans="1:4" x14ac:dyDescent="0.45">
      <c r="A4036">
        <v>672</v>
      </c>
      <c r="B4036" s="3">
        <f t="shared" ca="1" si="63"/>
        <v>154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6" t="str">
        <f ca="1">IF(dict_zuord_Meth_Transfers[[#This Row],[kval_active]],dict_zuord_Meth_Transfers[[#This Row],[ID_Transfers]],"")</f>
        <v/>
      </c>
    </row>
    <row r="4037" spans="1:4" x14ac:dyDescent="0.45">
      <c r="A4037">
        <v>672</v>
      </c>
      <c r="B4037">
        <f t="shared" ca="1" si="63"/>
        <v>180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7" t="str">
        <f ca="1">IF(dict_zuord_Meth_Transfers[[#This Row],[kval_active]],dict_zuord_Meth_Transfers[[#This Row],[ID_Transfers]],"")</f>
        <v/>
      </c>
    </row>
    <row r="4038" spans="1:4" x14ac:dyDescent="0.45">
      <c r="A4038">
        <v>672</v>
      </c>
      <c r="B4038">
        <f t="shared" ca="1" si="63"/>
        <v>28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8" t="str">
        <f ca="1">IF(dict_zuord_Meth_Transfers[[#This Row],[kval_active]],dict_zuord_Meth_Transfers[[#This Row],[ID_Transfers]],"")</f>
        <v/>
      </c>
    </row>
    <row r="4039" spans="1:4" x14ac:dyDescent="0.45">
      <c r="A4039">
        <v>672</v>
      </c>
      <c r="B4039" s="3">
        <f t="shared" ca="1" si="63"/>
        <v>15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9" t="str">
        <f ca="1">IF(dict_zuord_Meth_Transfers[[#This Row],[kval_active]],dict_zuord_Meth_Transfers[[#This Row],[ID_Transfers]],"")</f>
        <v/>
      </c>
    </row>
    <row r="4040" spans="1:4" x14ac:dyDescent="0.45">
      <c r="A4040">
        <v>673</v>
      </c>
      <c r="B4040">
        <f t="shared" ca="1" si="63"/>
        <v>180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0" t="str">
        <f ca="1">IF(dict_zuord_Meth_Transfers[[#This Row],[kval_active]],dict_zuord_Meth_Transfers[[#This Row],[ID_Transfers]],"")</f>
        <v/>
      </c>
    </row>
    <row r="4041" spans="1:4" x14ac:dyDescent="0.45">
      <c r="A4041">
        <v>673</v>
      </c>
      <c r="B4041">
        <f t="shared" ca="1" si="63"/>
        <v>174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1" t="str">
        <f ca="1">IF(dict_zuord_Meth_Transfers[[#This Row],[kval_active]],dict_zuord_Meth_Transfers[[#This Row],[ID_Transfers]],"")</f>
        <v/>
      </c>
    </row>
    <row r="4042" spans="1:4" x14ac:dyDescent="0.45">
      <c r="A4042">
        <v>673</v>
      </c>
      <c r="B4042" s="3">
        <f t="shared" ca="1" si="63"/>
        <v>81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2" t="str">
        <f ca="1">IF(dict_zuord_Meth_Transfers[[#This Row],[kval_active]],dict_zuord_Meth_Transfers[[#This Row],[ID_Transfers]],"")</f>
        <v/>
      </c>
    </row>
    <row r="4043" spans="1:4" x14ac:dyDescent="0.45">
      <c r="A4043">
        <v>673</v>
      </c>
      <c r="B4043" s="3">
        <f t="shared" ca="1" si="63"/>
        <v>133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3" t="str">
        <f ca="1">IF(dict_zuord_Meth_Transfers[[#This Row],[kval_active]],dict_zuord_Meth_Transfers[[#This Row],[ID_Transfers]],"")</f>
        <v/>
      </c>
    </row>
    <row r="4044" spans="1:4" x14ac:dyDescent="0.45">
      <c r="A4044">
        <v>673</v>
      </c>
      <c r="B4044" s="3">
        <f t="shared" ca="1" si="63"/>
        <v>188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4" t="str">
        <f ca="1">IF(dict_zuord_Meth_Transfers[[#This Row],[kval_active]],dict_zuord_Meth_Transfers[[#This Row],[ID_Transfers]],"")</f>
        <v/>
      </c>
    </row>
    <row r="4045" spans="1:4" x14ac:dyDescent="0.45">
      <c r="A4045">
        <v>673</v>
      </c>
      <c r="B4045">
        <f t="shared" ca="1" si="63"/>
        <v>79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5" t="str">
        <f ca="1">IF(dict_zuord_Meth_Transfers[[#This Row],[kval_active]],dict_zuord_Meth_Transfers[[#This Row],[ID_Transfers]],"")</f>
        <v/>
      </c>
    </row>
    <row r="4046" spans="1:4" x14ac:dyDescent="0.45">
      <c r="A4046">
        <v>674</v>
      </c>
      <c r="B4046" s="3">
        <f t="shared" ca="1" si="63"/>
        <v>195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6">
        <f ca="1">IF(dict_zuord_Meth_Transfers[[#This Row],[kval_active]],dict_zuord_Meth_Transfers[[#This Row],[ID_Transfers]],"")</f>
        <v>195</v>
      </c>
    </row>
    <row r="4047" spans="1:4" x14ac:dyDescent="0.45">
      <c r="A4047">
        <v>674</v>
      </c>
      <c r="B4047" s="3">
        <f t="shared" ca="1" si="63"/>
        <v>4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7">
        <f ca="1">IF(dict_zuord_Meth_Transfers[[#This Row],[kval_active]],dict_zuord_Meth_Transfers[[#This Row],[ID_Transfers]],"")</f>
        <v>4</v>
      </c>
    </row>
    <row r="4048" spans="1:4" x14ac:dyDescent="0.45">
      <c r="A4048">
        <v>674</v>
      </c>
      <c r="B4048">
        <f t="shared" ca="1" si="63"/>
        <v>187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8">
        <f ca="1">IF(dict_zuord_Meth_Transfers[[#This Row],[kval_active]],dict_zuord_Meth_Transfers[[#This Row],[ID_Transfers]],"")</f>
        <v>187</v>
      </c>
    </row>
    <row r="4049" spans="1:4" x14ac:dyDescent="0.45">
      <c r="A4049">
        <v>674</v>
      </c>
      <c r="B4049" s="3">
        <f t="shared" ca="1" si="63"/>
        <v>61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9">
        <f ca="1">IF(dict_zuord_Meth_Transfers[[#This Row],[kval_active]],dict_zuord_Meth_Transfers[[#This Row],[ID_Transfers]],"")</f>
        <v>61</v>
      </c>
    </row>
    <row r="4050" spans="1:4" x14ac:dyDescent="0.45">
      <c r="A4050">
        <v>674</v>
      </c>
      <c r="B4050">
        <f t="shared" ca="1" si="63"/>
        <v>50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0">
        <f ca="1">IF(dict_zuord_Meth_Transfers[[#This Row],[kval_active]],dict_zuord_Meth_Transfers[[#This Row],[ID_Transfers]],"")</f>
        <v>50</v>
      </c>
    </row>
    <row r="4051" spans="1:4" x14ac:dyDescent="0.45">
      <c r="A4051">
        <v>674</v>
      </c>
      <c r="B4051">
        <f t="shared" ca="1" si="63"/>
        <v>186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1">
        <f ca="1">IF(dict_zuord_Meth_Transfers[[#This Row],[kval_active]],dict_zuord_Meth_Transfers[[#This Row],[ID_Transfers]],"")</f>
        <v>186</v>
      </c>
    </row>
    <row r="4052" spans="1:4" x14ac:dyDescent="0.45">
      <c r="A4052">
        <v>675</v>
      </c>
      <c r="B4052" s="3">
        <f t="shared" ca="1" si="63"/>
        <v>18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2" t="str">
        <f ca="1">IF(dict_zuord_Meth_Transfers[[#This Row],[kval_active]],dict_zuord_Meth_Transfers[[#This Row],[ID_Transfers]],"")</f>
        <v/>
      </c>
    </row>
    <row r="4053" spans="1:4" x14ac:dyDescent="0.45">
      <c r="A4053">
        <v>675</v>
      </c>
      <c r="B4053">
        <f t="shared" ca="1" si="63"/>
        <v>107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3" t="str">
        <f ca="1">IF(dict_zuord_Meth_Transfers[[#This Row],[kval_active]],dict_zuord_Meth_Transfers[[#This Row],[ID_Transfers]],"")</f>
        <v/>
      </c>
    </row>
    <row r="4054" spans="1:4" x14ac:dyDescent="0.45">
      <c r="A4054">
        <v>675</v>
      </c>
      <c r="B4054">
        <f t="shared" ca="1" si="63"/>
        <v>176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4" t="str">
        <f ca="1">IF(dict_zuord_Meth_Transfers[[#This Row],[kval_active]],dict_zuord_Meth_Transfers[[#This Row],[ID_Transfers]],"")</f>
        <v/>
      </c>
    </row>
    <row r="4055" spans="1:4" x14ac:dyDescent="0.45">
      <c r="A4055">
        <v>675</v>
      </c>
      <c r="B4055" s="3">
        <f t="shared" ca="1" si="63"/>
        <v>180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5" t="str">
        <f ca="1">IF(dict_zuord_Meth_Transfers[[#This Row],[kval_active]],dict_zuord_Meth_Transfers[[#This Row],[ID_Transfers]],"")</f>
        <v/>
      </c>
    </row>
    <row r="4056" spans="1:4" x14ac:dyDescent="0.45">
      <c r="A4056">
        <v>675</v>
      </c>
      <c r="B4056">
        <f t="shared" ca="1" si="63"/>
        <v>102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6" t="str">
        <f ca="1">IF(dict_zuord_Meth_Transfers[[#This Row],[kval_active]],dict_zuord_Meth_Transfers[[#This Row],[ID_Transfers]],"")</f>
        <v/>
      </c>
    </row>
    <row r="4057" spans="1:4" x14ac:dyDescent="0.45">
      <c r="A4057">
        <v>675</v>
      </c>
      <c r="B4057" s="3">
        <f t="shared" ca="1" si="63"/>
        <v>73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7" t="str">
        <f ca="1">IF(dict_zuord_Meth_Transfers[[#This Row],[kval_active]],dict_zuord_Meth_Transfers[[#This Row],[ID_Transfers]],"")</f>
        <v/>
      </c>
    </row>
    <row r="4058" spans="1:4" x14ac:dyDescent="0.45">
      <c r="A4058">
        <v>676</v>
      </c>
      <c r="B4058">
        <f t="shared" ca="1" si="63"/>
        <v>192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8" t="str">
        <f ca="1">IF(dict_zuord_Meth_Transfers[[#This Row],[kval_active]],dict_zuord_Meth_Transfers[[#This Row],[ID_Transfers]],"")</f>
        <v/>
      </c>
    </row>
    <row r="4059" spans="1:4" x14ac:dyDescent="0.45">
      <c r="A4059">
        <v>676</v>
      </c>
      <c r="B4059">
        <f t="shared" ca="1" si="63"/>
        <v>53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9" t="str">
        <f ca="1">IF(dict_zuord_Meth_Transfers[[#This Row],[kval_active]],dict_zuord_Meth_Transfers[[#This Row],[ID_Transfers]],"")</f>
        <v/>
      </c>
    </row>
    <row r="4060" spans="1:4" x14ac:dyDescent="0.45">
      <c r="A4060">
        <v>676</v>
      </c>
      <c r="B4060" s="3">
        <f t="shared" ca="1" si="63"/>
        <v>98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0" t="str">
        <f ca="1">IF(dict_zuord_Meth_Transfers[[#This Row],[kval_active]],dict_zuord_Meth_Transfers[[#This Row],[ID_Transfers]],"")</f>
        <v/>
      </c>
    </row>
    <row r="4061" spans="1:4" x14ac:dyDescent="0.45">
      <c r="A4061">
        <v>676</v>
      </c>
      <c r="B4061">
        <f t="shared" ca="1" si="63"/>
        <v>117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1" t="str">
        <f ca="1">IF(dict_zuord_Meth_Transfers[[#This Row],[kval_active]],dict_zuord_Meth_Transfers[[#This Row],[ID_Transfers]],"")</f>
        <v/>
      </c>
    </row>
    <row r="4062" spans="1:4" x14ac:dyDescent="0.45">
      <c r="A4062">
        <v>676</v>
      </c>
      <c r="B4062" s="3">
        <f t="shared" ca="1" si="63"/>
        <v>23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2" t="str">
        <f ca="1">IF(dict_zuord_Meth_Transfers[[#This Row],[kval_active]],dict_zuord_Meth_Transfers[[#This Row],[ID_Transfers]],"")</f>
        <v/>
      </c>
    </row>
    <row r="4063" spans="1:4" x14ac:dyDescent="0.45">
      <c r="A4063">
        <v>676</v>
      </c>
      <c r="B4063" s="3">
        <f t="shared" ca="1" si="63"/>
        <v>4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3" t="str">
        <f ca="1">IF(dict_zuord_Meth_Transfers[[#This Row],[kval_active]],dict_zuord_Meth_Transfers[[#This Row],[ID_Transfers]],"")</f>
        <v/>
      </c>
    </row>
    <row r="4064" spans="1:4" x14ac:dyDescent="0.45">
      <c r="A4064">
        <v>677</v>
      </c>
      <c r="B4064" s="3">
        <f t="shared" ca="1" si="63"/>
        <v>164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4" t="str">
        <f ca="1">IF(dict_zuord_Meth_Transfers[[#This Row],[kval_active]],dict_zuord_Meth_Transfers[[#This Row],[ID_Transfers]],"")</f>
        <v/>
      </c>
    </row>
    <row r="4065" spans="1:4" x14ac:dyDescent="0.45">
      <c r="A4065">
        <v>677</v>
      </c>
      <c r="B4065">
        <f t="shared" ca="1" si="63"/>
        <v>106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5" t="str">
        <f ca="1">IF(dict_zuord_Meth_Transfers[[#This Row],[kval_active]],dict_zuord_Meth_Transfers[[#This Row],[ID_Transfers]],"")</f>
        <v/>
      </c>
    </row>
    <row r="4066" spans="1:4" x14ac:dyDescent="0.45">
      <c r="A4066">
        <v>677</v>
      </c>
      <c r="B4066" s="3">
        <f t="shared" ca="1" si="63"/>
        <v>125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6" t="str">
        <f ca="1">IF(dict_zuord_Meth_Transfers[[#This Row],[kval_active]],dict_zuord_Meth_Transfers[[#This Row],[ID_Transfers]],"")</f>
        <v/>
      </c>
    </row>
    <row r="4067" spans="1:4" x14ac:dyDescent="0.45">
      <c r="A4067">
        <v>677</v>
      </c>
      <c r="B4067">
        <f t="shared" ca="1" si="63"/>
        <v>62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7" t="str">
        <f ca="1">IF(dict_zuord_Meth_Transfers[[#This Row],[kval_active]],dict_zuord_Meth_Transfers[[#This Row],[ID_Transfers]],"")</f>
        <v/>
      </c>
    </row>
    <row r="4068" spans="1:4" x14ac:dyDescent="0.45">
      <c r="A4068">
        <v>677</v>
      </c>
      <c r="B4068">
        <f t="shared" ca="1" si="63"/>
        <v>90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8" t="str">
        <f ca="1">IF(dict_zuord_Meth_Transfers[[#This Row],[kval_active]],dict_zuord_Meth_Transfers[[#This Row],[ID_Transfers]],"")</f>
        <v/>
      </c>
    </row>
    <row r="4069" spans="1:4" x14ac:dyDescent="0.45">
      <c r="A4069">
        <v>677</v>
      </c>
      <c r="B4069" s="3">
        <f t="shared" ca="1" si="63"/>
        <v>39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9" t="str">
        <f ca="1">IF(dict_zuord_Meth_Transfers[[#This Row],[kval_active]],dict_zuord_Meth_Transfers[[#This Row],[ID_Transfers]],"")</f>
        <v/>
      </c>
    </row>
    <row r="4070" spans="1:4" x14ac:dyDescent="0.45">
      <c r="A4070">
        <v>678</v>
      </c>
      <c r="B4070">
        <f t="shared" ca="1" si="63"/>
        <v>4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0" t="str">
        <f ca="1">IF(dict_zuord_Meth_Transfers[[#This Row],[kval_active]],dict_zuord_Meth_Transfers[[#This Row],[ID_Transfers]],"")</f>
        <v/>
      </c>
    </row>
    <row r="4071" spans="1:4" x14ac:dyDescent="0.45">
      <c r="A4071">
        <v>678</v>
      </c>
      <c r="B4071">
        <f t="shared" ca="1" si="63"/>
        <v>111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1" t="str">
        <f ca="1">IF(dict_zuord_Meth_Transfers[[#This Row],[kval_active]],dict_zuord_Meth_Transfers[[#This Row],[ID_Transfers]],"")</f>
        <v/>
      </c>
    </row>
    <row r="4072" spans="1:4" x14ac:dyDescent="0.45">
      <c r="A4072">
        <v>678</v>
      </c>
      <c r="B4072" s="3">
        <f t="shared" ca="1" si="63"/>
        <v>9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2" t="str">
        <f ca="1">IF(dict_zuord_Meth_Transfers[[#This Row],[kval_active]],dict_zuord_Meth_Transfers[[#This Row],[ID_Transfers]],"")</f>
        <v/>
      </c>
    </row>
    <row r="4073" spans="1:4" x14ac:dyDescent="0.45">
      <c r="A4073">
        <v>678</v>
      </c>
      <c r="B4073" s="3">
        <f t="shared" ca="1" si="63"/>
        <v>159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3" t="str">
        <f ca="1">IF(dict_zuord_Meth_Transfers[[#This Row],[kval_active]],dict_zuord_Meth_Transfers[[#This Row],[ID_Transfers]],"")</f>
        <v/>
      </c>
    </row>
    <row r="4074" spans="1:4" x14ac:dyDescent="0.45">
      <c r="A4074">
        <v>678</v>
      </c>
      <c r="B4074" s="3">
        <f t="shared" ca="1" si="63"/>
        <v>77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4" t="str">
        <f ca="1">IF(dict_zuord_Meth_Transfers[[#This Row],[kval_active]],dict_zuord_Meth_Transfers[[#This Row],[ID_Transfers]],"")</f>
        <v/>
      </c>
    </row>
    <row r="4075" spans="1:4" x14ac:dyDescent="0.45">
      <c r="A4075">
        <v>678</v>
      </c>
      <c r="B4075">
        <f t="shared" ca="1" si="63"/>
        <v>11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5" t="str">
        <f ca="1">IF(dict_zuord_Meth_Transfers[[#This Row],[kval_active]],dict_zuord_Meth_Transfers[[#This Row],[ID_Transfers]],"")</f>
        <v/>
      </c>
    </row>
    <row r="4076" spans="1:4" x14ac:dyDescent="0.45">
      <c r="A4076">
        <v>679</v>
      </c>
      <c r="B4076" s="3">
        <f t="shared" ca="1" si="63"/>
        <v>77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6" t="str">
        <f ca="1">IF(dict_zuord_Meth_Transfers[[#This Row],[kval_active]],dict_zuord_Meth_Transfers[[#This Row],[ID_Transfers]],"")</f>
        <v/>
      </c>
    </row>
    <row r="4077" spans="1:4" x14ac:dyDescent="0.45">
      <c r="A4077">
        <v>679</v>
      </c>
      <c r="B4077">
        <f t="shared" ca="1" si="63"/>
        <v>112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7" t="str">
        <f ca="1">IF(dict_zuord_Meth_Transfers[[#This Row],[kval_active]],dict_zuord_Meth_Transfers[[#This Row],[ID_Transfers]],"")</f>
        <v/>
      </c>
    </row>
    <row r="4078" spans="1:4" x14ac:dyDescent="0.45">
      <c r="A4078">
        <v>679</v>
      </c>
      <c r="B4078">
        <f t="shared" ca="1" si="63"/>
        <v>127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8" t="str">
        <f ca="1">IF(dict_zuord_Meth_Transfers[[#This Row],[kval_active]],dict_zuord_Meth_Transfers[[#This Row],[ID_Transfers]],"")</f>
        <v/>
      </c>
    </row>
    <row r="4079" spans="1:4" x14ac:dyDescent="0.45">
      <c r="A4079">
        <v>679</v>
      </c>
      <c r="B4079" s="3">
        <f t="shared" ca="1" si="63"/>
        <v>65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9" t="str">
        <f ca="1">IF(dict_zuord_Meth_Transfers[[#This Row],[kval_active]],dict_zuord_Meth_Transfers[[#This Row],[ID_Transfers]],"")</f>
        <v/>
      </c>
    </row>
    <row r="4080" spans="1:4" x14ac:dyDescent="0.45">
      <c r="A4080">
        <v>679</v>
      </c>
      <c r="B4080">
        <f t="shared" ca="1" si="63"/>
        <v>77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0" t="str">
        <f ca="1">IF(dict_zuord_Meth_Transfers[[#This Row],[kval_active]],dict_zuord_Meth_Transfers[[#This Row],[ID_Transfers]],"")</f>
        <v/>
      </c>
    </row>
    <row r="4081" spans="1:4" x14ac:dyDescent="0.45">
      <c r="A4081">
        <v>679</v>
      </c>
      <c r="B4081" s="3">
        <f t="shared" ca="1" si="63"/>
        <v>61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1" t="str">
        <f ca="1">IF(dict_zuord_Meth_Transfers[[#This Row],[kval_active]],dict_zuord_Meth_Transfers[[#This Row],[ID_Transfers]],"")</f>
        <v/>
      </c>
    </row>
    <row r="4082" spans="1:4" x14ac:dyDescent="0.45">
      <c r="A4082">
        <v>680</v>
      </c>
      <c r="B4082">
        <f t="shared" ca="1" si="63"/>
        <v>53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2" t="str">
        <f ca="1">IF(dict_zuord_Meth_Transfers[[#This Row],[kval_active]],dict_zuord_Meth_Transfers[[#This Row],[ID_Transfers]],"")</f>
        <v/>
      </c>
    </row>
    <row r="4083" spans="1:4" x14ac:dyDescent="0.45">
      <c r="A4083">
        <v>680</v>
      </c>
      <c r="B4083" s="3">
        <f t="shared" ca="1" si="63"/>
        <v>135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3" t="str">
        <f ca="1">IF(dict_zuord_Meth_Transfers[[#This Row],[kval_active]],dict_zuord_Meth_Transfers[[#This Row],[ID_Transfers]],"")</f>
        <v/>
      </c>
    </row>
    <row r="4084" spans="1:4" x14ac:dyDescent="0.45">
      <c r="A4084">
        <v>680</v>
      </c>
      <c r="B4084" s="3">
        <f t="shared" ca="1" si="63"/>
        <v>6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4" t="str">
        <f ca="1">IF(dict_zuord_Meth_Transfers[[#This Row],[kval_active]],dict_zuord_Meth_Transfers[[#This Row],[ID_Transfers]],"")</f>
        <v/>
      </c>
    </row>
    <row r="4085" spans="1:4" x14ac:dyDescent="0.45">
      <c r="A4085">
        <v>680</v>
      </c>
      <c r="B4085">
        <f t="shared" ca="1" si="63"/>
        <v>146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5" t="str">
        <f ca="1">IF(dict_zuord_Meth_Transfers[[#This Row],[kval_active]],dict_zuord_Meth_Transfers[[#This Row],[ID_Transfers]],"")</f>
        <v/>
      </c>
    </row>
    <row r="4086" spans="1:4" x14ac:dyDescent="0.45">
      <c r="A4086">
        <v>680</v>
      </c>
      <c r="B4086" s="3">
        <f t="shared" ca="1" si="63"/>
        <v>24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6" t="str">
        <f ca="1">IF(dict_zuord_Meth_Transfers[[#This Row],[kval_active]],dict_zuord_Meth_Transfers[[#This Row],[ID_Transfers]],"")</f>
        <v/>
      </c>
    </row>
    <row r="4087" spans="1:4" x14ac:dyDescent="0.45">
      <c r="A4087">
        <v>680</v>
      </c>
      <c r="B4087">
        <f t="shared" ca="1" si="63"/>
        <v>32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7" t="str">
        <f ca="1">IF(dict_zuord_Meth_Transfers[[#This Row],[kval_active]],dict_zuord_Meth_Transfers[[#This Row],[ID_Transfers]],"")</f>
        <v/>
      </c>
    </row>
    <row r="4088" spans="1:4" x14ac:dyDescent="0.45">
      <c r="A4088">
        <v>681</v>
      </c>
      <c r="B4088" s="3">
        <f t="shared" ca="1" si="63"/>
        <v>196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8" t="str">
        <f ca="1">IF(dict_zuord_Meth_Transfers[[#This Row],[kval_active]],dict_zuord_Meth_Transfers[[#This Row],[ID_Transfers]],"")</f>
        <v/>
      </c>
    </row>
    <row r="4089" spans="1:4" x14ac:dyDescent="0.45">
      <c r="A4089">
        <v>681</v>
      </c>
      <c r="B4089" s="3">
        <f t="shared" ca="1" si="63"/>
        <v>198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9" t="str">
        <f ca="1">IF(dict_zuord_Meth_Transfers[[#This Row],[kval_active]],dict_zuord_Meth_Transfers[[#This Row],[ID_Transfers]],"")</f>
        <v/>
      </c>
    </row>
    <row r="4090" spans="1:4" x14ac:dyDescent="0.45">
      <c r="A4090">
        <v>681</v>
      </c>
      <c r="B4090" s="3">
        <f t="shared" ca="1" si="63"/>
        <v>164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0" t="str">
        <f ca="1">IF(dict_zuord_Meth_Transfers[[#This Row],[kval_active]],dict_zuord_Meth_Transfers[[#This Row],[ID_Transfers]],"")</f>
        <v/>
      </c>
    </row>
    <row r="4091" spans="1:4" x14ac:dyDescent="0.45">
      <c r="A4091">
        <v>681</v>
      </c>
      <c r="B4091">
        <f t="shared" ca="1" si="63"/>
        <v>158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1" t="str">
        <f ca="1">IF(dict_zuord_Meth_Transfers[[#This Row],[kval_active]],dict_zuord_Meth_Transfers[[#This Row],[ID_Transfers]],"")</f>
        <v/>
      </c>
    </row>
    <row r="4092" spans="1:4" x14ac:dyDescent="0.45">
      <c r="A4092">
        <v>681</v>
      </c>
      <c r="B4092">
        <f t="shared" ca="1" si="63"/>
        <v>78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2" t="str">
        <f ca="1">IF(dict_zuord_Meth_Transfers[[#This Row],[kval_active]],dict_zuord_Meth_Transfers[[#This Row],[ID_Transfers]],"")</f>
        <v/>
      </c>
    </row>
    <row r="4093" spans="1:4" x14ac:dyDescent="0.45">
      <c r="A4093">
        <v>681</v>
      </c>
      <c r="B4093">
        <f t="shared" ca="1" si="63"/>
        <v>125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3" t="str">
        <f ca="1">IF(dict_zuord_Meth_Transfers[[#This Row],[kval_active]],dict_zuord_Meth_Transfers[[#This Row],[ID_Transfers]],"")</f>
        <v/>
      </c>
    </row>
    <row r="4094" spans="1:4" x14ac:dyDescent="0.45">
      <c r="A4094">
        <v>682</v>
      </c>
      <c r="B4094">
        <f t="shared" ca="1" si="63"/>
        <v>9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4" t="str">
        <f ca="1">IF(dict_zuord_Meth_Transfers[[#This Row],[kval_active]],dict_zuord_Meth_Transfers[[#This Row],[ID_Transfers]],"")</f>
        <v/>
      </c>
    </row>
    <row r="4095" spans="1:4" x14ac:dyDescent="0.45">
      <c r="A4095">
        <v>682</v>
      </c>
      <c r="B4095">
        <f t="shared" ca="1" si="63"/>
        <v>199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5" t="str">
        <f ca="1">IF(dict_zuord_Meth_Transfers[[#This Row],[kval_active]],dict_zuord_Meth_Transfers[[#This Row],[ID_Transfers]],"")</f>
        <v/>
      </c>
    </row>
    <row r="4096" spans="1:4" x14ac:dyDescent="0.45">
      <c r="A4096">
        <v>682</v>
      </c>
      <c r="B4096" s="3">
        <f t="shared" ca="1" si="63"/>
        <v>84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6" t="str">
        <f ca="1">IF(dict_zuord_Meth_Transfers[[#This Row],[kval_active]],dict_zuord_Meth_Transfers[[#This Row],[ID_Transfers]],"")</f>
        <v/>
      </c>
    </row>
    <row r="4097" spans="1:4" x14ac:dyDescent="0.45">
      <c r="A4097">
        <v>682</v>
      </c>
      <c r="B4097">
        <f t="shared" ca="1" si="63"/>
        <v>48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7" t="str">
        <f ca="1">IF(dict_zuord_Meth_Transfers[[#This Row],[kval_active]],dict_zuord_Meth_Transfers[[#This Row],[ID_Transfers]],"")</f>
        <v/>
      </c>
    </row>
    <row r="4098" spans="1:4" x14ac:dyDescent="0.45">
      <c r="A4098">
        <v>682</v>
      </c>
      <c r="B4098" s="3">
        <f t="shared" ref="B4098:B4161" ca="1" si="64">RANDBETWEEN(0,200)</f>
        <v>133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8" t="str">
        <f ca="1">IF(dict_zuord_Meth_Transfers[[#This Row],[kval_active]],dict_zuord_Meth_Transfers[[#This Row],[ID_Transfers]],"")</f>
        <v/>
      </c>
    </row>
    <row r="4099" spans="1:4" x14ac:dyDescent="0.45">
      <c r="A4099">
        <v>682</v>
      </c>
      <c r="B4099" s="3">
        <f t="shared" ca="1" si="64"/>
        <v>127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9" t="str">
        <f ca="1">IF(dict_zuord_Meth_Transfers[[#This Row],[kval_active]],dict_zuord_Meth_Transfers[[#This Row],[ID_Transfers]],"")</f>
        <v/>
      </c>
    </row>
    <row r="4100" spans="1:4" x14ac:dyDescent="0.45">
      <c r="A4100">
        <v>683</v>
      </c>
      <c r="B4100">
        <f t="shared" ca="1" si="64"/>
        <v>186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0">
        <f ca="1">IF(dict_zuord_Meth_Transfers[[#This Row],[kval_active]],dict_zuord_Meth_Transfers[[#This Row],[ID_Transfers]],"")</f>
        <v>186</v>
      </c>
    </row>
    <row r="4101" spans="1:4" x14ac:dyDescent="0.45">
      <c r="A4101">
        <v>683</v>
      </c>
      <c r="B4101">
        <f t="shared" ca="1" si="64"/>
        <v>91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1">
        <f ca="1">IF(dict_zuord_Meth_Transfers[[#This Row],[kval_active]],dict_zuord_Meth_Transfers[[#This Row],[ID_Transfers]],"")</f>
        <v>91</v>
      </c>
    </row>
    <row r="4102" spans="1:4" x14ac:dyDescent="0.45">
      <c r="A4102">
        <v>683</v>
      </c>
      <c r="B4102" s="3">
        <f t="shared" ca="1" si="64"/>
        <v>144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2">
        <f ca="1">IF(dict_zuord_Meth_Transfers[[#This Row],[kval_active]],dict_zuord_Meth_Transfers[[#This Row],[ID_Transfers]],"")</f>
        <v>144</v>
      </c>
    </row>
    <row r="4103" spans="1:4" x14ac:dyDescent="0.45">
      <c r="A4103">
        <v>683</v>
      </c>
      <c r="B4103" s="3">
        <f t="shared" ca="1" si="64"/>
        <v>166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3">
        <f ca="1">IF(dict_zuord_Meth_Transfers[[#This Row],[kval_active]],dict_zuord_Meth_Transfers[[#This Row],[ID_Transfers]],"")</f>
        <v>166</v>
      </c>
    </row>
    <row r="4104" spans="1:4" x14ac:dyDescent="0.45">
      <c r="A4104">
        <v>683</v>
      </c>
      <c r="B4104" s="3">
        <f t="shared" ca="1" si="64"/>
        <v>3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4">
        <f ca="1">IF(dict_zuord_Meth_Transfers[[#This Row],[kval_active]],dict_zuord_Meth_Transfers[[#This Row],[ID_Transfers]],"")</f>
        <v>3</v>
      </c>
    </row>
    <row r="4105" spans="1:4" x14ac:dyDescent="0.45">
      <c r="A4105">
        <v>683</v>
      </c>
      <c r="B4105">
        <f t="shared" ca="1" si="64"/>
        <v>139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5">
        <f ca="1">IF(dict_zuord_Meth_Transfers[[#This Row],[kval_active]],dict_zuord_Meth_Transfers[[#This Row],[ID_Transfers]],"")</f>
        <v>139</v>
      </c>
    </row>
    <row r="4106" spans="1:4" x14ac:dyDescent="0.45">
      <c r="A4106">
        <v>684</v>
      </c>
      <c r="B4106">
        <f t="shared" ca="1" si="64"/>
        <v>113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6" t="str">
        <f ca="1">IF(dict_zuord_Meth_Transfers[[#This Row],[kval_active]],dict_zuord_Meth_Transfers[[#This Row],[ID_Transfers]],"")</f>
        <v/>
      </c>
    </row>
    <row r="4107" spans="1:4" x14ac:dyDescent="0.45">
      <c r="A4107">
        <v>684</v>
      </c>
      <c r="B4107">
        <f t="shared" ca="1" si="64"/>
        <v>189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7" t="str">
        <f ca="1">IF(dict_zuord_Meth_Transfers[[#This Row],[kval_active]],dict_zuord_Meth_Transfers[[#This Row],[ID_Transfers]],"")</f>
        <v/>
      </c>
    </row>
    <row r="4108" spans="1:4" x14ac:dyDescent="0.45">
      <c r="A4108">
        <v>684</v>
      </c>
      <c r="B4108" s="3">
        <f t="shared" ca="1" si="64"/>
        <v>79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8" t="str">
        <f ca="1">IF(dict_zuord_Meth_Transfers[[#This Row],[kval_active]],dict_zuord_Meth_Transfers[[#This Row],[ID_Transfers]],"")</f>
        <v/>
      </c>
    </row>
    <row r="4109" spans="1:4" x14ac:dyDescent="0.45">
      <c r="A4109">
        <v>684</v>
      </c>
      <c r="B4109" s="3">
        <f t="shared" ca="1" si="64"/>
        <v>143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9" t="str">
        <f ca="1">IF(dict_zuord_Meth_Transfers[[#This Row],[kval_active]],dict_zuord_Meth_Transfers[[#This Row],[ID_Transfers]],"")</f>
        <v/>
      </c>
    </row>
    <row r="4110" spans="1:4" x14ac:dyDescent="0.45">
      <c r="A4110">
        <v>684</v>
      </c>
      <c r="B4110" s="3">
        <f t="shared" ca="1" si="64"/>
        <v>80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0" t="str">
        <f ca="1">IF(dict_zuord_Meth_Transfers[[#This Row],[kval_active]],dict_zuord_Meth_Transfers[[#This Row],[ID_Transfers]],"")</f>
        <v/>
      </c>
    </row>
    <row r="4111" spans="1:4" x14ac:dyDescent="0.45">
      <c r="A4111">
        <v>684</v>
      </c>
      <c r="B4111">
        <f t="shared" ca="1" si="64"/>
        <v>11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1" t="str">
        <f ca="1">IF(dict_zuord_Meth_Transfers[[#This Row],[kval_active]],dict_zuord_Meth_Transfers[[#This Row],[ID_Transfers]],"")</f>
        <v/>
      </c>
    </row>
    <row r="4112" spans="1:4" x14ac:dyDescent="0.45">
      <c r="A4112">
        <v>685</v>
      </c>
      <c r="B4112">
        <f t="shared" ca="1" si="64"/>
        <v>33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2" t="str">
        <f ca="1">IF(dict_zuord_Meth_Transfers[[#This Row],[kval_active]],dict_zuord_Meth_Transfers[[#This Row],[ID_Transfers]],"")</f>
        <v/>
      </c>
    </row>
    <row r="4113" spans="1:4" x14ac:dyDescent="0.45">
      <c r="A4113">
        <v>685</v>
      </c>
      <c r="B4113">
        <f t="shared" ca="1" si="64"/>
        <v>49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3" t="str">
        <f ca="1">IF(dict_zuord_Meth_Transfers[[#This Row],[kval_active]],dict_zuord_Meth_Transfers[[#This Row],[ID_Transfers]],"")</f>
        <v/>
      </c>
    </row>
    <row r="4114" spans="1:4" x14ac:dyDescent="0.45">
      <c r="A4114">
        <v>685</v>
      </c>
      <c r="B4114" s="3">
        <f t="shared" ca="1" si="64"/>
        <v>96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4" t="str">
        <f ca="1">IF(dict_zuord_Meth_Transfers[[#This Row],[kval_active]],dict_zuord_Meth_Transfers[[#This Row],[ID_Transfers]],"")</f>
        <v/>
      </c>
    </row>
    <row r="4115" spans="1:4" x14ac:dyDescent="0.45">
      <c r="A4115">
        <v>685</v>
      </c>
      <c r="B4115" s="3">
        <f t="shared" ca="1" si="64"/>
        <v>29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5" t="str">
        <f ca="1">IF(dict_zuord_Meth_Transfers[[#This Row],[kval_active]],dict_zuord_Meth_Transfers[[#This Row],[ID_Transfers]],"")</f>
        <v/>
      </c>
    </row>
    <row r="4116" spans="1:4" x14ac:dyDescent="0.45">
      <c r="A4116">
        <v>685</v>
      </c>
      <c r="B4116">
        <f t="shared" ca="1" si="64"/>
        <v>178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6" t="str">
        <f ca="1">IF(dict_zuord_Meth_Transfers[[#This Row],[kval_active]],dict_zuord_Meth_Transfers[[#This Row],[ID_Transfers]],"")</f>
        <v/>
      </c>
    </row>
    <row r="4117" spans="1:4" x14ac:dyDescent="0.45">
      <c r="A4117">
        <v>685</v>
      </c>
      <c r="B4117" s="3">
        <f t="shared" ca="1" si="64"/>
        <v>48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7" t="str">
        <f ca="1">IF(dict_zuord_Meth_Transfers[[#This Row],[kval_active]],dict_zuord_Meth_Transfers[[#This Row],[ID_Transfers]],"")</f>
        <v/>
      </c>
    </row>
    <row r="4118" spans="1:4" x14ac:dyDescent="0.45">
      <c r="A4118">
        <v>686</v>
      </c>
      <c r="B4118">
        <f t="shared" ca="1" si="64"/>
        <v>73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8" t="str">
        <f ca="1">IF(dict_zuord_Meth_Transfers[[#This Row],[kval_active]],dict_zuord_Meth_Transfers[[#This Row],[ID_Transfers]],"")</f>
        <v/>
      </c>
    </row>
    <row r="4119" spans="1:4" x14ac:dyDescent="0.45">
      <c r="A4119">
        <v>686</v>
      </c>
      <c r="B4119">
        <f t="shared" ca="1" si="64"/>
        <v>33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9" t="str">
        <f ca="1">IF(dict_zuord_Meth_Transfers[[#This Row],[kval_active]],dict_zuord_Meth_Transfers[[#This Row],[ID_Transfers]],"")</f>
        <v/>
      </c>
    </row>
    <row r="4120" spans="1:4" x14ac:dyDescent="0.45">
      <c r="A4120">
        <v>686</v>
      </c>
      <c r="B4120">
        <f t="shared" ca="1" si="64"/>
        <v>168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0" t="str">
        <f ca="1">IF(dict_zuord_Meth_Transfers[[#This Row],[kval_active]],dict_zuord_Meth_Transfers[[#This Row],[ID_Transfers]],"")</f>
        <v/>
      </c>
    </row>
    <row r="4121" spans="1:4" x14ac:dyDescent="0.45">
      <c r="A4121">
        <v>686</v>
      </c>
      <c r="B4121" s="3">
        <f t="shared" ca="1" si="64"/>
        <v>59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1" t="str">
        <f ca="1">IF(dict_zuord_Meth_Transfers[[#This Row],[kval_active]],dict_zuord_Meth_Transfers[[#This Row],[ID_Transfers]],"")</f>
        <v/>
      </c>
    </row>
    <row r="4122" spans="1:4" x14ac:dyDescent="0.45">
      <c r="A4122">
        <v>686</v>
      </c>
      <c r="B4122" s="3">
        <f t="shared" ca="1" si="64"/>
        <v>154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2" t="str">
        <f ca="1">IF(dict_zuord_Meth_Transfers[[#This Row],[kval_active]],dict_zuord_Meth_Transfers[[#This Row],[ID_Transfers]],"")</f>
        <v/>
      </c>
    </row>
    <row r="4123" spans="1:4" x14ac:dyDescent="0.45">
      <c r="A4123">
        <v>686</v>
      </c>
      <c r="B4123" s="3">
        <f t="shared" ca="1" si="64"/>
        <v>104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3" t="str">
        <f ca="1">IF(dict_zuord_Meth_Transfers[[#This Row],[kval_active]],dict_zuord_Meth_Transfers[[#This Row],[ID_Transfers]],"")</f>
        <v/>
      </c>
    </row>
    <row r="4124" spans="1:4" x14ac:dyDescent="0.45">
      <c r="A4124">
        <v>687</v>
      </c>
      <c r="B4124" s="3">
        <f t="shared" ca="1" si="64"/>
        <v>41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4" t="str">
        <f ca="1">IF(dict_zuord_Meth_Transfers[[#This Row],[kval_active]],dict_zuord_Meth_Transfers[[#This Row],[ID_Transfers]],"")</f>
        <v/>
      </c>
    </row>
    <row r="4125" spans="1:4" x14ac:dyDescent="0.45">
      <c r="A4125">
        <v>687</v>
      </c>
      <c r="B4125">
        <f t="shared" ca="1" si="64"/>
        <v>145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5" t="str">
        <f ca="1">IF(dict_zuord_Meth_Transfers[[#This Row],[kval_active]],dict_zuord_Meth_Transfers[[#This Row],[ID_Transfers]],"")</f>
        <v/>
      </c>
    </row>
    <row r="4126" spans="1:4" x14ac:dyDescent="0.45">
      <c r="A4126">
        <v>687</v>
      </c>
      <c r="B4126" s="3">
        <f t="shared" ca="1" si="64"/>
        <v>37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6" t="str">
        <f ca="1">IF(dict_zuord_Meth_Transfers[[#This Row],[kval_active]],dict_zuord_Meth_Transfers[[#This Row],[ID_Transfers]],"")</f>
        <v/>
      </c>
    </row>
    <row r="4127" spans="1:4" x14ac:dyDescent="0.45">
      <c r="A4127">
        <v>687</v>
      </c>
      <c r="B4127">
        <f t="shared" ca="1" si="64"/>
        <v>96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7" t="str">
        <f ca="1">IF(dict_zuord_Meth_Transfers[[#This Row],[kval_active]],dict_zuord_Meth_Transfers[[#This Row],[ID_Transfers]],"")</f>
        <v/>
      </c>
    </row>
    <row r="4128" spans="1:4" x14ac:dyDescent="0.45">
      <c r="A4128">
        <v>687</v>
      </c>
      <c r="B4128">
        <f t="shared" ca="1" si="64"/>
        <v>130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8" t="str">
        <f ca="1">IF(dict_zuord_Meth_Transfers[[#This Row],[kval_active]],dict_zuord_Meth_Transfers[[#This Row],[ID_Transfers]],"")</f>
        <v/>
      </c>
    </row>
    <row r="4129" spans="1:4" x14ac:dyDescent="0.45">
      <c r="A4129">
        <v>687</v>
      </c>
      <c r="B4129" s="3">
        <f t="shared" ca="1" si="64"/>
        <v>54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9" t="str">
        <f ca="1">IF(dict_zuord_Meth_Transfers[[#This Row],[kval_active]],dict_zuord_Meth_Transfers[[#This Row],[ID_Transfers]],"")</f>
        <v/>
      </c>
    </row>
    <row r="4130" spans="1:4" x14ac:dyDescent="0.45">
      <c r="A4130">
        <v>688</v>
      </c>
      <c r="B4130" s="3">
        <f t="shared" ca="1" si="64"/>
        <v>70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0" t="str">
        <f ca="1">IF(dict_zuord_Meth_Transfers[[#This Row],[kval_active]],dict_zuord_Meth_Transfers[[#This Row],[ID_Transfers]],"")</f>
        <v/>
      </c>
    </row>
    <row r="4131" spans="1:4" x14ac:dyDescent="0.45">
      <c r="A4131">
        <v>688</v>
      </c>
      <c r="B4131">
        <f t="shared" ca="1" si="64"/>
        <v>54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1" t="str">
        <f ca="1">IF(dict_zuord_Meth_Transfers[[#This Row],[kval_active]],dict_zuord_Meth_Transfers[[#This Row],[ID_Transfers]],"")</f>
        <v/>
      </c>
    </row>
    <row r="4132" spans="1:4" x14ac:dyDescent="0.45">
      <c r="A4132">
        <v>688</v>
      </c>
      <c r="B4132">
        <f t="shared" ca="1" si="64"/>
        <v>2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2" t="str">
        <f ca="1">IF(dict_zuord_Meth_Transfers[[#This Row],[kval_active]],dict_zuord_Meth_Transfers[[#This Row],[ID_Transfers]],"")</f>
        <v/>
      </c>
    </row>
    <row r="4133" spans="1:4" x14ac:dyDescent="0.45">
      <c r="A4133">
        <v>688</v>
      </c>
      <c r="B4133" s="3">
        <f t="shared" ca="1" si="64"/>
        <v>52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3" t="str">
        <f ca="1">IF(dict_zuord_Meth_Transfers[[#This Row],[kval_active]],dict_zuord_Meth_Transfers[[#This Row],[ID_Transfers]],"")</f>
        <v/>
      </c>
    </row>
    <row r="4134" spans="1:4" x14ac:dyDescent="0.45">
      <c r="A4134">
        <v>688</v>
      </c>
      <c r="B4134">
        <f t="shared" ca="1" si="64"/>
        <v>33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4" t="str">
        <f ca="1">IF(dict_zuord_Meth_Transfers[[#This Row],[kval_active]],dict_zuord_Meth_Transfers[[#This Row],[ID_Transfers]],"")</f>
        <v/>
      </c>
    </row>
    <row r="4135" spans="1:4" x14ac:dyDescent="0.45">
      <c r="A4135">
        <v>688</v>
      </c>
      <c r="B4135" s="3">
        <f t="shared" ca="1" si="64"/>
        <v>115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5" t="str">
        <f ca="1">IF(dict_zuord_Meth_Transfers[[#This Row],[kval_active]],dict_zuord_Meth_Transfers[[#This Row],[ID_Transfers]],"")</f>
        <v/>
      </c>
    </row>
    <row r="4136" spans="1:4" x14ac:dyDescent="0.45">
      <c r="A4136">
        <v>689</v>
      </c>
      <c r="B4136">
        <f t="shared" ca="1" si="64"/>
        <v>121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6" t="str">
        <f ca="1">IF(dict_zuord_Meth_Transfers[[#This Row],[kval_active]],dict_zuord_Meth_Transfers[[#This Row],[ID_Transfers]],"")</f>
        <v/>
      </c>
    </row>
    <row r="4137" spans="1:4" x14ac:dyDescent="0.45">
      <c r="A4137">
        <v>689</v>
      </c>
      <c r="B4137" s="3">
        <f t="shared" ca="1" si="64"/>
        <v>83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7" t="str">
        <f ca="1">IF(dict_zuord_Meth_Transfers[[#This Row],[kval_active]],dict_zuord_Meth_Transfers[[#This Row],[ID_Transfers]],"")</f>
        <v/>
      </c>
    </row>
    <row r="4138" spans="1:4" x14ac:dyDescent="0.45">
      <c r="A4138">
        <v>689</v>
      </c>
      <c r="B4138" s="3">
        <f t="shared" ca="1" si="64"/>
        <v>83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8" t="str">
        <f ca="1">IF(dict_zuord_Meth_Transfers[[#This Row],[kval_active]],dict_zuord_Meth_Transfers[[#This Row],[ID_Transfers]],"")</f>
        <v/>
      </c>
    </row>
    <row r="4139" spans="1:4" x14ac:dyDescent="0.45">
      <c r="A4139">
        <v>689</v>
      </c>
      <c r="B4139" s="3">
        <f t="shared" ca="1" si="64"/>
        <v>129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9" t="str">
        <f ca="1">IF(dict_zuord_Meth_Transfers[[#This Row],[kval_active]],dict_zuord_Meth_Transfers[[#This Row],[ID_Transfers]],"")</f>
        <v/>
      </c>
    </row>
    <row r="4140" spans="1:4" x14ac:dyDescent="0.45">
      <c r="A4140">
        <v>689</v>
      </c>
      <c r="B4140">
        <f t="shared" ca="1" si="64"/>
        <v>92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0" t="str">
        <f ca="1">IF(dict_zuord_Meth_Transfers[[#This Row],[kval_active]],dict_zuord_Meth_Transfers[[#This Row],[ID_Transfers]],"")</f>
        <v/>
      </c>
    </row>
    <row r="4141" spans="1:4" x14ac:dyDescent="0.45">
      <c r="A4141">
        <v>689</v>
      </c>
      <c r="B4141">
        <f t="shared" ca="1" si="64"/>
        <v>194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1" t="str">
        <f ca="1">IF(dict_zuord_Meth_Transfers[[#This Row],[kval_active]],dict_zuord_Meth_Transfers[[#This Row],[ID_Transfers]],"")</f>
        <v/>
      </c>
    </row>
    <row r="4142" spans="1:4" x14ac:dyDescent="0.45">
      <c r="A4142">
        <v>690</v>
      </c>
      <c r="B4142">
        <f t="shared" ca="1" si="64"/>
        <v>23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2" t="str">
        <f ca="1">IF(dict_zuord_Meth_Transfers[[#This Row],[kval_active]],dict_zuord_Meth_Transfers[[#This Row],[ID_Transfers]],"")</f>
        <v/>
      </c>
    </row>
    <row r="4143" spans="1:4" x14ac:dyDescent="0.45">
      <c r="A4143">
        <v>690</v>
      </c>
      <c r="B4143">
        <f t="shared" ca="1" si="64"/>
        <v>32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3" t="str">
        <f ca="1">IF(dict_zuord_Meth_Transfers[[#This Row],[kval_active]],dict_zuord_Meth_Transfers[[#This Row],[ID_Transfers]],"")</f>
        <v/>
      </c>
    </row>
    <row r="4144" spans="1:4" x14ac:dyDescent="0.45">
      <c r="A4144">
        <v>690</v>
      </c>
      <c r="B4144">
        <f t="shared" ca="1" si="64"/>
        <v>125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4" t="str">
        <f ca="1">IF(dict_zuord_Meth_Transfers[[#This Row],[kval_active]],dict_zuord_Meth_Transfers[[#This Row],[ID_Transfers]],"")</f>
        <v/>
      </c>
    </row>
    <row r="4145" spans="1:4" x14ac:dyDescent="0.45">
      <c r="A4145">
        <v>690</v>
      </c>
      <c r="B4145" s="3">
        <f t="shared" ca="1" si="64"/>
        <v>200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5" t="str">
        <f ca="1">IF(dict_zuord_Meth_Transfers[[#This Row],[kval_active]],dict_zuord_Meth_Transfers[[#This Row],[ID_Transfers]],"")</f>
        <v/>
      </c>
    </row>
    <row r="4146" spans="1:4" x14ac:dyDescent="0.45">
      <c r="A4146">
        <v>690</v>
      </c>
      <c r="B4146" s="3">
        <f t="shared" ca="1" si="64"/>
        <v>174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6" t="str">
        <f ca="1">IF(dict_zuord_Meth_Transfers[[#This Row],[kval_active]],dict_zuord_Meth_Transfers[[#This Row],[ID_Transfers]],"")</f>
        <v/>
      </c>
    </row>
    <row r="4147" spans="1:4" x14ac:dyDescent="0.45">
      <c r="A4147">
        <v>690</v>
      </c>
      <c r="B4147" s="3">
        <f t="shared" ca="1" si="64"/>
        <v>106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7" t="str">
        <f ca="1">IF(dict_zuord_Meth_Transfers[[#This Row],[kval_active]],dict_zuord_Meth_Transfers[[#This Row],[ID_Transfers]],"")</f>
        <v/>
      </c>
    </row>
    <row r="4148" spans="1:4" x14ac:dyDescent="0.45">
      <c r="A4148">
        <v>691</v>
      </c>
      <c r="B4148">
        <f t="shared" ca="1" si="64"/>
        <v>167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8" t="str">
        <f ca="1">IF(dict_zuord_Meth_Transfers[[#This Row],[kval_active]],dict_zuord_Meth_Transfers[[#This Row],[ID_Transfers]],"")</f>
        <v/>
      </c>
    </row>
    <row r="4149" spans="1:4" x14ac:dyDescent="0.45">
      <c r="A4149">
        <v>691</v>
      </c>
      <c r="B4149" s="3">
        <f t="shared" ca="1" si="64"/>
        <v>64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9" t="str">
        <f ca="1">IF(dict_zuord_Meth_Transfers[[#This Row],[kval_active]],dict_zuord_Meth_Transfers[[#This Row],[ID_Transfers]],"")</f>
        <v/>
      </c>
    </row>
    <row r="4150" spans="1:4" x14ac:dyDescent="0.45">
      <c r="A4150">
        <v>691</v>
      </c>
      <c r="B4150" s="3">
        <f t="shared" ca="1" si="64"/>
        <v>7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0" t="str">
        <f ca="1">IF(dict_zuord_Meth_Transfers[[#This Row],[kval_active]],dict_zuord_Meth_Transfers[[#This Row],[ID_Transfers]],"")</f>
        <v/>
      </c>
    </row>
    <row r="4151" spans="1:4" x14ac:dyDescent="0.45">
      <c r="A4151">
        <v>691</v>
      </c>
      <c r="B4151" s="3">
        <f t="shared" ca="1" si="64"/>
        <v>57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1" t="str">
        <f ca="1">IF(dict_zuord_Meth_Transfers[[#This Row],[kval_active]],dict_zuord_Meth_Transfers[[#This Row],[ID_Transfers]],"")</f>
        <v/>
      </c>
    </row>
    <row r="4152" spans="1:4" x14ac:dyDescent="0.45">
      <c r="A4152">
        <v>691</v>
      </c>
      <c r="B4152">
        <f t="shared" ca="1" si="64"/>
        <v>139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2" t="str">
        <f ca="1">IF(dict_zuord_Meth_Transfers[[#This Row],[kval_active]],dict_zuord_Meth_Transfers[[#This Row],[ID_Transfers]],"")</f>
        <v/>
      </c>
    </row>
    <row r="4153" spans="1:4" x14ac:dyDescent="0.45">
      <c r="A4153">
        <v>691</v>
      </c>
      <c r="B4153">
        <f t="shared" ca="1" si="64"/>
        <v>83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3" t="str">
        <f ca="1">IF(dict_zuord_Meth_Transfers[[#This Row],[kval_active]],dict_zuord_Meth_Transfers[[#This Row],[ID_Transfers]],"")</f>
        <v/>
      </c>
    </row>
    <row r="4154" spans="1:4" x14ac:dyDescent="0.45">
      <c r="A4154">
        <v>692</v>
      </c>
      <c r="B4154">
        <f t="shared" ca="1" si="64"/>
        <v>73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4" t="str">
        <f ca="1">IF(dict_zuord_Meth_Transfers[[#This Row],[kval_active]],dict_zuord_Meth_Transfers[[#This Row],[ID_Transfers]],"")</f>
        <v/>
      </c>
    </row>
    <row r="4155" spans="1:4" x14ac:dyDescent="0.45">
      <c r="A4155">
        <v>692</v>
      </c>
      <c r="B4155">
        <f t="shared" ca="1" si="64"/>
        <v>180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5" t="str">
        <f ca="1">IF(dict_zuord_Meth_Transfers[[#This Row],[kval_active]],dict_zuord_Meth_Transfers[[#This Row],[ID_Transfers]],"")</f>
        <v/>
      </c>
    </row>
    <row r="4156" spans="1:4" x14ac:dyDescent="0.45">
      <c r="A4156">
        <v>692</v>
      </c>
      <c r="B4156">
        <f t="shared" ca="1" si="64"/>
        <v>121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6" t="str">
        <f ca="1">IF(dict_zuord_Meth_Transfers[[#This Row],[kval_active]],dict_zuord_Meth_Transfers[[#This Row],[ID_Transfers]],"")</f>
        <v/>
      </c>
    </row>
    <row r="4157" spans="1:4" x14ac:dyDescent="0.45">
      <c r="A4157">
        <v>692</v>
      </c>
      <c r="B4157" s="3">
        <f t="shared" ca="1" si="64"/>
        <v>96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7" t="str">
        <f ca="1">IF(dict_zuord_Meth_Transfers[[#This Row],[kval_active]],dict_zuord_Meth_Transfers[[#This Row],[ID_Transfers]],"")</f>
        <v/>
      </c>
    </row>
    <row r="4158" spans="1:4" x14ac:dyDescent="0.45">
      <c r="A4158">
        <v>692</v>
      </c>
      <c r="B4158" s="3">
        <f t="shared" ca="1" si="64"/>
        <v>37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8" t="str">
        <f ca="1">IF(dict_zuord_Meth_Transfers[[#This Row],[kval_active]],dict_zuord_Meth_Transfers[[#This Row],[ID_Transfers]],"")</f>
        <v/>
      </c>
    </row>
    <row r="4159" spans="1:4" x14ac:dyDescent="0.45">
      <c r="A4159">
        <v>692</v>
      </c>
      <c r="B4159" s="3">
        <f t="shared" ca="1" si="64"/>
        <v>100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9" t="str">
        <f ca="1">IF(dict_zuord_Meth_Transfers[[#This Row],[kval_active]],dict_zuord_Meth_Transfers[[#This Row],[ID_Transfers]],"")</f>
        <v/>
      </c>
    </row>
    <row r="4160" spans="1:4" x14ac:dyDescent="0.45">
      <c r="A4160">
        <v>693</v>
      </c>
      <c r="B4160" s="3">
        <f t="shared" ca="1" si="64"/>
        <v>42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0">
        <f ca="1">IF(dict_zuord_Meth_Transfers[[#This Row],[kval_active]],dict_zuord_Meth_Transfers[[#This Row],[ID_Transfers]],"")</f>
        <v>42</v>
      </c>
    </row>
    <row r="4161" spans="1:4" x14ac:dyDescent="0.45">
      <c r="A4161">
        <v>693</v>
      </c>
      <c r="B4161">
        <f t="shared" ca="1" si="64"/>
        <v>117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1">
        <f ca="1">IF(dict_zuord_Meth_Transfers[[#This Row],[kval_active]],dict_zuord_Meth_Transfers[[#This Row],[ID_Transfers]],"")</f>
        <v>117</v>
      </c>
    </row>
    <row r="4162" spans="1:4" x14ac:dyDescent="0.45">
      <c r="A4162">
        <v>693</v>
      </c>
      <c r="B4162">
        <f t="shared" ref="B4162:B4207" ca="1" si="65">RANDBETWEEN(0,200)</f>
        <v>32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2">
        <f ca="1">IF(dict_zuord_Meth_Transfers[[#This Row],[kval_active]],dict_zuord_Meth_Transfers[[#This Row],[ID_Transfers]],"")</f>
        <v>32</v>
      </c>
    </row>
    <row r="4163" spans="1:4" x14ac:dyDescent="0.45">
      <c r="A4163">
        <v>693</v>
      </c>
      <c r="B4163" s="3">
        <f t="shared" ca="1" si="65"/>
        <v>116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3">
        <f ca="1">IF(dict_zuord_Meth_Transfers[[#This Row],[kval_active]],dict_zuord_Meth_Transfers[[#This Row],[ID_Transfers]],"")</f>
        <v>116</v>
      </c>
    </row>
    <row r="4164" spans="1:4" x14ac:dyDescent="0.45">
      <c r="A4164">
        <v>693</v>
      </c>
      <c r="B4164" s="3">
        <f t="shared" ca="1" si="65"/>
        <v>127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4">
        <f ca="1">IF(dict_zuord_Meth_Transfers[[#This Row],[kval_active]],dict_zuord_Meth_Transfers[[#This Row],[ID_Transfers]],"")</f>
        <v>127</v>
      </c>
    </row>
    <row r="4165" spans="1:4" x14ac:dyDescent="0.45">
      <c r="A4165">
        <v>693</v>
      </c>
      <c r="B4165">
        <f t="shared" ca="1" si="65"/>
        <v>131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5">
        <f ca="1">IF(dict_zuord_Meth_Transfers[[#This Row],[kval_active]],dict_zuord_Meth_Transfers[[#This Row],[ID_Transfers]],"")</f>
        <v>131</v>
      </c>
    </row>
    <row r="4166" spans="1:4" x14ac:dyDescent="0.45">
      <c r="A4166">
        <v>694</v>
      </c>
      <c r="B4166">
        <f t="shared" ca="1" si="65"/>
        <v>200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6" t="str">
        <f ca="1">IF(dict_zuord_Meth_Transfers[[#This Row],[kval_active]],dict_zuord_Meth_Transfers[[#This Row],[ID_Transfers]],"")</f>
        <v/>
      </c>
    </row>
    <row r="4167" spans="1:4" x14ac:dyDescent="0.45">
      <c r="A4167">
        <v>694</v>
      </c>
      <c r="B4167" s="3">
        <f t="shared" ca="1" si="65"/>
        <v>78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7" t="str">
        <f ca="1">IF(dict_zuord_Meth_Transfers[[#This Row],[kval_active]],dict_zuord_Meth_Transfers[[#This Row],[ID_Transfers]],"")</f>
        <v/>
      </c>
    </row>
    <row r="4168" spans="1:4" x14ac:dyDescent="0.45">
      <c r="A4168">
        <v>694</v>
      </c>
      <c r="B4168" s="3">
        <f t="shared" ca="1" si="65"/>
        <v>35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8" t="str">
        <f ca="1">IF(dict_zuord_Meth_Transfers[[#This Row],[kval_active]],dict_zuord_Meth_Transfers[[#This Row],[ID_Transfers]],"")</f>
        <v/>
      </c>
    </row>
    <row r="4169" spans="1:4" x14ac:dyDescent="0.45">
      <c r="A4169">
        <v>694</v>
      </c>
      <c r="B4169">
        <f t="shared" ca="1" si="65"/>
        <v>83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9" t="str">
        <f ca="1">IF(dict_zuord_Meth_Transfers[[#This Row],[kval_active]],dict_zuord_Meth_Transfers[[#This Row],[ID_Transfers]],"")</f>
        <v/>
      </c>
    </row>
    <row r="4170" spans="1:4" x14ac:dyDescent="0.45">
      <c r="A4170">
        <v>694</v>
      </c>
      <c r="B4170">
        <f t="shared" ca="1" si="65"/>
        <v>98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0" t="str">
        <f ca="1">IF(dict_zuord_Meth_Transfers[[#This Row],[kval_active]],dict_zuord_Meth_Transfers[[#This Row],[ID_Transfers]],"")</f>
        <v/>
      </c>
    </row>
    <row r="4171" spans="1:4" x14ac:dyDescent="0.45">
      <c r="A4171">
        <v>694</v>
      </c>
      <c r="B4171" s="3">
        <f t="shared" ca="1" si="65"/>
        <v>108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1" t="str">
        <f ca="1">IF(dict_zuord_Meth_Transfers[[#This Row],[kval_active]],dict_zuord_Meth_Transfers[[#This Row],[ID_Transfers]],"")</f>
        <v/>
      </c>
    </row>
    <row r="4172" spans="1:4" x14ac:dyDescent="0.45">
      <c r="A4172">
        <v>695</v>
      </c>
      <c r="B4172" s="3">
        <f t="shared" ca="1" si="65"/>
        <v>6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2" t="str">
        <f ca="1">IF(dict_zuord_Meth_Transfers[[#This Row],[kval_active]],dict_zuord_Meth_Transfers[[#This Row],[ID_Transfers]],"")</f>
        <v/>
      </c>
    </row>
    <row r="4173" spans="1:4" x14ac:dyDescent="0.45">
      <c r="A4173">
        <v>695</v>
      </c>
      <c r="B4173">
        <f t="shared" ca="1" si="65"/>
        <v>83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3" t="str">
        <f ca="1">IF(dict_zuord_Meth_Transfers[[#This Row],[kval_active]],dict_zuord_Meth_Transfers[[#This Row],[ID_Transfers]],"")</f>
        <v/>
      </c>
    </row>
    <row r="4174" spans="1:4" x14ac:dyDescent="0.45">
      <c r="A4174">
        <v>695</v>
      </c>
      <c r="B4174" s="3">
        <f t="shared" ca="1" si="65"/>
        <v>138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4" t="str">
        <f ca="1">IF(dict_zuord_Meth_Transfers[[#This Row],[kval_active]],dict_zuord_Meth_Transfers[[#This Row],[ID_Transfers]],"")</f>
        <v/>
      </c>
    </row>
    <row r="4175" spans="1:4" x14ac:dyDescent="0.45">
      <c r="A4175">
        <v>695</v>
      </c>
      <c r="B4175">
        <f t="shared" ca="1" si="65"/>
        <v>131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5" t="str">
        <f ca="1">IF(dict_zuord_Meth_Transfers[[#This Row],[kval_active]],dict_zuord_Meth_Transfers[[#This Row],[ID_Transfers]],"")</f>
        <v/>
      </c>
    </row>
    <row r="4176" spans="1:4" x14ac:dyDescent="0.45">
      <c r="A4176">
        <v>695</v>
      </c>
      <c r="B4176" s="3">
        <f t="shared" ca="1" si="65"/>
        <v>147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6" t="str">
        <f ca="1">IF(dict_zuord_Meth_Transfers[[#This Row],[kval_active]],dict_zuord_Meth_Transfers[[#This Row],[ID_Transfers]],"")</f>
        <v/>
      </c>
    </row>
    <row r="4177" spans="1:4" x14ac:dyDescent="0.45">
      <c r="A4177">
        <v>695</v>
      </c>
      <c r="B4177">
        <f t="shared" ca="1" si="65"/>
        <v>74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7" t="str">
        <f ca="1">IF(dict_zuord_Meth_Transfers[[#This Row],[kval_active]],dict_zuord_Meth_Transfers[[#This Row],[ID_Transfers]],"")</f>
        <v/>
      </c>
    </row>
    <row r="4178" spans="1:4" x14ac:dyDescent="0.45">
      <c r="A4178">
        <v>696</v>
      </c>
      <c r="B4178" s="3">
        <f t="shared" ca="1" si="65"/>
        <v>24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8" t="str">
        <f ca="1">IF(dict_zuord_Meth_Transfers[[#This Row],[kval_active]],dict_zuord_Meth_Transfers[[#This Row],[ID_Transfers]],"")</f>
        <v/>
      </c>
    </row>
    <row r="4179" spans="1:4" x14ac:dyDescent="0.45">
      <c r="A4179">
        <v>696</v>
      </c>
      <c r="B4179" s="3">
        <f t="shared" ca="1" si="65"/>
        <v>154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9" t="str">
        <f ca="1">IF(dict_zuord_Meth_Transfers[[#This Row],[kval_active]],dict_zuord_Meth_Transfers[[#This Row],[ID_Transfers]],"")</f>
        <v/>
      </c>
    </row>
    <row r="4180" spans="1:4" x14ac:dyDescent="0.45">
      <c r="A4180">
        <v>696</v>
      </c>
      <c r="B4180">
        <f t="shared" ca="1" si="65"/>
        <v>50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0" t="str">
        <f ca="1">IF(dict_zuord_Meth_Transfers[[#This Row],[kval_active]],dict_zuord_Meth_Transfers[[#This Row],[ID_Transfers]],"")</f>
        <v/>
      </c>
    </row>
    <row r="4181" spans="1:4" x14ac:dyDescent="0.45">
      <c r="A4181">
        <v>696</v>
      </c>
      <c r="B4181" s="3">
        <f t="shared" ca="1" si="65"/>
        <v>59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1" t="str">
        <f ca="1">IF(dict_zuord_Meth_Transfers[[#This Row],[kval_active]],dict_zuord_Meth_Transfers[[#This Row],[ID_Transfers]],"")</f>
        <v/>
      </c>
    </row>
    <row r="4182" spans="1:4" x14ac:dyDescent="0.45">
      <c r="A4182">
        <v>696</v>
      </c>
      <c r="B4182">
        <f t="shared" ca="1" si="65"/>
        <v>65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2" t="str">
        <f ca="1">IF(dict_zuord_Meth_Transfers[[#This Row],[kval_active]],dict_zuord_Meth_Transfers[[#This Row],[ID_Transfers]],"")</f>
        <v/>
      </c>
    </row>
    <row r="4183" spans="1:4" x14ac:dyDescent="0.45">
      <c r="A4183">
        <v>696</v>
      </c>
      <c r="B4183">
        <f t="shared" ca="1" si="65"/>
        <v>138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3" t="str">
        <f ca="1">IF(dict_zuord_Meth_Transfers[[#This Row],[kval_active]],dict_zuord_Meth_Transfers[[#This Row],[ID_Transfers]],"")</f>
        <v/>
      </c>
    </row>
    <row r="4184" spans="1:4" x14ac:dyDescent="0.45">
      <c r="A4184">
        <v>697</v>
      </c>
      <c r="B4184">
        <f t="shared" ca="1" si="65"/>
        <v>77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4" t="str">
        <f ca="1">IF(dict_zuord_Meth_Transfers[[#This Row],[kval_active]],dict_zuord_Meth_Transfers[[#This Row],[ID_Transfers]],"")</f>
        <v/>
      </c>
    </row>
    <row r="4185" spans="1:4" x14ac:dyDescent="0.45">
      <c r="A4185">
        <v>697</v>
      </c>
      <c r="B4185" s="3">
        <f t="shared" ca="1" si="65"/>
        <v>100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5" t="str">
        <f ca="1">IF(dict_zuord_Meth_Transfers[[#This Row],[kval_active]],dict_zuord_Meth_Transfers[[#This Row],[ID_Transfers]],"")</f>
        <v/>
      </c>
    </row>
    <row r="4186" spans="1:4" x14ac:dyDescent="0.45">
      <c r="A4186">
        <v>697</v>
      </c>
      <c r="B4186" s="3">
        <f t="shared" ca="1" si="65"/>
        <v>98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6" t="str">
        <f ca="1">IF(dict_zuord_Meth_Transfers[[#This Row],[kval_active]],dict_zuord_Meth_Transfers[[#This Row],[ID_Transfers]],"")</f>
        <v/>
      </c>
    </row>
    <row r="4187" spans="1:4" x14ac:dyDescent="0.45">
      <c r="A4187">
        <v>697</v>
      </c>
      <c r="B4187">
        <f t="shared" ca="1" si="65"/>
        <v>102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7" t="str">
        <f ca="1">IF(dict_zuord_Meth_Transfers[[#This Row],[kval_active]],dict_zuord_Meth_Transfers[[#This Row],[ID_Transfers]],"")</f>
        <v/>
      </c>
    </row>
    <row r="4188" spans="1:4" x14ac:dyDescent="0.45">
      <c r="A4188">
        <v>697</v>
      </c>
      <c r="B4188" s="3">
        <f t="shared" ca="1" si="65"/>
        <v>66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8" t="str">
        <f ca="1">IF(dict_zuord_Meth_Transfers[[#This Row],[kval_active]],dict_zuord_Meth_Transfers[[#This Row],[ID_Transfers]],"")</f>
        <v/>
      </c>
    </row>
    <row r="4189" spans="1:4" x14ac:dyDescent="0.45">
      <c r="A4189">
        <v>697</v>
      </c>
      <c r="B4189">
        <f t="shared" ca="1" si="65"/>
        <v>2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9" t="str">
        <f ca="1">IF(dict_zuord_Meth_Transfers[[#This Row],[kval_active]],dict_zuord_Meth_Transfers[[#This Row],[ID_Transfers]],"")</f>
        <v/>
      </c>
    </row>
    <row r="4190" spans="1:4" x14ac:dyDescent="0.45">
      <c r="A4190">
        <v>698</v>
      </c>
      <c r="B4190" s="3">
        <f t="shared" ca="1" si="65"/>
        <v>178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0" t="str">
        <f ca="1">IF(dict_zuord_Meth_Transfers[[#This Row],[kval_active]],dict_zuord_Meth_Transfers[[#This Row],[ID_Transfers]],"")</f>
        <v/>
      </c>
    </row>
    <row r="4191" spans="1:4" x14ac:dyDescent="0.45">
      <c r="A4191">
        <v>698</v>
      </c>
      <c r="B4191" s="3">
        <f t="shared" ca="1" si="65"/>
        <v>48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1" t="str">
        <f ca="1">IF(dict_zuord_Meth_Transfers[[#This Row],[kval_active]],dict_zuord_Meth_Transfers[[#This Row],[ID_Transfers]],"")</f>
        <v/>
      </c>
    </row>
    <row r="4192" spans="1:4" x14ac:dyDescent="0.45">
      <c r="A4192">
        <v>698</v>
      </c>
      <c r="B4192">
        <f t="shared" ca="1" si="65"/>
        <v>161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2" t="str">
        <f ca="1">IF(dict_zuord_Meth_Transfers[[#This Row],[kval_active]],dict_zuord_Meth_Transfers[[#This Row],[ID_Transfers]],"")</f>
        <v/>
      </c>
    </row>
    <row r="4193" spans="1:4" x14ac:dyDescent="0.45">
      <c r="A4193">
        <v>698</v>
      </c>
      <c r="B4193" s="3">
        <f t="shared" ca="1" si="65"/>
        <v>100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3" t="str">
        <f ca="1">IF(dict_zuord_Meth_Transfers[[#This Row],[kval_active]],dict_zuord_Meth_Transfers[[#This Row],[ID_Transfers]],"")</f>
        <v/>
      </c>
    </row>
    <row r="4194" spans="1:4" x14ac:dyDescent="0.45">
      <c r="A4194">
        <v>698</v>
      </c>
      <c r="B4194">
        <f t="shared" ca="1" si="65"/>
        <v>25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4" t="str">
        <f ca="1">IF(dict_zuord_Meth_Transfers[[#This Row],[kval_active]],dict_zuord_Meth_Transfers[[#This Row],[ID_Transfers]],"")</f>
        <v/>
      </c>
    </row>
    <row r="4195" spans="1:4" x14ac:dyDescent="0.45">
      <c r="A4195">
        <v>698</v>
      </c>
      <c r="B4195">
        <f t="shared" ca="1" si="65"/>
        <v>87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5" t="str">
        <f ca="1">IF(dict_zuord_Meth_Transfers[[#This Row],[kval_active]],dict_zuord_Meth_Transfers[[#This Row],[ID_Transfers]],"")</f>
        <v/>
      </c>
    </row>
    <row r="4196" spans="1:4" x14ac:dyDescent="0.45">
      <c r="A4196">
        <v>699</v>
      </c>
      <c r="B4196" s="3">
        <f t="shared" ca="1" si="65"/>
        <v>139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6" t="str">
        <f ca="1">IF(dict_zuord_Meth_Transfers[[#This Row],[kval_active]],dict_zuord_Meth_Transfers[[#This Row],[ID_Transfers]],"")</f>
        <v/>
      </c>
    </row>
    <row r="4197" spans="1:4" x14ac:dyDescent="0.45">
      <c r="A4197">
        <v>699</v>
      </c>
      <c r="B4197" s="3">
        <f t="shared" ca="1" si="65"/>
        <v>38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7" t="str">
        <f ca="1">IF(dict_zuord_Meth_Transfers[[#This Row],[kval_active]],dict_zuord_Meth_Transfers[[#This Row],[ID_Transfers]],"")</f>
        <v/>
      </c>
    </row>
    <row r="4198" spans="1:4" x14ac:dyDescent="0.45">
      <c r="A4198">
        <v>699</v>
      </c>
      <c r="B4198">
        <f t="shared" ca="1" si="65"/>
        <v>3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8" t="str">
        <f ca="1">IF(dict_zuord_Meth_Transfers[[#This Row],[kval_active]],dict_zuord_Meth_Transfers[[#This Row],[ID_Transfers]],"")</f>
        <v/>
      </c>
    </row>
    <row r="4199" spans="1:4" x14ac:dyDescent="0.45">
      <c r="A4199">
        <v>699</v>
      </c>
      <c r="B4199">
        <f t="shared" ca="1" si="65"/>
        <v>129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9" t="str">
        <f ca="1">IF(dict_zuord_Meth_Transfers[[#This Row],[kval_active]],dict_zuord_Meth_Transfers[[#This Row],[ID_Transfers]],"")</f>
        <v/>
      </c>
    </row>
    <row r="4200" spans="1:4" x14ac:dyDescent="0.45">
      <c r="A4200">
        <v>699</v>
      </c>
      <c r="B4200" s="3">
        <f t="shared" ca="1" si="65"/>
        <v>184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0" t="str">
        <f ca="1">IF(dict_zuord_Meth_Transfers[[#This Row],[kval_active]],dict_zuord_Meth_Transfers[[#This Row],[ID_Transfers]],"")</f>
        <v/>
      </c>
    </row>
    <row r="4201" spans="1:4" x14ac:dyDescent="0.45">
      <c r="A4201">
        <v>699</v>
      </c>
      <c r="B4201" s="3">
        <f t="shared" ca="1" si="65"/>
        <v>139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1" t="str">
        <f ca="1">IF(dict_zuord_Meth_Transfers[[#This Row],[kval_active]],dict_zuord_Meth_Transfers[[#This Row],[ID_Transfers]],"")</f>
        <v/>
      </c>
    </row>
    <row r="4202" spans="1:4" x14ac:dyDescent="0.45">
      <c r="A4202">
        <v>700</v>
      </c>
      <c r="B4202">
        <f t="shared" ca="1" si="65"/>
        <v>1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2" t="str">
        <f ca="1">IF(dict_zuord_Meth_Transfers[[#This Row],[kval_active]],dict_zuord_Meth_Transfers[[#This Row],[ID_Transfers]],"")</f>
        <v/>
      </c>
    </row>
    <row r="4203" spans="1:4" x14ac:dyDescent="0.45">
      <c r="A4203">
        <v>700</v>
      </c>
      <c r="B4203" s="3">
        <f t="shared" ca="1" si="65"/>
        <v>187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3" t="str">
        <f ca="1">IF(dict_zuord_Meth_Transfers[[#This Row],[kval_active]],dict_zuord_Meth_Transfers[[#This Row],[ID_Transfers]],"")</f>
        <v/>
      </c>
    </row>
    <row r="4204" spans="1:4" x14ac:dyDescent="0.45">
      <c r="A4204">
        <v>700</v>
      </c>
      <c r="B4204" s="3">
        <f t="shared" ca="1" si="65"/>
        <v>143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4" t="str">
        <f ca="1">IF(dict_zuord_Meth_Transfers[[#This Row],[kval_active]],dict_zuord_Meth_Transfers[[#This Row],[ID_Transfers]],"")</f>
        <v/>
      </c>
    </row>
    <row r="4205" spans="1:4" x14ac:dyDescent="0.45">
      <c r="A4205">
        <v>700</v>
      </c>
      <c r="B4205">
        <f t="shared" ca="1" si="65"/>
        <v>140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5" t="str">
        <f ca="1">IF(dict_zuord_Meth_Transfers[[#This Row],[kval_active]],dict_zuord_Meth_Transfers[[#This Row],[ID_Transfers]],"")</f>
        <v/>
      </c>
    </row>
    <row r="4206" spans="1:4" x14ac:dyDescent="0.45">
      <c r="A4206">
        <v>700</v>
      </c>
      <c r="B4206" s="3">
        <f t="shared" ca="1" si="65"/>
        <v>195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6" t="str">
        <f ca="1">IF(dict_zuord_Meth_Transfers[[#This Row],[kval_active]],dict_zuord_Meth_Transfers[[#This Row],[ID_Transfers]],"")</f>
        <v/>
      </c>
    </row>
    <row r="4207" spans="1:4" x14ac:dyDescent="0.45">
      <c r="A4207">
        <v>700</v>
      </c>
      <c r="B4207" s="3">
        <f t="shared" ca="1" si="65"/>
        <v>181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7" t="str">
        <f ca="1">IF(dict_zuord_Meth_Transfers[[#This Row],[kval_active]],dict_zuord_Meth_Transfers[[#This Row],[ID_Transfers]],"")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D1810"/>
  <sheetViews>
    <sheetView topLeftCell="A97" workbookViewId="0">
      <selection activeCell="B2" sqref="B2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RANDBETWEEN(0,100)</f>
        <v>80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">
        <f ca="1">IF(dict_zuord_Transfers_Storages[[#This Row],[kval_active]],dict_zuord_Transfers_Storages[[#This Row],[ID_Storages]],"")</f>
        <v>80</v>
      </c>
    </row>
    <row r="3" spans="1:4" x14ac:dyDescent="0.45">
      <c r="A3">
        <v>0</v>
      </c>
      <c r="B3">
        <f t="shared" ca="1" si="0"/>
        <v>96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">
        <f ca="1">IF(dict_zuord_Transfers_Storages[[#This Row],[kval_active]],dict_zuord_Transfers_Storages[[#This Row],[ID_Storages]],"")</f>
        <v>96</v>
      </c>
    </row>
    <row r="4" spans="1:4" x14ac:dyDescent="0.45">
      <c r="A4">
        <v>0</v>
      </c>
      <c r="B4">
        <f t="shared" ca="1" si="0"/>
        <v>59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">
        <f ca="1">IF(dict_zuord_Transfers_Storages[[#This Row],[kval_active]],dict_zuord_Transfers_Storages[[#This Row],[ID_Storages]],"")</f>
        <v>59</v>
      </c>
    </row>
    <row r="5" spans="1:4" x14ac:dyDescent="0.45">
      <c r="A5">
        <v>0</v>
      </c>
      <c r="B5">
        <f t="shared" ca="1" si="0"/>
        <v>9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">
        <f ca="1">IF(dict_zuord_Transfers_Storages[[#This Row],[kval_active]],dict_zuord_Transfers_Storages[[#This Row],[ID_Storages]],"")</f>
        <v>9</v>
      </c>
    </row>
    <row r="6" spans="1:4" x14ac:dyDescent="0.45">
      <c r="A6">
        <v>0</v>
      </c>
      <c r="B6">
        <f t="shared" ca="1" si="0"/>
        <v>28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">
        <f ca="1">IF(dict_zuord_Transfers_Storages[[#This Row],[kval_active]],dict_zuord_Transfers_Storages[[#This Row],[ID_Storages]],"")</f>
        <v>28</v>
      </c>
    </row>
    <row r="7" spans="1:4" x14ac:dyDescent="0.45">
      <c r="A7">
        <v>0</v>
      </c>
      <c r="B7">
        <f t="shared" ca="1" si="0"/>
        <v>2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">
        <f ca="1">IF(dict_zuord_Transfers_Storages[[#This Row],[kval_active]],dict_zuord_Transfers_Storages[[#This Row],[ID_Storages]],"")</f>
        <v>2</v>
      </c>
    </row>
    <row r="8" spans="1:4" x14ac:dyDescent="0.45">
      <c r="A8">
        <v>0</v>
      </c>
      <c r="B8">
        <f t="shared" ca="1" si="0"/>
        <v>90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">
        <f ca="1">IF(dict_zuord_Transfers_Storages[[#This Row],[kval_active]],dict_zuord_Transfers_Storages[[#This Row],[ID_Storages]],"")</f>
        <v>90</v>
      </c>
    </row>
    <row r="9" spans="1:4" x14ac:dyDescent="0.45">
      <c r="A9">
        <v>0</v>
      </c>
      <c r="B9">
        <f t="shared" ca="1" si="0"/>
        <v>57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">
        <f ca="1">IF(dict_zuord_Transfers_Storages[[#This Row],[kval_active]],dict_zuord_Transfers_Storages[[#This Row],[ID_Storages]],"")</f>
        <v>57</v>
      </c>
    </row>
    <row r="10" spans="1:4" x14ac:dyDescent="0.45">
      <c r="A10">
        <v>0</v>
      </c>
      <c r="B10">
        <f t="shared" ca="1" si="0"/>
        <v>23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">
        <f ca="1">IF(dict_zuord_Transfers_Storages[[#This Row],[kval_active]],dict_zuord_Transfers_Storages[[#This Row],[ID_Storages]],"")</f>
        <v>23</v>
      </c>
    </row>
    <row r="11" spans="1:4" x14ac:dyDescent="0.45">
      <c r="A11">
        <v>1</v>
      </c>
      <c r="B11">
        <f t="shared" ca="1" si="0"/>
        <v>18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">
        <f ca="1">IF(dict_zuord_Transfers_Storages[[#This Row],[kval_active]],dict_zuord_Transfers_Storages[[#This Row],[ID_Storages]],"")</f>
        <v>18</v>
      </c>
    </row>
    <row r="12" spans="1:4" x14ac:dyDescent="0.45">
      <c r="A12">
        <v>1</v>
      </c>
      <c r="B12">
        <f t="shared" ca="1" si="0"/>
        <v>54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">
        <f ca="1">IF(dict_zuord_Transfers_Storages[[#This Row],[kval_active]],dict_zuord_Transfers_Storages[[#This Row],[ID_Storages]],"")</f>
        <v>54</v>
      </c>
    </row>
    <row r="13" spans="1:4" x14ac:dyDescent="0.45">
      <c r="A13">
        <v>1</v>
      </c>
      <c r="B13">
        <f t="shared" ca="1" si="0"/>
        <v>29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">
        <f ca="1">IF(dict_zuord_Transfers_Storages[[#This Row],[kval_active]],dict_zuord_Transfers_Storages[[#This Row],[ID_Storages]],"")</f>
        <v>29</v>
      </c>
    </row>
    <row r="14" spans="1:4" x14ac:dyDescent="0.45">
      <c r="A14">
        <v>1</v>
      </c>
      <c r="B14">
        <f t="shared" ca="1" si="0"/>
        <v>46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">
        <f ca="1">IF(dict_zuord_Transfers_Storages[[#This Row],[kval_active]],dict_zuord_Transfers_Storages[[#This Row],[ID_Storages]],"")</f>
        <v>46</v>
      </c>
    </row>
    <row r="15" spans="1:4" x14ac:dyDescent="0.45">
      <c r="A15">
        <v>1</v>
      </c>
      <c r="B15">
        <f t="shared" ca="1" si="0"/>
        <v>32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">
        <f ca="1">IF(dict_zuord_Transfers_Storages[[#This Row],[kval_active]],dict_zuord_Transfers_Storages[[#This Row],[ID_Storages]],"")</f>
        <v>32</v>
      </c>
    </row>
    <row r="16" spans="1:4" x14ac:dyDescent="0.45">
      <c r="A16">
        <v>1</v>
      </c>
      <c r="B16">
        <f t="shared" ca="1" si="0"/>
        <v>28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">
        <f ca="1">IF(dict_zuord_Transfers_Storages[[#This Row],[kval_active]],dict_zuord_Transfers_Storages[[#This Row],[ID_Storages]],"")</f>
        <v>28</v>
      </c>
    </row>
    <row r="17" spans="1:4" x14ac:dyDescent="0.45">
      <c r="A17">
        <v>1</v>
      </c>
      <c r="B17">
        <f t="shared" ca="1" si="0"/>
        <v>84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">
        <f ca="1">IF(dict_zuord_Transfers_Storages[[#This Row],[kval_active]],dict_zuord_Transfers_Storages[[#This Row],[ID_Storages]],"")</f>
        <v>84</v>
      </c>
    </row>
    <row r="18" spans="1:4" x14ac:dyDescent="0.45">
      <c r="A18">
        <v>1</v>
      </c>
      <c r="B18">
        <f t="shared" ca="1" si="0"/>
        <v>83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">
        <f ca="1">IF(dict_zuord_Transfers_Storages[[#This Row],[kval_active]],dict_zuord_Transfers_Storages[[#This Row],[ID_Storages]],"")</f>
        <v>83</v>
      </c>
    </row>
    <row r="19" spans="1:4" x14ac:dyDescent="0.45">
      <c r="A19">
        <v>1</v>
      </c>
      <c r="B19">
        <f t="shared" ca="1" si="0"/>
        <v>12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">
        <f ca="1">IF(dict_zuord_Transfers_Storages[[#This Row],[kval_active]],dict_zuord_Transfers_Storages[[#This Row],[ID_Storages]],"")</f>
        <v>12</v>
      </c>
    </row>
    <row r="20" spans="1:4" x14ac:dyDescent="0.45">
      <c r="A20">
        <v>2</v>
      </c>
      <c r="B20">
        <f t="shared" ca="1" si="0"/>
        <v>5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" t="str">
        <f ca="1">IF(dict_zuord_Transfers_Storages[[#This Row],[kval_active]],dict_zuord_Transfers_Storages[[#This Row],[ID_Storages]],"")</f>
        <v/>
      </c>
    </row>
    <row r="21" spans="1:4" x14ac:dyDescent="0.45">
      <c r="A21">
        <v>2</v>
      </c>
      <c r="B21">
        <f t="shared" ca="1" si="0"/>
        <v>18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" t="str">
        <f ca="1">IF(dict_zuord_Transfers_Storages[[#This Row],[kval_active]],dict_zuord_Transfers_Storages[[#This Row],[ID_Storages]],"")</f>
        <v/>
      </c>
    </row>
    <row r="22" spans="1:4" x14ac:dyDescent="0.45">
      <c r="A22">
        <v>2</v>
      </c>
      <c r="B22">
        <f t="shared" ca="1" si="0"/>
        <v>58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" t="str">
        <f ca="1">IF(dict_zuord_Transfers_Storages[[#This Row],[kval_active]],dict_zuord_Transfers_Storages[[#This Row],[ID_Storages]],"")</f>
        <v/>
      </c>
    </row>
    <row r="23" spans="1:4" x14ac:dyDescent="0.45">
      <c r="A23">
        <v>2</v>
      </c>
      <c r="B23">
        <f t="shared" ca="1" si="0"/>
        <v>94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" t="str">
        <f ca="1">IF(dict_zuord_Transfers_Storages[[#This Row],[kval_active]],dict_zuord_Transfers_Storages[[#This Row],[ID_Storages]],"")</f>
        <v/>
      </c>
    </row>
    <row r="24" spans="1:4" x14ac:dyDescent="0.45">
      <c r="A24">
        <v>2</v>
      </c>
      <c r="B24">
        <f t="shared" ca="1" si="0"/>
        <v>88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" t="str">
        <f ca="1">IF(dict_zuord_Transfers_Storages[[#This Row],[kval_active]],dict_zuord_Transfers_Storages[[#This Row],[ID_Storages]],"")</f>
        <v/>
      </c>
    </row>
    <row r="25" spans="1:4" x14ac:dyDescent="0.45">
      <c r="A25">
        <v>2</v>
      </c>
      <c r="B25">
        <f t="shared" ca="1" si="0"/>
        <v>9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" t="str">
        <f ca="1">IF(dict_zuord_Transfers_Storages[[#This Row],[kval_active]],dict_zuord_Transfers_Storages[[#This Row],[ID_Storages]],"")</f>
        <v/>
      </c>
    </row>
    <row r="26" spans="1:4" x14ac:dyDescent="0.45">
      <c r="A26">
        <v>2</v>
      </c>
      <c r="B26">
        <f t="shared" ca="1" si="0"/>
        <v>64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" t="str">
        <f ca="1">IF(dict_zuord_Transfers_Storages[[#This Row],[kval_active]],dict_zuord_Transfers_Storages[[#This Row],[ID_Storages]],"")</f>
        <v/>
      </c>
    </row>
    <row r="27" spans="1:4" x14ac:dyDescent="0.45">
      <c r="A27">
        <v>2</v>
      </c>
      <c r="B27">
        <f t="shared" ca="1" si="0"/>
        <v>47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" t="str">
        <f ca="1">IF(dict_zuord_Transfers_Storages[[#This Row],[kval_active]],dict_zuord_Transfers_Storages[[#This Row],[ID_Storages]],"")</f>
        <v/>
      </c>
    </row>
    <row r="28" spans="1:4" x14ac:dyDescent="0.45">
      <c r="A28">
        <v>2</v>
      </c>
      <c r="B28">
        <f t="shared" ca="1" si="0"/>
        <v>10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" t="str">
        <f ca="1">IF(dict_zuord_Transfers_Storages[[#This Row],[kval_active]],dict_zuord_Transfers_Storages[[#This Row],[ID_Storages]],"")</f>
        <v/>
      </c>
    </row>
    <row r="29" spans="1:4" x14ac:dyDescent="0.45">
      <c r="A29">
        <v>3</v>
      </c>
      <c r="B29">
        <f t="shared" ca="1" si="0"/>
        <v>60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60</v>
      </c>
    </row>
    <row r="30" spans="1:4" x14ac:dyDescent="0.45">
      <c r="A30">
        <v>3</v>
      </c>
      <c r="B30">
        <f t="shared" ca="1" si="0"/>
        <v>73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73</v>
      </c>
    </row>
    <row r="31" spans="1:4" x14ac:dyDescent="0.45">
      <c r="A31">
        <v>3</v>
      </c>
      <c r="B31">
        <f t="shared" ca="1" si="0"/>
        <v>66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66</v>
      </c>
    </row>
    <row r="32" spans="1:4" x14ac:dyDescent="0.45">
      <c r="A32">
        <v>3</v>
      </c>
      <c r="B32">
        <f t="shared" ca="1" si="0"/>
        <v>35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35</v>
      </c>
    </row>
    <row r="33" spans="1:4" x14ac:dyDescent="0.45">
      <c r="A33">
        <v>3</v>
      </c>
      <c r="B33">
        <f t="shared" ca="1" si="0"/>
        <v>83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83</v>
      </c>
    </row>
    <row r="34" spans="1:4" x14ac:dyDescent="0.45">
      <c r="A34">
        <v>3</v>
      </c>
      <c r="B34">
        <f t="shared" ca="1" si="0"/>
        <v>92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92</v>
      </c>
    </row>
    <row r="35" spans="1:4" x14ac:dyDescent="0.45">
      <c r="A35">
        <v>3</v>
      </c>
      <c r="B35">
        <f t="shared" ca="1" si="0"/>
        <v>42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42</v>
      </c>
    </row>
    <row r="36" spans="1:4" x14ac:dyDescent="0.45">
      <c r="A36">
        <v>3</v>
      </c>
      <c r="B36">
        <f t="shared" ca="1" si="0"/>
        <v>87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87</v>
      </c>
    </row>
    <row r="37" spans="1:4" x14ac:dyDescent="0.45">
      <c r="A37">
        <v>3</v>
      </c>
      <c r="B37">
        <f t="shared" ca="1" si="0"/>
        <v>95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95</v>
      </c>
    </row>
    <row r="38" spans="1:4" x14ac:dyDescent="0.45">
      <c r="A38">
        <v>4</v>
      </c>
      <c r="B38">
        <f t="shared" ca="1" si="0"/>
        <v>86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">
        <f ca="1">IF(dict_zuord_Transfers_Storages[[#This Row],[kval_active]],dict_zuord_Transfers_Storages[[#This Row],[ID_Storages]],"")</f>
        <v>86</v>
      </c>
    </row>
    <row r="39" spans="1:4" x14ac:dyDescent="0.45">
      <c r="A39">
        <v>4</v>
      </c>
      <c r="B39">
        <f t="shared" ca="1" si="0"/>
        <v>99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">
        <f ca="1">IF(dict_zuord_Transfers_Storages[[#This Row],[kval_active]],dict_zuord_Transfers_Storages[[#This Row],[ID_Storages]],"")</f>
        <v>99</v>
      </c>
    </row>
    <row r="40" spans="1:4" x14ac:dyDescent="0.45">
      <c r="A40">
        <v>4</v>
      </c>
      <c r="B40">
        <f t="shared" ca="1" si="0"/>
        <v>74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">
        <f ca="1">IF(dict_zuord_Transfers_Storages[[#This Row],[kval_active]],dict_zuord_Transfers_Storages[[#This Row],[ID_Storages]],"")</f>
        <v>74</v>
      </c>
    </row>
    <row r="41" spans="1:4" x14ac:dyDescent="0.45">
      <c r="A41">
        <v>4</v>
      </c>
      <c r="B41">
        <f t="shared" ca="1" si="0"/>
        <v>56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">
        <f ca="1">IF(dict_zuord_Transfers_Storages[[#This Row],[kval_active]],dict_zuord_Transfers_Storages[[#This Row],[ID_Storages]],"")</f>
        <v>56</v>
      </c>
    </row>
    <row r="42" spans="1:4" x14ac:dyDescent="0.45">
      <c r="A42">
        <v>4</v>
      </c>
      <c r="B42">
        <f t="shared" ca="1" si="0"/>
        <v>40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">
        <f ca="1">IF(dict_zuord_Transfers_Storages[[#This Row],[kval_active]],dict_zuord_Transfers_Storages[[#This Row],[ID_Storages]],"")</f>
        <v>40</v>
      </c>
    </row>
    <row r="43" spans="1:4" x14ac:dyDescent="0.45">
      <c r="A43">
        <v>4</v>
      </c>
      <c r="B43">
        <f t="shared" ca="1" si="0"/>
        <v>1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">
        <f ca="1">IF(dict_zuord_Transfers_Storages[[#This Row],[kval_active]],dict_zuord_Transfers_Storages[[#This Row],[ID_Storages]],"")</f>
        <v>1</v>
      </c>
    </row>
    <row r="44" spans="1:4" x14ac:dyDescent="0.45">
      <c r="A44">
        <v>4</v>
      </c>
      <c r="B44">
        <f t="shared" ca="1" si="0"/>
        <v>94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">
        <f ca="1">IF(dict_zuord_Transfers_Storages[[#This Row],[kval_active]],dict_zuord_Transfers_Storages[[#This Row],[ID_Storages]],"")</f>
        <v>94</v>
      </c>
    </row>
    <row r="45" spans="1:4" x14ac:dyDescent="0.45">
      <c r="A45">
        <v>4</v>
      </c>
      <c r="B45">
        <f t="shared" ca="1" si="0"/>
        <v>89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">
        <f ca="1">IF(dict_zuord_Transfers_Storages[[#This Row],[kval_active]],dict_zuord_Transfers_Storages[[#This Row],[ID_Storages]],"")</f>
        <v>89</v>
      </c>
    </row>
    <row r="46" spans="1:4" x14ac:dyDescent="0.45">
      <c r="A46">
        <v>4</v>
      </c>
      <c r="B46">
        <f t="shared" ca="1" si="0"/>
        <v>76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">
        <f ca="1">IF(dict_zuord_Transfers_Storages[[#This Row],[kval_active]],dict_zuord_Transfers_Storages[[#This Row],[ID_Storages]],"")</f>
        <v>76</v>
      </c>
    </row>
    <row r="47" spans="1:4" x14ac:dyDescent="0.45">
      <c r="A47">
        <v>5</v>
      </c>
      <c r="B47">
        <f t="shared" ca="1" si="0"/>
        <v>25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" t="str">
        <f ca="1">IF(dict_zuord_Transfers_Storages[[#This Row],[kval_active]],dict_zuord_Transfers_Storages[[#This Row],[ID_Storages]],"")</f>
        <v/>
      </c>
    </row>
    <row r="48" spans="1:4" x14ac:dyDescent="0.45">
      <c r="A48">
        <v>5</v>
      </c>
      <c r="B48">
        <f t="shared" ca="1" si="0"/>
        <v>88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" t="str">
        <f ca="1">IF(dict_zuord_Transfers_Storages[[#This Row],[kval_active]],dict_zuord_Transfers_Storages[[#This Row],[ID_Storages]],"")</f>
        <v/>
      </c>
    </row>
    <row r="49" spans="1:4" x14ac:dyDescent="0.45">
      <c r="A49">
        <v>5</v>
      </c>
      <c r="B49">
        <f t="shared" ca="1" si="0"/>
        <v>43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" t="str">
        <f ca="1">IF(dict_zuord_Transfers_Storages[[#This Row],[kval_active]],dict_zuord_Transfers_Storages[[#This Row],[ID_Storages]],"")</f>
        <v/>
      </c>
    </row>
    <row r="50" spans="1:4" x14ac:dyDescent="0.45">
      <c r="A50">
        <v>5</v>
      </c>
      <c r="B50">
        <f t="shared" ca="1" si="0"/>
        <v>5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" t="str">
        <f ca="1">IF(dict_zuord_Transfers_Storages[[#This Row],[kval_active]],dict_zuord_Transfers_Storages[[#This Row],[ID_Storages]],"")</f>
        <v/>
      </c>
    </row>
    <row r="51" spans="1:4" x14ac:dyDescent="0.45">
      <c r="A51">
        <v>5</v>
      </c>
      <c r="B51">
        <f t="shared" ca="1" si="0"/>
        <v>70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" t="str">
        <f ca="1">IF(dict_zuord_Transfers_Storages[[#This Row],[kval_active]],dict_zuord_Transfers_Storages[[#This Row],[ID_Storages]],"")</f>
        <v/>
      </c>
    </row>
    <row r="52" spans="1:4" x14ac:dyDescent="0.45">
      <c r="A52">
        <v>5</v>
      </c>
      <c r="B52">
        <f t="shared" ca="1" si="0"/>
        <v>35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" t="str">
        <f ca="1">IF(dict_zuord_Transfers_Storages[[#This Row],[kval_active]],dict_zuord_Transfers_Storages[[#This Row],[ID_Storages]],"")</f>
        <v/>
      </c>
    </row>
    <row r="53" spans="1:4" x14ac:dyDescent="0.45">
      <c r="A53">
        <v>5</v>
      </c>
      <c r="B53">
        <f t="shared" ca="1" si="0"/>
        <v>53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" t="str">
        <f ca="1">IF(dict_zuord_Transfers_Storages[[#This Row],[kval_active]],dict_zuord_Transfers_Storages[[#This Row],[ID_Storages]],"")</f>
        <v/>
      </c>
    </row>
    <row r="54" spans="1:4" x14ac:dyDescent="0.45">
      <c r="A54">
        <v>5</v>
      </c>
      <c r="B54">
        <f t="shared" ca="1" si="0"/>
        <v>72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" t="str">
        <f ca="1">IF(dict_zuord_Transfers_Storages[[#This Row],[kval_active]],dict_zuord_Transfers_Storages[[#This Row],[ID_Storages]],"")</f>
        <v/>
      </c>
    </row>
    <row r="55" spans="1:4" x14ac:dyDescent="0.45">
      <c r="A55">
        <v>5</v>
      </c>
      <c r="B55">
        <f t="shared" ca="1" si="0"/>
        <v>44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" t="str">
        <f ca="1">IF(dict_zuord_Transfers_Storages[[#This Row],[kval_active]],dict_zuord_Transfers_Storages[[#This Row],[ID_Storages]],"")</f>
        <v/>
      </c>
    </row>
    <row r="56" spans="1:4" x14ac:dyDescent="0.45">
      <c r="A56">
        <v>6</v>
      </c>
      <c r="B56">
        <f t="shared" ca="1" si="0"/>
        <v>27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" t="str">
        <f ca="1">IF(dict_zuord_Transfers_Storages[[#This Row],[kval_active]],dict_zuord_Transfers_Storages[[#This Row],[ID_Storages]],"")</f>
        <v/>
      </c>
    </row>
    <row r="57" spans="1:4" x14ac:dyDescent="0.45">
      <c r="A57">
        <v>6</v>
      </c>
      <c r="B57">
        <f t="shared" ca="1" si="0"/>
        <v>17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" t="str">
        <f ca="1">IF(dict_zuord_Transfers_Storages[[#This Row],[kval_active]],dict_zuord_Transfers_Storages[[#This Row],[ID_Storages]],"")</f>
        <v/>
      </c>
    </row>
    <row r="58" spans="1:4" x14ac:dyDescent="0.45">
      <c r="A58">
        <v>6</v>
      </c>
      <c r="B58">
        <f t="shared" ca="1" si="0"/>
        <v>86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" t="str">
        <f ca="1">IF(dict_zuord_Transfers_Storages[[#This Row],[kval_active]],dict_zuord_Transfers_Storages[[#This Row],[ID_Storages]],"")</f>
        <v/>
      </c>
    </row>
    <row r="59" spans="1:4" x14ac:dyDescent="0.45">
      <c r="A59">
        <v>6</v>
      </c>
      <c r="B59">
        <f t="shared" ca="1" si="0"/>
        <v>29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" t="str">
        <f ca="1">IF(dict_zuord_Transfers_Storages[[#This Row],[kval_active]],dict_zuord_Transfers_Storages[[#This Row],[ID_Storages]],"")</f>
        <v/>
      </c>
    </row>
    <row r="60" spans="1:4" x14ac:dyDescent="0.45">
      <c r="A60">
        <v>6</v>
      </c>
      <c r="B60">
        <f t="shared" ca="1" si="0"/>
        <v>93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" t="str">
        <f ca="1">IF(dict_zuord_Transfers_Storages[[#This Row],[kval_active]],dict_zuord_Transfers_Storages[[#This Row],[ID_Storages]],"")</f>
        <v/>
      </c>
    </row>
    <row r="61" spans="1:4" x14ac:dyDescent="0.45">
      <c r="A61">
        <v>6</v>
      </c>
      <c r="B61">
        <f t="shared" ca="1" si="0"/>
        <v>48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" t="str">
        <f ca="1">IF(dict_zuord_Transfers_Storages[[#This Row],[kval_active]],dict_zuord_Transfers_Storages[[#This Row],[ID_Storages]],"")</f>
        <v/>
      </c>
    </row>
    <row r="62" spans="1:4" x14ac:dyDescent="0.45">
      <c r="A62">
        <v>6</v>
      </c>
      <c r="B62">
        <f t="shared" ca="1" si="0"/>
        <v>42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" t="str">
        <f ca="1">IF(dict_zuord_Transfers_Storages[[#This Row],[kval_active]],dict_zuord_Transfers_Storages[[#This Row],[ID_Storages]],"")</f>
        <v/>
      </c>
    </row>
    <row r="63" spans="1:4" x14ac:dyDescent="0.45">
      <c r="A63">
        <v>6</v>
      </c>
      <c r="B63">
        <f t="shared" ca="1" si="0"/>
        <v>89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" t="str">
        <f ca="1">IF(dict_zuord_Transfers_Storages[[#This Row],[kval_active]],dict_zuord_Transfers_Storages[[#This Row],[ID_Storages]],"")</f>
        <v/>
      </c>
    </row>
    <row r="64" spans="1:4" x14ac:dyDescent="0.45">
      <c r="A64">
        <v>6</v>
      </c>
      <c r="B64">
        <f t="shared" ca="1" si="0"/>
        <v>53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" t="str">
        <f ca="1">IF(dict_zuord_Transfers_Storages[[#This Row],[kval_active]],dict_zuord_Transfers_Storages[[#This Row],[ID_Storages]],"")</f>
        <v/>
      </c>
    </row>
    <row r="65" spans="1:4" x14ac:dyDescent="0.45">
      <c r="A65">
        <v>7</v>
      </c>
      <c r="B65">
        <f t="shared" ca="1" si="0"/>
        <v>16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" t="str">
        <f ca="1">IF(dict_zuord_Transfers_Storages[[#This Row],[kval_active]],dict_zuord_Transfers_Storages[[#This Row],[ID_Storages]],"")</f>
        <v/>
      </c>
    </row>
    <row r="66" spans="1:4" x14ac:dyDescent="0.45">
      <c r="A66">
        <v>7</v>
      </c>
      <c r="B66">
        <f t="shared" ref="B66:B129" ca="1" si="1">RANDBETWEEN(0,100)</f>
        <v>1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" t="str">
        <f ca="1">IF(dict_zuord_Transfers_Storages[[#This Row],[kval_active]],dict_zuord_Transfers_Storages[[#This Row],[ID_Storages]],"")</f>
        <v/>
      </c>
    </row>
    <row r="67" spans="1:4" x14ac:dyDescent="0.45">
      <c r="A67">
        <v>7</v>
      </c>
      <c r="B67">
        <f t="shared" ca="1" si="1"/>
        <v>90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" t="str">
        <f ca="1">IF(dict_zuord_Transfers_Storages[[#This Row],[kval_active]],dict_zuord_Transfers_Storages[[#This Row],[ID_Storages]],"")</f>
        <v/>
      </c>
    </row>
    <row r="68" spans="1:4" x14ac:dyDescent="0.45">
      <c r="A68">
        <v>7</v>
      </c>
      <c r="B68">
        <f t="shared" ca="1" si="1"/>
        <v>6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" t="str">
        <f ca="1">IF(dict_zuord_Transfers_Storages[[#This Row],[kval_active]],dict_zuord_Transfers_Storages[[#This Row],[ID_Storages]],"")</f>
        <v/>
      </c>
    </row>
    <row r="69" spans="1:4" x14ac:dyDescent="0.45">
      <c r="A69">
        <v>7</v>
      </c>
      <c r="B69">
        <f t="shared" ca="1" si="1"/>
        <v>91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" t="str">
        <f ca="1">IF(dict_zuord_Transfers_Storages[[#This Row],[kval_active]],dict_zuord_Transfers_Storages[[#This Row],[ID_Storages]],"")</f>
        <v/>
      </c>
    </row>
    <row r="70" spans="1:4" x14ac:dyDescent="0.45">
      <c r="A70">
        <v>7</v>
      </c>
      <c r="B70">
        <f t="shared" ca="1" si="1"/>
        <v>20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" t="str">
        <f ca="1">IF(dict_zuord_Transfers_Storages[[#This Row],[kval_active]],dict_zuord_Transfers_Storages[[#This Row],[ID_Storages]],"")</f>
        <v/>
      </c>
    </row>
    <row r="71" spans="1:4" x14ac:dyDescent="0.45">
      <c r="A71">
        <v>7</v>
      </c>
      <c r="B71">
        <f t="shared" ca="1" si="1"/>
        <v>86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" t="str">
        <f ca="1">IF(dict_zuord_Transfers_Storages[[#This Row],[kval_active]],dict_zuord_Transfers_Storages[[#This Row],[ID_Storages]],"")</f>
        <v/>
      </c>
    </row>
    <row r="72" spans="1:4" x14ac:dyDescent="0.45">
      <c r="A72">
        <v>7</v>
      </c>
      <c r="B72">
        <f t="shared" ca="1" si="1"/>
        <v>24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" t="str">
        <f ca="1">IF(dict_zuord_Transfers_Storages[[#This Row],[kval_active]],dict_zuord_Transfers_Storages[[#This Row],[ID_Storages]],"")</f>
        <v/>
      </c>
    </row>
    <row r="73" spans="1:4" x14ac:dyDescent="0.45">
      <c r="A73">
        <v>7</v>
      </c>
      <c r="B73">
        <f t="shared" ca="1" si="1"/>
        <v>74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" t="str">
        <f ca="1">IF(dict_zuord_Transfers_Storages[[#This Row],[kval_active]],dict_zuord_Transfers_Storages[[#This Row],[ID_Storages]],"")</f>
        <v/>
      </c>
    </row>
    <row r="74" spans="1:4" x14ac:dyDescent="0.45">
      <c r="A74">
        <v>8</v>
      </c>
      <c r="B74">
        <f t="shared" ca="1" si="1"/>
        <v>61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">
        <f ca="1">IF(dict_zuord_Transfers_Storages[[#This Row],[kval_active]],dict_zuord_Transfers_Storages[[#This Row],[ID_Storages]],"")</f>
        <v>61</v>
      </c>
    </row>
    <row r="75" spans="1:4" x14ac:dyDescent="0.45">
      <c r="A75">
        <v>8</v>
      </c>
      <c r="B75">
        <f t="shared" ca="1" si="1"/>
        <v>63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">
        <f ca="1">IF(dict_zuord_Transfers_Storages[[#This Row],[kval_active]],dict_zuord_Transfers_Storages[[#This Row],[ID_Storages]],"")</f>
        <v>63</v>
      </c>
    </row>
    <row r="76" spans="1:4" x14ac:dyDescent="0.45">
      <c r="A76">
        <v>8</v>
      </c>
      <c r="B76">
        <f t="shared" ca="1" si="1"/>
        <v>98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">
        <f ca="1">IF(dict_zuord_Transfers_Storages[[#This Row],[kval_active]],dict_zuord_Transfers_Storages[[#This Row],[ID_Storages]],"")</f>
        <v>98</v>
      </c>
    </row>
    <row r="77" spans="1:4" x14ac:dyDescent="0.45">
      <c r="A77">
        <v>8</v>
      </c>
      <c r="B77">
        <f t="shared" ca="1" si="1"/>
        <v>8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">
        <f ca="1">IF(dict_zuord_Transfers_Storages[[#This Row],[kval_active]],dict_zuord_Transfers_Storages[[#This Row],[ID_Storages]],"")</f>
        <v>8</v>
      </c>
    </row>
    <row r="78" spans="1:4" x14ac:dyDescent="0.45">
      <c r="A78">
        <v>8</v>
      </c>
      <c r="B78">
        <f t="shared" ca="1" si="1"/>
        <v>46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">
        <f ca="1">IF(dict_zuord_Transfers_Storages[[#This Row],[kval_active]],dict_zuord_Transfers_Storages[[#This Row],[ID_Storages]],"")</f>
        <v>46</v>
      </c>
    </row>
    <row r="79" spans="1:4" x14ac:dyDescent="0.45">
      <c r="A79">
        <v>8</v>
      </c>
      <c r="B79">
        <f t="shared" ca="1" si="1"/>
        <v>16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">
        <f ca="1">IF(dict_zuord_Transfers_Storages[[#This Row],[kval_active]],dict_zuord_Transfers_Storages[[#This Row],[ID_Storages]],"")</f>
        <v>16</v>
      </c>
    </row>
    <row r="80" spans="1:4" x14ac:dyDescent="0.45">
      <c r="A80">
        <v>8</v>
      </c>
      <c r="B80">
        <f t="shared" ca="1" si="1"/>
        <v>55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">
        <f ca="1">IF(dict_zuord_Transfers_Storages[[#This Row],[kval_active]],dict_zuord_Transfers_Storages[[#This Row],[ID_Storages]],"")</f>
        <v>55</v>
      </c>
    </row>
    <row r="81" spans="1:4" x14ac:dyDescent="0.45">
      <c r="A81">
        <v>8</v>
      </c>
      <c r="B81">
        <f t="shared" ca="1" si="1"/>
        <v>94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">
        <f ca="1">IF(dict_zuord_Transfers_Storages[[#This Row],[kval_active]],dict_zuord_Transfers_Storages[[#This Row],[ID_Storages]],"")</f>
        <v>94</v>
      </c>
    </row>
    <row r="82" spans="1:4" x14ac:dyDescent="0.45">
      <c r="A82">
        <v>8</v>
      </c>
      <c r="B82">
        <f t="shared" ca="1" si="1"/>
        <v>54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">
        <f ca="1">IF(dict_zuord_Transfers_Storages[[#This Row],[kval_active]],dict_zuord_Transfers_Storages[[#This Row],[ID_Storages]],"")</f>
        <v>54</v>
      </c>
    </row>
    <row r="83" spans="1:4" x14ac:dyDescent="0.45">
      <c r="A83">
        <v>9</v>
      </c>
      <c r="B83">
        <f t="shared" ca="1" si="1"/>
        <v>81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">
        <f ca="1">IF(dict_zuord_Transfers_Storages[[#This Row],[kval_active]],dict_zuord_Transfers_Storages[[#This Row],[ID_Storages]],"")</f>
        <v>81</v>
      </c>
    </row>
    <row r="84" spans="1:4" x14ac:dyDescent="0.45">
      <c r="A84">
        <v>9</v>
      </c>
      <c r="B84">
        <f t="shared" ca="1" si="1"/>
        <v>100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">
        <f ca="1">IF(dict_zuord_Transfers_Storages[[#This Row],[kval_active]],dict_zuord_Transfers_Storages[[#This Row],[ID_Storages]],"")</f>
        <v>100</v>
      </c>
    </row>
    <row r="85" spans="1:4" x14ac:dyDescent="0.45">
      <c r="A85">
        <v>9</v>
      </c>
      <c r="B85">
        <f t="shared" ca="1" si="1"/>
        <v>40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">
        <f ca="1">IF(dict_zuord_Transfers_Storages[[#This Row],[kval_active]],dict_zuord_Transfers_Storages[[#This Row],[ID_Storages]],"")</f>
        <v>40</v>
      </c>
    </row>
    <row r="86" spans="1:4" x14ac:dyDescent="0.45">
      <c r="A86">
        <v>9</v>
      </c>
      <c r="B86">
        <f t="shared" ca="1" si="1"/>
        <v>37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">
        <f ca="1">IF(dict_zuord_Transfers_Storages[[#This Row],[kval_active]],dict_zuord_Transfers_Storages[[#This Row],[ID_Storages]],"")</f>
        <v>37</v>
      </c>
    </row>
    <row r="87" spans="1:4" x14ac:dyDescent="0.45">
      <c r="A87">
        <v>9</v>
      </c>
      <c r="B87">
        <f t="shared" ca="1" si="1"/>
        <v>10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">
        <f ca="1">IF(dict_zuord_Transfers_Storages[[#This Row],[kval_active]],dict_zuord_Transfers_Storages[[#This Row],[ID_Storages]],"")</f>
        <v>10</v>
      </c>
    </row>
    <row r="88" spans="1:4" x14ac:dyDescent="0.45">
      <c r="A88">
        <v>9</v>
      </c>
      <c r="B88">
        <f t="shared" ca="1" si="1"/>
        <v>95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">
        <f ca="1">IF(dict_zuord_Transfers_Storages[[#This Row],[kval_active]],dict_zuord_Transfers_Storages[[#This Row],[ID_Storages]],"")</f>
        <v>95</v>
      </c>
    </row>
    <row r="89" spans="1:4" x14ac:dyDescent="0.45">
      <c r="A89">
        <v>9</v>
      </c>
      <c r="B89">
        <f t="shared" ca="1" si="1"/>
        <v>44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">
        <f ca="1">IF(dict_zuord_Transfers_Storages[[#This Row],[kval_active]],dict_zuord_Transfers_Storages[[#This Row],[ID_Storages]],"")</f>
        <v>44</v>
      </c>
    </row>
    <row r="90" spans="1:4" x14ac:dyDescent="0.45">
      <c r="A90">
        <v>9</v>
      </c>
      <c r="B90">
        <f t="shared" ca="1" si="1"/>
        <v>35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">
        <f ca="1">IF(dict_zuord_Transfers_Storages[[#This Row],[kval_active]],dict_zuord_Transfers_Storages[[#This Row],[ID_Storages]],"")</f>
        <v>35</v>
      </c>
    </row>
    <row r="91" spans="1:4" x14ac:dyDescent="0.45">
      <c r="A91">
        <v>9</v>
      </c>
      <c r="B91">
        <f t="shared" ca="1" si="1"/>
        <v>8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">
        <f ca="1">IF(dict_zuord_Transfers_Storages[[#This Row],[kval_active]],dict_zuord_Transfers_Storages[[#This Row],[ID_Storages]],"")</f>
        <v>8</v>
      </c>
    </row>
    <row r="92" spans="1:4" x14ac:dyDescent="0.45">
      <c r="A92">
        <v>10</v>
      </c>
      <c r="B92">
        <f t="shared" ca="1" si="1"/>
        <v>8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" t="str">
        <f ca="1">IF(dict_zuord_Transfers_Storages[[#This Row],[kval_active]],dict_zuord_Transfers_Storages[[#This Row],[ID_Storages]],"")</f>
        <v/>
      </c>
    </row>
    <row r="93" spans="1:4" x14ac:dyDescent="0.45">
      <c r="A93">
        <v>10</v>
      </c>
      <c r="B93">
        <f t="shared" ca="1" si="1"/>
        <v>45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" t="str">
        <f ca="1">IF(dict_zuord_Transfers_Storages[[#This Row],[kval_active]],dict_zuord_Transfers_Storages[[#This Row],[ID_Storages]],"")</f>
        <v/>
      </c>
    </row>
    <row r="94" spans="1:4" x14ac:dyDescent="0.45">
      <c r="A94">
        <v>10</v>
      </c>
      <c r="B94">
        <f t="shared" ca="1" si="1"/>
        <v>49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" t="str">
        <f ca="1">IF(dict_zuord_Transfers_Storages[[#This Row],[kval_active]],dict_zuord_Transfers_Storages[[#This Row],[ID_Storages]],"")</f>
        <v/>
      </c>
    </row>
    <row r="95" spans="1:4" x14ac:dyDescent="0.45">
      <c r="A95">
        <v>10</v>
      </c>
      <c r="B95">
        <f t="shared" ca="1" si="1"/>
        <v>6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" t="str">
        <f ca="1">IF(dict_zuord_Transfers_Storages[[#This Row],[kval_active]],dict_zuord_Transfers_Storages[[#This Row],[ID_Storages]],"")</f>
        <v/>
      </c>
    </row>
    <row r="96" spans="1:4" x14ac:dyDescent="0.45">
      <c r="A96">
        <v>10</v>
      </c>
      <c r="B96">
        <f t="shared" ca="1" si="1"/>
        <v>54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" t="str">
        <f ca="1">IF(dict_zuord_Transfers_Storages[[#This Row],[kval_active]],dict_zuord_Transfers_Storages[[#This Row],[ID_Storages]],"")</f>
        <v/>
      </c>
    </row>
    <row r="97" spans="1:4" x14ac:dyDescent="0.45">
      <c r="A97">
        <v>10</v>
      </c>
      <c r="B97">
        <f t="shared" ca="1" si="1"/>
        <v>61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" t="str">
        <f ca="1">IF(dict_zuord_Transfers_Storages[[#This Row],[kval_active]],dict_zuord_Transfers_Storages[[#This Row],[ID_Storages]],"")</f>
        <v/>
      </c>
    </row>
    <row r="98" spans="1:4" x14ac:dyDescent="0.45">
      <c r="A98">
        <v>10</v>
      </c>
      <c r="B98">
        <f t="shared" ca="1" si="1"/>
        <v>67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" t="str">
        <f ca="1">IF(dict_zuord_Transfers_Storages[[#This Row],[kval_active]],dict_zuord_Transfers_Storages[[#This Row],[ID_Storages]],"")</f>
        <v/>
      </c>
    </row>
    <row r="99" spans="1:4" x14ac:dyDescent="0.45">
      <c r="A99">
        <v>10</v>
      </c>
      <c r="B99">
        <f t="shared" ca="1" si="1"/>
        <v>16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" t="str">
        <f ca="1">IF(dict_zuord_Transfers_Storages[[#This Row],[kval_active]],dict_zuord_Transfers_Storages[[#This Row],[ID_Storages]],"")</f>
        <v/>
      </c>
    </row>
    <row r="100" spans="1:4" x14ac:dyDescent="0.45">
      <c r="A100">
        <v>10</v>
      </c>
      <c r="B100">
        <f t="shared" ca="1" si="1"/>
        <v>57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" t="str">
        <f ca="1">IF(dict_zuord_Transfers_Storages[[#This Row],[kval_active]],dict_zuord_Transfers_Storages[[#This Row],[ID_Storages]],"")</f>
        <v/>
      </c>
    </row>
    <row r="101" spans="1:4" x14ac:dyDescent="0.45">
      <c r="A101">
        <v>11</v>
      </c>
      <c r="B101">
        <f t="shared" ca="1" si="1"/>
        <v>9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" t="str">
        <f ca="1">IF(dict_zuord_Transfers_Storages[[#This Row],[kval_active]],dict_zuord_Transfers_Storages[[#This Row],[ID_Storages]],"")</f>
        <v/>
      </c>
    </row>
    <row r="102" spans="1:4" x14ac:dyDescent="0.45">
      <c r="A102">
        <v>11</v>
      </c>
      <c r="B102">
        <f t="shared" ca="1" si="1"/>
        <v>44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" t="str">
        <f ca="1">IF(dict_zuord_Transfers_Storages[[#This Row],[kval_active]],dict_zuord_Transfers_Storages[[#This Row],[ID_Storages]],"")</f>
        <v/>
      </c>
    </row>
    <row r="103" spans="1:4" x14ac:dyDescent="0.45">
      <c r="A103">
        <v>11</v>
      </c>
      <c r="B103">
        <f t="shared" ca="1" si="1"/>
        <v>50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" t="str">
        <f ca="1">IF(dict_zuord_Transfers_Storages[[#This Row],[kval_active]],dict_zuord_Transfers_Storages[[#This Row],[ID_Storages]],"")</f>
        <v/>
      </c>
    </row>
    <row r="104" spans="1:4" x14ac:dyDescent="0.45">
      <c r="A104">
        <v>11</v>
      </c>
      <c r="B104">
        <f t="shared" ca="1" si="1"/>
        <v>57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" t="str">
        <f ca="1">IF(dict_zuord_Transfers_Storages[[#This Row],[kval_active]],dict_zuord_Transfers_Storages[[#This Row],[ID_Storages]],"")</f>
        <v/>
      </c>
    </row>
    <row r="105" spans="1:4" x14ac:dyDescent="0.45">
      <c r="A105">
        <v>11</v>
      </c>
      <c r="B105">
        <f t="shared" ca="1" si="1"/>
        <v>57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" t="str">
        <f ca="1">IF(dict_zuord_Transfers_Storages[[#This Row],[kval_active]],dict_zuord_Transfers_Storages[[#This Row],[ID_Storages]],"")</f>
        <v/>
      </c>
    </row>
    <row r="106" spans="1:4" x14ac:dyDescent="0.45">
      <c r="A106">
        <v>11</v>
      </c>
      <c r="B106">
        <f t="shared" ca="1" si="1"/>
        <v>96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" t="str">
        <f ca="1">IF(dict_zuord_Transfers_Storages[[#This Row],[kval_active]],dict_zuord_Transfers_Storages[[#This Row],[ID_Storages]],"")</f>
        <v/>
      </c>
    </row>
    <row r="107" spans="1:4" x14ac:dyDescent="0.45">
      <c r="A107">
        <v>11</v>
      </c>
      <c r="B107">
        <f t="shared" ca="1" si="1"/>
        <v>22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" t="str">
        <f ca="1">IF(dict_zuord_Transfers_Storages[[#This Row],[kval_active]],dict_zuord_Transfers_Storages[[#This Row],[ID_Storages]],"")</f>
        <v/>
      </c>
    </row>
    <row r="108" spans="1:4" x14ac:dyDescent="0.45">
      <c r="A108">
        <v>11</v>
      </c>
      <c r="B108">
        <f t="shared" ca="1" si="1"/>
        <v>91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" t="str">
        <f ca="1">IF(dict_zuord_Transfers_Storages[[#This Row],[kval_active]],dict_zuord_Transfers_Storages[[#This Row],[ID_Storages]],"")</f>
        <v/>
      </c>
    </row>
    <row r="109" spans="1:4" x14ac:dyDescent="0.45">
      <c r="A109">
        <v>11</v>
      </c>
      <c r="B109">
        <f t="shared" ca="1" si="1"/>
        <v>82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" t="str">
        <f ca="1">IF(dict_zuord_Transfers_Storages[[#This Row],[kval_active]],dict_zuord_Transfers_Storages[[#This Row],[ID_Storages]],"")</f>
        <v/>
      </c>
    </row>
    <row r="110" spans="1:4" x14ac:dyDescent="0.45">
      <c r="A110">
        <v>12</v>
      </c>
      <c r="B110">
        <f t="shared" ca="1" si="1"/>
        <v>41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">
        <f ca="1">IF(dict_zuord_Transfers_Storages[[#This Row],[kval_active]],dict_zuord_Transfers_Storages[[#This Row],[ID_Storages]],"")</f>
        <v>41</v>
      </c>
    </row>
    <row r="111" spans="1:4" x14ac:dyDescent="0.45">
      <c r="A111">
        <v>12</v>
      </c>
      <c r="B111">
        <f t="shared" ca="1" si="1"/>
        <v>49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">
        <f ca="1">IF(dict_zuord_Transfers_Storages[[#This Row],[kval_active]],dict_zuord_Transfers_Storages[[#This Row],[ID_Storages]],"")</f>
        <v>49</v>
      </c>
    </row>
    <row r="112" spans="1:4" x14ac:dyDescent="0.45">
      <c r="A112">
        <v>12</v>
      </c>
      <c r="B112">
        <f t="shared" ca="1" si="1"/>
        <v>44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">
        <f ca="1">IF(dict_zuord_Transfers_Storages[[#This Row],[kval_active]],dict_zuord_Transfers_Storages[[#This Row],[ID_Storages]],"")</f>
        <v>44</v>
      </c>
    </row>
    <row r="113" spans="1:4" x14ac:dyDescent="0.45">
      <c r="A113">
        <v>12</v>
      </c>
      <c r="B113">
        <f t="shared" ca="1" si="1"/>
        <v>4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">
        <f ca="1">IF(dict_zuord_Transfers_Storages[[#This Row],[kval_active]],dict_zuord_Transfers_Storages[[#This Row],[ID_Storages]],"")</f>
        <v>4</v>
      </c>
    </row>
    <row r="114" spans="1:4" x14ac:dyDescent="0.45">
      <c r="A114">
        <v>12</v>
      </c>
      <c r="B114">
        <f t="shared" ca="1" si="1"/>
        <v>23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">
        <f ca="1">IF(dict_zuord_Transfers_Storages[[#This Row],[kval_active]],dict_zuord_Transfers_Storages[[#This Row],[ID_Storages]],"")</f>
        <v>23</v>
      </c>
    </row>
    <row r="115" spans="1:4" x14ac:dyDescent="0.45">
      <c r="A115">
        <v>12</v>
      </c>
      <c r="B115">
        <f t="shared" ca="1" si="1"/>
        <v>1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">
        <f ca="1">IF(dict_zuord_Transfers_Storages[[#This Row],[kval_active]],dict_zuord_Transfers_Storages[[#This Row],[ID_Storages]],"")</f>
        <v>1</v>
      </c>
    </row>
    <row r="116" spans="1:4" x14ac:dyDescent="0.45">
      <c r="A116">
        <v>12</v>
      </c>
      <c r="B116">
        <f t="shared" ca="1" si="1"/>
        <v>87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">
        <f ca="1">IF(dict_zuord_Transfers_Storages[[#This Row],[kval_active]],dict_zuord_Transfers_Storages[[#This Row],[ID_Storages]],"")</f>
        <v>87</v>
      </c>
    </row>
    <row r="117" spans="1:4" x14ac:dyDescent="0.45">
      <c r="A117">
        <v>12</v>
      </c>
      <c r="B117">
        <f t="shared" ca="1" si="1"/>
        <v>52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">
        <f ca="1">IF(dict_zuord_Transfers_Storages[[#This Row],[kval_active]],dict_zuord_Transfers_Storages[[#This Row],[ID_Storages]],"")</f>
        <v>52</v>
      </c>
    </row>
    <row r="118" spans="1:4" x14ac:dyDescent="0.45">
      <c r="A118">
        <v>12</v>
      </c>
      <c r="B118">
        <f t="shared" ca="1" si="1"/>
        <v>19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">
        <f ca="1">IF(dict_zuord_Transfers_Storages[[#This Row],[kval_active]],dict_zuord_Transfers_Storages[[#This Row],[ID_Storages]],"")</f>
        <v>19</v>
      </c>
    </row>
    <row r="119" spans="1:4" x14ac:dyDescent="0.45">
      <c r="A119">
        <v>13</v>
      </c>
      <c r="B119">
        <f t="shared" ca="1" si="1"/>
        <v>33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">
        <f ca="1">IF(dict_zuord_Transfers_Storages[[#This Row],[kval_active]],dict_zuord_Transfers_Storages[[#This Row],[ID_Storages]],"")</f>
        <v>33</v>
      </c>
    </row>
    <row r="120" spans="1:4" x14ac:dyDescent="0.45">
      <c r="A120">
        <v>13</v>
      </c>
      <c r="B120">
        <f t="shared" ca="1" si="1"/>
        <v>96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">
        <f ca="1">IF(dict_zuord_Transfers_Storages[[#This Row],[kval_active]],dict_zuord_Transfers_Storages[[#This Row],[ID_Storages]],"")</f>
        <v>96</v>
      </c>
    </row>
    <row r="121" spans="1:4" x14ac:dyDescent="0.45">
      <c r="A121">
        <v>13</v>
      </c>
      <c r="B121">
        <f t="shared" ca="1" si="1"/>
        <v>12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">
        <f ca="1">IF(dict_zuord_Transfers_Storages[[#This Row],[kval_active]],dict_zuord_Transfers_Storages[[#This Row],[ID_Storages]],"")</f>
        <v>12</v>
      </c>
    </row>
    <row r="122" spans="1:4" x14ac:dyDescent="0.45">
      <c r="A122">
        <v>13</v>
      </c>
      <c r="B122">
        <f t="shared" ca="1" si="1"/>
        <v>89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">
        <f ca="1">IF(dict_zuord_Transfers_Storages[[#This Row],[kval_active]],dict_zuord_Transfers_Storages[[#This Row],[ID_Storages]],"")</f>
        <v>89</v>
      </c>
    </row>
    <row r="123" spans="1:4" x14ac:dyDescent="0.45">
      <c r="A123">
        <v>13</v>
      </c>
      <c r="B123">
        <f t="shared" ca="1" si="1"/>
        <v>80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">
        <f ca="1">IF(dict_zuord_Transfers_Storages[[#This Row],[kval_active]],dict_zuord_Transfers_Storages[[#This Row],[ID_Storages]],"")</f>
        <v>80</v>
      </c>
    </row>
    <row r="124" spans="1:4" x14ac:dyDescent="0.45">
      <c r="A124">
        <v>13</v>
      </c>
      <c r="B124">
        <f t="shared" ca="1" si="1"/>
        <v>25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">
        <f ca="1">IF(dict_zuord_Transfers_Storages[[#This Row],[kval_active]],dict_zuord_Transfers_Storages[[#This Row],[ID_Storages]],"")</f>
        <v>25</v>
      </c>
    </row>
    <row r="125" spans="1:4" x14ac:dyDescent="0.45">
      <c r="A125">
        <v>13</v>
      </c>
      <c r="B125">
        <f t="shared" ca="1" si="1"/>
        <v>21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">
        <f ca="1">IF(dict_zuord_Transfers_Storages[[#This Row],[kval_active]],dict_zuord_Transfers_Storages[[#This Row],[ID_Storages]],"")</f>
        <v>21</v>
      </c>
    </row>
    <row r="126" spans="1:4" x14ac:dyDescent="0.45">
      <c r="A126">
        <v>13</v>
      </c>
      <c r="B126">
        <f t="shared" ca="1" si="1"/>
        <v>52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">
        <f ca="1">IF(dict_zuord_Transfers_Storages[[#This Row],[kval_active]],dict_zuord_Transfers_Storages[[#This Row],[ID_Storages]],"")</f>
        <v>52</v>
      </c>
    </row>
    <row r="127" spans="1:4" x14ac:dyDescent="0.45">
      <c r="A127">
        <v>13</v>
      </c>
      <c r="B127">
        <f t="shared" ca="1" si="1"/>
        <v>7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">
        <f ca="1">IF(dict_zuord_Transfers_Storages[[#This Row],[kval_active]],dict_zuord_Transfers_Storages[[#This Row],[ID_Storages]],"")</f>
        <v>7</v>
      </c>
    </row>
    <row r="128" spans="1:4" x14ac:dyDescent="0.45">
      <c r="A128">
        <v>14</v>
      </c>
      <c r="B128">
        <f t="shared" ca="1" si="1"/>
        <v>75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" t="str">
        <f ca="1">IF(dict_zuord_Transfers_Storages[[#This Row],[kval_active]],dict_zuord_Transfers_Storages[[#This Row],[ID_Storages]],"")</f>
        <v/>
      </c>
    </row>
    <row r="129" spans="1:4" x14ac:dyDescent="0.45">
      <c r="A129">
        <v>14</v>
      </c>
      <c r="B129">
        <f t="shared" ca="1" si="1"/>
        <v>2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" t="str">
        <f ca="1">IF(dict_zuord_Transfers_Storages[[#This Row],[kval_active]],dict_zuord_Transfers_Storages[[#This Row],[ID_Storages]],"")</f>
        <v/>
      </c>
    </row>
    <row r="130" spans="1:4" x14ac:dyDescent="0.45">
      <c r="A130">
        <v>14</v>
      </c>
      <c r="B130">
        <f t="shared" ref="B130:B193" ca="1" si="2">RANDBETWEEN(0,100)</f>
        <v>3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" t="str">
        <f ca="1">IF(dict_zuord_Transfers_Storages[[#This Row],[kval_active]],dict_zuord_Transfers_Storages[[#This Row],[ID_Storages]],"")</f>
        <v/>
      </c>
    </row>
    <row r="131" spans="1:4" x14ac:dyDescent="0.45">
      <c r="A131">
        <v>14</v>
      </c>
      <c r="B131">
        <f t="shared" ca="1" si="2"/>
        <v>48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" t="str">
        <f ca="1">IF(dict_zuord_Transfers_Storages[[#This Row],[kval_active]],dict_zuord_Transfers_Storages[[#This Row],[ID_Storages]],"")</f>
        <v/>
      </c>
    </row>
    <row r="132" spans="1:4" x14ac:dyDescent="0.45">
      <c r="A132">
        <v>14</v>
      </c>
      <c r="B132">
        <f t="shared" ca="1" si="2"/>
        <v>96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" t="str">
        <f ca="1">IF(dict_zuord_Transfers_Storages[[#This Row],[kval_active]],dict_zuord_Transfers_Storages[[#This Row],[ID_Storages]],"")</f>
        <v/>
      </c>
    </row>
    <row r="133" spans="1:4" x14ac:dyDescent="0.45">
      <c r="A133">
        <v>14</v>
      </c>
      <c r="B133">
        <f t="shared" ca="1" si="2"/>
        <v>82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" t="str">
        <f ca="1">IF(dict_zuord_Transfers_Storages[[#This Row],[kval_active]],dict_zuord_Transfers_Storages[[#This Row],[ID_Storages]],"")</f>
        <v/>
      </c>
    </row>
    <row r="134" spans="1:4" x14ac:dyDescent="0.45">
      <c r="A134">
        <v>14</v>
      </c>
      <c r="B134">
        <f t="shared" ca="1" si="2"/>
        <v>2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" t="str">
        <f ca="1">IF(dict_zuord_Transfers_Storages[[#This Row],[kval_active]],dict_zuord_Transfers_Storages[[#This Row],[ID_Storages]],"")</f>
        <v/>
      </c>
    </row>
    <row r="135" spans="1:4" x14ac:dyDescent="0.45">
      <c r="A135">
        <v>14</v>
      </c>
      <c r="B135">
        <f t="shared" ca="1" si="2"/>
        <v>91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" t="str">
        <f ca="1">IF(dict_zuord_Transfers_Storages[[#This Row],[kval_active]],dict_zuord_Transfers_Storages[[#This Row],[ID_Storages]],"")</f>
        <v/>
      </c>
    </row>
    <row r="136" spans="1:4" x14ac:dyDescent="0.45">
      <c r="A136">
        <v>14</v>
      </c>
      <c r="B136">
        <f t="shared" ca="1" si="2"/>
        <v>77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" t="str">
        <f ca="1">IF(dict_zuord_Transfers_Storages[[#This Row],[kval_active]],dict_zuord_Transfers_Storages[[#This Row],[ID_Storages]],"")</f>
        <v/>
      </c>
    </row>
    <row r="137" spans="1:4" x14ac:dyDescent="0.45">
      <c r="A137">
        <v>15</v>
      </c>
      <c r="B137">
        <f t="shared" ca="1" si="2"/>
        <v>82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">
        <f ca="1">IF(dict_zuord_Transfers_Storages[[#This Row],[kval_active]],dict_zuord_Transfers_Storages[[#This Row],[ID_Storages]],"")</f>
        <v>82</v>
      </c>
    </row>
    <row r="138" spans="1:4" x14ac:dyDescent="0.45">
      <c r="A138">
        <v>15</v>
      </c>
      <c r="B138">
        <f t="shared" ca="1" si="2"/>
        <v>56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">
        <f ca="1">IF(dict_zuord_Transfers_Storages[[#This Row],[kval_active]],dict_zuord_Transfers_Storages[[#This Row],[ID_Storages]],"")</f>
        <v>56</v>
      </c>
    </row>
    <row r="139" spans="1:4" x14ac:dyDescent="0.45">
      <c r="A139">
        <v>15</v>
      </c>
      <c r="B139">
        <f t="shared" ca="1" si="2"/>
        <v>99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">
        <f ca="1">IF(dict_zuord_Transfers_Storages[[#This Row],[kval_active]],dict_zuord_Transfers_Storages[[#This Row],[ID_Storages]],"")</f>
        <v>99</v>
      </c>
    </row>
    <row r="140" spans="1:4" x14ac:dyDescent="0.45">
      <c r="A140">
        <v>15</v>
      </c>
      <c r="B140">
        <f t="shared" ca="1" si="2"/>
        <v>31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">
        <f ca="1">IF(dict_zuord_Transfers_Storages[[#This Row],[kval_active]],dict_zuord_Transfers_Storages[[#This Row],[ID_Storages]],"")</f>
        <v>31</v>
      </c>
    </row>
    <row r="141" spans="1:4" x14ac:dyDescent="0.45">
      <c r="A141">
        <v>15</v>
      </c>
      <c r="B141">
        <f t="shared" ca="1" si="2"/>
        <v>20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">
        <f ca="1">IF(dict_zuord_Transfers_Storages[[#This Row],[kval_active]],dict_zuord_Transfers_Storages[[#This Row],[ID_Storages]],"")</f>
        <v>20</v>
      </c>
    </row>
    <row r="142" spans="1:4" x14ac:dyDescent="0.45">
      <c r="A142">
        <v>15</v>
      </c>
      <c r="B142">
        <f t="shared" ca="1" si="2"/>
        <v>18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">
        <f ca="1">IF(dict_zuord_Transfers_Storages[[#This Row],[kval_active]],dict_zuord_Transfers_Storages[[#This Row],[ID_Storages]],"")</f>
        <v>18</v>
      </c>
    </row>
    <row r="143" spans="1:4" x14ac:dyDescent="0.45">
      <c r="A143">
        <v>15</v>
      </c>
      <c r="B143">
        <f t="shared" ca="1" si="2"/>
        <v>33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">
        <f ca="1">IF(dict_zuord_Transfers_Storages[[#This Row],[kval_active]],dict_zuord_Transfers_Storages[[#This Row],[ID_Storages]],"")</f>
        <v>33</v>
      </c>
    </row>
    <row r="144" spans="1:4" x14ac:dyDescent="0.45">
      <c r="A144">
        <v>15</v>
      </c>
      <c r="B144">
        <f t="shared" ca="1" si="2"/>
        <v>56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">
        <f ca="1">IF(dict_zuord_Transfers_Storages[[#This Row],[kval_active]],dict_zuord_Transfers_Storages[[#This Row],[ID_Storages]],"")</f>
        <v>56</v>
      </c>
    </row>
    <row r="145" spans="1:4" x14ac:dyDescent="0.45">
      <c r="A145">
        <v>15</v>
      </c>
      <c r="B145">
        <f t="shared" ca="1" si="2"/>
        <v>56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">
        <f ca="1">IF(dict_zuord_Transfers_Storages[[#This Row],[kval_active]],dict_zuord_Transfers_Storages[[#This Row],[ID_Storages]],"")</f>
        <v>56</v>
      </c>
    </row>
    <row r="146" spans="1:4" x14ac:dyDescent="0.45">
      <c r="A146">
        <v>16</v>
      </c>
      <c r="B146">
        <f t="shared" ca="1" si="2"/>
        <v>85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" t="str">
        <f ca="1">IF(dict_zuord_Transfers_Storages[[#This Row],[kval_active]],dict_zuord_Transfers_Storages[[#This Row],[ID_Storages]],"")</f>
        <v/>
      </c>
    </row>
    <row r="147" spans="1:4" x14ac:dyDescent="0.45">
      <c r="A147">
        <v>16</v>
      </c>
      <c r="B147">
        <f t="shared" ca="1" si="2"/>
        <v>46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" t="str">
        <f ca="1">IF(dict_zuord_Transfers_Storages[[#This Row],[kval_active]],dict_zuord_Transfers_Storages[[#This Row],[ID_Storages]],"")</f>
        <v/>
      </c>
    </row>
    <row r="148" spans="1:4" x14ac:dyDescent="0.45">
      <c r="A148">
        <v>16</v>
      </c>
      <c r="B148">
        <f t="shared" ca="1" si="2"/>
        <v>100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" t="str">
        <f ca="1">IF(dict_zuord_Transfers_Storages[[#This Row],[kval_active]],dict_zuord_Transfers_Storages[[#This Row],[ID_Storages]],"")</f>
        <v/>
      </c>
    </row>
    <row r="149" spans="1:4" x14ac:dyDescent="0.45">
      <c r="A149">
        <v>16</v>
      </c>
      <c r="B149">
        <f t="shared" ca="1" si="2"/>
        <v>80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" t="str">
        <f ca="1">IF(dict_zuord_Transfers_Storages[[#This Row],[kval_active]],dict_zuord_Transfers_Storages[[#This Row],[ID_Storages]],"")</f>
        <v/>
      </c>
    </row>
    <row r="150" spans="1:4" x14ac:dyDescent="0.45">
      <c r="A150">
        <v>16</v>
      </c>
      <c r="B150">
        <f t="shared" ca="1" si="2"/>
        <v>19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" t="str">
        <f ca="1">IF(dict_zuord_Transfers_Storages[[#This Row],[kval_active]],dict_zuord_Transfers_Storages[[#This Row],[ID_Storages]],"")</f>
        <v/>
      </c>
    </row>
    <row r="151" spans="1:4" x14ac:dyDescent="0.45">
      <c r="A151">
        <v>16</v>
      </c>
      <c r="B151">
        <f t="shared" ca="1" si="2"/>
        <v>39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" t="str">
        <f ca="1">IF(dict_zuord_Transfers_Storages[[#This Row],[kval_active]],dict_zuord_Transfers_Storages[[#This Row],[ID_Storages]],"")</f>
        <v/>
      </c>
    </row>
    <row r="152" spans="1:4" x14ac:dyDescent="0.45">
      <c r="A152">
        <v>16</v>
      </c>
      <c r="B152">
        <f t="shared" ca="1" si="2"/>
        <v>11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" t="str">
        <f ca="1">IF(dict_zuord_Transfers_Storages[[#This Row],[kval_active]],dict_zuord_Transfers_Storages[[#This Row],[ID_Storages]],"")</f>
        <v/>
      </c>
    </row>
    <row r="153" spans="1:4" x14ac:dyDescent="0.45">
      <c r="A153">
        <v>16</v>
      </c>
      <c r="B153">
        <f t="shared" ca="1" si="2"/>
        <v>73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" t="str">
        <f ca="1">IF(dict_zuord_Transfers_Storages[[#This Row],[kval_active]],dict_zuord_Transfers_Storages[[#This Row],[ID_Storages]],"")</f>
        <v/>
      </c>
    </row>
    <row r="154" spans="1:4" x14ac:dyDescent="0.45">
      <c r="A154">
        <v>16</v>
      </c>
      <c r="B154">
        <f t="shared" ca="1" si="2"/>
        <v>55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" t="str">
        <f ca="1">IF(dict_zuord_Transfers_Storages[[#This Row],[kval_active]],dict_zuord_Transfers_Storages[[#This Row],[ID_Storages]],"")</f>
        <v/>
      </c>
    </row>
    <row r="155" spans="1:4" x14ac:dyDescent="0.45">
      <c r="A155">
        <v>17</v>
      </c>
      <c r="B155">
        <f t="shared" ca="1" si="2"/>
        <v>14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">
        <f ca="1">IF(dict_zuord_Transfers_Storages[[#This Row],[kval_active]],dict_zuord_Transfers_Storages[[#This Row],[ID_Storages]],"")</f>
        <v>14</v>
      </c>
    </row>
    <row r="156" spans="1:4" x14ac:dyDescent="0.45">
      <c r="A156">
        <v>17</v>
      </c>
      <c r="B156">
        <f t="shared" ca="1" si="2"/>
        <v>22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">
        <f ca="1">IF(dict_zuord_Transfers_Storages[[#This Row],[kval_active]],dict_zuord_Transfers_Storages[[#This Row],[ID_Storages]],"")</f>
        <v>22</v>
      </c>
    </row>
    <row r="157" spans="1:4" x14ac:dyDescent="0.45">
      <c r="A157">
        <v>17</v>
      </c>
      <c r="B157">
        <f t="shared" ca="1" si="2"/>
        <v>14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">
        <f ca="1">IF(dict_zuord_Transfers_Storages[[#This Row],[kval_active]],dict_zuord_Transfers_Storages[[#This Row],[ID_Storages]],"")</f>
        <v>14</v>
      </c>
    </row>
    <row r="158" spans="1:4" x14ac:dyDescent="0.45">
      <c r="A158">
        <v>17</v>
      </c>
      <c r="B158">
        <f t="shared" ca="1" si="2"/>
        <v>14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">
        <f ca="1">IF(dict_zuord_Transfers_Storages[[#This Row],[kval_active]],dict_zuord_Transfers_Storages[[#This Row],[ID_Storages]],"")</f>
        <v>14</v>
      </c>
    </row>
    <row r="159" spans="1:4" x14ac:dyDescent="0.45">
      <c r="A159">
        <v>17</v>
      </c>
      <c r="B159">
        <f t="shared" ca="1" si="2"/>
        <v>14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">
        <f ca="1">IF(dict_zuord_Transfers_Storages[[#This Row],[kval_active]],dict_zuord_Transfers_Storages[[#This Row],[ID_Storages]],"")</f>
        <v>14</v>
      </c>
    </row>
    <row r="160" spans="1:4" x14ac:dyDescent="0.45">
      <c r="A160">
        <v>17</v>
      </c>
      <c r="B160">
        <f t="shared" ca="1" si="2"/>
        <v>25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">
        <f ca="1">IF(dict_zuord_Transfers_Storages[[#This Row],[kval_active]],dict_zuord_Transfers_Storages[[#This Row],[ID_Storages]],"")</f>
        <v>25</v>
      </c>
    </row>
    <row r="161" spans="1:4" x14ac:dyDescent="0.45">
      <c r="A161">
        <v>17</v>
      </c>
      <c r="B161">
        <f t="shared" ca="1" si="2"/>
        <v>75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">
        <f ca="1">IF(dict_zuord_Transfers_Storages[[#This Row],[kval_active]],dict_zuord_Transfers_Storages[[#This Row],[ID_Storages]],"")</f>
        <v>75</v>
      </c>
    </row>
    <row r="162" spans="1:4" x14ac:dyDescent="0.45">
      <c r="A162">
        <v>17</v>
      </c>
      <c r="B162">
        <f t="shared" ca="1" si="2"/>
        <v>97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">
        <f ca="1">IF(dict_zuord_Transfers_Storages[[#This Row],[kval_active]],dict_zuord_Transfers_Storages[[#This Row],[ID_Storages]],"")</f>
        <v>97</v>
      </c>
    </row>
    <row r="163" spans="1:4" x14ac:dyDescent="0.45">
      <c r="A163">
        <v>17</v>
      </c>
      <c r="B163">
        <f t="shared" ca="1" si="2"/>
        <v>1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">
        <f ca="1">IF(dict_zuord_Transfers_Storages[[#This Row],[kval_active]],dict_zuord_Transfers_Storages[[#This Row],[ID_Storages]],"")</f>
        <v>1</v>
      </c>
    </row>
    <row r="164" spans="1:4" x14ac:dyDescent="0.45">
      <c r="A164">
        <v>18</v>
      </c>
      <c r="B164">
        <f t="shared" ca="1" si="2"/>
        <v>60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" t="str">
        <f ca="1">IF(dict_zuord_Transfers_Storages[[#This Row],[kval_active]],dict_zuord_Transfers_Storages[[#This Row],[ID_Storages]],"")</f>
        <v/>
      </c>
    </row>
    <row r="165" spans="1:4" x14ac:dyDescent="0.45">
      <c r="A165">
        <v>18</v>
      </c>
      <c r="B165">
        <f t="shared" ca="1" si="2"/>
        <v>67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" t="str">
        <f ca="1">IF(dict_zuord_Transfers_Storages[[#This Row],[kval_active]],dict_zuord_Transfers_Storages[[#This Row],[ID_Storages]],"")</f>
        <v/>
      </c>
    </row>
    <row r="166" spans="1:4" x14ac:dyDescent="0.45">
      <c r="A166">
        <v>18</v>
      </c>
      <c r="B166">
        <f t="shared" ca="1" si="2"/>
        <v>92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" t="str">
        <f ca="1">IF(dict_zuord_Transfers_Storages[[#This Row],[kval_active]],dict_zuord_Transfers_Storages[[#This Row],[ID_Storages]],"")</f>
        <v/>
      </c>
    </row>
    <row r="167" spans="1:4" x14ac:dyDescent="0.45">
      <c r="A167">
        <v>18</v>
      </c>
      <c r="B167">
        <f t="shared" ca="1" si="2"/>
        <v>76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" t="str">
        <f ca="1">IF(dict_zuord_Transfers_Storages[[#This Row],[kval_active]],dict_zuord_Transfers_Storages[[#This Row],[ID_Storages]],"")</f>
        <v/>
      </c>
    </row>
    <row r="168" spans="1:4" x14ac:dyDescent="0.45">
      <c r="A168">
        <v>18</v>
      </c>
      <c r="B168">
        <f t="shared" ca="1" si="2"/>
        <v>59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" t="str">
        <f ca="1">IF(dict_zuord_Transfers_Storages[[#This Row],[kval_active]],dict_zuord_Transfers_Storages[[#This Row],[ID_Storages]],"")</f>
        <v/>
      </c>
    </row>
    <row r="169" spans="1:4" x14ac:dyDescent="0.45">
      <c r="A169">
        <v>18</v>
      </c>
      <c r="B169">
        <f t="shared" ca="1" si="2"/>
        <v>69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" t="str">
        <f ca="1">IF(dict_zuord_Transfers_Storages[[#This Row],[kval_active]],dict_zuord_Transfers_Storages[[#This Row],[ID_Storages]],"")</f>
        <v/>
      </c>
    </row>
    <row r="170" spans="1:4" x14ac:dyDescent="0.45">
      <c r="A170">
        <v>18</v>
      </c>
      <c r="B170">
        <f t="shared" ca="1" si="2"/>
        <v>71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" t="str">
        <f ca="1">IF(dict_zuord_Transfers_Storages[[#This Row],[kval_active]],dict_zuord_Transfers_Storages[[#This Row],[ID_Storages]],"")</f>
        <v/>
      </c>
    </row>
    <row r="171" spans="1:4" x14ac:dyDescent="0.45">
      <c r="A171">
        <v>18</v>
      </c>
      <c r="B171">
        <f t="shared" ca="1" si="2"/>
        <v>87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" t="str">
        <f ca="1">IF(dict_zuord_Transfers_Storages[[#This Row],[kval_active]],dict_zuord_Transfers_Storages[[#This Row],[ID_Storages]],"")</f>
        <v/>
      </c>
    </row>
    <row r="172" spans="1:4" x14ac:dyDescent="0.45">
      <c r="A172">
        <v>18</v>
      </c>
      <c r="B172">
        <f t="shared" ca="1" si="2"/>
        <v>35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" t="str">
        <f ca="1">IF(dict_zuord_Transfers_Storages[[#This Row],[kval_active]],dict_zuord_Transfers_Storages[[#This Row],[ID_Storages]],"")</f>
        <v/>
      </c>
    </row>
    <row r="173" spans="1:4" x14ac:dyDescent="0.45">
      <c r="A173">
        <v>19</v>
      </c>
      <c r="B173">
        <f t="shared" ca="1" si="2"/>
        <v>44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">
        <f ca="1">IF(dict_zuord_Transfers_Storages[[#This Row],[kval_active]],dict_zuord_Transfers_Storages[[#This Row],[ID_Storages]],"")</f>
        <v>44</v>
      </c>
    </row>
    <row r="174" spans="1:4" x14ac:dyDescent="0.45">
      <c r="A174">
        <v>19</v>
      </c>
      <c r="B174">
        <f t="shared" ca="1" si="2"/>
        <v>84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">
        <f ca="1">IF(dict_zuord_Transfers_Storages[[#This Row],[kval_active]],dict_zuord_Transfers_Storages[[#This Row],[ID_Storages]],"")</f>
        <v>84</v>
      </c>
    </row>
    <row r="175" spans="1:4" x14ac:dyDescent="0.45">
      <c r="A175">
        <v>19</v>
      </c>
      <c r="B175">
        <f t="shared" ca="1" si="2"/>
        <v>93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">
        <f ca="1">IF(dict_zuord_Transfers_Storages[[#This Row],[kval_active]],dict_zuord_Transfers_Storages[[#This Row],[ID_Storages]],"")</f>
        <v>93</v>
      </c>
    </row>
    <row r="176" spans="1:4" x14ac:dyDescent="0.45">
      <c r="A176">
        <v>19</v>
      </c>
      <c r="B176">
        <f t="shared" ca="1" si="2"/>
        <v>51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">
        <f ca="1">IF(dict_zuord_Transfers_Storages[[#This Row],[kval_active]],dict_zuord_Transfers_Storages[[#This Row],[ID_Storages]],"")</f>
        <v>51</v>
      </c>
    </row>
    <row r="177" spans="1:4" x14ac:dyDescent="0.45">
      <c r="A177">
        <v>19</v>
      </c>
      <c r="B177">
        <f t="shared" ca="1" si="2"/>
        <v>30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">
        <f ca="1">IF(dict_zuord_Transfers_Storages[[#This Row],[kval_active]],dict_zuord_Transfers_Storages[[#This Row],[ID_Storages]],"")</f>
        <v>30</v>
      </c>
    </row>
    <row r="178" spans="1:4" x14ac:dyDescent="0.45">
      <c r="A178">
        <v>19</v>
      </c>
      <c r="B178">
        <f t="shared" ca="1" si="2"/>
        <v>38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">
        <f ca="1">IF(dict_zuord_Transfers_Storages[[#This Row],[kval_active]],dict_zuord_Transfers_Storages[[#This Row],[ID_Storages]],"")</f>
        <v>38</v>
      </c>
    </row>
    <row r="179" spans="1:4" x14ac:dyDescent="0.45">
      <c r="A179">
        <v>19</v>
      </c>
      <c r="B179">
        <f t="shared" ca="1" si="2"/>
        <v>51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">
        <f ca="1">IF(dict_zuord_Transfers_Storages[[#This Row],[kval_active]],dict_zuord_Transfers_Storages[[#This Row],[ID_Storages]],"")</f>
        <v>51</v>
      </c>
    </row>
    <row r="180" spans="1:4" x14ac:dyDescent="0.45">
      <c r="A180">
        <v>19</v>
      </c>
      <c r="B180">
        <f t="shared" ca="1" si="2"/>
        <v>55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">
        <f ca="1">IF(dict_zuord_Transfers_Storages[[#This Row],[kval_active]],dict_zuord_Transfers_Storages[[#This Row],[ID_Storages]],"")</f>
        <v>55</v>
      </c>
    </row>
    <row r="181" spans="1:4" x14ac:dyDescent="0.45">
      <c r="A181">
        <v>19</v>
      </c>
      <c r="B181">
        <f t="shared" ca="1" si="2"/>
        <v>8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">
        <f ca="1">IF(dict_zuord_Transfers_Storages[[#This Row],[kval_active]],dict_zuord_Transfers_Storages[[#This Row],[ID_Storages]],"")</f>
        <v>8</v>
      </c>
    </row>
    <row r="182" spans="1:4" x14ac:dyDescent="0.45">
      <c r="A182">
        <v>20</v>
      </c>
      <c r="B182">
        <f t="shared" ca="1" si="2"/>
        <v>60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2">
        <f ca="1">IF(dict_zuord_Transfers_Storages[[#This Row],[kval_active]],dict_zuord_Transfers_Storages[[#This Row],[ID_Storages]],"")</f>
        <v>60</v>
      </c>
    </row>
    <row r="183" spans="1:4" x14ac:dyDescent="0.45">
      <c r="A183">
        <v>20</v>
      </c>
      <c r="B183">
        <f t="shared" ca="1" si="2"/>
        <v>51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3">
        <f ca="1">IF(dict_zuord_Transfers_Storages[[#This Row],[kval_active]],dict_zuord_Transfers_Storages[[#This Row],[ID_Storages]],"")</f>
        <v>51</v>
      </c>
    </row>
    <row r="184" spans="1:4" x14ac:dyDescent="0.45">
      <c r="A184">
        <v>20</v>
      </c>
      <c r="B184">
        <f t="shared" ca="1" si="2"/>
        <v>56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4">
        <f ca="1">IF(dict_zuord_Transfers_Storages[[#This Row],[kval_active]],dict_zuord_Transfers_Storages[[#This Row],[ID_Storages]],"")</f>
        <v>56</v>
      </c>
    </row>
    <row r="185" spans="1:4" x14ac:dyDescent="0.45">
      <c r="A185">
        <v>20</v>
      </c>
      <c r="B185">
        <f t="shared" ca="1" si="2"/>
        <v>60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5">
        <f ca="1">IF(dict_zuord_Transfers_Storages[[#This Row],[kval_active]],dict_zuord_Transfers_Storages[[#This Row],[ID_Storages]],"")</f>
        <v>60</v>
      </c>
    </row>
    <row r="186" spans="1:4" x14ac:dyDescent="0.45">
      <c r="A186">
        <v>20</v>
      </c>
      <c r="B186">
        <f t="shared" ca="1" si="2"/>
        <v>82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6">
        <f ca="1">IF(dict_zuord_Transfers_Storages[[#This Row],[kval_active]],dict_zuord_Transfers_Storages[[#This Row],[ID_Storages]],"")</f>
        <v>82</v>
      </c>
    </row>
    <row r="187" spans="1:4" x14ac:dyDescent="0.45">
      <c r="A187">
        <v>20</v>
      </c>
      <c r="B187">
        <f t="shared" ca="1" si="2"/>
        <v>57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7">
        <f ca="1">IF(dict_zuord_Transfers_Storages[[#This Row],[kval_active]],dict_zuord_Transfers_Storages[[#This Row],[ID_Storages]],"")</f>
        <v>57</v>
      </c>
    </row>
    <row r="188" spans="1:4" x14ac:dyDescent="0.45">
      <c r="A188">
        <v>20</v>
      </c>
      <c r="B188">
        <f t="shared" ca="1" si="2"/>
        <v>28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8">
        <f ca="1">IF(dict_zuord_Transfers_Storages[[#This Row],[kval_active]],dict_zuord_Transfers_Storages[[#This Row],[ID_Storages]],"")</f>
        <v>28</v>
      </c>
    </row>
    <row r="189" spans="1:4" x14ac:dyDescent="0.45">
      <c r="A189">
        <v>20</v>
      </c>
      <c r="B189">
        <f t="shared" ca="1" si="2"/>
        <v>73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9">
        <f ca="1">IF(dict_zuord_Transfers_Storages[[#This Row],[kval_active]],dict_zuord_Transfers_Storages[[#This Row],[ID_Storages]],"")</f>
        <v>73</v>
      </c>
    </row>
    <row r="190" spans="1:4" x14ac:dyDescent="0.45">
      <c r="A190">
        <v>20</v>
      </c>
      <c r="B190">
        <f t="shared" ca="1" si="2"/>
        <v>25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0">
        <f ca="1">IF(dict_zuord_Transfers_Storages[[#This Row],[kval_active]],dict_zuord_Transfers_Storages[[#This Row],[ID_Storages]],"")</f>
        <v>25</v>
      </c>
    </row>
    <row r="191" spans="1:4" x14ac:dyDescent="0.45">
      <c r="A191">
        <v>21</v>
      </c>
      <c r="B191">
        <f t="shared" ca="1" si="2"/>
        <v>98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1">
        <f ca="1">IF(dict_zuord_Transfers_Storages[[#This Row],[kval_active]],dict_zuord_Transfers_Storages[[#This Row],[ID_Storages]],"")</f>
        <v>98</v>
      </c>
    </row>
    <row r="192" spans="1:4" x14ac:dyDescent="0.45">
      <c r="A192">
        <v>21</v>
      </c>
      <c r="B192">
        <f t="shared" ca="1" si="2"/>
        <v>74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2">
        <f ca="1">IF(dict_zuord_Transfers_Storages[[#This Row],[kval_active]],dict_zuord_Transfers_Storages[[#This Row],[ID_Storages]],"")</f>
        <v>74</v>
      </c>
    </row>
    <row r="193" spans="1:4" x14ac:dyDescent="0.45">
      <c r="A193">
        <v>21</v>
      </c>
      <c r="B193">
        <f t="shared" ca="1" si="2"/>
        <v>7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3">
        <f ca="1">IF(dict_zuord_Transfers_Storages[[#This Row],[kval_active]],dict_zuord_Transfers_Storages[[#This Row],[ID_Storages]],"")</f>
        <v>7</v>
      </c>
    </row>
    <row r="194" spans="1:4" x14ac:dyDescent="0.45">
      <c r="A194">
        <v>21</v>
      </c>
      <c r="B194">
        <f t="shared" ref="B194:B257" ca="1" si="3">RANDBETWEEN(0,100)</f>
        <v>93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4">
        <f ca="1">IF(dict_zuord_Transfers_Storages[[#This Row],[kval_active]],dict_zuord_Transfers_Storages[[#This Row],[ID_Storages]],"")</f>
        <v>93</v>
      </c>
    </row>
    <row r="195" spans="1:4" x14ac:dyDescent="0.45">
      <c r="A195">
        <v>21</v>
      </c>
      <c r="B195">
        <f t="shared" ca="1" si="3"/>
        <v>16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5">
        <f ca="1">IF(dict_zuord_Transfers_Storages[[#This Row],[kval_active]],dict_zuord_Transfers_Storages[[#This Row],[ID_Storages]],"")</f>
        <v>16</v>
      </c>
    </row>
    <row r="196" spans="1:4" x14ac:dyDescent="0.45">
      <c r="A196">
        <v>21</v>
      </c>
      <c r="B196">
        <f t="shared" ca="1" si="3"/>
        <v>49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6">
        <f ca="1">IF(dict_zuord_Transfers_Storages[[#This Row],[kval_active]],dict_zuord_Transfers_Storages[[#This Row],[ID_Storages]],"")</f>
        <v>49</v>
      </c>
    </row>
    <row r="197" spans="1:4" x14ac:dyDescent="0.45">
      <c r="A197">
        <v>21</v>
      </c>
      <c r="B197">
        <f t="shared" ca="1" si="3"/>
        <v>20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7">
        <f ca="1">IF(dict_zuord_Transfers_Storages[[#This Row],[kval_active]],dict_zuord_Transfers_Storages[[#This Row],[ID_Storages]],"")</f>
        <v>20</v>
      </c>
    </row>
    <row r="198" spans="1:4" x14ac:dyDescent="0.45">
      <c r="A198">
        <v>21</v>
      </c>
      <c r="B198">
        <f t="shared" ca="1" si="3"/>
        <v>94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8">
        <f ca="1">IF(dict_zuord_Transfers_Storages[[#This Row],[kval_active]],dict_zuord_Transfers_Storages[[#This Row],[ID_Storages]],"")</f>
        <v>94</v>
      </c>
    </row>
    <row r="199" spans="1:4" x14ac:dyDescent="0.45">
      <c r="A199">
        <v>21</v>
      </c>
      <c r="B199">
        <f t="shared" ca="1" si="3"/>
        <v>50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9">
        <f ca="1">IF(dict_zuord_Transfers_Storages[[#This Row],[kval_active]],dict_zuord_Transfers_Storages[[#This Row],[ID_Storages]],"")</f>
        <v>50</v>
      </c>
    </row>
    <row r="200" spans="1:4" x14ac:dyDescent="0.45">
      <c r="A200">
        <v>22</v>
      </c>
      <c r="B200">
        <f t="shared" ca="1" si="3"/>
        <v>74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0" t="str">
        <f ca="1">IF(dict_zuord_Transfers_Storages[[#This Row],[kval_active]],dict_zuord_Transfers_Storages[[#This Row],[ID_Storages]],"")</f>
        <v/>
      </c>
    </row>
    <row r="201" spans="1:4" x14ac:dyDescent="0.45">
      <c r="A201">
        <v>22</v>
      </c>
      <c r="B201">
        <f t="shared" ca="1" si="3"/>
        <v>56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1" t="str">
        <f ca="1">IF(dict_zuord_Transfers_Storages[[#This Row],[kval_active]],dict_zuord_Transfers_Storages[[#This Row],[ID_Storages]],"")</f>
        <v/>
      </c>
    </row>
    <row r="202" spans="1:4" x14ac:dyDescent="0.45">
      <c r="A202">
        <v>22</v>
      </c>
      <c r="B202">
        <f t="shared" ca="1" si="3"/>
        <v>64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2" t="str">
        <f ca="1">IF(dict_zuord_Transfers_Storages[[#This Row],[kval_active]],dict_zuord_Transfers_Storages[[#This Row],[ID_Storages]],"")</f>
        <v/>
      </c>
    </row>
    <row r="203" spans="1:4" x14ac:dyDescent="0.45">
      <c r="A203">
        <v>22</v>
      </c>
      <c r="B203">
        <f t="shared" ca="1" si="3"/>
        <v>8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3" t="str">
        <f ca="1">IF(dict_zuord_Transfers_Storages[[#This Row],[kval_active]],dict_zuord_Transfers_Storages[[#This Row],[ID_Storages]],"")</f>
        <v/>
      </c>
    </row>
    <row r="204" spans="1:4" x14ac:dyDescent="0.45">
      <c r="A204">
        <v>22</v>
      </c>
      <c r="B204">
        <f t="shared" ca="1" si="3"/>
        <v>9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4" t="str">
        <f ca="1">IF(dict_zuord_Transfers_Storages[[#This Row],[kval_active]],dict_zuord_Transfers_Storages[[#This Row],[ID_Storages]],"")</f>
        <v/>
      </c>
    </row>
    <row r="205" spans="1:4" x14ac:dyDescent="0.45">
      <c r="A205">
        <v>22</v>
      </c>
      <c r="B205">
        <f t="shared" ca="1" si="3"/>
        <v>90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5" t="str">
        <f ca="1">IF(dict_zuord_Transfers_Storages[[#This Row],[kval_active]],dict_zuord_Transfers_Storages[[#This Row],[ID_Storages]],"")</f>
        <v/>
      </c>
    </row>
    <row r="206" spans="1:4" x14ac:dyDescent="0.45">
      <c r="A206">
        <v>22</v>
      </c>
      <c r="B206">
        <f t="shared" ca="1" si="3"/>
        <v>19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6" t="str">
        <f ca="1">IF(dict_zuord_Transfers_Storages[[#This Row],[kval_active]],dict_zuord_Transfers_Storages[[#This Row],[ID_Storages]],"")</f>
        <v/>
      </c>
    </row>
    <row r="207" spans="1:4" x14ac:dyDescent="0.45">
      <c r="A207">
        <v>22</v>
      </c>
      <c r="B207">
        <f t="shared" ca="1" si="3"/>
        <v>98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7" t="str">
        <f ca="1">IF(dict_zuord_Transfers_Storages[[#This Row],[kval_active]],dict_zuord_Transfers_Storages[[#This Row],[ID_Storages]],"")</f>
        <v/>
      </c>
    </row>
    <row r="208" spans="1:4" x14ac:dyDescent="0.45">
      <c r="A208">
        <v>22</v>
      </c>
      <c r="B208">
        <f t="shared" ca="1" si="3"/>
        <v>95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8" t="str">
        <f ca="1">IF(dict_zuord_Transfers_Storages[[#This Row],[kval_active]],dict_zuord_Transfers_Storages[[#This Row],[ID_Storages]],"")</f>
        <v/>
      </c>
    </row>
    <row r="209" spans="1:4" x14ac:dyDescent="0.45">
      <c r="A209">
        <v>23</v>
      </c>
      <c r="B209">
        <f t="shared" ca="1" si="3"/>
        <v>59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9" t="str">
        <f ca="1">IF(dict_zuord_Transfers_Storages[[#This Row],[kval_active]],dict_zuord_Transfers_Storages[[#This Row],[ID_Storages]],"")</f>
        <v/>
      </c>
    </row>
    <row r="210" spans="1:4" x14ac:dyDescent="0.45">
      <c r="A210">
        <v>23</v>
      </c>
      <c r="B210">
        <f t="shared" ca="1" si="3"/>
        <v>4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0" t="str">
        <f ca="1">IF(dict_zuord_Transfers_Storages[[#This Row],[kval_active]],dict_zuord_Transfers_Storages[[#This Row],[ID_Storages]],"")</f>
        <v/>
      </c>
    </row>
    <row r="211" spans="1:4" x14ac:dyDescent="0.45">
      <c r="A211">
        <v>23</v>
      </c>
      <c r="B211">
        <f t="shared" ca="1" si="3"/>
        <v>89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1" t="str">
        <f ca="1">IF(dict_zuord_Transfers_Storages[[#This Row],[kval_active]],dict_zuord_Transfers_Storages[[#This Row],[ID_Storages]],"")</f>
        <v/>
      </c>
    </row>
    <row r="212" spans="1:4" x14ac:dyDescent="0.45">
      <c r="A212">
        <v>23</v>
      </c>
      <c r="B212">
        <f t="shared" ca="1" si="3"/>
        <v>47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2" t="str">
        <f ca="1">IF(dict_zuord_Transfers_Storages[[#This Row],[kval_active]],dict_zuord_Transfers_Storages[[#This Row],[ID_Storages]],"")</f>
        <v/>
      </c>
    </row>
    <row r="213" spans="1:4" x14ac:dyDescent="0.45">
      <c r="A213">
        <v>23</v>
      </c>
      <c r="B213">
        <f t="shared" ca="1" si="3"/>
        <v>3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3" t="str">
        <f ca="1">IF(dict_zuord_Transfers_Storages[[#This Row],[kval_active]],dict_zuord_Transfers_Storages[[#This Row],[ID_Storages]],"")</f>
        <v/>
      </c>
    </row>
    <row r="214" spans="1:4" x14ac:dyDescent="0.45">
      <c r="A214">
        <v>23</v>
      </c>
      <c r="B214">
        <f t="shared" ca="1" si="3"/>
        <v>5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4" t="str">
        <f ca="1">IF(dict_zuord_Transfers_Storages[[#This Row],[kval_active]],dict_zuord_Transfers_Storages[[#This Row],[ID_Storages]],"")</f>
        <v/>
      </c>
    </row>
    <row r="215" spans="1:4" x14ac:dyDescent="0.45">
      <c r="A215">
        <v>23</v>
      </c>
      <c r="B215">
        <f t="shared" ca="1" si="3"/>
        <v>39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5" t="str">
        <f ca="1">IF(dict_zuord_Transfers_Storages[[#This Row],[kval_active]],dict_zuord_Transfers_Storages[[#This Row],[ID_Storages]],"")</f>
        <v/>
      </c>
    </row>
    <row r="216" spans="1:4" x14ac:dyDescent="0.45">
      <c r="A216">
        <v>23</v>
      </c>
      <c r="B216">
        <f t="shared" ca="1" si="3"/>
        <v>49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6" t="str">
        <f ca="1">IF(dict_zuord_Transfers_Storages[[#This Row],[kval_active]],dict_zuord_Transfers_Storages[[#This Row],[ID_Storages]],"")</f>
        <v/>
      </c>
    </row>
    <row r="217" spans="1:4" x14ac:dyDescent="0.45">
      <c r="A217">
        <v>23</v>
      </c>
      <c r="B217">
        <f t="shared" ca="1" si="3"/>
        <v>100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7" t="str">
        <f ca="1">IF(dict_zuord_Transfers_Storages[[#This Row],[kval_active]],dict_zuord_Transfers_Storages[[#This Row],[ID_Storages]],"")</f>
        <v/>
      </c>
    </row>
    <row r="218" spans="1:4" x14ac:dyDescent="0.45">
      <c r="A218">
        <v>24</v>
      </c>
      <c r="B218">
        <f t="shared" ca="1" si="3"/>
        <v>69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8" t="str">
        <f ca="1">IF(dict_zuord_Transfers_Storages[[#This Row],[kval_active]],dict_zuord_Transfers_Storages[[#This Row],[ID_Storages]],"")</f>
        <v/>
      </c>
    </row>
    <row r="219" spans="1:4" x14ac:dyDescent="0.45">
      <c r="A219">
        <v>24</v>
      </c>
      <c r="B219">
        <f t="shared" ca="1" si="3"/>
        <v>64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9" t="str">
        <f ca="1">IF(dict_zuord_Transfers_Storages[[#This Row],[kval_active]],dict_zuord_Transfers_Storages[[#This Row],[ID_Storages]],"")</f>
        <v/>
      </c>
    </row>
    <row r="220" spans="1:4" x14ac:dyDescent="0.45">
      <c r="A220">
        <v>24</v>
      </c>
      <c r="B220">
        <f t="shared" ca="1" si="3"/>
        <v>97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0" t="str">
        <f ca="1">IF(dict_zuord_Transfers_Storages[[#This Row],[kval_active]],dict_zuord_Transfers_Storages[[#This Row],[ID_Storages]],"")</f>
        <v/>
      </c>
    </row>
    <row r="221" spans="1:4" x14ac:dyDescent="0.45">
      <c r="A221">
        <v>24</v>
      </c>
      <c r="B221">
        <f t="shared" ca="1" si="3"/>
        <v>66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1" t="str">
        <f ca="1">IF(dict_zuord_Transfers_Storages[[#This Row],[kval_active]],dict_zuord_Transfers_Storages[[#This Row],[ID_Storages]],"")</f>
        <v/>
      </c>
    </row>
    <row r="222" spans="1:4" x14ac:dyDescent="0.45">
      <c r="A222">
        <v>24</v>
      </c>
      <c r="B222">
        <f t="shared" ca="1" si="3"/>
        <v>23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2" t="str">
        <f ca="1">IF(dict_zuord_Transfers_Storages[[#This Row],[kval_active]],dict_zuord_Transfers_Storages[[#This Row],[ID_Storages]],"")</f>
        <v/>
      </c>
    </row>
    <row r="223" spans="1:4" x14ac:dyDescent="0.45">
      <c r="A223">
        <v>24</v>
      </c>
      <c r="B223">
        <f t="shared" ca="1" si="3"/>
        <v>21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3" t="str">
        <f ca="1">IF(dict_zuord_Transfers_Storages[[#This Row],[kval_active]],dict_zuord_Transfers_Storages[[#This Row],[ID_Storages]],"")</f>
        <v/>
      </c>
    </row>
    <row r="224" spans="1:4" x14ac:dyDescent="0.45">
      <c r="A224">
        <v>24</v>
      </c>
      <c r="B224">
        <f t="shared" ca="1" si="3"/>
        <v>57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4" t="str">
        <f ca="1">IF(dict_zuord_Transfers_Storages[[#This Row],[kval_active]],dict_zuord_Transfers_Storages[[#This Row],[ID_Storages]],"")</f>
        <v/>
      </c>
    </row>
    <row r="225" spans="1:4" x14ac:dyDescent="0.45">
      <c r="A225">
        <v>24</v>
      </c>
      <c r="B225">
        <f t="shared" ca="1" si="3"/>
        <v>14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5" t="str">
        <f ca="1">IF(dict_zuord_Transfers_Storages[[#This Row],[kval_active]],dict_zuord_Transfers_Storages[[#This Row],[ID_Storages]],"")</f>
        <v/>
      </c>
    </row>
    <row r="226" spans="1:4" x14ac:dyDescent="0.45">
      <c r="A226">
        <v>24</v>
      </c>
      <c r="B226">
        <f t="shared" ca="1" si="3"/>
        <v>41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6" t="str">
        <f ca="1">IF(dict_zuord_Transfers_Storages[[#This Row],[kval_active]],dict_zuord_Transfers_Storages[[#This Row],[ID_Storages]],"")</f>
        <v/>
      </c>
    </row>
    <row r="227" spans="1:4" x14ac:dyDescent="0.45">
      <c r="A227">
        <v>25</v>
      </c>
      <c r="B227">
        <f t="shared" ca="1" si="3"/>
        <v>37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7">
        <f ca="1">IF(dict_zuord_Transfers_Storages[[#This Row],[kval_active]],dict_zuord_Transfers_Storages[[#This Row],[ID_Storages]],"")</f>
        <v>37</v>
      </c>
    </row>
    <row r="228" spans="1:4" x14ac:dyDescent="0.45">
      <c r="A228">
        <v>25</v>
      </c>
      <c r="B228">
        <f t="shared" ca="1" si="3"/>
        <v>88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8">
        <f ca="1">IF(dict_zuord_Transfers_Storages[[#This Row],[kval_active]],dict_zuord_Transfers_Storages[[#This Row],[ID_Storages]],"")</f>
        <v>88</v>
      </c>
    </row>
    <row r="229" spans="1:4" x14ac:dyDescent="0.45">
      <c r="A229">
        <v>25</v>
      </c>
      <c r="B229">
        <f t="shared" ca="1" si="3"/>
        <v>5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9">
        <f ca="1">IF(dict_zuord_Transfers_Storages[[#This Row],[kval_active]],dict_zuord_Transfers_Storages[[#This Row],[ID_Storages]],"")</f>
        <v>5</v>
      </c>
    </row>
    <row r="230" spans="1:4" x14ac:dyDescent="0.45">
      <c r="A230">
        <v>25</v>
      </c>
      <c r="B230">
        <f t="shared" ca="1" si="3"/>
        <v>57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0">
        <f ca="1">IF(dict_zuord_Transfers_Storages[[#This Row],[kval_active]],dict_zuord_Transfers_Storages[[#This Row],[ID_Storages]],"")</f>
        <v>57</v>
      </c>
    </row>
    <row r="231" spans="1:4" x14ac:dyDescent="0.45">
      <c r="A231">
        <v>25</v>
      </c>
      <c r="B231">
        <f t="shared" ca="1" si="3"/>
        <v>64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1">
        <f ca="1">IF(dict_zuord_Transfers_Storages[[#This Row],[kval_active]],dict_zuord_Transfers_Storages[[#This Row],[ID_Storages]],"")</f>
        <v>64</v>
      </c>
    </row>
    <row r="232" spans="1:4" x14ac:dyDescent="0.45">
      <c r="A232">
        <v>25</v>
      </c>
      <c r="B232">
        <f t="shared" ca="1" si="3"/>
        <v>9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2">
        <f ca="1">IF(dict_zuord_Transfers_Storages[[#This Row],[kval_active]],dict_zuord_Transfers_Storages[[#This Row],[ID_Storages]],"")</f>
        <v>9</v>
      </c>
    </row>
    <row r="233" spans="1:4" x14ac:dyDescent="0.45">
      <c r="A233">
        <v>25</v>
      </c>
      <c r="B233">
        <f t="shared" ca="1" si="3"/>
        <v>20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3">
        <f ca="1">IF(dict_zuord_Transfers_Storages[[#This Row],[kval_active]],dict_zuord_Transfers_Storages[[#This Row],[ID_Storages]],"")</f>
        <v>20</v>
      </c>
    </row>
    <row r="234" spans="1:4" x14ac:dyDescent="0.45">
      <c r="A234">
        <v>25</v>
      </c>
      <c r="B234">
        <f t="shared" ca="1" si="3"/>
        <v>79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4">
        <f ca="1">IF(dict_zuord_Transfers_Storages[[#This Row],[kval_active]],dict_zuord_Transfers_Storages[[#This Row],[ID_Storages]],"")</f>
        <v>79</v>
      </c>
    </row>
    <row r="235" spans="1:4" x14ac:dyDescent="0.45">
      <c r="A235">
        <v>25</v>
      </c>
      <c r="B235">
        <f t="shared" ca="1" si="3"/>
        <v>84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5">
        <f ca="1">IF(dict_zuord_Transfers_Storages[[#This Row],[kval_active]],dict_zuord_Transfers_Storages[[#This Row],[ID_Storages]],"")</f>
        <v>84</v>
      </c>
    </row>
    <row r="236" spans="1:4" x14ac:dyDescent="0.45">
      <c r="A236">
        <v>26</v>
      </c>
      <c r="B236">
        <f t="shared" ca="1" si="3"/>
        <v>59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6">
        <f ca="1">IF(dict_zuord_Transfers_Storages[[#This Row],[kval_active]],dict_zuord_Transfers_Storages[[#This Row],[ID_Storages]],"")</f>
        <v>59</v>
      </c>
    </row>
    <row r="237" spans="1:4" x14ac:dyDescent="0.45">
      <c r="A237">
        <v>26</v>
      </c>
      <c r="B237">
        <f t="shared" ca="1" si="3"/>
        <v>79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7">
        <f ca="1">IF(dict_zuord_Transfers_Storages[[#This Row],[kval_active]],dict_zuord_Transfers_Storages[[#This Row],[ID_Storages]],"")</f>
        <v>79</v>
      </c>
    </row>
    <row r="238" spans="1:4" x14ac:dyDescent="0.45">
      <c r="A238">
        <v>26</v>
      </c>
      <c r="B238">
        <f t="shared" ca="1" si="3"/>
        <v>66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8">
        <f ca="1">IF(dict_zuord_Transfers_Storages[[#This Row],[kval_active]],dict_zuord_Transfers_Storages[[#This Row],[ID_Storages]],"")</f>
        <v>66</v>
      </c>
    </row>
    <row r="239" spans="1:4" x14ac:dyDescent="0.45">
      <c r="A239">
        <v>26</v>
      </c>
      <c r="B239">
        <f t="shared" ca="1" si="3"/>
        <v>57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9">
        <f ca="1">IF(dict_zuord_Transfers_Storages[[#This Row],[kval_active]],dict_zuord_Transfers_Storages[[#This Row],[ID_Storages]],"")</f>
        <v>57</v>
      </c>
    </row>
    <row r="240" spans="1:4" x14ac:dyDescent="0.45">
      <c r="A240">
        <v>26</v>
      </c>
      <c r="B240">
        <f t="shared" ca="1" si="3"/>
        <v>71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0">
        <f ca="1">IF(dict_zuord_Transfers_Storages[[#This Row],[kval_active]],dict_zuord_Transfers_Storages[[#This Row],[ID_Storages]],"")</f>
        <v>71</v>
      </c>
    </row>
    <row r="241" spans="1:4" x14ac:dyDescent="0.45">
      <c r="A241">
        <v>26</v>
      </c>
      <c r="B241">
        <f t="shared" ca="1" si="3"/>
        <v>16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1">
        <f ca="1">IF(dict_zuord_Transfers_Storages[[#This Row],[kval_active]],dict_zuord_Transfers_Storages[[#This Row],[ID_Storages]],"")</f>
        <v>16</v>
      </c>
    </row>
    <row r="242" spans="1:4" x14ac:dyDescent="0.45">
      <c r="A242">
        <v>26</v>
      </c>
      <c r="B242">
        <f t="shared" ca="1" si="3"/>
        <v>63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2">
        <f ca="1">IF(dict_zuord_Transfers_Storages[[#This Row],[kval_active]],dict_zuord_Transfers_Storages[[#This Row],[ID_Storages]],"")</f>
        <v>63</v>
      </c>
    </row>
    <row r="243" spans="1:4" x14ac:dyDescent="0.45">
      <c r="A243">
        <v>26</v>
      </c>
      <c r="B243">
        <f t="shared" ca="1" si="3"/>
        <v>18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3">
        <f ca="1">IF(dict_zuord_Transfers_Storages[[#This Row],[kval_active]],dict_zuord_Transfers_Storages[[#This Row],[ID_Storages]],"")</f>
        <v>18</v>
      </c>
    </row>
    <row r="244" spans="1:4" x14ac:dyDescent="0.45">
      <c r="A244">
        <v>26</v>
      </c>
      <c r="B244">
        <f t="shared" ca="1" si="3"/>
        <v>85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4">
        <f ca="1">IF(dict_zuord_Transfers_Storages[[#This Row],[kval_active]],dict_zuord_Transfers_Storages[[#This Row],[ID_Storages]],"")</f>
        <v>85</v>
      </c>
    </row>
    <row r="245" spans="1:4" x14ac:dyDescent="0.45">
      <c r="A245">
        <v>27</v>
      </c>
      <c r="B245">
        <f t="shared" ca="1" si="3"/>
        <v>68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5">
        <f ca="1">IF(dict_zuord_Transfers_Storages[[#This Row],[kval_active]],dict_zuord_Transfers_Storages[[#This Row],[ID_Storages]],"")</f>
        <v>68</v>
      </c>
    </row>
    <row r="246" spans="1:4" x14ac:dyDescent="0.45">
      <c r="A246">
        <v>27</v>
      </c>
      <c r="B246">
        <f t="shared" ca="1" si="3"/>
        <v>23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6">
        <f ca="1">IF(dict_zuord_Transfers_Storages[[#This Row],[kval_active]],dict_zuord_Transfers_Storages[[#This Row],[ID_Storages]],"")</f>
        <v>23</v>
      </c>
    </row>
    <row r="247" spans="1:4" x14ac:dyDescent="0.45">
      <c r="A247">
        <v>27</v>
      </c>
      <c r="B247">
        <f t="shared" ca="1" si="3"/>
        <v>4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7">
        <f ca="1">IF(dict_zuord_Transfers_Storages[[#This Row],[kval_active]],dict_zuord_Transfers_Storages[[#This Row],[ID_Storages]],"")</f>
        <v>4</v>
      </c>
    </row>
    <row r="248" spans="1:4" x14ac:dyDescent="0.45">
      <c r="A248">
        <v>27</v>
      </c>
      <c r="B248">
        <f t="shared" ca="1" si="3"/>
        <v>9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8">
        <f ca="1">IF(dict_zuord_Transfers_Storages[[#This Row],[kval_active]],dict_zuord_Transfers_Storages[[#This Row],[ID_Storages]],"")</f>
        <v>9</v>
      </c>
    </row>
    <row r="249" spans="1:4" x14ac:dyDescent="0.45">
      <c r="A249">
        <v>27</v>
      </c>
      <c r="B249">
        <f t="shared" ca="1" si="3"/>
        <v>18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9">
        <f ca="1">IF(dict_zuord_Transfers_Storages[[#This Row],[kval_active]],dict_zuord_Transfers_Storages[[#This Row],[ID_Storages]],"")</f>
        <v>18</v>
      </c>
    </row>
    <row r="250" spans="1:4" x14ac:dyDescent="0.45">
      <c r="A250">
        <v>27</v>
      </c>
      <c r="B250">
        <f t="shared" ca="1" si="3"/>
        <v>75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0">
        <f ca="1">IF(dict_zuord_Transfers_Storages[[#This Row],[kval_active]],dict_zuord_Transfers_Storages[[#This Row],[ID_Storages]],"")</f>
        <v>75</v>
      </c>
    </row>
    <row r="251" spans="1:4" x14ac:dyDescent="0.45">
      <c r="A251">
        <v>27</v>
      </c>
      <c r="B251">
        <f t="shared" ca="1" si="3"/>
        <v>46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1">
        <f ca="1">IF(dict_zuord_Transfers_Storages[[#This Row],[kval_active]],dict_zuord_Transfers_Storages[[#This Row],[ID_Storages]],"")</f>
        <v>46</v>
      </c>
    </row>
    <row r="252" spans="1:4" x14ac:dyDescent="0.45">
      <c r="A252">
        <v>27</v>
      </c>
      <c r="B252">
        <f t="shared" ca="1" si="3"/>
        <v>5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2">
        <f ca="1">IF(dict_zuord_Transfers_Storages[[#This Row],[kval_active]],dict_zuord_Transfers_Storages[[#This Row],[ID_Storages]],"")</f>
        <v>5</v>
      </c>
    </row>
    <row r="253" spans="1:4" x14ac:dyDescent="0.45">
      <c r="A253">
        <v>27</v>
      </c>
      <c r="B253">
        <f t="shared" ca="1" si="3"/>
        <v>75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3">
        <f ca="1">IF(dict_zuord_Transfers_Storages[[#This Row],[kval_active]],dict_zuord_Transfers_Storages[[#This Row],[ID_Storages]],"")</f>
        <v>75</v>
      </c>
    </row>
    <row r="254" spans="1:4" x14ac:dyDescent="0.45">
      <c r="A254">
        <v>28</v>
      </c>
      <c r="B254">
        <f t="shared" ca="1" si="3"/>
        <v>68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4" t="str">
        <f ca="1">IF(dict_zuord_Transfers_Storages[[#This Row],[kval_active]],dict_zuord_Transfers_Storages[[#This Row],[ID_Storages]],"")</f>
        <v/>
      </c>
    </row>
    <row r="255" spans="1:4" x14ac:dyDescent="0.45">
      <c r="A255">
        <v>28</v>
      </c>
      <c r="B255">
        <f t="shared" ca="1" si="3"/>
        <v>85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5" t="str">
        <f ca="1">IF(dict_zuord_Transfers_Storages[[#This Row],[kval_active]],dict_zuord_Transfers_Storages[[#This Row],[ID_Storages]],"")</f>
        <v/>
      </c>
    </row>
    <row r="256" spans="1:4" x14ac:dyDescent="0.45">
      <c r="A256">
        <v>28</v>
      </c>
      <c r="B256">
        <f t="shared" ca="1" si="3"/>
        <v>37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6" t="str">
        <f ca="1">IF(dict_zuord_Transfers_Storages[[#This Row],[kval_active]],dict_zuord_Transfers_Storages[[#This Row],[ID_Storages]],"")</f>
        <v/>
      </c>
    </row>
    <row r="257" spans="1:4" x14ac:dyDescent="0.45">
      <c r="A257">
        <v>28</v>
      </c>
      <c r="B257">
        <f t="shared" ca="1" si="3"/>
        <v>24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7" t="str">
        <f ca="1">IF(dict_zuord_Transfers_Storages[[#This Row],[kval_active]],dict_zuord_Transfers_Storages[[#This Row],[ID_Storages]],"")</f>
        <v/>
      </c>
    </row>
    <row r="258" spans="1:4" x14ac:dyDescent="0.45">
      <c r="A258">
        <v>28</v>
      </c>
      <c r="B258">
        <f t="shared" ref="B258:B321" ca="1" si="4">RANDBETWEEN(0,100)</f>
        <v>50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8" t="str">
        <f ca="1">IF(dict_zuord_Transfers_Storages[[#This Row],[kval_active]],dict_zuord_Transfers_Storages[[#This Row],[ID_Storages]],"")</f>
        <v/>
      </c>
    </row>
    <row r="259" spans="1:4" x14ac:dyDescent="0.45">
      <c r="A259">
        <v>28</v>
      </c>
      <c r="B259">
        <f t="shared" ca="1" si="4"/>
        <v>67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9" t="str">
        <f ca="1">IF(dict_zuord_Transfers_Storages[[#This Row],[kval_active]],dict_zuord_Transfers_Storages[[#This Row],[ID_Storages]],"")</f>
        <v/>
      </c>
    </row>
    <row r="260" spans="1:4" x14ac:dyDescent="0.45">
      <c r="A260">
        <v>28</v>
      </c>
      <c r="B260">
        <f t="shared" ca="1" si="4"/>
        <v>33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0" t="str">
        <f ca="1">IF(dict_zuord_Transfers_Storages[[#This Row],[kval_active]],dict_zuord_Transfers_Storages[[#This Row],[ID_Storages]],"")</f>
        <v/>
      </c>
    </row>
    <row r="261" spans="1:4" x14ac:dyDescent="0.45">
      <c r="A261">
        <v>28</v>
      </c>
      <c r="B261">
        <f t="shared" ca="1" si="4"/>
        <v>98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1" t="str">
        <f ca="1">IF(dict_zuord_Transfers_Storages[[#This Row],[kval_active]],dict_zuord_Transfers_Storages[[#This Row],[ID_Storages]],"")</f>
        <v/>
      </c>
    </row>
    <row r="262" spans="1:4" x14ac:dyDescent="0.45">
      <c r="A262">
        <v>28</v>
      </c>
      <c r="B262">
        <f t="shared" ca="1" si="4"/>
        <v>62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2" t="str">
        <f ca="1">IF(dict_zuord_Transfers_Storages[[#This Row],[kval_active]],dict_zuord_Transfers_Storages[[#This Row],[ID_Storages]],"")</f>
        <v/>
      </c>
    </row>
    <row r="263" spans="1:4" x14ac:dyDescent="0.45">
      <c r="A263">
        <v>29</v>
      </c>
      <c r="B263">
        <f t="shared" ca="1" si="4"/>
        <v>47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3" t="str">
        <f ca="1">IF(dict_zuord_Transfers_Storages[[#This Row],[kval_active]],dict_zuord_Transfers_Storages[[#This Row],[ID_Storages]],"")</f>
        <v/>
      </c>
    </row>
    <row r="264" spans="1:4" x14ac:dyDescent="0.45">
      <c r="A264">
        <v>29</v>
      </c>
      <c r="B264">
        <f t="shared" ca="1" si="4"/>
        <v>14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4" t="str">
        <f ca="1">IF(dict_zuord_Transfers_Storages[[#This Row],[kval_active]],dict_zuord_Transfers_Storages[[#This Row],[ID_Storages]],"")</f>
        <v/>
      </c>
    </row>
    <row r="265" spans="1:4" x14ac:dyDescent="0.45">
      <c r="A265">
        <v>29</v>
      </c>
      <c r="B265">
        <f t="shared" ca="1" si="4"/>
        <v>13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5" t="str">
        <f ca="1">IF(dict_zuord_Transfers_Storages[[#This Row],[kval_active]],dict_zuord_Transfers_Storages[[#This Row],[ID_Storages]],"")</f>
        <v/>
      </c>
    </row>
    <row r="266" spans="1:4" x14ac:dyDescent="0.45">
      <c r="A266">
        <v>29</v>
      </c>
      <c r="B266">
        <f t="shared" ca="1" si="4"/>
        <v>52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6" t="str">
        <f ca="1">IF(dict_zuord_Transfers_Storages[[#This Row],[kval_active]],dict_zuord_Transfers_Storages[[#This Row],[ID_Storages]],"")</f>
        <v/>
      </c>
    </row>
    <row r="267" spans="1:4" x14ac:dyDescent="0.45">
      <c r="A267">
        <v>29</v>
      </c>
      <c r="B267">
        <f t="shared" ca="1" si="4"/>
        <v>97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7" t="str">
        <f ca="1">IF(dict_zuord_Transfers_Storages[[#This Row],[kval_active]],dict_zuord_Transfers_Storages[[#This Row],[ID_Storages]],"")</f>
        <v/>
      </c>
    </row>
    <row r="268" spans="1:4" x14ac:dyDescent="0.45">
      <c r="A268">
        <v>29</v>
      </c>
      <c r="B268">
        <f t="shared" ca="1" si="4"/>
        <v>32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8" t="str">
        <f ca="1">IF(dict_zuord_Transfers_Storages[[#This Row],[kval_active]],dict_zuord_Transfers_Storages[[#This Row],[ID_Storages]],"")</f>
        <v/>
      </c>
    </row>
    <row r="269" spans="1:4" x14ac:dyDescent="0.45">
      <c r="A269">
        <v>29</v>
      </c>
      <c r="B269">
        <f t="shared" ca="1" si="4"/>
        <v>34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9" t="str">
        <f ca="1">IF(dict_zuord_Transfers_Storages[[#This Row],[kval_active]],dict_zuord_Transfers_Storages[[#This Row],[ID_Storages]],"")</f>
        <v/>
      </c>
    </row>
    <row r="270" spans="1:4" x14ac:dyDescent="0.45">
      <c r="A270">
        <v>29</v>
      </c>
      <c r="B270">
        <f t="shared" ca="1" si="4"/>
        <v>97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0" t="str">
        <f ca="1">IF(dict_zuord_Transfers_Storages[[#This Row],[kval_active]],dict_zuord_Transfers_Storages[[#This Row],[ID_Storages]],"")</f>
        <v/>
      </c>
    </row>
    <row r="271" spans="1:4" x14ac:dyDescent="0.45">
      <c r="A271">
        <v>29</v>
      </c>
      <c r="B271">
        <f t="shared" ca="1" si="4"/>
        <v>61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1" t="str">
        <f ca="1">IF(dict_zuord_Transfers_Storages[[#This Row],[kval_active]],dict_zuord_Transfers_Storages[[#This Row],[ID_Storages]],"")</f>
        <v/>
      </c>
    </row>
    <row r="272" spans="1:4" x14ac:dyDescent="0.45">
      <c r="A272">
        <v>30</v>
      </c>
      <c r="B272">
        <f t="shared" ca="1" si="4"/>
        <v>16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2" t="str">
        <f ca="1">IF(dict_zuord_Transfers_Storages[[#This Row],[kval_active]],dict_zuord_Transfers_Storages[[#This Row],[ID_Storages]],"")</f>
        <v/>
      </c>
    </row>
    <row r="273" spans="1:4" x14ac:dyDescent="0.45">
      <c r="A273">
        <v>30</v>
      </c>
      <c r="B273">
        <f t="shared" ca="1" si="4"/>
        <v>57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3" t="str">
        <f ca="1">IF(dict_zuord_Transfers_Storages[[#This Row],[kval_active]],dict_zuord_Transfers_Storages[[#This Row],[ID_Storages]],"")</f>
        <v/>
      </c>
    </row>
    <row r="274" spans="1:4" x14ac:dyDescent="0.45">
      <c r="A274">
        <v>30</v>
      </c>
      <c r="B274">
        <f t="shared" ca="1" si="4"/>
        <v>46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4" t="str">
        <f ca="1">IF(dict_zuord_Transfers_Storages[[#This Row],[kval_active]],dict_zuord_Transfers_Storages[[#This Row],[ID_Storages]],"")</f>
        <v/>
      </c>
    </row>
    <row r="275" spans="1:4" x14ac:dyDescent="0.45">
      <c r="A275">
        <v>30</v>
      </c>
      <c r="B275">
        <f t="shared" ca="1" si="4"/>
        <v>25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5" t="str">
        <f ca="1">IF(dict_zuord_Transfers_Storages[[#This Row],[kval_active]],dict_zuord_Transfers_Storages[[#This Row],[ID_Storages]],"")</f>
        <v/>
      </c>
    </row>
    <row r="276" spans="1:4" x14ac:dyDescent="0.45">
      <c r="A276">
        <v>30</v>
      </c>
      <c r="B276">
        <f t="shared" ca="1" si="4"/>
        <v>24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6" t="str">
        <f ca="1">IF(dict_zuord_Transfers_Storages[[#This Row],[kval_active]],dict_zuord_Transfers_Storages[[#This Row],[ID_Storages]],"")</f>
        <v/>
      </c>
    </row>
    <row r="277" spans="1:4" x14ac:dyDescent="0.45">
      <c r="A277">
        <v>30</v>
      </c>
      <c r="B277">
        <f t="shared" ca="1" si="4"/>
        <v>96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7" t="str">
        <f ca="1">IF(dict_zuord_Transfers_Storages[[#This Row],[kval_active]],dict_zuord_Transfers_Storages[[#This Row],[ID_Storages]],"")</f>
        <v/>
      </c>
    </row>
    <row r="278" spans="1:4" x14ac:dyDescent="0.45">
      <c r="A278">
        <v>30</v>
      </c>
      <c r="B278">
        <f t="shared" ca="1" si="4"/>
        <v>39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8" t="str">
        <f ca="1">IF(dict_zuord_Transfers_Storages[[#This Row],[kval_active]],dict_zuord_Transfers_Storages[[#This Row],[ID_Storages]],"")</f>
        <v/>
      </c>
    </row>
    <row r="279" spans="1:4" x14ac:dyDescent="0.45">
      <c r="A279">
        <v>30</v>
      </c>
      <c r="B279">
        <f t="shared" ca="1" si="4"/>
        <v>66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9" t="str">
        <f ca="1">IF(dict_zuord_Transfers_Storages[[#This Row],[kval_active]],dict_zuord_Transfers_Storages[[#This Row],[ID_Storages]],"")</f>
        <v/>
      </c>
    </row>
    <row r="280" spans="1:4" x14ac:dyDescent="0.45">
      <c r="A280">
        <v>30</v>
      </c>
      <c r="B280">
        <f t="shared" ca="1" si="4"/>
        <v>38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0" t="str">
        <f ca="1">IF(dict_zuord_Transfers_Storages[[#This Row],[kval_active]],dict_zuord_Transfers_Storages[[#This Row],[ID_Storages]],"")</f>
        <v/>
      </c>
    </row>
    <row r="281" spans="1:4" x14ac:dyDescent="0.45">
      <c r="A281">
        <v>31</v>
      </c>
      <c r="B281">
        <f t="shared" ca="1" si="4"/>
        <v>8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1">
        <f ca="1">IF(dict_zuord_Transfers_Storages[[#This Row],[kval_active]],dict_zuord_Transfers_Storages[[#This Row],[ID_Storages]],"")</f>
        <v>8</v>
      </c>
    </row>
    <row r="282" spans="1:4" x14ac:dyDescent="0.45">
      <c r="A282">
        <v>31</v>
      </c>
      <c r="B282">
        <f t="shared" ca="1" si="4"/>
        <v>13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2">
        <f ca="1">IF(dict_zuord_Transfers_Storages[[#This Row],[kval_active]],dict_zuord_Transfers_Storages[[#This Row],[ID_Storages]],"")</f>
        <v>13</v>
      </c>
    </row>
    <row r="283" spans="1:4" x14ac:dyDescent="0.45">
      <c r="A283">
        <v>31</v>
      </c>
      <c r="B283">
        <f t="shared" ca="1" si="4"/>
        <v>45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3">
        <f ca="1">IF(dict_zuord_Transfers_Storages[[#This Row],[kval_active]],dict_zuord_Transfers_Storages[[#This Row],[ID_Storages]],"")</f>
        <v>45</v>
      </c>
    </row>
    <row r="284" spans="1:4" x14ac:dyDescent="0.45">
      <c r="A284">
        <v>31</v>
      </c>
      <c r="B284">
        <f t="shared" ca="1" si="4"/>
        <v>30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4">
        <f ca="1">IF(dict_zuord_Transfers_Storages[[#This Row],[kval_active]],dict_zuord_Transfers_Storages[[#This Row],[ID_Storages]],"")</f>
        <v>30</v>
      </c>
    </row>
    <row r="285" spans="1:4" x14ac:dyDescent="0.45">
      <c r="A285">
        <v>31</v>
      </c>
      <c r="B285">
        <f t="shared" ca="1" si="4"/>
        <v>22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5">
        <f ca="1">IF(dict_zuord_Transfers_Storages[[#This Row],[kval_active]],dict_zuord_Transfers_Storages[[#This Row],[ID_Storages]],"")</f>
        <v>22</v>
      </c>
    </row>
    <row r="286" spans="1:4" x14ac:dyDescent="0.45">
      <c r="A286">
        <v>31</v>
      </c>
      <c r="B286">
        <f t="shared" ca="1" si="4"/>
        <v>26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6">
        <f ca="1">IF(dict_zuord_Transfers_Storages[[#This Row],[kval_active]],dict_zuord_Transfers_Storages[[#This Row],[ID_Storages]],"")</f>
        <v>26</v>
      </c>
    </row>
    <row r="287" spans="1:4" x14ac:dyDescent="0.45">
      <c r="A287">
        <v>31</v>
      </c>
      <c r="B287">
        <f t="shared" ca="1" si="4"/>
        <v>65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7">
        <f ca="1">IF(dict_zuord_Transfers_Storages[[#This Row],[kval_active]],dict_zuord_Transfers_Storages[[#This Row],[ID_Storages]],"")</f>
        <v>65</v>
      </c>
    </row>
    <row r="288" spans="1:4" x14ac:dyDescent="0.45">
      <c r="A288">
        <v>31</v>
      </c>
      <c r="B288">
        <f t="shared" ca="1" si="4"/>
        <v>52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8">
        <f ca="1">IF(dict_zuord_Transfers_Storages[[#This Row],[kval_active]],dict_zuord_Transfers_Storages[[#This Row],[ID_Storages]],"")</f>
        <v>52</v>
      </c>
    </row>
    <row r="289" spans="1:4" x14ac:dyDescent="0.45">
      <c r="A289">
        <v>31</v>
      </c>
      <c r="B289">
        <f t="shared" ca="1" si="4"/>
        <v>34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9">
        <f ca="1">IF(dict_zuord_Transfers_Storages[[#This Row],[kval_active]],dict_zuord_Transfers_Storages[[#This Row],[ID_Storages]],"")</f>
        <v>34</v>
      </c>
    </row>
    <row r="290" spans="1:4" x14ac:dyDescent="0.45">
      <c r="A290">
        <v>32</v>
      </c>
      <c r="B290">
        <f t="shared" ca="1" si="4"/>
        <v>97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0">
        <f ca="1">IF(dict_zuord_Transfers_Storages[[#This Row],[kval_active]],dict_zuord_Transfers_Storages[[#This Row],[ID_Storages]],"")</f>
        <v>97</v>
      </c>
    </row>
    <row r="291" spans="1:4" x14ac:dyDescent="0.45">
      <c r="A291">
        <v>32</v>
      </c>
      <c r="B291">
        <f t="shared" ca="1" si="4"/>
        <v>16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1">
        <f ca="1">IF(dict_zuord_Transfers_Storages[[#This Row],[kval_active]],dict_zuord_Transfers_Storages[[#This Row],[ID_Storages]],"")</f>
        <v>16</v>
      </c>
    </row>
    <row r="292" spans="1:4" x14ac:dyDescent="0.45">
      <c r="A292">
        <v>32</v>
      </c>
      <c r="B292">
        <f t="shared" ca="1" si="4"/>
        <v>71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2">
        <f ca="1">IF(dict_zuord_Transfers_Storages[[#This Row],[kval_active]],dict_zuord_Transfers_Storages[[#This Row],[ID_Storages]],"")</f>
        <v>71</v>
      </c>
    </row>
    <row r="293" spans="1:4" x14ac:dyDescent="0.45">
      <c r="A293">
        <v>32</v>
      </c>
      <c r="B293">
        <f t="shared" ca="1" si="4"/>
        <v>20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3">
        <f ca="1">IF(dict_zuord_Transfers_Storages[[#This Row],[kval_active]],dict_zuord_Transfers_Storages[[#This Row],[ID_Storages]],"")</f>
        <v>20</v>
      </c>
    </row>
    <row r="294" spans="1:4" x14ac:dyDescent="0.45">
      <c r="A294">
        <v>32</v>
      </c>
      <c r="B294">
        <f t="shared" ca="1" si="4"/>
        <v>19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4">
        <f ca="1">IF(dict_zuord_Transfers_Storages[[#This Row],[kval_active]],dict_zuord_Transfers_Storages[[#This Row],[ID_Storages]],"")</f>
        <v>19</v>
      </c>
    </row>
    <row r="295" spans="1:4" x14ac:dyDescent="0.45">
      <c r="A295">
        <v>32</v>
      </c>
      <c r="B295">
        <f t="shared" ca="1" si="4"/>
        <v>48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5">
        <f ca="1">IF(dict_zuord_Transfers_Storages[[#This Row],[kval_active]],dict_zuord_Transfers_Storages[[#This Row],[ID_Storages]],"")</f>
        <v>48</v>
      </c>
    </row>
    <row r="296" spans="1:4" x14ac:dyDescent="0.45">
      <c r="A296">
        <v>32</v>
      </c>
      <c r="B296">
        <f t="shared" ca="1" si="4"/>
        <v>61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6">
        <f ca="1">IF(dict_zuord_Transfers_Storages[[#This Row],[kval_active]],dict_zuord_Transfers_Storages[[#This Row],[ID_Storages]],"")</f>
        <v>61</v>
      </c>
    </row>
    <row r="297" spans="1:4" x14ac:dyDescent="0.45">
      <c r="A297">
        <v>32</v>
      </c>
      <c r="B297">
        <f t="shared" ca="1" si="4"/>
        <v>78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7">
        <f ca="1">IF(dict_zuord_Transfers_Storages[[#This Row],[kval_active]],dict_zuord_Transfers_Storages[[#This Row],[ID_Storages]],"")</f>
        <v>78</v>
      </c>
    </row>
    <row r="298" spans="1:4" x14ac:dyDescent="0.45">
      <c r="A298">
        <v>32</v>
      </c>
      <c r="B298">
        <f t="shared" ca="1" si="4"/>
        <v>53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8">
        <f ca="1">IF(dict_zuord_Transfers_Storages[[#This Row],[kval_active]],dict_zuord_Transfers_Storages[[#This Row],[ID_Storages]],"")</f>
        <v>53</v>
      </c>
    </row>
    <row r="299" spans="1:4" x14ac:dyDescent="0.45">
      <c r="A299">
        <v>33</v>
      </c>
      <c r="B299">
        <f t="shared" ca="1" si="4"/>
        <v>8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9" t="str">
        <f ca="1">IF(dict_zuord_Transfers_Storages[[#This Row],[kval_active]],dict_zuord_Transfers_Storages[[#This Row],[ID_Storages]],"")</f>
        <v/>
      </c>
    </row>
    <row r="300" spans="1:4" x14ac:dyDescent="0.45">
      <c r="A300">
        <v>33</v>
      </c>
      <c r="B300">
        <f t="shared" ca="1" si="4"/>
        <v>88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0" t="str">
        <f ca="1">IF(dict_zuord_Transfers_Storages[[#This Row],[kval_active]],dict_zuord_Transfers_Storages[[#This Row],[ID_Storages]],"")</f>
        <v/>
      </c>
    </row>
    <row r="301" spans="1:4" x14ac:dyDescent="0.45">
      <c r="A301">
        <v>33</v>
      </c>
      <c r="B301">
        <f t="shared" ca="1" si="4"/>
        <v>61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1" t="str">
        <f ca="1">IF(dict_zuord_Transfers_Storages[[#This Row],[kval_active]],dict_zuord_Transfers_Storages[[#This Row],[ID_Storages]],"")</f>
        <v/>
      </c>
    </row>
    <row r="302" spans="1:4" x14ac:dyDescent="0.45">
      <c r="A302">
        <v>33</v>
      </c>
      <c r="B302">
        <f t="shared" ca="1" si="4"/>
        <v>17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2" t="str">
        <f ca="1">IF(dict_zuord_Transfers_Storages[[#This Row],[kval_active]],dict_zuord_Transfers_Storages[[#This Row],[ID_Storages]],"")</f>
        <v/>
      </c>
    </row>
    <row r="303" spans="1:4" x14ac:dyDescent="0.45">
      <c r="A303">
        <v>33</v>
      </c>
      <c r="B303">
        <f t="shared" ca="1" si="4"/>
        <v>69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3" t="str">
        <f ca="1">IF(dict_zuord_Transfers_Storages[[#This Row],[kval_active]],dict_zuord_Transfers_Storages[[#This Row],[ID_Storages]],"")</f>
        <v/>
      </c>
    </row>
    <row r="304" spans="1:4" x14ac:dyDescent="0.45">
      <c r="A304">
        <v>33</v>
      </c>
      <c r="B304">
        <f t="shared" ca="1" si="4"/>
        <v>66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4" t="str">
        <f ca="1">IF(dict_zuord_Transfers_Storages[[#This Row],[kval_active]],dict_zuord_Transfers_Storages[[#This Row],[ID_Storages]],"")</f>
        <v/>
      </c>
    </row>
    <row r="305" spans="1:4" x14ac:dyDescent="0.45">
      <c r="A305">
        <v>33</v>
      </c>
      <c r="B305">
        <f t="shared" ca="1" si="4"/>
        <v>89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5" t="str">
        <f ca="1">IF(dict_zuord_Transfers_Storages[[#This Row],[kval_active]],dict_zuord_Transfers_Storages[[#This Row],[ID_Storages]],"")</f>
        <v/>
      </c>
    </row>
    <row r="306" spans="1:4" x14ac:dyDescent="0.45">
      <c r="A306">
        <v>33</v>
      </c>
      <c r="B306">
        <f t="shared" ca="1" si="4"/>
        <v>14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6" t="str">
        <f ca="1">IF(dict_zuord_Transfers_Storages[[#This Row],[kval_active]],dict_zuord_Transfers_Storages[[#This Row],[ID_Storages]],"")</f>
        <v/>
      </c>
    </row>
    <row r="307" spans="1:4" x14ac:dyDescent="0.45">
      <c r="A307">
        <v>33</v>
      </c>
      <c r="B307">
        <f t="shared" ca="1" si="4"/>
        <v>58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7" t="str">
        <f ca="1">IF(dict_zuord_Transfers_Storages[[#This Row],[kval_active]],dict_zuord_Transfers_Storages[[#This Row],[ID_Storages]],"")</f>
        <v/>
      </c>
    </row>
    <row r="308" spans="1:4" x14ac:dyDescent="0.45">
      <c r="A308">
        <v>34</v>
      </c>
      <c r="B308">
        <f t="shared" ca="1" si="4"/>
        <v>27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8">
        <f ca="1">IF(dict_zuord_Transfers_Storages[[#This Row],[kval_active]],dict_zuord_Transfers_Storages[[#This Row],[ID_Storages]],"")</f>
        <v>27</v>
      </c>
    </row>
    <row r="309" spans="1:4" x14ac:dyDescent="0.45">
      <c r="A309">
        <v>34</v>
      </c>
      <c r="B309">
        <f t="shared" ca="1" si="4"/>
        <v>96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9">
        <f ca="1">IF(dict_zuord_Transfers_Storages[[#This Row],[kval_active]],dict_zuord_Transfers_Storages[[#This Row],[ID_Storages]],"")</f>
        <v>96</v>
      </c>
    </row>
    <row r="310" spans="1:4" x14ac:dyDescent="0.45">
      <c r="A310">
        <v>34</v>
      </c>
      <c r="B310">
        <f t="shared" ca="1" si="4"/>
        <v>7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0">
        <f ca="1">IF(dict_zuord_Transfers_Storages[[#This Row],[kval_active]],dict_zuord_Transfers_Storages[[#This Row],[ID_Storages]],"")</f>
        <v>7</v>
      </c>
    </row>
    <row r="311" spans="1:4" x14ac:dyDescent="0.45">
      <c r="A311">
        <v>34</v>
      </c>
      <c r="B311">
        <f t="shared" ca="1" si="4"/>
        <v>27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1">
        <f ca="1">IF(dict_zuord_Transfers_Storages[[#This Row],[kval_active]],dict_zuord_Transfers_Storages[[#This Row],[ID_Storages]],"")</f>
        <v>27</v>
      </c>
    </row>
    <row r="312" spans="1:4" x14ac:dyDescent="0.45">
      <c r="A312">
        <v>34</v>
      </c>
      <c r="B312">
        <f t="shared" ca="1" si="4"/>
        <v>59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2">
        <f ca="1">IF(dict_zuord_Transfers_Storages[[#This Row],[kval_active]],dict_zuord_Transfers_Storages[[#This Row],[ID_Storages]],"")</f>
        <v>59</v>
      </c>
    </row>
    <row r="313" spans="1:4" x14ac:dyDescent="0.45">
      <c r="A313">
        <v>34</v>
      </c>
      <c r="B313">
        <f t="shared" ca="1" si="4"/>
        <v>4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3">
        <f ca="1">IF(dict_zuord_Transfers_Storages[[#This Row],[kval_active]],dict_zuord_Transfers_Storages[[#This Row],[ID_Storages]],"")</f>
        <v>4</v>
      </c>
    </row>
    <row r="314" spans="1:4" x14ac:dyDescent="0.45">
      <c r="A314">
        <v>34</v>
      </c>
      <c r="B314">
        <f t="shared" ca="1" si="4"/>
        <v>72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4">
        <f ca="1">IF(dict_zuord_Transfers_Storages[[#This Row],[kval_active]],dict_zuord_Transfers_Storages[[#This Row],[ID_Storages]],"")</f>
        <v>72</v>
      </c>
    </row>
    <row r="315" spans="1:4" x14ac:dyDescent="0.45">
      <c r="A315">
        <v>34</v>
      </c>
      <c r="B315">
        <f t="shared" ca="1" si="4"/>
        <v>43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5">
        <f ca="1">IF(dict_zuord_Transfers_Storages[[#This Row],[kval_active]],dict_zuord_Transfers_Storages[[#This Row],[ID_Storages]],"")</f>
        <v>43</v>
      </c>
    </row>
    <row r="316" spans="1:4" x14ac:dyDescent="0.45">
      <c r="A316">
        <v>34</v>
      </c>
      <c r="B316">
        <f t="shared" ca="1" si="4"/>
        <v>17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6">
        <f ca="1">IF(dict_zuord_Transfers_Storages[[#This Row],[kval_active]],dict_zuord_Transfers_Storages[[#This Row],[ID_Storages]],"")</f>
        <v>17</v>
      </c>
    </row>
    <row r="317" spans="1:4" x14ac:dyDescent="0.45">
      <c r="A317">
        <v>35</v>
      </c>
      <c r="B317">
        <f t="shared" ca="1" si="4"/>
        <v>38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7" t="str">
        <f ca="1">IF(dict_zuord_Transfers_Storages[[#This Row],[kval_active]],dict_zuord_Transfers_Storages[[#This Row],[ID_Storages]],"")</f>
        <v/>
      </c>
    </row>
    <row r="318" spans="1:4" x14ac:dyDescent="0.45">
      <c r="A318">
        <v>35</v>
      </c>
      <c r="B318">
        <f t="shared" ca="1" si="4"/>
        <v>17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8" t="str">
        <f ca="1">IF(dict_zuord_Transfers_Storages[[#This Row],[kval_active]],dict_zuord_Transfers_Storages[[#This Row],[ID_Storages]],"")</f>
        <v/>
      </c>
    </row>
    <row r="319" spans="1:4" x14ac:dyDescent="0.45">
      <c r="A319">
        <v>35</v>
      </c>
      <c r="B319">
        <f t="shared" ca="1" si="4"/>
        <v>15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9" t="str">
        <f ca="1">IF(dict_zuord_Transfers_Storages[[#This Row],[kval_active]],dict_zuord_Transfers_Storages[[#This Row],[ID_Storages]],"")</f>
        <v/>
      </c>
    </row>
    <row r="320" spans="1:4" x14ac:dyDescent="0.45">
      <c r="A320">
        <v>35</v>
      </c>
      <c r="B320">
        <f t="shared" ca="1" si="4"/>
        <v>58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0" t="str">
        <f ca="1">IF(dict_zuord_Transfers_Storages[[#This Row],[kval_active]],dict_zuord_Transfers_Storages[[#This Row],[ID_Storages]],"")</f>
        <v/>
      </c>
    </row>
    <row r="321" spans="1:4" x14ac:dyDescent="0.45">
      <c r="A321">
        <v>35</v>
      </c>
      <c r="B321">
        <f t="shared" ca="1" si="4"/>
        <v>13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1" t="str">
        <f ca="1">IF(dict_zuord_Transfers_Storages[[#This Row],[kval_active]],dict_zuord_Transfers_Storages[[#This Row],[ID_Storages]],"")</f>
        <v/>
      </c>
    </row>
    <row r="322" spans="1:4" x14ac:dyDescent="0.45">
      <c r="A322">
        <v>35</v>
      </c>
      <c r="B322">
        <f t="shared" ref="B322:B385" ca="1" si="5">RANDBETWEEN(0,100)</f>
        <v>42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2" t="str">
        <f ca="1">IF(dict_zuord_Transfers_Storages[[#This Row],[kval_active]],dict_zuord_Transfers_Storages[[#This Row],[ID_Storages]],"")</f>
        <v/>
      </c>
    </row>
    <row r="323" spans="1:4" x14ac:dyDescent="0.45">
      <c r="A323">
        <v>35</v>
      </c>
      <c r="B323">
        <f t="shared" ca="1" si="5"/>
        <v>91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3" t="str">
        <f ca="1">IF(dict_zuord_Transfers_Storages[[#This Row],[kval_active]],dict_zuord_Transfers_Storages[[#This Row],[ID_Storages]],"")</f>
        <v/>
      </c>
    </row>
    <row r="324" spans="1:4" x14ac:dyDescent="0.45">
      <c r="A324">
        <v>35</v>
      </c>
      <c r="B324">
        <f t="shared" ca="1" si="5"/>
        <v>54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4" t="str">
        <f ca="1">IF(dict_zuord_Transfers_Storages[[#This Row],[kval_active]],dict_zuord_Transfers_Storages[[#This Row],[ID_Storages]],"")</f>
        <v/>
      </c>
    </row>
    <row r="325" spans="1:4" x14ac:dyDescent="0.45">
      <c r="A325">
        <v>35</v>
      </c>
      <c r="B325">
        <f t="shared" ca="1" si="5"/>
        <v>36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5" t="str">
        <f ca="1">IF(dict_zuord_Transfers_Storages[[#This Row],[kval_active]],dict_zuord_Transfers_Storages[[#This Row],[ID_Storages]],"")</f>
        <v/>
      </c>
    </row>
    <row r="326" spans="1:4" x14ac:dyDescent="0.45">
      <c r="A326">
        <v>36</v>
      </c>
      <c r="B326">
        <f t="shared" ca="1" si="5"/>
        <v>41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6">
        <f ca="1">IF(dict_zuord_Transfers_Storages[[#This Row],[kval_active]],dict_zuord_Transfers_Storages[[#This Row],[ID_Storages]],"")</f>
        <v>41</v>
      </c>
    </row>
    <row r="327" spans="1:4" x14ac:dyDescent="0.45">
      <c r="A327">
        <v>36</v>
      </c>
      <c r="B327">
        <f t="shared" ca="1" si="5"/>
        <v>92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7">
        <f ca="1">IF(dict_zuord_Transfers_Storages[[#This Row],[kval_active]],dict_zuord_Transfers_Storages[[#This Row],[ID_Storages]],"")</f>
        <v>92</v>
      </c>
    </row>
    <row r="328" spans="1:4" x14ac:dyDescent="0.45">
      <c r="A328">
        <v>36</v>
      </c>
      <c r="B328">
        <f t="shared" ca="1" si="5"/>
        <v>36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8">
        <f ca="1">IF(dict_zuord_Transfers_Storages[[#This Row],[kval_active]],dict_zuord_Transfers_Storages[[#This Row],[ID_Storages]],"")</f>
        <v>36</v>
      </c>
    </row>
    <row r="329" spans="1:4" x14ac:dyDescent="0.45">
      <c r="A329">
        <v>36</v>
      </c>
      <c r="B329">
        <f t="shared" ca="1" si="5"/>
        <v>5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9">
        <f ca="1">IF(dict_zuord_Transfers_Storages[[#This Row],[kval_active]],dict_zuord_Transfers_Storages[[#This Row],[ID_Storages]],"")</f>
        <v>5</v>
      </c>
    </row>
    <row r="330" spans="1:4" x14ac:dyDescent="0.45">
      <c r="A330">
        <v>36</v>
      </c>
      <c r="B330">
        <f t="shared" ca="1" si="5"/>
        <v>98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0">
        <f ca="1">IF(dict_zuord_Transfers_Storages[[#This Row],[kval_active]],dict_zuord_Transfers_Storages[[#This Row],[ID_Storages]],"")</f>
        <v>98</v>
      </c>
    </row>
    <row r="331" spans="1:4" x14ac:dyDescent="0.45">
      <c r="A331">
        <v>36</v>
      </c>
      <c r="B331">
        <f t="shared" ca="1" si="5"/>
        <v>14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1">
        <f ca="1">IF(dict_zuord_Transfers_Storages[[#This Row],[kval_active]],dict_zuord_Transfers_Storages[[#This Row],[ID_Storages]],"")</f>
        <v>14</v>
      </c>
    </row>
    <row r="332" spans="1:4" x14ac:dyDescent="0.45">
      <c r="A332">
        <v>36</v>
      </c>
      <c r="B332">
        <f t="shared" ca="1" si="5"/>
        <v>33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2">
        <f ca="1">IF(dict_zuord_Transfers_Storages[[#This Row],[kval_active]],dict_zuord_Transfers_Storages[[#This Row],[ID_Storages]],"")</f>
        <v>33</v>
      </c>
    </row>
    <row r="333" spans="1:4" x14ac:dyDescent="0.45">
      <c r="A333">
        <v>36</v>
      </c>
      <c r="B333">
        <f t="shared" ca="1" si="5"/>
        <v>88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3">
        <f ca="1">IF(dict_zuord_Transfers_Storages[[#This Row],[kval_active]],dict_zuord_Transfers_Storages[[#This Row],[ID_Storages]],"")</f>
        <v>88</v>
      </c>
    </row>
    <row r="334" spans="1:4" x14ac:dyDescent="0.45">
      <c r="A334">
        <v>36</v>
      </c>
      <c r="B334">
        <f t="shared" ca="1" si="5"/>
        <v>47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4">
        <f ca="1">IF(dict_zuord_Transfers_Storages[[#This Row],[kval_active]],dict_zuord_Transfers_Storages[[#This Row],[ID_Storages]],"")</f>
        <v>47</v>
      </c>
    </row>
    <row r="335" spans="1:4" x14ac:dyDescent="0.45">
      <c r="A335">
        <v>37</v>
      </c>
      <c r="B335">
        <f t="shared" ca="1" si="5"/>
        <v>37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5">
        <f ca="1">IF(dict_zuord_Transfers_Storages[[#This Row],[kval_active]],dict_zuord_Transfers_Storages[[#This Row],[ID_Storages]],"")</f>
        <v>37</v>
      </c>
    </row>
    <row r="336" spans="1:4" x14ac:dyDescent="0.45">
      <c r="A336">
        <v>37</v>
      </c>
      <c r="B336">
        <f t="shared" ca="1" si="5"/>
        <v>11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6">
        <f ca="1">IF(dict_zuord_Transfers_Storages[[#This Row],[kval_active]],dict_zuord_Transfers_Storages[[#This Row],[ID_Storages]],"")</f>
        <v>11</v>
      </c>
    </row>
    <row r="337" spans="1:4" x14ac:dyDescent="0.45">
      <c r="A337">
        <v>37</v>
      </c>
      <c r="B337">
        <f t="shared" ca="1" si="5"/>
        <v>99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7">
        <f ca="1">IF(dict_zuord_Transfers_Storages[[#This Row],[kval_active]],dict_zuord_Transfers_Storages[[#This Row],[ID_Storages]],"")</f>
        <v>99</v>
      </c>
    </row>
    <row r="338" spans="1:4" x14ac:dyDescent="0.45">
      <c r="A338">
        <v>37</v>
      </c>
      <c r="B338">
        <f t="shared" ca="1" si="5"/>
        <v>87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8">
        <f ca="1">IF(dict_zuord_Transfers_Storages[[#This Row],[kval_active]],dict_zuord_Transfers_Storages[[#This Row],[ID_Storages]],"")</f>
        <v>87</v>
      </c>
    </row>
    <row r="339" spans="1:4" x14ac:dyDescent="0.45">
      <c r="A339">
        <v>37</v>
      </c>
      <c r="B339">
        <f t="shared" ca="1" si="5"/>
        <v>54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9">
        <f ca="1">IF(dict_zuord_Transfers_Storages[[#This Row],[kval_active]],dict_zuord_Transfers_Storages[[#This Row],[ID_Storages]],"")</f>
        <v>54</v>
      </c>
    </row>
    <row r="340" spans="1:4" x14ac:dyDescent="0.45">
      <c r="A340">
        <v>37</v>
      </c>
      <c r="B340">
        <f t="shared" ca="1" si="5"/>
        <v>33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0">
        <f ca="1">IF(dict_zuord_Transfers_Storages[[#This Row],[kval_active]],dict_zuord_Transfers_Storages[[#This Row],[ID_Storages]],"")</f>
        <v>33</v>
      </c>
    </row>
    <row r="341" spans="1:4" x14ac:dyDescent="0.45">
      <c r="A341">
        <v>37</v>
      </c>
      <c r="B341">
        <f t="shared" ca="1" si="5"/>
        <v>13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1">
        <f ca="1">IF(dict_zuord_Transfers_Storages[[#This Row],[kval_active]],dict_zuord_Transfers_Storages[[#This Row],[ID_Storages]],"")</f>
        <v>13</v>
      </c>
    </row>
    <row r="342" spans="1:4" x14ac:dyDescent="0.45">
      <c r="A342">
        <v>37</v>
      </c>
      <c r="B342">
        <f t="shared" ca="1" si="5"/>
        <v>73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2">
        <f ca="1">IF(dict_zuord_Transfers_Storages[[#This Row],[kval_active]],dict_zuord_Transfers_Storages[[#This Row],[ID_Storages]],"")</f>
        <v>73</v>
      </c>
    </row>
    <row r="343" spans="1:4" x14ac:dyDescent="0.45">
      <c r="A343">
        <v>37</v>
      </c>
      <c r="B343">
        <f t="shared" ca="1" si="5"/>
        <v>47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3">
        <f ca="1">IF(dict_zuord_Transfers_Storages[[#This Row],[kval_active]],dict_zuord_Transfers_Storages[[#This Row],[ID_Storages]],"")</f>
        <v>47</v>
      </c>
    </row>
    <row r="344" spans="1:4" x14ac:dyDescent="0.45">
      <c r="A344">
        <v>38</v>
      </c>
      <c r="B344">
        <f t="shared" ca="1" si="5"/>
        <v>75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4">
        <f ca="1">IF(dict_zuord_Transfers_Storages[[#This Row],[kval_active]],dict_zuord_Transfers_Storages[[#This Row],[ID_Storages]],"")</f>
        <v>75</v>
      </c>
    </row>
    <row r="345" spans="1:4" x14ac:dyDescent="0.45">
      <c r="A345">
        <v>38</v>
      </c>
      <c r="B345">
        <f t="shared" ca="1" si="5"/>
        <v>53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5">
        <f ca="1">IF(dict_zuord_Transfers_Storages[[#This Row],[kval_active]],dict_zuord_Transfers_Storages[[#This Row],[ID_Storages]],"")</f>
        <v>53</v>
      </c>
    </row>
    <row r="346" spans="1:4" x14ac:dyDescent="0.45">
      <c r="A346">
        <v>38</v>
      </c>
      <c r="B346">
        <f t="shared" ca="1" si="5"/>
        <v>37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6">
        <f ca="1">IF(dict_zuord_Transfers_Storages[[#This Row],[kval_active]],dict_zuord_Transfers_Storages[[#This Row],[ID_Storages]],"")</f>
        <v>37</v>
      </c>
    </row>
    <row r="347" spans="1:4" x14ac:dyDescent="0.45">
      <c r="A347">
        <v>38</v>
      </c>
      <c r="B347">
        <f t="shared" ca="1" si="5"/>
        <v>42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7">
        <f ca="1">IF(dict_zuord_Transfers_Storages[[#This Row],[kval_active]],dict_zuord_Transfers_Storages[[#This Row],[ID_Storages]],"")</f>
        <v>42</v>
      </c>
    </row>
    <row r="348" spans="1:4" x14ac:dyDescent="0.45">
      <c r="A348">
        <v>38</v>
      </c>
      <c r="B348">
        <f t="shared" ca="1" si="5"/>
        <v>100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8">
        <f ca="1">IF(dict_zuord_Transfers_Storages[[#This Row],[kval_active]],dict_zuord_Transfers_Storages[[#This Row],[ID_Storages]],"")</f>
        <v>100</v>
      </c>
    </row>
    <row r="349" spans="1:4" x14ac:dyDescent="0.45">
      <c r="A349">
        <v>38</v>
      </c>
      <c r="B349">
        <f t="shared" ca="1" si="5"/>
        <v>78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9">
        <f ca="1">IF(dict_zuord_Transfers_Storages[[#This Row],[kval_active]],dict_zuord_Transfers_Storages[[#This Row],[ID_Storages]],"")</f>
        <v>78</v>
      </c>
    </row>
    <row r="350" spans="1:4" x14ac:dyDescent="0.45">
      <c r="A350">
        <v>38</v>
      </c>
      <c r="B350">
        <f t="shared" ca="1" si="5"/>
        <v>89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0">
        <f ca="1">IF(dict_zuord_Transfers_Storages[[#This Row],[kval_active]],dict_zuord_Transfers_Storages[[#This Row],[ID_Storages]],"")</f>
        <v>89</v>
      </c>
    </row>
    <row r="351" spans="1:4" x14ac:dyDescent="0.45">
      <c r="A351">
        <v>38</v>
      </c>
      <c r="B351">
        <f t="shared" ca="1" si="5"/>
        <v>39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1">
        <f ca="1">IF(dict_zuord_Transfers_Storages[[#This Row],[kval_active]],dict_zuord_Transfers_Storages[[#This Row],[ID_Storages]],"")</f>
        <v>39</v>
      </c>
    </row>
    <row r="352" spans="1:4" x14ac:dyDescent="0.45">
      <c r="A352">
        <v>38</v>
      </c>
      <c r="B352">
        <f t="shared" ca="1" si="5"/>
        <v>55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2">
        <f ca="1">IF(dict_zuord_Transfers_Storages[[#This Row],[kval_active]],dict_zuord_Transfers_Storages[[#This Row],[ID_Storages]],"")</f>
        <v>55</v>
      </c>
    </row>
    <row r="353" spans="1:4" x14ac:dyDescent="0.45">
      <c r="A353">
        <v>39</v>
      </c>
      <c r="B353">
        <f t="shared" ca="1" si="5"/>
        <v>29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3">
        <f ca="1">IF(dict_zuord_Transfers_Storages[[#This Row],[kval_active]],dict_zuord_Transfers_Storages[[#This Row],[ID_Storages]],"")</f>
        <v>29</v>
      </c>
    </row>
    <row r="354" spans="1:4" x14ac:dyDescent="0.45">
      <c r="A354">
        <v>39</v>
      </c>
      <c r="B354">
        <f t="shared" ca="1" si="5"/>
        <v>69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4">
        <f ca="1">IF(dict_zuord_Transfers_Storages[[#This Row],[kval_active]],dict_zuord_Transfers_Storages[[#This Row],[ID_Storages]],"")</f>
        <v>69</v>
      </c>
    </row>
    <row r="355" spans="1:4" x14ac:dyDescent="0.45">
      <c r="A355">
        <v>39</v>
      </c>
      <c r="B355">
        <f t="shared" ca="1" si="5"/>
        <v>66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5">
        <f ca="1">IF(dict_zuord_Transfers_Storages[[#This Row],[kval_active]],dict_zuord_Transfers_Storages[[#This Row],[ID_Storages]],"")</f>
        <v>66</v>
      </c>
    </row>
    <row r="356" spans="1:4" x14ac:dyDescent="0.45">
      <c r="A356">
        <v>39</v>
      </c>
      <c r="B356">
        <f t="shared" ca="1" si="5"/>
        <v>44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6">
        <f ca="1">IF(dict_zuord_Transfers_Storages[[#This Row],[kval_active]],dict_zuord_Transfers_Storages[[#This Row],[ID_Storages]],"")</f>
        <v>44</v>
      </c>
    </row>
    <row r="357" spans="1:4" x14ac:dyDescent="0.45">
      <c r="A357">
        <v>39</v>
      </c>
      <c r="B357">
        <f t="shared" ca="1" si="5"/>
        <v>67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7">
        <f ca="1">IF(dict_zuord_Transfers_Storages[[#This Row],[kval_active]],dict_zuord_Transfers_Storages[[#This Row],[ID_Storages]],"")</f>
        <v>67</v>
      </c>
    </row>
    <row r="358" spans="1:4" x14ac:dyDescent="0.45">
      <c r="A358">
        <v>39</v>
      </c>
      <c r="B358">
        <f t="shared" ca="1" si="5"/>
        <v>71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8">
        <f ca="1">IF(dict_zuord_Transfers_Storages[[#This Row],[kval_active]],dict_zuord_Transfers_Storages[[#This Row],[ID_Storages]],"")</f>
        <v>71</v>
      </c>
    </row>
    <row r="359" spans="1:4" x14ac:dyDescent="0.45">
      <c r="A359">
        <v>39</v>
      </c>
      <c r="B359">
        <f t="shared" ca="1" si="5"/>
        <v>73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9">
        <f ca="1">IF(dict_zuord_Transfers_Storages[[#This Row],[kval_active]],dict_zuord_Transfers_Storages[[#This Row],[ID_Storages]],"")</f>
        <v>73</v>
      </c>
    </row>
    <row r="360" spans="1:4" x14ac:dyDescent="0.45">
      <c r="A360">
        <v>39</v>
      </c>
      <c r="B360">
        <f t="shared" ca="1" si="5"/>
        <v>93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0">
        <f ca="1">IF(dict_zuord_Transfers_Storages[[#This Row],[kval_active]],dict_zuord_Transfers_Storages[[#This Row],[ID_Storages]],"")</f>
        <v>93</v>
      </c>
    </row>
    <row r="361" spans="1:4" x14ac:dyDescent="0.45">
      <c r="A361">
        <v>39</v>
      </c>
      <c r="B361">
        <f t="shared" ca="1" si="5"/>
        <v>28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1">
        <f ca="1">IF(dict_zuord_Transfers_Storages[[#This Row],[kval_active]],dict_zuord_Transfers_Storages[[#This Row],[ID_Storages]],"")</f>
        <v>28</v>
      </c>
    </row>
    <row r="362" spans="1:4" x14ac:dyDescent="0.45">
      <c r="A362">
        <v>40</v>
      </c>
      <c r="B362">
        <f t="shared" ca="1" si="5"/>
        <v>97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2" t="str">
        <f ca="1">IF(dict_zuord_Transfers_Storages[[#This Row],[kval_active]],dict_zuord_Transfers_Storages[[#This Row],[ID_Storages]],"")</f>
        <v/>
      </c>
    </row>
    <row r="363" spans="1:4" x14ac:dyDescent="0.45">
      <c r="A363">
        <v>40</v>
      </c>
      <c r="B363">
        <f t="shared" ca="1" si="5"/>
        <v>7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3" t="str">
        <f ca="1">IF(dict_zuord_Transfers_Storages[[#This Row],[kval_active]],dict_zuord_Transfers_Storages[[#This Row],[ID_Storages]],"")</f>
        <v/>
      </c>
    </row>
    <row r="364" spans="1:4" x14ac:dyDescent="0.45">
      <c r="A364">
        <v>40</v>
      </c>
      <c r="B364">
        <f t="shared" ca="1" si="5"/>
        <v>16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4" t="str">
        <f ca="1">IF(dict_zuord_Transfers_Storages[[#This Row],[kval_active]],dict_zuord_Transfers_Storages[[#This Row],[ID_Storages]],"")</f>
        <v/>
      </c>
    </row>
    <row r="365" spans="1:4" x14ac:dyDescent="0.45">
      <c r="A365">
        <v>40</v>
      </c>
      <c r="B365">
        <f t="shared" ca="1" si="5"/>
        <v>11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5" t="str">
        <f ca="1">IF(dict_zuord_Transfers_Storages[[#This Row],[kval_active]],dict_zuord_Transfers_Storages[[#This Row],[ID_Storages]],"")</f>
        <v/>
      </c>
    </row>
    <row r="366" spans="1:4" x14ac:dyDescent="0.45">
      <c r="A366">
        <v>40</v>
      </c>
      <c r="B366">
        <f t="shared" ca="1" si="5"/>
        <v>63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6" t="str">
        <f ca="1">IF(dict_zuord_Transfers_Storages[[#This Row],[kval_active]],dict_zuord_Transfers_Storages[[#This Row],[ID_Storages]],"")</f>
        <v/>
      </c>
    </row>
    <row r="367" spans="1:4" x14ac:dyDescent="0.45">
      <c r="A367">
        <v>40</v>
      </c>
      <c r="B367">
        <f t="shared" ca="1" si="5"/>
        <v>12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7" t="str">
        <f ca="1">IF(dict_zuord_Transfers_Storages[[#This Row],[kval_active]],dict_zuord_Transfers_Storages[[#This Row],[ID_Storages]],"")</f>
        <v/>
      </c>
    </row>
    <row r="368" spans="1:4" x14ac:dyDescent="0.45">
      <c r="A368">
        <v>40</v>
      </c>
      <c r="B368">
        <f t="shared" ca="1" si="5"/>
        <v>65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8" t="str">
        <f ca="1">IF(dict_zuord_Transfers_Storages[[#This Row],[kval_active]],dict_zuord_Transfers_Storages[[#This Row],[ID_Storages]],"")</f>
        <v/>
      </c>
    </row>
    <row r="369" spans="1:4" x14ac:dyDescent="0.45">
      <c r="A369">
        <v>40</v>
      </c>
      <c r="B369">
        <f t="shared" ca="1" si="5"/>
        <v>30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9" t="str">
        <f ca="1">IF(dict_zuord_Transfers_Storages[[#This Row],[kval_active]],dict_zuord_Transfers_Storages[[#This Row],[ID_Storages]],"")</f>
        <v/>
      </c>
    </row>
    <row r="370" spans="1:4" x14ac:dyDescent="0.45">
      <c r="A370">
        <v>40</v>
      </c>
      <c r="B370">
        <f t="shared" ca="1" si="5"/>
        <v>89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0" t="str">
        <f ca="1">IF(dict_zuord_Transfers_Storages[[#This Row],[kval_active]],dict_zuord_Transfers_Storages[[#This Row],[ID_Storages]],"")</f>
        <v/>
      </c>
    </row>
    <row r="371" spans="1:4" x14ac:dyDescent="0.45">
      <c r="A371">
        <v>41</v>
      </c>
      <c r="B371">
        <f t="shared" ca="1" si="5"/>
        <v>94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1">
        <f ca="1">IF(dict_zuord_Transfers_Storages[[#This Row],[kval_active]],dict_zuord_Transfers_Storages[[#This Row],[ID_Storages]],"")</f>
        <v>94</v>
      </c>
    </row>
    <row r="372" spans="1:4" x14ac:dyDescent="0.45">
      <c r="A372">
        <v>41</v>
      </c>
      <c r="B372">
        <f t="shared" ca="1" si="5"/>
        <v>74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2">
        <f ca="1">IF(dict_zuord_Transfers_Storages[[#This Row],[kval_active]],dict_zuord_Transfers_Storages[[#This Row],[ID_Storages]],"")</f>
        <v>74</v>
      </c>
    </row>
    <row r="373" spans="1:4" x14ac:dyDescent="0.45">
      <c r="A373">
        <v>41</v>
      </c>
      <c r="B373">
        <f t="shared" ca="1" si="5"/>
        <v>1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3">
        <f ca="1">IF(dict_zuord_Transfers_Storages[[#This Row],[kval_active]],dict_zuord_Transfers_Storages[[#This Row],[ID_Storages]],"")</f>
        <v>1</v>
      </c>
    </row>
    <row r="374" spans="1:4" x14ac:dyDescent="0.45">
      <c r="A374">
        <v>41</v>
      </c>
      <c r="B374">
        <f t="shared" ca="1" si="5"/>
        <v>97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4">
        <f ca="1">IF(dict_zuord_Transfers_Storages[[#This Row],[kval_active]],dict_zuord_Transfers_Storages[[#This Row],[ID_Storages]],"")</f>
        <v>97</v>
      </c>
    </row>
    <row r="375" spans="1:4" x14ac:dyDescent="0.45">
      <c r="A375">
        <v>41</v>
      </c>
      <c r="B375">
        <f t="shared" ca="1" si="5"/>
        <v>93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5">
        <f ca="1">IF(dict_zuord_Transfers_Storages[[#This Row],[kval_active]],dict_zuord_Transfers_Storages[[#This Row],[ID_Storages]],"")</f>
        <v>93</v>
      </c>
    </row>
    <row r="376" spans="1:4" x14ac:dyDescent="0.45">
      <c r="A376">
        <v>41</v>
      </c>
      <c r="B376">
        <f t="shared" ca="1" si="5"/>
        <v>55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6">
        <f ca="1">IF(dict_zuord_Transfers_Storages[[#This Row],[kval_active]],dict_zuord_Transfers_Storages[[#This Row],[ID_Storages]],"")</f>
        <v>55</v>
      </c>
    </row>
    <row r="377" spans="1:4" x14ac:dyDescent="0.45">
      <c r="A377">
        <v>41</v>
      </c>
      <c r="B377">
        <f t="shared" ca="1" si="5"/>
        <v>71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7">
        <f ca="1">IF(dict_zuord_Transfers_Storages[[#This Row],[kval_active]],dict_zuord_Transfers_Storages[[#This Row],[ID_Storages]],"")</f>
        <v>71</v>
      </c>
    </row>
    <row r="378" spans="1:4" x14ac:dyDescent="0.45">
      <c r="A378">
        <v>41</v>
      </c>
      <c r="B378">
        <f t="shared" ca="1" si="5"/>
        <v>41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8">
        <f ca="1">IF(dict_zuord_Transfers_Storages[[#This Row],[kval_active]],dict_zuord_Transfers_Storages[[#This Row],[ID_Storages]],"")</f>
        <v>41</v>
      </c>
    </row>
    <row r="379" spans="1:4" x14ac:dyDescent="0.45">
      <c r="A379">
        <v>41</v>
      </c>
      <c r="B379">
        <f t="shared" ca="1" si="5"/>
        <v>50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9">
        <f ca="1">IF(dict_zuord_Transfers_Storages[[#This Row],[kval_active]],dict_zuord_Transfers_Storages[[#This Row],[ID_Storages]],"")</f>
        <v>50</v>
      </c>
    </row>
    <row r="380" spans="1:4" x14ac:dyDescent="0.45">
      <c r="A380">
        <v>42</v>
      </c>
      <c r="B380">
        <f t="shared" ca="1" si="5"/>
        <v>56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0">
        <f ca="1">IF(dict_zuord_Transfers_Storages[[#This Row],[kval_active]],dict_zuord_Transfers_Storages[[#This Row],[ID_Storages]],"")</f>
        <v>56</v>
      </c>
    </row>
    <row r="381" spans="1:4" x14ac:dyDescent="0.45">
      <c r="A381">
        <v>42</v>
      </c>
      <c r="B381">
        <f t="shared" ca="1" si="5"/>
        <v>23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1">
        <f ca="1">IF(dict_zuord_Transfers_Storages[[#This Row],[kval_active]],dict_zuord_Transfers_Storages[[#This Row],[ID_Storages]],"")</f>
        <v>23</v>
      </c>
    </row>
    <row r="382" spans="1:4" x14ac:dyDescent="0.45">
      <c r="A382">
        <v>42</v>
      </c>
      <c r="B382">
        <f t="shared" ca="1" si="5"/>
        <v>76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2">
        <f ca="1">IF(dict_zuord_Transfers_Storages[[#This Row],[kval_active]],dict_zuord_Transfers_Storages[[#This Row],[ID_Storages]],"")</f>
        <v>76</v>
      </c>
    </row>
    <row r="383" spans="1:4" x14ac:dyDescent="0.45">
      <c r="A383">
        <v>42</v>
      </c>
      <c r="B383">
        <f t="shared" ca="1" si="5"/>
        <v>11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3">
        <f ca="1">IF(dict_zuord_Transfers_Storages[[#This Row],[kval_active]],dict_zuord_Transfers_Storages[[#This Row],[ID_Storages]],"")</f>
        <v>11</v>
      </c>
    </row>
    <row r="384" spans="1:4" x14ac:dyDescent="0.45">
      <c r="A384">
        <v>42</v>
      </c>
      <c r="B384">
        <f t="shared" ca="1" si="5"/>
        <v>65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4">
        <f ca="1">IF(dict_zuord_Transfers_Storages[[#This Row],[kval_active]],dict_zuord_Transfers_Storages[[#This Row],[ID_Storages]],"")</f>
        <v>65</v>
      </c>
    </row>
    <row r="385" spans="1:4" x14ac:dyDescent="0.45">
      <c r="A385">
        <v>42</v>
      </c>
      <c r="B385">
        <f t="shared" ca="1" si="5"/>
        <v>4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5">
        <f ca="1">IF(dict_zuord_Transfers_Storages[[#This Row],[kval_active]],dict_zuord_Transfers_Storages[[#This Row],[ID_Storages]],"")</f>
        <v>4</v>
      </c>
    </row>
    <row r="386" spans="1:4" x14ac:dyDescent="0.45">
      <c r="A386">
        <v>42</v>
      </c>
      <c r="B386">
        <f t="shared" ref="B386:B449" ca="1" si="6">RANDBETWEEN(0,100)</f>
        <v>14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6">
        <f ca="1">IF(dict_zuord_Transfers_Storages[[#This Row],[kval_active]],dict_zuord_Transfers_Storages[[#This Row],[ID_Storages]],"")</f>
        <v>14</v>
      </c>
    </row>
    <row r="387" spans="1:4" x14ac:dyDescent="0.45">
      <c r="A387">
        <v>42</v>
      </c>
      <c r="B387">
        <f t="shared" ca="1" si="6"/>
        <v>99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7">
        <f ca="1">IF(dict_zuord_Transfers_Storages[[#This Row],[kval_active]],dict_zuord_Transfers_Storages[[#This Row],[ID_Storages]],"")</f>
        <v>99</v>
      </c>
    </row>
    <row r="388" spans="1:4" x14ac:dyDescent="0.45">
      <c r="A388">
        <v>42</v>
      </c>
      <c r="B388">
        <f t="shared" ca="1" si="6"/>
        <v>61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8">
        <f ca="1">IF(dict_zuord_Transfers_Storages[[#This Row],[kval_active]],dict_zuord_Transfers_Storages[[#This Row],[ID_Storages]],"")</f>
        <v>61</v>
      </c>
    </row>
    <row r="389" spans="1:4" x14ac:dyDescent="0.45">
      <c r="A389">
        <v>43</v>
      </c>
      <c r="B389">
        <f t="shared" ca="1" si="6"/>
        <v>88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9" t="str">
        <f ca="1">IF(dict_zuord_Transfers_Storages[[#This Row],[kval_active]],dict_zuord_Transfers_Storages[[#This Row],[ID_Storages]],"")</f>
        <v/>
      </c>
    </row>
    <row r="390" spans="1:4" x14ac:dyDescent="0.45">
      <c r="A390">
        <v>43</v>
      </c>
      <c r="B390">
        <f t="shared" ca="1" si="6"/>
        <v>5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0" t="str">
        <f ca="1">IF(dict_zuord_Transfers_Storages[[#This Row],[kval_active]],dict_zuord_Transfers_Storages[[#This Row],[ID_Storages]],"")</f>
        <v/>
      </c>
    </row>
    <row r="391" spans="1:4" x14ac:dyDescent="0.45">
      <c r="A391">
        <v>43</v>
      </c>
      <c r="B391">
        <f t="shared" ca="1" si="6"/>
        <v>77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1" t="str">
        <f ca="1">IF(dict_zuord_Transfers_Storages[[#This Row],[kval_active]],dict_zuord_Transfers_Storages[[#This Row],[ID_Storages]],"")</f>
        <v/>
      </c>
    </row>
    <row r="392" spans="1:4" x14ac:dyDescent="0.45">
      <c r="A392">
        <v>43</v>
      </c>
      <c r="B392">
        <f t="shared" ca="1" si="6"/>
        <v>1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2" t="str">
        <f ca="1">IF(dict_zuord_Transfers_Storages[[#This Row],[kval_active]],dict_zuord_Transfers_Storages[[#This Row],[ID_Storages]],"")</f>
        <v/>
      </c>
    </row>
    <row r="393" spans="1:4" x14ac:dyDescent="0.45">
      <c r="A393">
        <v>43</v>
      </c>
      <c r="B393">
        <f t="shared" ca="1" si="6"/>
        <v>59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3" t="str">
        <f ca="1">IF(dict_zuord_Transfers_Storages[[#This Row],[kval_active]],dict_zuord_Transfers_Storages[[#This Row],[ID_Storages]],"")</f>
        <v/>
      </c>
    </row>
    <row r="394" spans="1:4" x14ac:dyDescent="0.45">
      <c r="A394">
        <v>43</v>
      </c>
      <c r="B394">
        <f t="shared" ca="1" si="6"/>
        <v>47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4" t="str">
        <f ca="1">IF(dict_zuord_Transfers_Storages[[#This Row],[kval_active]],dict_zuord_Transfers_Storages[[#This Row],[ID_Storages]],"")</f>
        <v/>
      </c>
    </row>
    <row r="395" spans="1:4" x14ac:dyDescent="0.45">
      <c r="A395">
        <v>43</v>
      </c>
      <c r="B395">
        <f t="shared" ca="1" si="6"/>
        <v>84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5" t="str">
        <f ca="1">IF(dict_zuord_Transfers_Storages[[#This Row],[kval_active]],dict_zuord_Transfers_Storages[[#This Row],[ID_Storages]],"")</f>
        <v/>
      </c>
    </row>
    <row r="396" spans="1:4" x14ac:dyDescent="0.45">
      <c r="A396">
        <v>43</v>
      </c>
      <c r="B396">
        <f t="shared" ca="1" si="6"/>
        <v>28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6" t="str">
        <f ca="1">IF(dict_zuord_Transfers_Storages[[#This Row],[kval_active]],dict_zuord_Transfers_Storages[[#This Row],[ID_Storages]],"")</f>
        <v/>
      </c>
    </row>
    <row r="397" spans="1:4" x14ac:dyDescent="0.45">
      <c r="A397">
        <v>43</v>
      </c>
      <c r="B397">
        <f t="shared" ca="1" si="6"/>
        <v>74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7" t="str">
        <f ca="1">IF(dict_zuord_Transfers_Storages[[#This Row],[kval_active]],dict_zuord_Transfers_Storages[[#This Row],[ID_Storages]],"")</f>
        <v/>
      </c>
    </row>
    <row r="398" spans="1:4" x14ac:dyDescent="0.45">
      <c r="A398">
        <v>44</v>
      </c>
      <c r="B398">
        <f t="shared" ca="1" si="6"/>
        <v>12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8">
        <f ca="1">IF(dict_zuord_Transfers_Storages[[#This Row],[kval_active]],dict_zuord_Transfers_Storages[[#This Row],[ID_Storages]],"")</f>
        <v>12</v>
      </c>
    </row>
    <row r="399" spans="1:4" x14ac:dyDescent="0.45">
      <c r="A399">
        <v>44</v>
      </c>
      <c r="B399">
        <f t="shared" ca="1" si="6"/>
        <v>0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9">
        <f ca="1">IF(dict_zuord_Transfers_Storages[[#This Row],[kval_active]],dict_zuord_Transfers_Storages[[#This Row],[ID_Storages]],"")</f>
        <v>0</v>
      </c>
    </row>
    <row r="400" spans="1:4" x14ac:dyDescent="0.45">
      <c r="A400">
        <v>44</v>
      </c>
      <c r="B400">
        <f t="shared" ca="1" si="6"/>
        <v>27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0">
        <f ca="1">IF(dict_zuord_Transfers_Storages[[#This Row],[kval_active]],dict_zuord_Transfers_Storages[[#This Row],[ID_Storages]],"")</f>
        <v>27</v>
      </c>
    </row>
    <row r="401" spans="1:4" x14ac:dyDescent="0.45">
      <c r="A401">
        <v>44</v>
      </c>
      <c r="B401">
        <f t="shared" ca="1" si="6"/>
        <v>17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1">
        <f ca="1">IF(dict_zuord_Transfers_Storages[[#This Row],[kval_active]],dict_zuord_Transfers_Storages[[#This Row],[ID_Storages]],"")</f>
        <v>17</v>
      </c>
    </row>
    <row r="402" spans="1:4" x14ac:dyDescent="0.45">
      <c r="A402">
        <v>44</v>
      </c>
      <c r="B402">
        <f t="shared" ca="1" si="6"/>
        <v>10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2">
        <f ca="1">IF(dict_zuord_Transfers_Storages[[#This Row],[kval_active]],dict_zuord_Transfers_Storages[[#This Row],[ID_Storages]],"")</f>
        <v>10</v>
      </c>
    </row>
    <row r="403" spans="1:4" x14ac:dyDescent="0.45">
      <c r="A403">
        <v>44</v>
      </c>
      <c r="B403">
        <f t="shared" ca="1" si="6"/>
        <v>69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3">
        <f ca="1">IF(dict_zuord_Transfers_Storages[[#This Row],[kval_active]],dict_zuord_Transfers_Storages[[#This Row],[ID_Storages]],"")</f>
        <v>69</v>
      </c>
    </row>
    <row r="404" spans="1:4" x14ac:dyDescent="0.45">
      <c r="A404">
        <v>44</v>
      </c>
      <c r="B404">
        <f t="shared" ca="1" si="6"/>
        <v>3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4">
        <f ca="1">IF(dict_zuord_Transfers_Storages[[#This Row],[kval_active]],dict_zuord_Transfers_Storages[[#This Row],[ID_Storages]],"")</f>
        <v>3</v>
      </c>
    </row>
    <row r="405" spans="1:4" x14ac:dyDescent="0.45">
      <c r="A405">
        <v>44</v>
      </c>
      <c r="B405">
        <f t="shared" ca="1" si="6"/>
        <v>38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5">
        <f ca="1">IF(dict_zuord_Transfers_Storages[[#This Row],[kval_active]],dict_zuord_Transfers_Storages[[#This Row],[ID_Storages]],"")</f>
        <v>38</v>
      </c>
    </row>
    <row r="406" spans="1:4" x14ac:dyDescent="0.45">
      <c r="A406">
        <v>44</v>
      </c>
      <c r="B406">
        <f t="shared" ca="1" si="6"/>
        <v>15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6">
        <f ca="1">IF(dict_zuord_Transfers_Storages[[#This Row],[kval_active]],dict_zuord_Transfers_Storages[[#This Row],[ID_Storages]],"")</f>
        <v>15</v>
      </c>
    </row>
    <row r="407" spans="1:4" x14ac:dyDescent="0.45">
      <c r="A407">
        <v>45</v>
      </c>
      <c r="B407">
        <f t="shared" ca="1" si="6"/>
        <v>4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7" t="str">
        <f ca="1">IF(dict_zuord_Transfers_Storages[[#This Row],[kval_active]],dict_zuord_Transfers_Storages[[#This Row],[ID_Storages]],"")</f>
        <v/>
      </c>
    </row>
    <row r="408" spans="1:4" x14ac:dyDescent="0.45">
      <c r="A408">
        <v>45</v>
      </c>
      <c r="B408">
        <f t="shared" ca="1" si="6"/>
        <v>21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8" t="str">
        <f ca="1">IF(dict_zuord_Transfers_Storages[[#This Row],[kval_active]],dict_zuord_Transfers_Storages[[#This Row],[ID_Storages]],"")</f>
        <v/>
      </c>
    </row>
    <row r="409" spans="1:4" x14ac:dyDescent="0.45">
      <c r="A409">
        <v>45</v>
      </c>
      <c r="B409">
        <f t="shared" ca="1" si="6"/>
        <v>76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9" t="str">
        <f ca="1">IF(dict_zuord_Transfers_Storages[[#This Row],[kval_active]],dict_zuord_Transfers_Storages[[#This Row],[ID_Storages]],"")</f>
        <v/>
      </c>
    </row>
    <row r="410" spans="1:4" x14ac:dyDescent="0.45">
      <c r="A410">
        <v>45</v>
      </c>
      <c r="B410">
        <f t="shared" ca="1" si="6"/>
        <v>98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0" t="str">
        <f ca="1">IF(dict_zuord_Transfers_Storages[[#This Row],[kval_active]],dict_zuord_Transfers_Storages[[#This Row],[ID_Storages]],"")</f>
        <v/>
      </c>
    </row>
    <row r="411" spans="1:4" x14ac:dyDescent="0.45">
      <c r="A411">
        <v>45</v>
      </c>
      <c r="B411">
        <f t="shared" ca="1" si="6"/>
        <v>8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1" t="str">
        <f ca="1">IF(dict_zuord_Transfers_Storages[[#This Row],[kval_active]],dict_zuord_Transfers_Storages[[#This Row],[ID_Storages]],"")</f>
        <v/>
      </c>
    </row>
    <row r="412" spans="1:4" x14ac:dyDescent="0.45">
      <c r="A412">
        <v>45</v>
      </c>
      <c r="B412">
        <f t="shared" ca="1" si="6"/>
        <v>19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2" t="str">
        <f ca="1">IF(dict_zuord_Transfers_Storages[[#This Row],[kval_active]],dict_zuord_Transfers_Storages[[#This Row],[ID_Storages]],"")</f>
        <v/>
      </c>
    </row>
    <row r="413" spans="1:4" x14ac:dyDescent="0.45">
      <c r="A413">
        <v>45</v>
      </c>
      <c r="B413">
        <f t="shared" ca="1" si="6"/>
        <v>71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3" t="str">
        <f ca="1">IF(dict_zuord_Transfers_Storages[[#This Row],[kval_active]],dict_zuord_Transfers_Storages[[#This Row],[ID_Storages]],"")</f>
        <v/>
      </c>
    </row>
    <row r="414" spans="1:4" x14ac:dyDescent="0.45">
      <c r="A414">
        <v>45</v>
      </c>
      <c r="B414">
        <f t="shared" ca="1" si="6"/>
        <v>73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4" t="str">
        <f ca="1">IF(dict_zuord_Transfers_Storages[[#This Row],[kval_active]],dict_zuord_Transfers_Storages[[#This Row],[ID_Storages]],"")</f>
        <v/>
      </c>
    </row>
    <row r="415" spans="1:4" x14ac:dyDescent="0.45">
      <c r="A415">
        <v>45</v>
      </c>
      <c r="B415">
        <f t="shared" ca="1" si="6"/>
        <v>14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5" t="str">
        <f ca="1">IF(dict_zuord_Transfers_Storages[[#This Row],[kval_active]],dict_zuord_Transfers_Storages[[#This Row],[ID_Storages]],"")</f>
        <v/>
      </c>
    </row>
    <row r="416" spans="1:4" x14ac:dyDescent="0.45">
      <c r="A416">
        <v>46</v>
      </c>
      <c r="B416">
        <f t="shared" ca="1" si="6"/>
        <v>72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6">
        <f ca="1">IF(dict_zuord_Transfers_Storages[[#This Row],[kval_active]],dict_zuord_Transfers_Storages[[#This Row],[ID_Storages]],"")</f>
        <v>72</v>
      </c>
    </row>
    <row r="417" spans="1:4" x14ac:dyDescent="0.45">
      <c r="A417">
        <v>46</v>
      </c>
      <c r="B417">
        <f t="shared" ca="1" si="6"/>
        <v>56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7">
        <f ca="1">IF(dict_zuord_Transfers_Storages[[#This Row],[kval_active]],dict_zuord_Transfers_Storages[[#This Row],[ID_Storages]],"")</f>
        <v>56</v>
      </c>
    </row>
    <row r="418" spans="1:4" x14ac:dyDescent="0.45">
      <c r="A418">
        <v>46</v>
      </c>
      <c r="B418">
        <f t="shared" ca="1" si="6"/>
        <v>13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8">
        <f ca="1">IF(dict_zuord_Transfers_Storages[[#This Row],[kval_active]],dict_zuord_Transfers_Storages[[#This Row],[ID_Storages]],"")</f>
        <v>13</v>
      </c>
    </row>
    <row r="419" spans="1:4" x14ac:dyDescent="0.45">
      <c r="A419">
        <v>46</v>
      </c>
      <c r="B419">
        <f t="shared" ca="1" si="6"/>
        <v>13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9">
        <f ca="1">IF(dict_zuord_Transfers_Storages[[#This Row],[kval_active]],dict_zuord_Transfers_Storages[[#This Row],[ID_Storages]],"")</f>
        <v>13</v>
      </c>
    </row>
    <row r="420" spans="1:4" x14ac:dyDescent="0.45">
      <c r="A420">
        <v>46</v>
      </c>
      <c r="B420">
        <f t="shared" ca="1" si="6"/>
        <v>36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0">
        <f ca="1">IF(dict_zuord_Transfers_Storages[[#This Row],[kval_active]],dict_zuord_Transfers_Storages[[#This Row],[ID_Storages]],"")</f>
        <v>36</v>
      </c>
    </row>
    <row r="421" spans="1:4" x14ac:dyDescent="0.45">
      <c r="A421">
        <v>46</v>
      </c>
      <c r="B421">
        <f t="shared" ca="1" si="6"/>
        <v>40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1">
        <f ca="1">IF(dict_zuord_Transfers_Storages[[#This Row],[kval_active]],dict_zuord_Transfers_Storages[[#This Row],[ID_Storages]],"")</f>
        <v>40</v>
      </c>
    </row>
    <row r="422" spans="1:4" x14ac:dyDescent="0.45">
      <c r="A422">
        <v>46</v>
      </c>
      <c r="B422">
        <f t="shared" ca="1" si="6"/>
        <v>37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2">
        <f ca="1">IF(dict_zuord_Transfers_Storages[[#This Row],[kval_active]],dict_zuord_Transfers_Storages[[#This Row],[ID_Storages]],"")</f>
        <v>37</v>
      </c>
    </row>
    <row r="423" spans="1:4" x14ac:dyDescent="0.45">
      <c r="A423">
        <v>46</v>
      </c>
      <c r="B423">
        <f t="shared" ca="1" si="6"/>
        <v>89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3">
        <f ca="1">IF(dict_zuord_Transfers_Storages[[#This Row],[kval_active]],dict_zuord_Transfers_Storages[[#This Row],[ID_Storages]],"")</f>
        <v>89</v>
      </c>
    </row>
    <row r="424" spans="1:4" x14ac:dyDescent="0.45">
      <c r="A424">
        <v>46</v>
      </c>
      <c r="B424">
        <f t="shared" ca="1" si="6"/>
        <v>100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4">
        <f ca="1">IF(dict_zuord_Transfers_Storages[[#This Row],[kval_active]],dict_zuord_Transfers_Storages[[#This Row],[ID_Storages]],"")</f>
        <v>100</v>
      </c>
    </row>
    <row r="425" spans="1:4" x14ac:dyDescent="0.45">
      <c r="A425">
        <v>47</v>
      </c>
      <c r="B425">
        <f t="shared" ca="1" si="6"/>
        <v>84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5">
        <f ca="1">IF(dict_zuord_Transfers_Storages[[#This Row],[kval_active]],dict_zuord_Transfers_Storages[[#This Row],[ID_Storages]],"")</f>
        <v>84</v>
      </c>
    </row>
    <row r="426" spans="1:4" x14ac:dyDescent="0.45">
      <c r="A426">
        <v>47</v>
      </c>
      <c r="B426">
        <f t="shared" ca="1" si="6"/>
        <v>13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6">
        <f ca="1">IF(dict_zuord_Transfers_Storages[[#This Row],[kval_active]],dict_zuord_Transfers_Storages[[#This Row],[ID_Storages]],"")</f>
        <v>13</v>
      </c>
    </row>
    <row r="427" spans="1:4" x14ac:dyDescent="0.45">
      <c r="A427">
        <v>47</v>
      </c>
      <c r="B427">
        <f t="shared" ca="1" si="6"/>
        <v>21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7">
        <f ca="1">IF(dict_zuord_Transfers_Storages[[#This Row],[kval_active]],dict_zuord_Transfers_Storages[[#This Row],[ID_Storages]],"")</f>
        <v>21</v>
      </c>
    </row>
    <row r="428" spans="1:4" x14ac:dyDescent="0.45">
      <c r="A428">
        <v>47</v>
      </c>
      <c r="B428">
        <f t="shared" ca="1" si="6"/>
        <v>74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8">
        <f ca="1">IF(dict_zuord_Transfers_Storages[[#This Row],[kval_active]],dict_zuord_Transfers_Storages[[#This Row],[ID_Storages]],"")</f>
        <v>74</v>
      </c>
    </row>
    <row r="429" spans="1:4" x14ac:dyDescent="0.45">
      <c r="A429">
        <v>47</v>
      </c>
      <c r="B429">
        <f t="shared" ca="1" si="6"/>
        <v>16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9">
        <f ca="1">IF(dict_zuord_Transfers_Storages[[#This Row],[kval_active]],dict_zuord_Transfers_Storages[[#This Row],[ID_Storages]],"")</f>
        <v>16</v>
      </c>
    </row>
    <row r="430" spans="1:4" x14ac:dyDescent="0.45">
      <c r="A430">
        <v>47</v>
      </c>
      <c r="B430">
        <f t="shared" ca="1" si="6"/>
        <v>87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0">
        <f ca="1">IF(dict_zuord_Transfers_Storages[[#This Row],[kval_active]],dict_zuord_Transfers_Storages[[#This Row],[ID_Storages]],"")</f>
        <v>87</v>
      </c>
    </row>
    <row r="431" spans="1:4" x14ac:dyDescent="0.45">
      <c r="A431">
        <v>47</v>
      </c>
      <c r="B431">
        <f t="shared" ca="1" si="6"/>
        <v>16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1">
        <f ca="1">IF(dict_zuord_Transfers_Storages[[#This Row],[kval_active]],dict_zuord_Transfers_Storages[[#This Row],[ID_Storages]],"")</f>
        <v>16</v>
      </c>
    </row>
    <row r="432" spans="1:4" x14ac:dyDescent="0.45">
      <c r="A432">
        <v>47</v>
      </c>
      <c r="B432">
        <f t="shared" ca="1" si="6"/>
        <v>87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2">
        <f ca="1">IF(dict_zuord_Transfers_Storages[[#This Row],[kval_active]],dict_zuord_Transfers_Storages[[#This Row],[ID_Storages]],"")</f>
        <v>87</v>
      </c>
    </row>
    <row r="433" spans="1:4" x14ac:dyDescent="0.45">
      <c r="A433">
        <v>47</v>
      </c>
      <c r="B433">
        <f t="shared" ca="1" si="6"/>
        <v>11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3">
        <f ca="1">IF(dict_zuord_Transfers_Storages[[#This Row],[kval_active]],dict_zuord_Transfers_Storages[[#This Row],[ID_Storages]],"")</f>
        <v>11</v>
      </c>
    </row>
    <row r="434" spans="1:4" x14ac:dyDescent="0.45">
      <c r="A434">
        <v>48</v>
      </c>
      <c r="B434">
        <f t="shared" ca="1" si="6"/>
        <v>53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4">
        <f ca="1">IF(dict_zuord_Transfers_Storages[[#This Row],[kval_active]],dict_zuord_Transfers_Storages[[#This Row],[ID_Storages]],"")</f>
        <v>53</v>
      </c>
    </row>
    <row r="435" spans="1:4" x14ac:dyDescent="0.45">
      <c r="A435">
        <v>48</v>
      </c>
      <c r="B435">
        <f t="shared" ca="1" si="6"/>
        <v>18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5">
        <f ca="1">IF(dict_zuord_Transfers_Storages[[#This Row],[kval_active]],dict_zuord_Transfers_Storages[[#This Row],[ID_Storages]],"")</f>
        <v>18</v>
      </c>
    </row>
    <row r="436" spans="1:4" x14ac:dyDescent="0.45">
      <c r="A436">
        <v>48</v>
      </c>
      <c r="B436">
        <f t="shared" ca="1" si="6"/>
        <v>77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6">
        <f ca="1">IF(dict_zuord_Transfers_Storages[[#This Row],[kval_active]],dict_zuord_Transfers_Storages[[#This Row],[ID_Storages]],"")</f>
        <v>77</v>
      </c>
    </row>
    <row r="437" spans="1:4" x14ac:dyDescent="0.45">
      <c r="A437">
        <v>48</v>
      </c>
      <c r="B437">
        <f t="shared" ca="1" si="6"/>
        <v>38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7">
        <f ca="1">IF(dict_zuord_Transfers_Storages[[#This Row],[kval_active]],dict_zuord_Transfers_Storages[[#This Row],[ID_Storages]],"")</f>
        <v>38</v>
      </c>
    </row>
    <row r="438" spans="1:4" x14ac:dyDescent="0.45">
      <c r="A438">
        <v>48</v>
      </c>
      <c r="B438">
        <f t="shared" ca="1" si="6"/>
        <v>8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8">
        <f ca="1">IF(dict_zuord_Transfers_Storages[[#This Row],[kval_active]],dict_zuord_Transfers_Storages[[#This Row],[ID_Storages]],"")</f>
        <v>8</v>
      </c>
    </row>
    <row r="439" spans="1:4" x14ac:dyDescent="0.45">
      <c r="A439">
        <v>48</v>
      </c>
      <c r="B439">
        <f t="shared" ca="1" si="6"/>
        <v>74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9">
        <f ca="1">IF(dict_zuord_Transfers_Storages[[#This Row],[kval_active]],dict_zuord_Transfers_Storages[[#This Row],[ID_Storages]],"")</f>
        <v>74</v>
      </c>
    </row>
    <row r="440" spans="1:4" x14ac:dyDescent="0.45">
      <c r="A440">
        <v>48</v>
      </c>
      <c r="B440">
        <f t="shared" ca="1" si="6"/>
        <v>20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0">
        <f ca="1">IF(dict_zuord_Transfers_Storages[[#This Row],[kval_active]],dict_zuord_Transfers_Storages[[#This Row],[ID_Storages]],"")</f>
        <v>20</v>
      </c>
    </row>
    <row r="441" spans="1:4" x14ac:dyDescent="0.45">
      <c r="A441">
        <v>48</v>
      </c>
      <c r="B441">
        <f t="shared" ca="1" si="6"/>
        <v>78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1">
        <f ca="1">IF(dict_zuord_Transfers_Storages[[#This Row],[kval_active]],dict_zuord_Transfers_Storages[[#This Row],[ID_Storages]],"")</f>
        <v>78</v>
      </c>
    </row>
    <row r="442" spans="1:4" x14ac:dyDescent="0.45">
      <c r="A442">
        <v>48</v>
      </c>
      <c r="B442">
        <f t="shared" ca="1" si="6"/>
        <v>80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2">
        <f ca="1">IF(dict_zuord_Transfers_Storages[[#This Row],[kval_active]],dict_zuord_Transfers_Storages[[#This Row],[ID_Storages]],"")</f>
        <v>80</v>
      </c>
    </row>
    <row r="443" spans="1:4" x14ac:dyDescent="0.45">
      <c r="A443">
        <v>49</v>
      </c>
      <c r="B443">
        <f t="shared" ca="1" si="6"/>
        <v>85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3">
        <f ca="1">IF(dict_zuord_Transfers_Storages[[#This Row],[kval_active]],dict_zuord_Transfers_Storages[[#This Row],[ID_Storages]],"")</f>
        <v>85</v>
      </c>
    </row>
    <row r="444" spans="1:4" x14ac:dyDescent="0.45">
      <c r="A444">
        <v>49</v>
      </c>
      <c r="B444">
        <f t="shared" ca="1" si="6"/>
        <v>71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4">
        <f ca="1">IF(dict_zuord_Transfers_Storages[[#This Row],[kval_active]],dict_zuord_Transfers_Storages[[#This Row],[ID_Storages]],"")</f>
        <v>71</v>
      </c>
    </row>
    <row r="445" spans="1:4" x14ac:dyDescent="0.45">
      <c r="A445">
        <v>49</v>
      </c>
      <c r="B445">
        <f t="shared" ca="1" si="6"/>
        <v>97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5">
        <f ca="1">IF(dict_zuord_Transfers_Storages[[#This Row],[kval_active]],dict_zuord_Transfers_Storages[[#This Row],[ID_Storages]],"")</f>
        <v>97</v>
      </c>
    </row>
    <row r="446" spans="1:4" x14ac:dyDescent="0.45">
      <c r="A446">
        <v>49</v>
      </c>
      <c r="B446">
        <f t="shared" ca="1" si="6"/>
        <v>68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6">
        <f ca="1">IF(dict_zuord_Transfers_Storages[[#This Row],[kval_active]],dict_zuord_Transfers_Storages[[#This Row],[ID_Storages]],"")</f>
        <v>68</v>
      </c>
    </row>
    <row r="447" spans="1:4" x14ac:dyDescent="0.45">
      <c r="A447">
        <v>49</v>
      </c>
      <c r="B447">
        <f t="shared" ca="1" si="6"/>
        <v>40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7">
        <f ca="1">IF(dict_zuord_Transfers_Storages[[#This Row],[kval_active]],dict_zuord_Transfers_Storages[[#This Row],[ID_Storages]],"")</f>
        <v>40</v>
      </c>
    </row>
    <row r="448" spans="1:4" x14ac:dyDescent="0.45">
      <c r="A448">
        <v>49</v>
      </c>
      <c r="B448">
        <f t="shared" ca="1" si="6"/>
        <v>23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8">
        <f ca="1">IF(dict_zuord_Transfers_Storages[[#This Row],[kval_active]],dict_zuord_Transfers_Storages[[#This Row],[ID_Storages]],"")</f>
        <v>23</v>
      </c>
    </row>
    <row r="449" spans="1:4" x14ac:dyDescent="0.45">
      <c r="A449">
        <v>49</v>
      </c>
      <c r="B449">
        <f t="shared" ca="1" si="6"/>
        <v>99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9">
        <f ca="1">IF(dict_zuord_Transfers_Storages[[#This Row],[kval_active]],dict_zuord_Transfers_Storages[[#This Row],[ID_Storages]],"")</f>
        <v>99</v>
      </c>
    </row>
    <row r="450" spans="1:4" x14ac:dyDescent="0.45">
      <c r="A450">
        <v>49</v>
      </c>
      <c r="B450">
        <f t="shared" ref="B450:B513" ca="1" si="7">RANDBETWEEN(0,100)</f>
        <v>40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0">
        <f ca="1">IF(dict_zuord_Transfers_Storages[[#This Row],[kval_active]],dict_zuord_Transfers_Storages[[#This Row],[ID_Storages]],"")</f>
        <v>40</v>
      </c>
    </row>
    <row r="451" spans="1:4" x14ac:dyDescent="0.45">
      <c r="A451">
        <v>49</v>
      </c>
      <c r="B451">
        <f t="shared" ca="1" si="7"/>
        <v>64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1">
        <f ca="1">IF(dict_zuord_Transfers_Storages[[#This Row],[kval_active]],dict_zuord_Transfers_Storages[[#This Row],[ID_Storages]],"")</f>
        <v>64</v>
      </c>
    </row>
    <row r="452" spans="1:4" x14ac:dyDescent="0.45">
      <c r="A452">
        <v>50</v>
      </c>
      <c r="B452">
        <f t="shared" ca="1" si="7"/>
        <v>83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2">
        <f ca="1">IF(dict_zuord_Transfers_Storages[[#This Row],[kval_active]],dict_zuord_Transfers_Storages[[#This Row],[ID_Storages]],"")</f>
        <v>83</v>
      </c>
    </row>
    <row r="453" spans="1:4" x14ac:dyDescent="0.45">
      <c r="A453">
        <v>50</v>
      </c>
      <c r="B453">
        <f t="shared" ca="1" si="7"/>
        <v>89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3">
        <f ca="1">IF(dict_zuord_Transfers_Storages[[#This Row],[kval_active]],dict_zuord_Transfers_Storages[[#This Row],[ID_Storages]],"")</f>
        <v>89</v>
      </c>
    </row>
    <row r="454" spans="1:4" x14ac:dyDescent="0.45">
      <c r="A454">
        <v>50</v>
      </c>
      <c r="B454">
        <f t="shared" ca="1" si="7"/>
        <v>62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4">
        <f ca="1">IF(dict_zuord_Transfers_Storages[[#This Row],[kval_active]],dict_zuord_Transfers_Storages[[#This Row],[ID_Storages]],"")</f>
        <v>62</v>
      </c>
    </row>
    <row r="455" spans="1:4" x14ac:dyDescent="0.45">
      <c r="A455">
        <v>50</v>
      </c>
      <c r="B455">
        <f t="shared" ca="1" si="7"/>
        <v>50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5">
        <f ca="1">IF(dict_zuord_Transfers_Storages[[#This Row],[kval_active]],dict_zuord_Transfers_Storages[[#This Row],[ID_Storages]],"")</f>
        <v>50</v>
      </c>
    </row>
    <row r="456" spans="1:4" x14ac:dyDescent="0.45">
      <c r="A456">
        <v>50</v>
      </c>
      <c r="B456">
        <f t="shared" ca="1" si="7"/>
        <v>97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6">
        <f ca="1">IF(dict_zuord_Transfers_Storages[[#This Row],[kval_active]],dict_zuord_Transfers_Storages[[#This Row],[ID_Storages]],"")</f>
        <v>97</v>
      </c>
    </row>
    <row r="457" spans="1:4" x14ac:dyDescent="0.45">
      <c r="A457">
        <v>50</v>
      </c>
      <c r="B457">
        <f t="shared" ca="1" si="7"/>
        <v>57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7">
        <f ca="1">IF(dict_zuord_Transfers_Storages[[#This Row],[kval_active]],dict_zuord_Transfers_Storages[[#This Row],[ID_Storages]],"")</f>
        <v>57</v>
      </c>
    </row>
    <row r="458" spans="1:4" x14ac:dyDescent="0.45">
      <c r="A458">
        <v>50</v>
      </c>
      <c r="B458">
        <f t="shared" ca="1" si="7"/>
        <v>37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8">
        <f ca="1">IF(dict_zuord_Transfers_Storages[[#This Row],[kval_active]],dict_zuord_Transfers_Storages[[#This Row],[ID_Storages]],"")</f>
        <v>37</v>
      </c>
    </row>
    <row r="459" spans="1:4" x14ac:dyDescent="0.45">
      <c r="A459">
        <v>50</v>
      </c>
      <c r="B459">
        <f t="shared" ca="1" si="7"/>
        <v>20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9">
        <f ca="1">IF(dict_zuord_Transfers_Storages[[#This Row],[kval_active]],dict_zuord_Transfers_Storages[[#This Row],[ID_Storages]],"")</f>
        <v>20</v>
      </c>
    </row>
    <row r="460" spans="1:4" x14ac:dyDescent="0.45">
      <c r="A460">
        <v>50</v>
      </c>
      <c r="B460">
        <f t="shared" ca="1" si="7"/>
        <v>33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0">
        <f ca="1">IF(dict_zuord_Transfers_Storages[[#This Row],[kval_active]],dict_zuord_Transfers_Storages[[#This Row],[ID_Storages]],"")</f>
        <v>33</v>
      </c>
    </row>
    <row r="461" spans="1:4" x14ac:dyDescent="0.45">
      <c r="A461">
        <v>51</v>
      </c>
      <c r="B461">
        <f t="shared" ca="1" si="7"/>
        <v>77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1" t="str">
        <f ca="1">IF(dict_zuord_Transfers_Storages[[#This Row],[kval_active]],dict_zuord_Transfers_Storages[[#This Row],[ID_Storages]],"")</f>
        <v/>
      </c>
    </row>
    <row r="462" spans="1:4" x14ac:dyDescent="0.45">
      <c r="A462">
        <v>51</v>
      </c>
      <c r="B462">
        <f t="shared" ca="1" si="7"/>
        <v>54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2" t="str">
        <f ca="1">IF(dict_zuord_Transfers_Storages[[#This Row],[kval_active]],dict_zuord_Transfers_Storages[[#This Row],[ID_Storages]],"")</f>
        <v/>
      </c>
    </row>
    <row r="463" spans="1:4" x14ac:dyDescent="0.45">
      <c r="A463">
        <v>51</v>
      </c>
      <c r="B463">
        <f t="shared" ca="1" si="7"/>
        <v>83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3" t="str">
        <f ca="1">IF(dict_zuord_Transfers_Storages[[#This Row],[kval_active]],dict_zuord_Transfers_Storages[[#This Row],[ID_Storages]],"")</f>
        <v/>
      </c>
    </row>
    <row r="464" spans="1:4" x14ac:dyDescent="0.45">
      <c r="A464">
        <v>51</v>
      </c>
      <c r="B464">
        <f t="shared" ca="1" si="7"/>
        <v>46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4" t="str">
        <f ca="1">IF(dict_zuord_Transfers_Storages[[#This Row],[kval_active]],dict_zuord_Transfers_Storages[[#This Row],[ID_Storages]],"")</f>
        <v/>
      </c>
    </row>
    <row r="465" spans="1:4" x14ac:dyDescent="0.45">
      <c r="A465">
        <v>51</v>
      </c>
      <c r="B465">
        <f t="shared" ca="1" si="7"/>
        <v>57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5" t="str">
        <f ca="1">IF(dict_zuord_Transfers_Storages[[#This Row],[kval_active]],dict_zuord_Transfers_Storages[[#This Row],[ID_Storages]],"")</f>
        <v/>
      </c>
    </row>
    <row r="466" spans="1:4" x14ac:dyDescent="0.45">
      <c r="A466">
        <v>51</v>
      </c>
      <c r="B466">
        <f t="shared" ca="1" si="7"/>
        <v>49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6" t="str">
        <f ca="1">IF(dict_zuord_Transfers_Storages[[#This Row],[kval_active]],dict_zuord_Transfers_Storages[[#This Row],[ID_Storages]],"")</f>
        <v/>
      </c>
    </row>
    <row r="467" spans="1:4" x14ac:dyDescent="0.45">
      <c r="A467">
        <v>51</v>
      </c>
      <c r="B467">
        <f t="shared" ca="1" si="7"/>
        <v>95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7" t="str">
        <f ca="1">IF(dict_zuord_Transfers_Storages[[#This Row],[kval_active]],dict_zuord_Transfers_Storages[[#This Row],[ID_Storages]],"")</f>
        <v/>
      </c>
    </row>
    <row r="468" spans="1:4" x14ac:dyDescent="0.45">
      <c r="A468">
        <v>51</v>
      </c>
      <c r="B468">
        <f t="shared" ca="1" si="7"/>
        <v>25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8" t="str">
        <f ca="1">IF(dict_zuord_Transfers_Storages[[#This Row],[kval_active]],dict_zuord_Transfers_Storages[[#This Row],[ID_Storages]],"")</f>
        <v/>
      </c>
    </row>
    <row r="469" spans="1:4" x14ac:dyDescent="0.45">
      <c r="A469">
        <v>51</v>
      </c>
      <c r="B469">
        <f t="shared" ca="1" si="7"/>
        <v>46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9" t="str">
        <f ca="1">IF(dict_zuord_Transfers_Storages[[#This Row],[kval_active]],dict_zuord_Transfers_Storages[[#This Row],[ID_Storages]],"")</f>
        <v/>
      </c>
    </row>
    <row r="470" spans="1:4" x14ac:dyDescent="0.45">
      <c r="A470">
        <v>52</v>
      </c>
      <c r="B470">
        <f t="shared" ca="1" si="7"/>
        <v>100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0" t="str">
        <f ca="1">IF(dict_zuord_Transfers_Storages[[#This Row],[kval_active]],dict_zuord_Transfers_Storages[[#This Row],[ID_Storages]],"")</f>
        <v/>
      </c>
    </row>
    <row r="471" spans="1:4" x14ac:dyDescent="0.45">
      <c r="A471">
        <v>52</v>
      </c>
      <c r="B471">
        <f t="shared" ca="1" si="7"/>
        <v>96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1" t="str">
        <f ca="1">IF(dict_zuord_Transfers_Storages[[#This Row],[kval_active]],dict_zuord_Transfers_Storages[[#This Row],[ID_Storages]],"")</f>
        <v/>
      </c>
    </row>
    <row r="472" spans="1:4" x14ac:dyDescent="0.45">
      <c r="A472">
        <v>52</v>
      </c>
      <c r="B472">
        <f t="shared" ca="1" si="7"/>
        <v>62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2" t="str">
        <f ca="1">IF(dict_zuord_Transfers_Storages[[#This Row],[kval_active]],dict_zuord_Transfers_Storages[[#This Row],[ID_Storages]],"")</f>
        <v/>
      </c>
    </row>
    <row r="473" spans="1:4" x14ac:dyDescent="0.45">
      <c r="A473">
        <v>52</v>
      </c>
      <c r="B473">
        <f t="shared" ca="1" si="7"/>
        <v>16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3" t="str">
        <f ca="1">IF(dict_zuord_Transfers_Storages[[#This Row],[kval_active]],dict_zuord_Transfers_Storages[[#This Row],[ID_Storages]],"")</f>
        <v/>
      </c>
    </row>
    <row r="474" spans="1:4" x14ac:dyDescent="0.45">
      <c r="A474">
        <v>52</v>
      </c>
      <c r="B474">
        <f t="shared" ca="1" si="7"/>
        <v>2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4" t="str">
        <f ca="1">IF(dict_zuord_Transfers_Storages[[#This Row],[kval_active]],dict_zuord_Transfers_Storages[[#This Row],[ID_Storages]],"")</f>
        <v/>
      </c>
    </row>
    <row r="475" spans="1:4" x14ac:dyDescent="0.45">
      <c r="A475">
        <v>52</v>
      </c>
      <c r="B475">
        <f t="shared" ca="1" si="7"/>
        <v>61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5" t="str">
        <f ca="1">IF(dict_zuord_Transfers_Storages[[#This Row],[kval_active]],dict_zuord_Transfers_Storages[[#This Row],[ID_Storages]],"")</f>
        <v/>
      </c>
    </row>
    <row r="476" spans="1:4" x14ac:dyDescent="0.45">
      <c r="A476">
        <v>52</v>
      </c>
      <c r="B476">
        <f t="shared" ca="1" si="7"/>
        <v>92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6" t="str">
        <f ca="1">IF(dict_zuord_Transfers_Storages[[#This Row],[kval_active]],dict_zuord_Transfers_Storages[[#This Row],[ID_Storages]],"")</f>
        <v/>
      </c>
    </row>
    <row r="477" spans="1:4" x14ac:dyDescent="0.45">
      <c r="A477">
        <v>52</v>
      </c>
      <c r="B477">
        <f t="shared" ca="1" si="7"/>
        <v>25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7" t="str">
        <f ca="1">IF(dict_zuord_Transfers_Storages[[#This Row],[kval_active]],dict_zuord_Transfers_Storages[[#This Row],[ID_Storages]],"")</f>
        <v/>
      </c>
    </row>
    <row r="478" spans="1:4" x14ac:dyDescent="0.45">
      <c r="A478">
        <v>52</v>
      </c>
      <c r="B478">
        <f t="shared" ca="1" si="7"/>
        <v>83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8" t="str">
        <f ca="1">IF(dict_zuord_Transfers_Storages[[#This Row],[kval_active]],dict_zuord_Transfers_Storages[[#This Row],[ID_Storages]],"")</f>
        <v/>
      </c>
    </row>
    <row r="479" spans="1:4" x14ac:dyDescent="0.45">
      <c r="A479">
        <v>53</v>
      </c>
      <c r="B479">
        <f t="shared" ca="1" si="7"/>
        <v>36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9">
        <f ca="1">IF(dict_zuord_Transfers_Storages[[#This Row],[kval_active]],dict_zuord_Transfers_Storages[[#This Row],[ID_Storages]],"")</f>
        <v>36</v>
      </c>
    </row>
    <row r="480" spans="1:4" x14ac:dyDescent="0.45">
      <c r="A480">
        <v>53</v>
      </c>
      <c r="B480">
        <f t="shared" ca="1" si="7"/>
        <v>20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0">
        <f ca="1">IF(dict_zuord_Transfers_Storages[[#This Row],[kval_active]],dict_zuord_Transfers_Storages[[#This Row],[ID_Storages]],"")</f>
        <v>20</v>
      </c>
    </row>
    <row r="481" spans="1:4" x14ac:dyDescent="0.45">
      <c r="A481">
        <v>53</v>
      </c>
      <c r="B481">
        <f t="shared" ca="1" si="7"/>
        <v>80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1">
        <f ca="1">IF(dict_zuord_Transfers_Storages[[#This Row],[kval_active]],dict_zuord_Transfers_Storages[[#This Row],[ID_Storages]],"")</f>
        <v>80</v>
      </c>
    </row>
    <row r="482" spans="1:4" x14ac:dyDescent="0.45">
      <c r="A482">
        <v>53</v>
      </c>
      <c r="B482">
        <f t="shared" ca="1" si="7"/>
        <v>71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2">
        <f ca="1">IF(dict_zuord_Transfers_Storages[[#This Row],[kval_active]],dict_zuord_Transfers_Storages[[#This Row],[ID_Storages]],"")</f>
        <v>71</v>
      </c>
    </row>
    <row r="483" spans="1:4" x14ac:dyDescent="0.45">
      <c r="A483">
        <v>53</v>
      </c>
      <c r="B483">
        <f t="shared" ca="1" si="7"/>
        <v>70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3">
        <f ca="1">IF(dict_zuord_Transfers_Storages[[#This Row],[kval_active]],dict_zuord_Transfers_Storages[[#This Row],[ID_Storages]],"")</f>
        <v>70</v>
      </c>
    </row>
    <row r="484" spans="1:4" x14ac:dyDescent="0.45">
      <c r="A484">
        <v>53</v>
      </c>
      <c r="B484">
        <f t="shared" ca="1" si="7"/>
        <v>99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4">
        <f ca="1">IF(dict_zuord_Transfers_Storages[[#This Row],[kval_active]],dict_zuord_Transfers_Storages[[#This Row],[ID_Storages]],"")</f>
        <v>99</v>
      </c>
    </row>
    <row r="485" spans="1:4" x14ac:dyDescent="0.45">
      <c r="A485">
        <v>53</v>
      </c>
      <c r="B485">
        <f t="shared" ca="1" si="7"/>
        <v>81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5">
        <f ca="1">IF(dict_zuord_Transfers_Storages[[#This Row],[kval_active]],dict_zuord_Transfers_Storages[[#This Row],[ID_Storages]],"")</f>
        <v>81</v>
      </c>
    </row>
    <row r="486" spans="1:4" x14ac:dyDescent="0.45">
      <c r="A486">
        <v>53</v>
      </c>
      <c r="B486">
        <f t="shared" ca="1" si="7"/>
        <v>43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6">
        <f ca="1">IF(dict_zuord_Transfers_Storages[[#This Row],[kval_active]],dict_zuord_Transfers_Storages[[#This Row],[ID_Storages]],"")</f>
        <v>43</v>
      </c>
    </row>
    <row r="487" spans="1:4" x14ac:dyDescent="0.45">
      <c r="A487">
        <v>53</v>
      </c>
      <c r="B487">
        <f t="shared" ca="1" si="7"/>
        <v>80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7">
        <f ca="1">IF(dict_zuord_Transfers_Storages[[#This Row],[kval_active]],dict_zuord_Transfers_Storages[[#This Row],[ID_Storages]],"")</f>
        <v>80</v>
      </c>
    </row>
    <row r="488" spans="1:4" x14ac:dyDescent="0.45">
      <c r="A488">
        <v>54</v>
      </c>
      <c r="B488">
        <f t="shared" ca="1" si="7"/>
        <v>14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8">
        <f ca="1">IF(dict_zuord_Transfers_Storages[[#This Row],[kval_active]],dict_zuord_Transfers_Storages[[#This Row],[ID_Storages]],"")</f>
        <v>14</v>
      </c>
    </row>
    <row r="489" spans="1:4" x14ac:dyDescent="0.45">
      <c r="A489">
        <v>54</v>
      </c>
      <c r="B489">
        <f t="shared" ca="1" si="7"/>
        <v>80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9">
        <f ca="1">IF(dict_zuord_Transfers_Storages[[#This Row],[kval_active]],dict_zuord_Transfers_Storages[[#This Row],[ID_Storages]],"")</f>
        <v>80</v>
      </c>
    </row>
    <row r="490" spans="1:4" x14ac:dyDescent="0.45">
      <c r="A490">
        <v>54</v>
      </c>
      <c r="B490">
        <f t="shared" ca="1" si="7"/>
        <v>46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0">
        <f ca="1">IF(dict_zuord_Transfers_Storages[[#This Row],[kval_active]],dict_zuord_Transfers_Storages[[#This Row],[ID_Storages]],"")</f>
        <v>46</v>
      </c>
    </row>
    <row r="491" spans="1:4" x14ac:dyDescent="0.45">
      <c r="A491">
        <v>54</v>
      </c>
      <c r="B491">
        <f t="shared" ca="1" si="7"/>
        <v>85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1">
        <f ca="1">IF(dict_zuord_Transfers_Storages[[#This Row],[kval_active]],dict_zuord_Transfers_Storages[[#This Row],[ID_Storages]],"")</f>
        <v>85</v>
      </c>
    </row>
    <row r="492" spans="1:4" x14ac:dyDescent="0.45">
      <c r="A492">
        <v>54</v>
      </c>
      <c r="B492">
        <f t="shared" ca="1" si="7"/>
        <v>46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2">
        <f ca="1">IF(dict_zuord_Transfers_Storages[[#This Row],[kval_active]],dict_zuord_Transfers_Storages[[#This Row],[ID_Storages]],"")</f>
        <v>46</v>
      </c>
    </row>
    <row r="493" spans="1:4" x14ac:dyDescent="0.45">
      <c r="A493">
        <v>54</v>
      </c>
      <c r="B493">
        <f t="shared" ca="1" si="7"/>
        <v>31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3">
        <f ca="1">IF(dict_zuord_Transfers_Storages[[#This Row],[kval_active]],dict_zuord_Transfers_Storages[[#This Row],[ID_Storages]],"")</f>
        <v>31</v>
      </c>
    </row>
    <row r="494" spans="1:4" x14ac:dyDescent="0.45">
      <c r="A494">
        <v>54</v>
      </c>
      <c r="B494">
        <f t="shared" ca="1" si="7"/>
        <v>61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4">
        <f ca="1">IF(dict_zuord_Transfers_Storages[[#This Row],[kval_active]],dict_zuord_Transfers_Storages[[#This Row],[ID_Storages]],"")</f>
        <v>61</v>
      </c>
    </row>
    <row r="495" spans="1:4" x14ac:dyDescent="0.45">
      <c r="A495">
        <v>54</v>
      </c>
      <c r="B495">
        <f t="shared" ca="1" si="7"/>
        <v>11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5">
        <f ca="1">IF(dict_zuord_Transfers_Storages[[#This Row],[kval_active]],dict_zuord_Transfers_Storages[[#This Row],[ID_Storages]],"")</f>
        <v>11</v>
      </c>
    </row>
    <row r="496" spans="1:4" x14ac:dyDescent="0.45">
      <c r="A496">
        <v>54</v>
      </c>
      <c r="B496">
        <f t="shared" ca="1" si="7"/>
        <v>18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6">
        <f ca="1">IF(dict_zuord_Transfers_Storages[[#This Row],[kval_active]],dict_zuord_Transfers_Storages[[#This Row],[ID_Storages]],"")</f>
        <v>18</v>
      </c>
    </row>
    <row r="497" spans="1:4" x14ac:dyDescent="0.45">
      <c r="A497">
        <v>55</v>
      </c>
      <c r="B497">
        <f t="shared" ca="1" si="7"/>
        <v>58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7">
        <f ca="1">IF(dict_zuord_Transfers_Storages[[#This Row],[kval_active]],dict_zuord_Transfers_Storages[[#This Row],[ID_Storages]],"")</f>
        <v>58</v>
      </c>
    </row>
    <row r="498" spans="1:4" x14ac:dyDescent="0.45">
      <c r="A498">
        <v>55</v>
      </c>
      <c r="B498">
        <f t="shared" ca="1" si="7"/>
        <v>33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8">
        <f ca="1">IF(dict_zuord_Transfers_Storages[[#This Row],[kval_active]],dict_zuord_Transfers_Storages[[#This Row],[ID_Storages]],"")</f>
        <v>33</v>
      </c>
    </row>
    <row r="499" spans="1:4" x14ac:dyDescent="0.45">
      <c r="A499">
        <v>55</v>
      </c>
      <c r="B499">
        <f t="shared" ca="1" si="7"/>
        <v>57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9">
        <f ca="1">IF(dict_zuord_Transfers_Storages[[#This Row],[kval_active]],dict_zuord_Transfers_Storages[[#This Row],[ID_Storages]],"")</f>
        <v>57</v>
      </c>
    </row>
    <row r="500" spans="1:4" x14ac:dyDescent="0.45">
      <c r="A500">
        <v>55</v>
      </c>
      <c r="B500">
        <f t="shared" ca="1" si="7"/>
        <v>56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0">
        <f ca="1">IF(dict_zuord_Transfers_Storages[[#This Row],[kval_active]],dict_zuord_Transfers_Storages[[#This Row],[ID_Storages]],"")</f>
        <v>56</v>
      </c>
    </row>
    <row r="501" spans="1:4" x14ac:dyDescent="0.45">
      <c r="A501">
        <v>55</v>
      </c>
      <c r="B501">
        <f t="shared" ca="1" si="7"/>
        <v>51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1">
        <f ca="1">IF(dict_zuord_Transfers_Storages[[#This Row],[kval_active]],dict_zuord_Transfers_Storages[[#This Row],[ID_Storages]],"")</f>
        <v>51</v>
      </c>
    </row>
    <row r="502" spans="1:4" x14ac:dyDescent="0.45">
      <c r="A502">
        <v>55</v>
      </c>
      <c r="B502">
        <f t="shared" ca="1" si="7"/>
        <v>43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2">
        <f ca="1">IF(dict_zuord_Transfers_Storages[[#This Row],[kval_active]],dict_zuord_Transfers_Storages[[#This Row],[ID_Storages]],"")</f>
        <v>43</v>
      </c>
    </row>
    <row r="503" spans="1:4" x14ac:dyDescent="0.45">
      <c r="A503">
        <v>55</v>
      </c>
      <c r="B503">
        <f t="shared" ca="1" si="7"/>
        <v>46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3">
        <f ca="1">IF(dict_zuord_Transfers_Storages[[#This Row],[kval_active]],dict_zuord_Transfers_Storages[[#This Row],[ID_Storages]],"")</f>
        <v>46</v>
      </c>
    </row>
    <row r="504" spans="1:4" x14ac:dyDescent="0.45">
      <c r="A504">
        <v>55</v>
      </c>
      <c r="B504">
        <f t="shared" ca="1" si="7"/>
        <v>35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4">
        <f ca="1">IF(dict_zuord_Transfers_Storages[[#This Row],[kval_active]],dict_zuord_Transfers_Storages[[#This Row],[ID_Storages]],"")</f>
        <v>35</v>
      </c>
    </row>
    <row r="505" spans="1:4" x14ac:dyDescent="0.45">
      <c r="A505">
        <v>55</v>
      </c>
      <c r="B505">
        <f t="shared" ca="1" si="7"/>
        <v>68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5">
        <f ca="1">IF(dict_zuord_Transfers_Storages[[#This Row],[kval_active]],dict_zuord_Transfers_Storages[[#This Row],[ID_Storages]],"")</f>
        <v>68</v>
      </c>
    </row>
    <row r="506" spans="1:4" x14ac:dyDescent="0.45">
      <c r="A506">
        <v>56</v>
      </c>
      <c r="B506">
        <f t="shared" ca="1" si="7"/>
        <v>59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6" t="str">
        <f ca="1">IF(dict_zuord_Transfers_Storages[[#This Row],[kval_active]],dict_zuord_Transfers_Storages[[#This Row],[ID_Storages]],"")</f>
        <v/>
      </c>
    </row>
    <row r="507" spans="1:4" x14ac:dyDescent="0.45">
      <c r="A507">
        <v>56</v>
      </c>
      <c r="B507">
        <f t="shared" ca="1" si="7"/>
        <v>32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7" t="str">
        <f ca="1">IF(dict_zuord_Transfers_Storages[[#This Row],[kval_active]],dict_zuord_Transfers_Storages[[#This Row],[ID_Storages]],"")</f>
        <v/>
      </c>
    </row>
    <row r="508" spans="1:4" x14ac:dyDescent="0.45">
      <c r="A508">
        <v>56</v>
      </c>
      <c r="B508">
        <f t="shared" ca="1" si="7"/>
        <v>33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8" t="str">
        <f ca="1">IF(dict_zuord_Transfers_Storages[[#This Row],[kval_active]],dict_zuord_Transfers_Storages[[#This Row],[ID_Storages]],"")</f>
        <v/>
      </c>
    </row>
    <row r="509" spans="1:4" x14ac:dyDescent="0.45">
      <c r="A509">
        <v>56</v>
      </c>
      <c r="B509">
        <f t="shared" ca="1" si="7"/>
        <v>54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9" t="str">
        <f ca="1">IF(dict_zuord_Transfers_Storages[[#This Row],[kval_active]],dict_zuord_Transfers_Storages[[#This Row],[ID_Storages]],"")</f>
        <v/>
      </c>
    </row>
    <row r="510" spans="1:4" x14ac:dyDescent="0.45">
      <c r="A510">
        <v>56</v>
      </c>
      <c r="B510">
        <f t="shared" ca="1" si="7"/>
        <v>82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0" t="str">
        <f ca="1">IF(dict_zuord_Transfers_Storages[[#This Row],[kval_active]],dict_zuord_Transfers_Storages[[#This Row],[ID_Storages]],"")</f>
        <v/>
      </c>
    </row>
    <row r="511" spans="1:4" x14ac:dyDescent="0.45">
      <c r="A511">
        <v>56</v>
      </c>
      <c r="B511">
        <f t="shared" ca="1" si="7"/>
        <v>88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1" t="str">
        <f ca="1">IF(dict_zuord_Transfers_Storages[[#This Row],[kval_active]],dict_zuord_Transfers_Storages[[#This Row],[ID_Storages]],"")</f>
        <v/>
      </c>
    </row>
    <row r="512" spans="1:4" x14ac:dyDescent="0.45">
      <c r="A512">
        <v>56</v>
      </c>
      <c r="B512">
        <f t="shared" ca="1" si="7"/>
        <v>65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2" t="str">
        <f ca="1">IF(dict_zuord_Transfers_Storages[[#This Row],[kval_active]],dict_zuord_Transfers_Storages[[#This Row],[ID_Storages]],"")</f>
        <v/>
      </c>
    </row>
    <row r="513" spans="1:4" x14ac:dyDescent="0.45">
      <c r="A513">
        <v>56</v>
      </c>
      <c r="B513">
        <f t="shared" ca="1" si="7"/>
        <v>63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3" t="str">
        <f ca="1">IF(dict_zuord_Transfers_Storages[[#This Row],[kval_active]],dict_zuord_Transfers_Storages[[#This Row],[ID_Storages]],"")</f>
        <v/>
      </c>
    </row>
    <row r="514" spans="1:4" x14ac:dyDescent="0.45">
      <c r="A514">
        <v>56</v>
      </c>
      <c r="B514">
        <f t="shared" ref="B514:B577" ca="1" si="8">RANDBETWEEN(0,100)</f>
        <v>8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4" t="str">
        <f ca="1">IF(dict_zuord_Transfers_Storages[[#This Row],[kval_active]],dict_zuord_Transfers_Storages[[#This Row],[ID_Storages]],"")</f>
        <v/>
      </c>
    </row>
    <row r="515" spans="1:4" x14ac:dyDescent="0.45">
      <c r="A515">
        <v>57</v>
      </c>
      <c r="B515">
        <f t="shared" ca="1" si="8"/>
        <v>17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5" t="str">
        <f ca="1">IF(dict_zuord_Transfers_Storages[[#This Row],[kval_active]],dict_zuord_Transfers_Storages[[#This Row],[ID_Storages]],"")</f>
        <v/>
      </c>
    </row>
    <row r="516" spans="1:4" x14ac:dyDescent="0.45">
      <c r="A516">
        <v>57</v>
      </c>
      <c r="B516">
        <f t="shared" ca="1" si="8"/>
        <v>22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6" t="str">
        <f ca="1">IF(dict_zuord_Transfers_Storages[[#This Row],[kval_active]],dict_zuord_Transfers_Storages[[#This Row],[ID_Storages]],"")</f>
        <v/>
      </c>
    </row>
    <row r="517" spans="1:4" x14ac:dyDescent="0.45">
      <c r="A517">
        <v>57</v>
      </c>
      <c r="B517">
        <f t="shared" ca="1" si="8"/>
        <v>67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7" t="str">
        <f ca="1">IF(dict_zuord_Transfers_Storages[[#This Row],[kval_active]],dict_zuord_Transfers_Storages[[#This Row],[ID_Storages]],"")</f>
        <v/>
      </c>
    </row>
    <row r="518" spans="1:4" x14ac:dyDescent="0.45">
      <c r="A518">
        <v>57</v>
      </c>
      <c r="B518">
        <f t="shared" ca="1" si="8"/>
        <v>37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8" t="str">
        <f ca="1">IF(dict_zuord_Transfers_Storages[[#This Row],[kval_active]],dict_zuord_Transfers_Storages[[#This Row],[ID_Storages]],"")</f>
        <v/>
      </c>
    </row>
    <row r="519" spans="1:4" x14ac:dyDescent="0.45">
      <c r="A519">
        <v>57</v>
      </c>
      <c r="B519">
        <f t="shared" ca="1" si="8"/>
        <v>2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9" t="str">
        <f ca="1">IF(dict_zuord_Transfers_Storages[[#This Row],[kval_active]],dict_zuord_Transfers_Storages[[#This Row],[ID_Storages]],"")</f>
        <v/>
      </c>
    </row>
    <row r="520" spans="1:4" x14ac:dyDescent="0.45">
      <c r="A520">
        <v>57</v>
      </c>
      <c r="B520">
        <f t="shared" ca="1" si="8"/>
        <v>19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0" t="str">
        <f ca="1">IF(dict_zuord_Transfers_Storages[[#This Row],[kval_active]],dict_zuord_Transfers_Storages[[#This Row],[ID_Storages]],"")</f>
        <v/>
      </c>
    </row>
    <row r="521" spans="1:4" x14ac:dyDescent="0.45">
      <c r="A521">
        <v>57</v>
      </c>
      <c r="B521">
        <f t="shared" ca="1" si="8"/>
        <v>22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1" t="str">
        <f ca="1">IF(dict_zuord_Transfers_Storages[[#This Row],[kval_active]],dict_zuord_Transfers_Storages[[#This Row],[ID_Storages]],"")</f>
        <v/>
      </c>
    </row>
    <row r="522" spans="1:4" x14ac:dyDescent="0.45">
      <c r="A522">
        <v>57</v>
      </c>
      <c r="B522">
        <f t="shared" ca="1" si="8"/>
        <v>35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2" t="str">
        <f ca="1">IF(dict_zuord_Transfers_Storages[[#This Row],[kval_active]],dict_zuord_Transfers_Storages[[#This Row],[ID_Storages]],"")</f>
        <v/>
      </c>
    </row>
    <row r="523" spans="1:4" x14ac:dyDescent="0.45">
      <c r="A523">
        <v>57</v>
      </c>
      <c r="B523">
        <f t="shared" ca="1" si="8"/>
        <v>98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3" t="str">
        <f ca="1">IF(dict_zuord_Transfers_Storages[[#This Row],[kval_active]],dict_zuord_Transfers_Storages[[#This Row],[ID_Storages]],"")</f>
        <v/>
      </c>
    </row>
    <row r="524" spans="1:4" x14ac:dyDescent="0.45">
      <c r="A524">
        <v>58</v>
      </c>
      <c r="B524">
        <f t="shared" ca="1" si="8"/>
        <v>89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4">
        <f ca="1">IF(dict_zuord_Transfers_Storages[[#This Row],[kval_active]],dict_zuord_Transfers_Storages[[#This Row],[ID_Storages]],"")</f>
        <v>89</v>
      </c>
    </row>
    <row r="525" spans="1:4" x14ac:dyDescent="0.45">
      <c r="A525">
        <v>58</v>
      </c>
      <c r="B525">
        <f t="shared" ca="1" si="8"/>
        <v>98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5">
        <f ca="1">IF(dict_zuord_Transfers_Storages[[#This Row],[kval_active]],dict_zuord_Transfers_Storages[[#This Row],[ID_Storages]],"")</f>
        <v>98</v>
      </c>
    </row>
    <row r="526" spans="1:4" x14ac:dyDescent="0.45">
      <c r="A526">
        <v>58</v>
      </c>
      <c r="B526">
        <f t="shared" ca="1" si="8"/>
        <v>16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6">
        <f ca="1">IF(dict_zuord_Transfers_Storages[[#This Row],[kval_active]],dict_zuord_Transfers_Storages[[#This Row],[ID_Storages]],"")</f>
        <v>16</v>
      </c>
    </row>
    <row r="527" spans="1:4" x14ac:dyDescent="0.45">
      <c r="A527">
        <v>58</v>
      </c>
      <c r="B527">
        <f t="shared" ca="1" si="8"/>
        <v>32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7">
        <f ca="1">IF(dict_zuord_Transfers_Storages[[#This Row],[kval_active]],dict_zuord_Transfers_Storages[[#This Row],[ID_Storages]],"")</f>
        <v>32</v>
      </c>
    </row>
    <row r="528" spans="1:4" x14ac:dyDescent="0.45">
      <c r="A528">
        <v>58</v>
      </c>
      <c r="B528">
        <f t="shared" ca="1" si="8"/>
        <v>95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8">
        <f ca="1">IF(dict_zuord_Transfers_Storages[[#This Row],[kval_active]],dict_zuord_Transfers_Storages[[#This Row],[ID_Storages]],"")</f>
        <v>95</v>
      </c>
    </row>
    <row r="529" spans="1:4" x14ac:dyDescent="0.45">
      <c r="A529">
        <v>58</v>
      </c>
      <c r="B529">
        <f t="shared" ca="1" si="8"/>
        <v>100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9">
        <f ca="1">IF(dict_zuord_Transfers_Storages[[#This Row],[kval_active]],dict_zuord_Transfers_Storages[[#This Row],[ID_Storages]],"")</f>
        <v>100</v>
      </c>
    </row>
    <row r="530" spans="1:4" x14ac:dyDescent="0.45">
      <c r="A530">
        <v>58</v>
      </c>
      <c r="B530">
        <f t="shared" ca="1" si="8"/>
        <v>47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0">
        <f ca="1">IF(dict_zuord_Transfers_Storages[[#This Row],[kval_active]],dict_zuord_Transfers_Storages[[#This Row],[ID_Storages]],"")</f>
        <v>47</v>
      </c>
    </row>
    <row r="531" spans="1:4" x14ac:dyDescent="0.45">
      <c r="A531">
        <v>58</v>
      </c>
      <c r="B531">
        <f t="shared" ca="1" si="8"/>
        <v>36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1">
        <f ca="1">IF(dict_zuord_Transfers_Storages[[#This Row],[kval_active]],dict_zuord_Transfers_Storages[[#This Row],[ID_Storages]],"")</f>
        <v>36</v>
      </c>
    </row>
    <row r="532" spans="1:4" x14ac:dyDescent="0.45">
      <c r="A532">
        <v>58</v>
      </c>
      <c r="B532">
        <f t="shared" ca="1" si="8"/>
        <v>4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2">
        <f ca="1">IF(dict_zuord_Transfers_Storages[[#This Row],[kval_active]],dict_zuord_Transfers_Storages[[#This Row],[ID_Storages]],"")</f>
        <v>4</v>
      </c>
    </row>
    <row r="533" spans="1:4" x14ac:dyDescent="0.45">
      <c r="A533">
        <v>59</v>
      </c>
      <c r="B533">
        <f t="shared" ca="1" si="8"/>
        <v>93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3">
        <f ca="1">IF(dict_zuord_Transfers_Storages[[#This Row],[kval_active]],dict_zuord_Transfers_Storages[[#This Row],[ID_Storages]],"")</f>
        <v>93</v>
      </c>
    </row>
    <row r="534" spans="1:4" x14ac:dyDescent="0.45">
      <c r="A534">
        <v>59</v>
      </c>
      <c r="B534">
        <f t="shared" ca="1" si="8"/>
        <v>14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4">
        <f ca="1">IF(dict_zuord_Transfers_Storages[[#This Row],[kval_active]],dict_zuord_Transfers_Storages[[#This Row],[ID_Storages]],"")</f>
        <v>14</v>
      </c>
    </row>
    <row r="535" spans="1:4" x14ac:dyDescent="0.45">
      <c r="A535">
        <v>59</v>
      </c>
      <c r="B535">
        <f t="shared" ca="1" si="8"/>
        <v>27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5">
        <f ca="1">IF(dict_zuord_Transfers_Storages[[#This Row],[kval_active]],dict_zuord_Transfers_Storages[[#This Row],[ID_Storages]],"")</f>
        <v>27</v>
      </c>
    </row>
    <row r="536" spans="1:4" x14ac:dyDescent="0.45">
      <c r="A536">
        <v>59</v>
      </c>
      <c r="B536">
        <f t="shared" ca="1" si="8"/>
        <v>81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6">
        <f ca="1">IF(dict_zuord_Transfers_Storages[[#This Row],[kval_active]],dict_zuord_Transfers_Storages[[#This Row],[ID_Storages]],"")</f>
        <v>81</v>
      </c>
    </row>
    <row r="537" spans="1:4" x14ac:dyDescent="0.45">
      <c r="A537">
        <v>59</v>
      </c>
      <c r="B537">
        <f t="shared" ca="1" si="8"/>
        <v>46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7">
        <f ca="1">IF(dict_zuord_Transfers_Storages[[#This Row],[kval_active]],dict_zuord_Transfers_Storages[[#This Row],[ID_Storages]],"")</f>
        <v>46</v>
      </c>
    </row>
    <row r="538" spans="1:4" x14ac:dyDescent="0.45">
      <c r="A538">
        <v>59</v>
      </c>
      <c r="B538">
        <f t="shared" ca="1" si="8"/>
        <v>20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8">
        <f ca="1">IF(dict_zuord_Transfers_Storages[[#This Row],[kval_active]],dict_zuord_Transfers_Storages[[#This Row],[ID_Storages]],"")</f>
        <v>20</v>
      </c>
    </row>
    <row r="539" spans="1:4" x14ac:dyDescent="0.45">
      <c r="A539">
        <v>59</v>
      </c>
      <c r="B539">
        <f t="shared" ca="1" si="8"/>
        <v>98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9">
        <f ca="1">IF(dict_zuord_Transfers_Storages[[#This Row],[kval_active]],dict_zuord_Transfers_Storages[[#This Row],[ID_Storages]],"")</f>
        <v>98</v>
      </c>
    </row>
    <row r="540" spans="1:4" x14ac:dyDescent="0.45">
      <c r="A540">
        <v>59</v>
      </c>
      <c r="B540">
        <f t="shared" ca="1" si="8"/>
        <v>17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0">
        <f ca="1">IF(dict_zuord_Transfers_Storages[[#This Row],[kval_active]],dict_zuord_Transfers_Storages[[#This Row],[ID_Storages]],"")</f>
        <v>17</v>
      </c>
    </row>
    <row r="541" spans="1:4" x14ac:dyDescent="0.45">
      <c r="A541">
        <v>59</v>
      </c>
      <c r="B541">
        <f t="shared" ca="1" si="8"/>
        <v>19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1">
        <f ca="1">IF(dict_zuord_Transfers_Storages[[#This Row],[kval_active]],dict_zuord_Transfers_Storages[[#This Row],[ID_Storages]],"")</f>
        <v>19</v>
      </c>
    </row>
    <row r="542" spans="1:4" x14ac:dyDescent="0.45">
      <c r="A542">
        <v>60</v>
      </c>
      <c r="B542">
        <f t="shared" ca="1" si="8"/>
        <v>98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2" t="str">
        <f ca="1">IF(dict_zuord_Transfers_Storages[[#This Row],[kval_active]],dict_zuord_Transfers_Storages[[#This Row],[ID_Storages]],"")</f>
        <v/>
      </c>
    </row>
    <row r="543" spans="1:4" x14ac:dyDescent="0.45">
      <c r="A543">
        <v>60</v>
      </c>
      <c r="B543">
        <f t="shared" ca="1" si="8"/>
        <v>92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3" t="str">
        <f ca="1">IF(dict_zuord_Transfers_Storages[[#This Row],[kval_active]],dict_zuord_Transfers_Storages[[#This Row],[ID_Storages]],"")</f>
        <v/>
      </c>
    </row>
    <row r="544" spans="1:4" x14ac:dyDescent="0.45">
      <c r="A544">
        <v>60</v>
      </c>
      <c r="B544">
        <f t="shared" ca="1" si="8"/>
        <v>38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4" t="str">
        <f ca="1">IF(dict_zuord_Transfers_Storages[[#This Row],[kval_active]],dict_zuord_Transfers_Storages[[#This Row],[ID_Storages]],"")</f>
        <v/>
      </c>
    </row>
    <row r="545" spans="1:4" x14ac:dyDescent="0.45">
      <c r="A545">
        <v>60</v>
      </c>
      <c r="B545">
        <f t="shared" ca="1" si="8"/>
        <v>73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5" t="str">
        <f ca="1">IF(dict_zuord_Transfers_Storages[[#This Row],[kval_active]],dict_zuord_Transfers_Storages[[#This Row],[ID_Storages]],"")</f>
        <v/>
      </c>
    </row>
    <row r="546" spans="1:4" x14ac:dyDescent="0.45">
      <c r="A546">
        <v>60</v>
      </c>
      <c r="B546">
        <f t="shared" ca="1" si="8"/>
        <v>45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6" t="str">
        <f ca="1">IF(dict_zuord_Transfers_Storages[[#This Row],[kval_active]],dict_zuord_Transfers_Storages[[#This Row],[ID_Storages]],"")</f>
        <v/>
      </c>
    </row>
    <row r="547" spans="1:4" x14ac:dyDescent="0.45">
      <c r="A547">
        <v>60</v>
      </c>
      <c r="B547">
        <f t="shared" ca="1" si="8"/>
        <v>35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7" t="str">
        <f ca="1">IF(dict_zuord_Transfers_Storages[[#This Row],[kval_active]],dict_zuord_Transfers_Storages[[#This Row],[ID_Storages]],"")</f>
        <v/>
      </c>
    </row>
    <row r="548" spans="1:4" x14ac:dyDescent="0.45">
      <c r="A548">
        <v>60</v>
      </c>
      <c r="B548">
        <f t="shared" ca="1" si="8"/>
        <v>90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8" t="str">
        <f ca="1">IF(dict_zuord_Transfers_Storages[[#This Row],[kval_active]],dict_zuord_Transfers_Storages[[#This Row],[ID_Storages]],"")</f>
        <v/>
      </c>
    </row>
    <row r="549" spans="1:4" x14ac:dyDescent="0.45">
      <c r="A549">
        <v>60</v>
      </c>
      <c r="B549">
        <f t="shared" ca="1" si="8"/>
        <v>41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9" t="str">
        <f ca="1">IF(dict_zuord_Transfers_Storages[[#This Row],[kval_active]],dict_zuord_Transfers_Storages[[#This Row],[ID_Storages]],"")</f>
        <v/>
      </c>
    </row>
    <row r="550" spans="1:4" x14ac:dyDescent="0.45">
      <c r="A550">
        <v>60</v>
      </c>
      <c r="B550">
        <f t="shared" ca="1" si="8"/>
        <v>81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0" t="str">
        <f ca="1">IF(dict_zuord_Transfers_Storages[[#This Row],[kval_active]],dict_zuord_Transfers_Storages[[#This Row],[ID_Storages]],"")</f>
        <v/>
      </c>
    </row>
    <row r="551" spans="1:4" x14ac:dyDescent="0.45">
      <c r="A551">
        <v>61</v>
      </c>
      <c r="B551">
        <f t="shared" ca="1" si="8"/>
        <v>99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1">
        <f ca="1">IF(dict_zuord_Transfers_Storages[[#This Row],[kval_active]],dict_zuord_Transfers_Storages[[#This Row],[ID_Storages]],"")</f>
        <v>99</v>
      </c>
    </row>
    <row r="552" spans="1:4" x14ac:dyDescent="0.45">
      <c r="A552">
        <v>61</v>
      </c>
      <c r="B552">
        <f t="shared" ca="1" si="8"/>
        <v>38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2">
        <f ca="1">IF(dict_zuord_Transfers_Storages[[#This Row],[kval_active]],dict_zuord_Transfers_Storages[[#This Row],[ID_Storages]],"")</f>
        <v>38</v>
      </c>
    </row>
    <row r="553" spans="1:4" x14ac:dyDescent="0.45">
      <c r="A553">
        <v>61</v>
      </c>
      <c r="B553">
        <f t="shared" ca="1" si="8"/>
        <v>20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3">
        <f ca="1">IF(dict_zuord_Transfers_Storages[[#This Row],[kval_active]],dict_zuord_Transfers_Storages[[#This Row],[ID_Storages]],"")</f>
        <v>20</v>
      </c>
    </row>
    <row r="554" spans="1:4" x14ac:dyDescent="0.45">
      <c r="A554">
        <v>61</v>
      </c>
      <c r="B554">
        <f t="shared" ca="1" si="8"/>
        <v>96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4">
        <f ca="1">IF(dict_zuord_Transfers_Storages[[#This Row],[kval_active]],dict_zuord_Transfers_Storages[[#This Row],[ID_Storages]],"")</f>
        <v>96</v>
      </c>
    </row>
    <row r="555" spans="1:4" x14ac:dyDescent="0.45">
      <c r="A555">
        <v>61</v>
      </c>
      <c r="B555">
        <f t="shared" ca="1" si="8"/>
        <v>72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5">
        <f ca="1">IF(dict_zuord_Transfers_Storages[[#This Row],[kval_active]],dict_zuord_Transfers_Storages[[#This Row],[ID_Storages]],"")</f>
        <v>72</v>
      </c>
    </row>
    <row r="556" spans="1:4" x14ac:dyDescent="0.45">
      <c r="A556">
        <v>61</v>
      </c>
      <c r="B556">
        <f t="shared" ca="1" si="8"/>
        <v>69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6">
        <f ca="1">IF(dict_zuord_Transfers_Storages[[#This Row],[kval_active]],dict_zuord_Transfers_Storages[[#This Row],[ID_Storages]],"")</f>
        <v>69</v>
      </c>
    </row>
    <row r="557" spans="1:4" x14ac:dyDescent="0.45">
      <c r="A557">
        <v>61</v>
      </c>
      <c r="B557">
        <f t="shared" ca="1" si="8"/>
        <v>4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7">
        <f ca="1">IF(dict_zuord_Transfers_Storages[[#This Row],[kval_active]],dict_zuord_Transfers_Storages[[#This Row],[ID_Storages]],"")</f>
        <v>4</v>
      </c>
    </row>
    <row r="558" spans="1:4" x14ac:dyDescent="0.45">
      <c r="A558">
        <v>61</v>
      </c>
      <c r="B558">
        <f t="shared" ca="1" si="8"/>
        <v>99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8">
        <f ca="1">IF(dict_zuord_Transfers_Storages[[#This Row],[kval_active]],dict_zuord_Transfers_Storages[[#This Row],[ID_Storages]],"")</f>
        <v>99</v>
      </c>
    </row>
    <row r="559" spans="1:4" x14ac:dyDescent="0.45">
      <c r="A559">
        <v>61</v>
      </c>
      <c r="B559">
        <f t="shared" ca="1" si="8"/>
        <v>4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9">
        <f ca="1">IF(dict_zuord_Transfers_Storages[[#This Row],[kval_active]],dict_zuord_Transfers_Storages[[#This Row],[ID_Storages]],"")</f>
        <v>4</v>
      </c>
    </row>
    <row r="560" spans="1:4" x14ac:dyDescent="0.45">
      <c r="A560">
        <v>62</v>
      </c>
      <c r="B560">
        <f t="shared" ca="1" si="8"/>
        <v>28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0" t="str">
        <f ca="1">IF(dict_zuord_Transfers_Storages[[#This Row],[kval_active]],dict_zuord_Transfers_Storages[[#This Row],[ID_Storages]],"")</f>
        <v/>
      </c>
    </row>
    <row r="561" spans="1:4" x14ac:dyDescent="0.45">
      <c r="A561">
        <v>62</v>
      </c>
      <c r="B561">
        <f t="shared" ca="1" si="8"/>
        <v>90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1" t="str">
        <f ca="1">IF(dict_zuord_Transfers_Storages[[#This Row],[kval_active]],dict_zuord_Transfers_Storages[[#This Row],[ID_Storages]],"")</f>
        <v/>
      </c>
    </row>
    <row r="562" spans="1:4" x14ac:dyDescent="0.45">
      <c r="A562">
        <v>62</v>
      </c>
      <c r="B562">
        <f t="shared" ca="1" si="8"/>
        <v>38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2" t="str">
        <f ca="1">IF(dict_zuord_Transfers_Storages[[#This Row],[kval_active]],dict_zuord_Transfers_Storages[[#This Row],[ID_Storages]],"")</f>
        <v/>
      </c>
    </row>
    <row r="563" spans="1:4" x14ac:dyDescent="0.45">
      <c r="A563">
        <v>62</v>
      </c>
      <c r="B563">
        <f t="shared" ca="1" si="8"/>
        <v>66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3" t="str">
        <f ca="1">IF(dict_zuord_Transfers_Storages[[#This Row],[kval_active]],dict_zuord_Transfers_Storages[[#This Row],[ID_Storages]],"")</f>
        <v/>
      </c>
    </row>
    <row r="564" spans="1:4" x14ac:dyDescent="0.45">
      <c r="A564">
        <v>62</v>
      </c>
      <c r="B564">
        <f t="shared" ca="1" si="8"/>
        <v>7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4" t="str">
        <f ca="1">IF(dict_zuord_Transfers_Storages[[#This Row],[kval_active]],dict_zuord_Transfers_Storages[[#This Row],[ID_Storages]],"")</f>
        <v/>
      </c>
    </row>
    <row r="565" spans="1:4" x14ac:dyDescent="0.45">
      <c r="A565">
        <v>62</v>
      </c>
      <c r="B565">
        <f t="shared" ca="1" si="8"/>
        <v>82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5" t="str">
        <f ca="1">IF(dict_zuord_Transfers_Storages[[#This Row],[kval_active]],dict_zuord_Transfers_Storages[[#This Row],[ID_Storages]],"")</f>
        <v/>
      </c>
    </row>
    <row r="566" spans="1:4" x14ac:dyDescent="0.45">
      <c r="A566">
        <v>62</v>
      </c>
      <c r="B566">
        <f t="shared" ca="1" si="8"/>
        <v>78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6" t="str">
        <f ca="1">IF(dict_zuord_Transfers_Storages[[#This Row],[kval_active]],dict_zuord_Transfers_Storages[[#This Row],[ID_Storages]],"")</f>
        <v/>
      </c>
    </row>
    <row r="567" spans="1:4" x14ac:dyDescent="0.45">
      <c r="A567">
        <v>62</v>
      </c>
      <c r="B567">
        <f t="shared" ca="1" si="8"/>
        <v>50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7" t="str">
        <f ca="1">IF(dict_zuord_Transfers_Storages[[#This Row],[kval_active]],dict_zuord_Transfers_Storages[[#This Row],[ID_Storages]],"")</f>
        <v/>
      </c>
    </row>
    <row r="568" spans="1:4" x14ac:dyDescent="0.45">
      <c r="A568">
        <v>62</v>
      </c>
      <c r="B568">
        <f t="shared" ca="1" si="8"/>
        <v>11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8" t="str">
        <f ca="1">IF(dict_zuord_Transfers_Storages[[#This Row],[kval_active]],dict_zuord_Transfers_Storages[[#This Row],[ID_Storages]],"")</f>
        <v/>
      </c>
    </row>
    <row r="569" spans="1:4" x14ac:dyDescent="0.45">
      <c r="A569">
        <v>63</v>
      </c>
      <c r="B569">
        <f t="shared" ca="1" si="8"/>
        <v>42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9">
        <f ca="1">IF(dict_zuord_Transfers_Storages[[#This Row],[kval_active]],dict_zuord_Transfers_Storages[[#This Row],[ID_Storages]],"")</f>
        <v>42</v>
      </c>
    </row>
    <row r="570" spans="1:4" x14ac:dyDescent="0.45">
      <c r="A570">
        <v>63</v>
      </c>
      <c r="B570">
        <f t="shared" ca="1" si="8"/>
        <v>24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0">
        <f ca="1">IF(dict_zuord_Transfers_Storages[[#This Row],[kval_active]],dict_zuord_Transfers_Storages[[#This Row],[ID_Storages]],"")</f>
        <v>24</v>
      </c>
    </row>
    <row r="571" spans="1:4" x14ac:dyDescent="0.45">
      <c r="A571">
        <v>63</v>
      </c>
      <c r="B571">
        <f t="shared" ca="1" si="8"/>
        <v>64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1">
        <f ca="1">IF(dict_zuord_Transfers_Storages[[#This Row],[kval_active]],dict_zuord_Transfers_Storages[[#This Row],[ID_Storages]],"")</f>
        <v>64</v>
      </c>
    </row>
    <row r="572" spans="1:4" x14ac:dyDescent="0.45">
      <c r="A572">
        <v>63</v>
      </c>
      <c r="B572">
        <f t="shared" ca="1" si="8"/>
        <v>64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2">
        <f ca="1">IF(dict_zuord_Transfers_Storages[[#This Row],[kval_active]],dict_zuord_Transfers_Storages[[#This Row],[ID_Storages]],"")</f>
        <v>64</v>
      </c>
    </row>
    <row r="573" spans="1:4" x14ac:dyDescent="0.45">
      <c r="A573">
        <v>63</v>
      </c>
      <c r="B573">
        <f t="shared" ca="1" si="8"/>
        <v>86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3">
        <f ca="1">IF(dict_zuord_Transfers_Storages[[#This Row],[kval_active]],dict_zuord_Transfers_Storages[[#This Row],[ID_Storages]],"")</f>
        <v>86</v>
      </c>
    </row>
    <row r="574" spans="1:4" x14ac:dyDescent="0.45">
      <c r="A574">
        <v>63</v>
      </c>
      <c r="B574">
        <f t="shared" ca="1" si="8"/>
        <v>98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4">
        <f ca="1">IF(dict_zuord_Transfers_Storages[[#This Row],[kval_active]],dict_zuord_Transfers_Storages[[#This Row],[ID_Storages]],"")</f>
        <v>98</v>
      </c>
    </row>
    <row r="575" spans="1:4" x14ac:dyDescent="0.45">
      <c r="A575">
        <v>63</v>
      </c>
      <c r="B575">
        <f t="shared" ca="1" si="8"/>
        <v>17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5">
        <f ca="1">IF(dict_zuord_Transfers_Storages[[#This Row],[kval_active]],dict_zuord_Transfers_Storages[[#This Row],[ID_Storages]],"")</f>
        <v>17</v>
      </c>
    </row>
    <row r="576" spans="1:4" x14ac:dyDescent="0.45">
      <c r="A576">
        <v>63</v>
      </c>
      <c r="B576">
        <f t="shared" ca="1" si="8"/>
        <v>16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6">
        <f ca="1">IF(dict_zuord_Transfers_Storages[[#This Row],[kval_active]],dict_zuord_Transfers_Storages[[#This Row],[ID_Storages]],"")</f>
        <v>16</v>
      </c>
    </row>
    <row r="577" spans="1:4" x14ac:dyDescent="0.45">
      <c r="A577">
        <v>63</v>
      </c>
      <c r="B577">
        <f t="shared" ca="1" si="8"/>
        <v>36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7">
        <f ca="1">IF(dict_zuord_Transfers_Storages[[#This Row],[kval_active]],dict_zuord_Transfers_Storages[[#This Row],[ID_Storages]],"")</f>
        <v>36</v>
      </c>
    </row>
    <row r="578" spans="1:4" x14ac:dyDescent="0.45">
      <c r="A578">
        <v>64</v>
      </c>
      <c r="B578">
        <f t="shared" ref="B578:B641" ca="1" si="9">RANDBETWEEN(0,100)</f>
        <v>12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8" t="str">
        <f ca="1">IF(dict_zuord_Transfers_Storages[[#This Row],[kval_active]],dict_zuord_Transfers_Storages[[#This Row],[ID_Storages]],"")</f>
        <v/>
      </c>
    </row>
    <row r="579" spans="1:4" x14ac:dyDescent="0.45">
      <c r="A579">
        <v>64</v>
      </c>
      <c r="B579">
        <f t="shared" ca="1" si="9"/>
        <v>79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9" t="str">
        <f ca="1">IF(dict_zuord_Transfers_Storages[[#This Row],[kval_active]],dict_zuord_Transfers_Storages[[#This Row],[ID_Storages]],"")</f>
        <v/>
      </c>
    </row>
    <row r="580" spans="1:4" x14ac:dyDescent="0.45">
      <c r="A580">
        <v>64</v>
      </c>
      <c r="B580">
        <f t="shared" ca="1" si="9"/>
        <v>90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0" t="str">
        <f ca="1">IF(dict_zuord_Transfers_Storages[[#This Row],[kval_active]],dict_zuord_Transfers_Storages[[#This Row],[ID_Storages]],"")</f>
        <v/>
      </c>
    </row>
    <row r="581" spans="1:4" x14ac:dyDescent="0.45">
      <c r="A581">
        <v>64</v>
      </c>
      <c r="B581">
        <f t="shared" ca="1" si="9"/>
        <v>4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1" t="str">
        <f ca="1">IF(dict_zuord_Transfers_Storages[[#This Row],[kval_active]],dict_zuord_Transfers_Storages[[#This Row],[ID_Storages]],"")</f>
        <v/>
      </c>
    </row>
    <row r="582" spans="1:4" x14ac:dyDescent="0.45">
      <c r="A582">
        <v>64</v>
      </c>
      <c r="B582">
        <f t="shared" ca="1" si="9"/>
        <v>14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2" t="str">
        <f ca="1">IF(dict_zuord_Transfers_Storages[[#This Row],[kval_active]],dict_zuord_Transfers_Storages[[#This Row],[ID_Storages]],"")</f>
        <v/>
      </c>
    </row>
    <row r="583" spans="1:4" x14ac:dyDescent="0.45">
      <c r="A583">
        <v>64</v>
      </c>
      <c r="B583">
        <f t="shared" ca="1" si="9"/>
        <v>13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3" t="str">
        <f ca="1">IF(dict_zuord_Transfers_Storages[[#This Row],[kval_active]],dict_zuord_Transfers_Storages[[#This Row],[ID_Storages]],"")</f>
        <v/>
      </c>
    </row>
    <row r="584" spans="1:4" x14ac:dyDescent="0.45">
      <c r="A584">
        <v>64</v>
      </c>
      <c r="B584">
        <f t="shared" ca="1" si="9"/>
        <v>95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4" t="str">
        <f ca="1">IF(dict_zuord_Transfers_Storages[[#This Row],[kval_active]],dict_zuord_Transfers_Storages[[#This Row],[ID_Storages]],"")</f>
        <v/>
      </c>
    </row>
    <row r="585" spans="1:4" x14ac:dyDescent="0.45">
      <c r="A585">
        <v>64</v>
      </c>
      <c r="B585">
        <f t="shared" ca="1" si="9"/>
        <v>22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5" t="str">
        <f ca="1">IF(dict_zuord_Transfers_Storages[[#This Row],[kval_active]],dict_zuord_Transfers_Storages[[#This Row],[ID_Storages]],"")</f>
        <v/>
      </c>
    </row>
    <row r="586" spans="1:4" x14ac:dyDescent="0.45">
      <c r="A586">
        <v>64</v>
      </c>
      <c r="B586">
        <f t="shared" ca="1" si="9"/>
        <v>91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6" t="str">
        <f ca="1">IF(dict_zuord_Transfers_Storages[[#This Row],[kval_active]],dict_zuord_Transfers_Storages[[#This Row],[ID_Storages]],"")</f>
        <v/>
      </c>
    </row>
    <row r="587" spans="1:4" x14ac:dyDescent="0.45">
      <c r="A587">
        <v>65</v>
      </c>
      <c r="B587">
        <f t="shared" ca="1" si="9"/>
        <v>73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7" t="str">
        <f ca="1">IF(dict_zuord_Transfers_Storages[[#This Row],[kval_active]],dict_zuord_Transfers_Storages[[#This Row],[ID_Storages]],"")</f>
        <v/>
      </c>
    </row>
    <row r="588" spans="1:4" x14ac:dyDescent="0.45">
      <c r="A588">
        <v>65</v>
      </c>
      <c r="B588">
        <f t="shared" ca="1" si="9"/>
        <v>53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8" t="str">
        <f ca="1">IF(dict_zuord_Transfers_Storages[[#This Row],[kval_active]],dict_zuord_Transfers_Storages[[#This Row],[ID_Storages]],"")</f>
        <v/>
      </c>
    </row>
    <row r="589" spans="1:4" x14ac:dyDescent="0.45">
      <c r="A589">
        <v>65</v>
      </c>
      <c r="B589">
        <f t="shared" ca="1" si="9"/>
        <v>1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9" t="str">
        <f ca="1">IF(dict_zuord_Transfers_Storages[[#This Row],[kval_active]],dict_zuord_Transfers_Storages[[#This Row],[ID_Storages]],"")</f>
        <v/>
      </c>
    </row>
    <row r="590" spans="1:4" x14ac:dyDescent="0.45">
      <c r="A590">
        <v>65</v>
      </c>
      <c r="B590">
        <f t="shared" ca="1" si="9"/>
        <v>44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0" t="str">
        <f ca="1">IF(dict_zuord_Transfers_Storages[[#This Row],[kval_active]],dict_zuord_Transfers_Storages[[#This Row],[ID_Storages]],"")</f>
        <v/>
      </c>
    </row>
    <row r="591" spans="1:4" x14ac:dyDescent="0.45">
      <c r="A591">
        <v>65</v>
      </c>
      <c r="B591">
        <f t="shared" ca="1" si="9"/>
        <v>70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1" t="str">
        <f ca="1">IF(dict_zuord_Transfers_Storages[[#This Row],[kval_active]],dict_zuord_Transfers_Storages[[#This Row],[ID_Storages]],"")</f>
        <v/>
      </c>
    </row>
    <row r="592" spans="1:4" x14ac:dyDescent="0.45">
      <c r="A592">
        <v>65</v>
      </c>
      <c r="B592">
        <f t="shared" ca="1" si="9"/>
        <v>49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2" t="str">
        <f ca="1">IF(dict_zuord_Transfers_Storages[[#This Row],[kval_active]],dict_zuord_Transfers_Storages[[#This Row],[ID_Storages]],"")</f>
        <v/>
      </c>
    </row>
    <row r="593" spans="1:4" x14ac:dyDescent="0.45">
      <c r="A593">
        <v>65</v>
      </c>
      <c r="B593">
        <f t="shared" ca="1" si="9"/>
        <v>10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3" t="str">
        <f ca="1">IF(dict_zuord_Transfers_Storages[[#This Row],[kval_active]],dict_zuord_Transfers_Storages[[#This Row],[ID_Storages]],"")</f>
        <v/>
      </c>
    </row>
    <row r="594" spans="1:4" x14ac:dyDescent="0.45">
      <c r="A594">
        <v>65</v>
      </c>
      <c r="B594">
        <f t="shared" ca="1" si="9"/>
        <v>4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4" t="str">
        <f ca="1">IF(dict_zuord_Transfers_Storages[[#This Row],[kval_active]],dict_zuord_Transfers_Storages[[#This Row],[ID_Storages]],"")</f>
        <v/>
      </c>
    </row>
    <row r="595" spans="1:4" x14ac:dyDescent="0.45">
      <c r="A595">
        <v>65</v>
      </c>
      <c r="B595">
        <f t="shared" ca="1" si="9"/>
        <v>27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5" t="str">
        <f ca="1">IF(dict_zuord_Transfers_Storages[[#This Row],[kval_active]],dict_zuord_Transfers_Storages[[#This Row],[ID_Storages]],"")</f>
        <v/>
      </c>
    </row>
    <row r="596" spans="1:4" x14ac:dyDescent="0.45">
      <c r="A596">
        <v>66</v>
      </c>
      <c r="B596">
        <f t="shared" ca="1" si="9"/>
        <v>99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6">
        <f ca="1">IF(dict_zuord_Transfers_Storages[[#This Row],[kval_active]],dict_zuord_Transfers_Storages[[#This Row],[ID_Storages]],"")</f>
        <v>99</v>
      </c>
    </row>
    <row r="597" spans="1:4" x14ac:dyDescent="0.45">
      <c r="A597">
        <v>66</v>
      </c>
      <c r="B597">
        <f t="shared" ca="1" si="9"/>
        <v>62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7">
        <f ca="1">IF(dict_zuord_Transfers_Storages[[#This Row],[kval_active]],dict_zuord_Transfers_Storages[[#This Row],[ID_Storages]],"")</f>
        <v>62</v>
      </c>
    </row>
    <row r="598" spans="1:4" x14ac:dyDescent="0.45">
      <c r="A598">
        <v>66</v>
      </c>
      <c r="B598">
        <f t="shared" ca="1" si="9"/>
        <v>46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8">
        <f ca="1">IF(dict_zuord_Transfers_Storages[[#This Row],[kval_active]],dict_zuord_Transfers_Storages[[#This Row],[ID_Storages]],"")</f>
        <v>46</v>
      </c>
    </row>
    <row r="599" spans="1:4" x14ac:dyDescent="0.45">
      <c r="A599">
        <v>66</v>
      </c>
      <c r="B599">
        <f t="shared" ca="1" si="9"/>
        <v>86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9">
        <f ca="1">IF(dict_zuord_Transfers_Storages[[#This Row],[kval_active]],dict_zuord_Transfers_Storages[[#This Row],[ID_Storages]],"")</f>
        <v>86</v>
      </c>
    </row>
    <row r="600" spans="1:4" x14ac:dyDescent="0.45">
      <c r="A600">
        <v>66</v>
      </c>
      <c r="B600">
        <f t="shared" ca="1" si="9"/>
        <v>73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0">
        <f ca="1">IF(dict_zuord_Transfers_Storages[[#This Row],[kval_active]],dict_zuord_Transfers_Storages[[#This Row],[ID_Storages]],"")</f>
        <v>73</v>
      </c>
    </row>
    <row r="601" spans="1:4" x14ac:dyDescent="0.45">
      <c r="A601">
        <v>66</v>
      </c>
      <c r="B601">
        <f t="shared" ca="1" si="9"/>
        <v>68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1">
        <f ca="1">IF(dict_zuord_Transfers_Storages[[#This Row],[kval_active]],dict_zuord_Transfers_Storages[[#This Row],[ID_Storages]],"")</f>
        <v>68</v>
      </c>
    </row>
    <row r="602" spans="1:4" x14ac:dyDescent="0.45">
      <c r="A602">
        <v>66</v>
      </c>
      <c r="B602">
        <f t="shared" ca="1" si="9"/>
        <v>46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2">
        <f ca="1">IF(dict_zuord_Transfers_Storages[[#This Row],[kval_active]],dict_zuord_Transfers_Storages[[#This Row],[ID_Storages]],"")</f>
        <v>46</v>
      </c>
    </row>
    <row r="603" spans="1:4" x14ac:dyDescent="0.45">
      <c r="A603">
        <v>66</v>
      </c>
      <c r="B603">
        <f t="shared" ca="1" si="9"/>
        <v>57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3">
        <f ca="1">IF(dict_zuord_Transfers_Storages[[#This Row],[kval_active]],dict_zuord_Transfers_Storages[[#This Row],[ID_Storages]],"")</f>
        <v>57</v>
      </c>
    </row>
    <row r="604" spans="1:4" x14ac:dyDescent="0.45">
      <c r="A604">
        <v>66</v>
      </c>
      <c r="B604">
        <f t="shared" ca="1" si="9"/>
        <v>94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4">
        <f ca="1">IF(dict_zuord_Transfers_Storages[[#This Row],[kval_active]],dict_zuord_Transfers_Storages[[#This Row],[ID_Storages]],"")</f>
        <v>94</v>
      </c>
    </row>
    <row r="605" spans="1:4" x14ac:dyDescent="0.45">
      <c r="A605">
        <v>67</v>
      </c>
      <c r="B605">
        <f t="shared" ca="1" si="9"/>
        <v>82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5">
        <f ca="1">IF(dict_zuord_Transfers_Storages[[#This Row],[kval_active]],dict_zuord_Transfers_Storages[[#This Row],[ID_Storages]],"")</f>
        <v>82</v>
      </c>
    </row>
    <row r="606" spans="1:4" x14ac:dyDescent="0.45">
      <c r="A606">
        <v>67</v>
      </c>
      <c r="B606">
        <f t="shared" ca="1" si="9"/>
        <v>15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6">
        <f ca="1">IF(dict_zuord_Transfers_Storages[[#This Row],[kval_active]],dict_zuord_Transfers_Storages[[#This Row],[ID_Storages]],"")</f>
        <v>15</v>
      </c>
    </row>
    <row r="607" spans="1:4" x14ac:dyDescent="0.45">
      <c r="A607">
        <v>67</v>
      </c>
      <c r="B607">
        <f t="shared" ca="1" si="9"/>
        <v>22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7">
        <f ca="1">IF(dict_zuord_Transfers_Storages[[#This Row],[kval_active]],dict_zuord_Transfers_Storages[[#This Row],[ID_Storages]],"")</f>
        <v>22</v>
      </c>
    </row>
    <row r="608" spans="1:4" x14ac:dyDescent="0.45">
      <c r="A608">
        <v>67</v>
      </c>
      <c r="B608">
        <f t="shared" ca="1" si="9"/>
        <v>6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8">
        <f ca="1">IF(dict_zuord_Transfers_Storages[[#This Row],[kval_active]],dict_zuord_Transfers_Storages[[#This Row],[ID_Storages]],"")</f>
        <v>6</v>
      </c>
    </row>
    <row r="609" spans="1:4" x14ac:dyDescent="0.45">
      <c r="A609">
        <v>67</v>
      </c>
      <c r="B609">
        <f t="shared" ca="1" si="9"/>
        <v>56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9">
        <f ca="1">IF(dict_zuord_Transfers_Storages[[#This Row],[kval_active]],dict_zuord_Transfers_Storages[[#This Row],[ID_Storages]],"")</f>
        <v>56</v>
      </c>
    </row>
    <row r="610" spans="1:4" x14ac:dyDescent="0.45">
      <c r="A610">
        <v>67</v>
      </c>
      <c r="B610">
        <f t="shared" ca="1" si="9"/>
        <v>87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0">
        <f ca="1">IF(dict_zuord_Transfers_Storages[[#This Row],[kval_active]],dict_zuord_Transfers_Storages[[#This Row],[ID_Storages]],"")</f>
        <v>87</v>
      </c>
    </row>
    <row r="611" spans="1:4" x14ac:dyDescent="0.45">
      <c r="A611">
        <v>67</v>
      </c>
      <c r="B611">
        <f t="shared" ca="1" si="9"/>
        <v>97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1">
        <f ca="1">IF(dict_zuord_Transfers_Storages[[#This Row],[kval_active]],dict_zuord_Transfers_Storages[[#This Row],[ID_Storages]],"")</f>
        <v>97</v>
      </c>
    </row>
    <row r="612" spans="1:4" x14ac:dyDescent="0.45">
      <c r="A612">
        <v>67</v>
      </c>
      <c r="B612">
        <f t="shared" ca="1" si="9"/>
        <v>4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2">
        <f ca="1">IF(dict_zuord_Transfers_Storages[[#This Row],[kval_active]],dict_zuord_Transfers_Storages[[#This Row],[ID_Storages]],"")</f>
        <v>4</v>
      </c>
    </row>
    <row r="613" spans="1:4" x14ac:dyDescent="0.45">
      <c r="A613">
        <v>67</v>
      </c>
      <c r="B613">
        <f t="shared" ca="1" si="9"/>
        <v>63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3">
        <f ca="1">IF(dict_zuord_Transfers_Storages[[#This Row],[kval_active]],dict_zuord_Transfers_Storages[[#This Row],[ID_Storages]],"")</f>
        <v>63</v>
      </c>
    </row>
    <row r="614" spans="1:4" x14ac:dyDescent="0.45">
      <c r="A614">
        <v>68</v>
      </c>
      <c r="B614">
        <f t="shared" ca="1" si="9"/>
        <v>55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4">
        <f ca="1">IF(dict_zuord_Transfers_Storages[[#This Row],[kval_active]],dict_zuord_Transfers_Storages[[#This Row],[ID_Storages]],"")</f>
        <v>55</v>
      </c>
    </row>
    <row r="615" spans="1:4" x14ac:dyDescent="0.45">
      <c r="A615">
        <v>68</v>
      </c>
      <c r="B615">
        <f t="shared" ca="1" si="9"/>
        <v>46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5">
        <f ca="1">IF(dict_zuord_Transfers_Storages[[#This Row],[kval_active]],dict_zuord_Transfers_Storages[[#This Row],[ID_Storages]],"")</f>
        <v>46</v>
      </c>
    </row>
    <row r="616" spans="1:4" x14ac:dyDescent="0.45">
      <c r="A616">
        <v>68</v>
      </c>
      <c r="B616">
        <f t="shared" ca="1" si="9"/>
        <v>82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6">
        <f ca="1">IF(dict_zuord_Transfers_Storages[[#This Row],[kval_active]],dict_zuord_Transfers_Storages[[#This Row],[ID_Storages]],"")</f>
        <v>82</v>
      </c>
    </row>
    <row r="617" spans="1:4" x14ac:dyDescent="0.45">
      <c r="A617">
        <v>68</v>
      </c>
      <c r="B617">
        <f t="shared" ca="1" si="9"/>
        <v>76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7">
        <f ca="1">IF(dict_zuord_Transfers_Storages[[#This Row],[kval_active]],dict_zuord_Transfers_Storages[[#This Row],[ID_Storages]],"")</f>
        <v>76</v>
      </c>
    </row>
    <row r="618" spans="1:4" x14ac:dyDescent="0.45">
      <c r="A618">
        <v>68</v>
      </c>
      <c r="B618">
        <f t="shared" ca="1" si="9"/>
        <v>22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8">
        <f ca="1">IF(dict_zuord_Transfers_Storages[[#This Row],[kval_active]],dict_zuord_Transfers_Storages[[#This Row],[ID_Storages]],"")</f>
        <v>22</v>
      </c>
    </row>
    <row r="619" spans="1:4" x14ac:dyDescent="0.45">
      <c r="A619">
        <v>68</v>
      </c>
      <c r="B619">
        <f t="shared" ca="1" si="9"/>
        <v>88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9">
        <f ca="1">IF(dict_zuord_Transfers_Storages[[#This Row],[kval_active]],dict_zuord_Transfers_Storages[[#This Row],[ID_Storages]],"")</f>
        <v>88</v>
      </c>
    </row>
    <row r="620" spans="1:4" x14ac:dyDescent="0.45">
      <c r="A620">
        <v>68</v>
      </c>
      <c r="B620">
        <f t="shared" ca="1" si="9"/>
        <v>21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0">
        <f ca="1">IF(dict_zuord_Transfers_Storages[[#This Row],[kval_active]],dict_zuord_Transfers_Storages[[#This Row],[ID_Storages]],"")</f>
        <v>21</v>
      </c>
    </row>
    <row r="621" spans="1:4" x14ac:dyDescent="0.45">
      <c r="A621">
        <v>68</v>
      </c>
      <c r="B621">
        <f t="shared" ca="1" si="9"/>
        <v>39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1">
        <f ca="1">IF(dict_zuord_Transfers_Storages[[#This Row],[kval_active]],dict_zuord_Transfers_Storages[[#This Row],[ID_Storages]],"")</f>
        <v>39</v>
      </c>
    </row>
    <row r="622" spans="1:4" x14ac:dyDescent="0.45">
      <c r="A622">
        <v>68</v>
      </c>
      <c r="B622">
        <f t="shared" ca="1" si="9"/>
        <v>45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2">
        <f ca="1">IF(dict_zuord_Transfers_Storages[[#This Row],[kval_active]],dict_zuord_Transfers_Storages[[#This Row],[ID_Storages]],"")</f>
        <v>45</v>
      </c>
    </row>
    <row r="623" spans="1:4" x14ac:dyDescent="0.45">
      <c r="A623">
        <v>69</v>
      </c>
      <c r="B623">
        <f t="shared" ca="1" si="9"/>
        <v>94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3">
        <f ca="1">IF(dict_zuord_Transfers_Storages[[#This Row],[kval_active]],dict_zuord_Transfers_Storages[[#This Row],[ID_Storages]],"")</f>
        <v>94</v>
      </c>
    </row>
    <row r="624" spans="1:4" x14ac:dyDescent="0.45">
      <c r="A624">
        <v>69</v>
      </c>
      <c r="B624">
        <f t="shared" ca="1" si="9"/>
        <v>26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4">
        <f ca="1">IF(dict_zuord_Transfers_Storages[[#This Row],[kval_active]],dict_zuord_Transfers_Storages[[#This Row],[ID_Storages]],"")</f>
        <v>26</v>
      </c>
    </row>
    <row r="625" spans="1:4" x14ac:dyDescent="0.45">
      <c r="A625">
        <v>69</v>
      </c>
      <c r="B625">
        <f t="shared" ca="1" si="9"/>
        <v>1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5">
        <f ca="1">IF(dict_zuord_Transfers_Storages[[#This Row],[kval_active]],dict_zuord_Transfers_Storages[[#This Row],[ID_Storages]],"")</f>
        <v>1</v>
      </c>
    </row>
    <row r="626" spans="1:4" x14ac:dyDescent="0.45">
      <c r="A626">
        <v>69</v>
      </c>
      <c r="B626">
        <f t="shared" ca="1" si="9"/>
        <v>64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6">
        <f ca="1">IF(dict_zuord_Transfers_Storages[[#This Row],[kval_active]],dict_zuord_Transfers_Storages[[#This Row],[ID_Storages]],"")</f>
        <v>64</v>
      </c>
    </row>
    <row r="627" spans="1:4" x14ac:dyDescent="0.45">
      <c r="A627">
        <v>69</v>
      </c>
      <c r="B627">
        <f t="shared" ca="1" si="9"/>
        <v>18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7">
        <f ca="1">IF(dict_zuord_Transfers_Storages[[#This Row],[kval_active]],dict_zuord_Transfers_Storages[[#This Row],[ID_Storages]],"")</f>
        <v>18</v>
      </c>
    </row>
    <row r="628" spans="1:4" x14ac:dyDescent="0.45">
      <c r="A628">
        <v>69</v>
      </c>
      <c r="B628">
        <f t="shared" ca="1" si="9"/>
        <v>9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8">
        <f ca="1">IF(dict_zuord_Transfers_Storages[[#This Row],[kval_active]],dict_zuord_Transfers_Storages[[#This Row],[ID_Storages]],"")</f>
        <v>9</v>
      </c>
    </row>
    <row r="629" spans="1:4" x14ac:dyDescent="0.45">
      <c r="A629">
        <v>69</v>
      </c>
      <c r="B629">
        <f t="shared" ca="1" si="9"/>
        <v>47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9">
        <f ca="1">IF(dict_zuord_Transfers_Storages[[#This Row],[kval_active]],dict_zuord_Transfers_Storages[[#This Row],[ID_Storages]],"")</f>
        <v>47</v>
      </c>
    </row>
    <row r="630" spans="1:4" x14ac:dyDescent="0.45">
      <c r="A630">
        <v>69</v>
      </c>
      <c r="B630">
        <f t="shared" ca="1" si="9"/>
        <v>45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0">
        <f ca="1">IF(dict_zuord_Transfers_Storages[[#This Row],[kval_active]],dict_zuord_Transfers_Storages[[#This Row],[ID_Storages]],"")</f>
        <v>45</v>
      </c>
    </row>
    <row r="631" spans="1:4" x14ac:dyDescent="0.45">
      <c r="A631">
        <v>69</v>
      </c>
      <c r="B631">
        <f t="shared" ca="1" si="9"/>
        <v>23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1">
        <f ca="1">IF(dict_zuord_Transfers_Storages[[#This Row],[kval_active]],dict_zuord_Transfers_Storages[[#This Row],[ID_Storages]],"")</f>
        <v>23</v>
      </c>
    </row>
    <row r="632" spans="1:4" x14ac:dyDescent="0.45">
      <c r="A632">
        <v>70</v>
      </c>
      <c r="B632">
        <f t="shared" ca="1" si="9"/>
        <v>79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2" t="str">
        <f ca="1">IF(dict_zuord_Transfers_Storages[[#This Row],[kval_active]],dict_zuord_Transfers_Storages[[#This Row],[ID_Storages]],"")</f>
        <v/>
      </c>
    </row>
    <row r="633" spans="1:4" x14ac:dyDescent="0.45">
      <c r="A633">
        <v>70</v>
      </c>
      <c r="B633">
        <f t="shared" ca="1" si="9"/>
        <v>12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3" t="str">
        <f ca="1">IF(dict_zuord_Transfers_Storages[[#This Row],[kval_active]],dict_zuord_Transfers_Storages[[#This Row],[ID_Storages]],"")</f>
        <v/>
      </c>
    </row>
    <row r="634" spans="1:4" x14ac:dyDescent="0.45">
      <c r="A634">
        <v>70</v>
      </c>
      <c r="B634">
        <f t="shared" ca="1" si="9"/>
        <v>25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4" t="str">
        <f ca="1">IF(dict_zuord_Transfers_Storages[[#This Row],[kval_active]],dict_zuord_Transfers_Storages[[#This Row],[ID_Storages]],"")</f>
        <v/>
      </c>
    </row>
    <row r="635" spans="1:4" x14ac:dyDescent="0.45">
      <c r="A635">
        <v>70</v>
      </c>
      <c r="B635">
        <f t="shared" ca="1" si="9"/>
        <v>74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5" t="str">
        <f ca="1">IF(dict_zuord_Transfers_Storages[[#This Row],[kval_active]],dict_zuord_Transfers_Storages[[#This Row],[ID_Storages]],"")</f>
        <v/>
      </c>
    </row>
    <row r="636" spans="1:4" x14ac:dyDescent="0.45">
      <c r="A636">
        <v>70</v>
      </c>
      <c r="B636">
        <f t="shared" ca="1" si="9"/>
        <v>69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6" t="str">
        <f ca="1">IF(dict_zuord_Transfers_Storages[[#This Row],[kval_active]],dict_zuord_Transfers_Storages[[#This Row],[ID_Storages]],"")</f>
        <v/>
      </c>
    </row>
    <row r="637" spans="1:4" x14ac:dyDescent="0.45">
      <c r="A637">
        <v>70</v>
      </c>
      <c r="B637">
        <f t="shared" ca="1" si="9"/>
        <v>15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7" t="str">
        <f ca="1">IF(dict_zuord_Transfers_Storages[[#This Row],[kval_active]],dict_zuord_Transfers_Storages[[#This Row],[ID_Storages]],"")</f>
        <v/>
      </c>
    </row>
    <row r="638" spans="1:4" x14ac:dyDescent="0.45">
      <c r="A638">
        <v>70</v>
      </c>
      <c r="B638">
        <f t="shared" ca="1" si="9"/>
        <v>81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8" t="str">
        <f ca="1">IF(dict_zuord_Transfers_Storages[[#This Row],[kval_active]],dict_zuord_Transfers_Storages[[#This Row],[ID_Storages]],"")</f>
        <v/>
      </c>
    </row>
    <row r="639" spans="1:4" x14ac:dyDescent="0.45">
      <c r="A639">
        <v>70</v>
      </c>
      <c r="B639">
        <f t="shared" ca="1" si="9"/>
        <v>31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9" t="str">
        <f ca="1">IF(dict_zuord_Transfers_Storages[[#This Row],[kval_active]],dict_zuord_Transfers_Storages[[#This Row],[ID_Storages]],"")</f>
        <v/>
      </c>
    </row>
    <row r="640" spans="1:4" x14ac:dyDescent="0.45">
      <c r="A640">
        <v>70</v>
      </c>
      <c r="B640">
        <f t="shared" ca="1" si="9"/>
        <v>40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0" t="str">
        <f ca="1">IF(dict_zuord_Transfers_Storages[[#This Row],[kval_active]],dict_zuord_Transfers_Storages[[#This Row],[ID_Storages]],"")</f>
        <v/>
      </c>
    </row>
    <row r="641" spans="1:4" x14ac:dyDescent="0.45">
      <c r="A641">
        <v>71</v>
      </c>
      <c r="B641">
        <f t="shared" ca="1" si="9"/>
        <v>100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1">
        <f ca="1">IF(dict_zuord_Transfers_Storages[[#This Row],[kval_active]],dict_zuord_Transfers_Storages[[#This Row],[ID_Storages]],"")</f>
        <v>100</v>
      </c>
    </row>
    <row r="642" spans="1:4" x14ac:dyDescent="0.45">
      <c r="A642">
        <v>71</v>
      </c>
      <c r="B642">
        <f t="shared" ref="B642:B705" ca="1" si="10">RANDBETWEEN(0,100)</f>
        <v>100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2">
        <f ca="1">IF(dict_zuord_Transfers_Storages[[#This Row],[kval_active]],dict_zuord_Transfers_Storages[[#This Row],[ID_Storages]],"")</f>
        <v>100</v>
      </c>
    </row>
    <row r="643" spans="1:4" x14ac:dyDescent="0.45">
      <c r="A643">
        <v>71</v>
      </c>
      <c r="B643">
        <f t="shared" ca="1" si="10"/>
        <v>84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3">
        <f ca="1">IF(dict_zuord_Transfers_Storages[[#This Row],[kval_active]],dict_zuord_Transfers_Storages[[#This Row],[ID_Storages]],"")</f>
        <v>84</v>
      </c>
    </row>
    <row r="644" spans="1:4" x14ac:dyDescent="0.45">
      <c r="A644">
        <v>71</v>
      </c>
      <c r="B644">
        <f t="shared" ca="1" si="10"/>
        <v>14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4">
        <f ca="1">IF(dict_zuord_Transfers_Storages[[#This Row],[kval_active]],dict_zuord_Transfers_Storages[[#This Row],[ID_Storages]],"")</f>
        <v>14</v>
      </c>
    </row>
    <row r="645" spans="1:4" x14ac:dyDescent="0.45">
      <c r="A645">
        <v>71</v>
      </c>
      <c r="B645">
        <f t="shared" ca="1" si="10"/>
        <v>59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5">
        <f ca="1">IF(dict_zuord_Transfers_Storages[[#This Row],[kval_active]],dict_zuord_Transfers_Storages[[#This Row],[ID_Storages]],"")</f>
        <v>59</v>
      </c>
    </row>
    <row r="646" spans="1:4" x14ac:dyDescent="0.45">
      <c r="A646">
        <v>71</v>
      </c>
      <c r="B646">
        <f t="shared" ca="1" si="10"/>
        <v>21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6">
        <f ca="1">IF(dict_zuord_Transfers_Storages[[#This Row],[kval_active]],dict_zuord_Transfers_Storages[[#This Row],[ID_Storages]],"")</f>
        <v>21</v>
      </c>
    </row>
    <row r="647" spans="1:4" x14ac:dyDescent="0.45">
      <c r="A647">
        <v>71</v>
      </c>
      <c r="B647">
        <f t="shared" ca="1" si="10"/>
        <v>6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7">
        <f ca="1">IF(dict_zuord_Transfers_Storages[[#This Row],[kval_active]],dict_zuord_Transfers_Storages[[#This Row],[ID_Storages]],"")</f>
        <v>6</v>
      </c>
    </row>
    <row r="648" spans="1:4" x14ac:dyDescent="0.45">
      <c r="A648">
        <v>71</v>
      </c>
      <c r="B648">
        <f t="shared" ca="1" si="10"/>
        <v>18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8">
        <f ca="1">IF(dict_zuord_Transfers_Storages[[#This Row],[kval_active]],dict_zuord_Transfers_Storages[[#This Row],[ID_Storages]],"")</f>
        <v>18</v>
      </c>
    </row>
    <row r="649" spans="1:4" x14ac:dyDescent="0.45">
      <c r="A649">
        <v>71</v>
      </c>
      <c r="B649">
        <f t="shared" ca="1" si="10"/>
        <v>26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9">
        <f ca="1">IF(dict_zuord_Transfers_Storages[[#This Row],[kval_active]],dict_zuord_Transfers_Storages[[#This Row],[ID_Storages]],"")</f>
        <v>26</v>
      </c>
    </row>
    <row r="650" spans="1:4" x14ac:dyDescent="0.45">
      <c r="A650">
        <v>72</v>
      </c>
      <c r="B650">
        <f t="shared" ca="1" si="10"/>
        <v>35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0">
        <f ca="1">IF(dict_zuord_Transfers_Storages[[#This Row],[kval_active]],dict_zuord_Transfers_Storages[[#This Row],[ID_Storages]],"")</f>
        <v>35</v>
      </c>
    </row>
    <row r="651" spans="1:4" x14ac:dyDescent="0.45">
      <c r="A651">
        <v>72</v>
      </c>
      <c r="B651">
        <f t="shared" ca="1" si="10"/>
        <v>25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1">
        <f ca="1">IF(dict_zuord_Transfers_Storages[[#This Row],[kval_active]],dict_zuord_Transfers_Storages[[#This Row],[ID_Storages]],"")</f>
        <v>25</v>
      </c>
    </row>
    <row r="652" spans="1:4" x14ac:dyDescent="0.45">
      <c r="A652">
        <v>72</v>
      </c>
      <c r="B652">
        <f t="shared" ca="1" si="10"/>
        <v>90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2">
        <f ca="1">IF(dict_zuord_Transfers_Storages[[#This Row],[kval_active]],dict_zuord_Transfers_Storages[[#This Row],[ID_Storages]],"")</f>
        <v>90</v>
      </c>
    </row>
    <row r="653" spans="1:4" x14ac:dyDescent="0.45">
      <c r="A653">
        <v>72</v>
      </c>
      <c r="B653">
        <f t="shared" ca="1" si="10"/>
        <v>77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3">
        <f ca="1">IF(dict_zuord_Transfers_Storages[[#This Row],[kval_active]],dict_zuord_Transfers_Storages[[#This Row],[ID_Storages]],"")</f>
        <v>77</v>
      </c>
    </row>
    <row r="654" spans="1:4" x14ac:dyDescent="0.45">
      <c r="A654">
        <v>72</v>
      </c>
      <c r="B654">
        <f t="shared" ca="1" si="10"/>
        <v>40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4">
        <f ca="1">IF(dict_zuord_Transfers_Storages[[#This Row],[kval_active]],dict_zuord_Transfers_Storages[[#This Row],[ID_Storages]],"")</f>
        <v>40</v>
      </c>
    </row>
    <row r="655" spans="1:4" x14ac:dyDescent="0.45">
      <c r="A655">
        <v>72</v>
      </c>
      <c r="B655">
        <f t="shared" ca="1" si="10"/>
        <v>83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5">
        <f ca="1">IF(dict_zuord_Transfers_Storages[[#This Row],[kval_active]],dict_zuord_Transfers_Storages[[#This Row],[ID_Storages]],"")</f>
        <v>83</v>
      </c>
    </row>
    <row r="656" spans="1:4" x14ac:dyDescent="0.45">
      <c r="A656">
        <v>72</v>
      </c>
      <c r="B656">
        <f t="shared" ca="1" si="10"/>
        <v>77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6">
        <f ca="1">IF(dict_zuord_Transfers_Storages[[#This Row],[kval_active]],dict_zuord_Transfers_Storages[[#This Row],[ID_Storages]],"")</f>
        <v>77</v>
      </c>
    </row>
    <row r="657" spans="1:4" x14ac:dyDescent="0.45">
      <c r="A657">
        <v>72</v>
      </c>
      <c r="B657">
        <f t="shared" ca="1" si="10"/>
        <v>39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7">
        <f ca="1">IF(dict_zuord_Transfers_Storages[[#This Row],[kval_active]],dict_zuord_Transfers_Storages[[#This Row],[ID_Storages]],"")</f>
        <v>39</v>
      </c>
    </row>
    <row r="658" spans="1:4" x14ac:dyDescent="0.45">
      <c r="A658">
        <v>72</v>
      </c>
      <c r="B658">
        <f t="shared" ca="1" si="10"/>
        <v>26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8">
        <f ca="1">IF(dict_zuord_Transfers_Storages[[#This Row],[kval_active]],dict_zuord_Transfers_Storages[[#This Row],[ID_Storages]],"")</f>
        <v>26</v>
      </c>
    </row>
    <row r="659" spans="1:4" x14ac:dyDescent="0.45">
      <c r="A659">
        <v>73</v>
      </c>
      <c r="B659">
        <f t="shared" ca="1" si="10"/>
        <v>14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9">
        <f ca="1">IF(dict_zuord_Transfers_Storages[[#This Row],[kval_active]],dict_zuord_Transfers_Storages[[#This Row],[ID_Storages]],"")</f>
        <v>14</v>
      </c>
    </row>
    <row r="660" spans="1:4" x14ac:dyDescent="0.45">
      <c r="A660">
        <v>73</v>
      </c>
      <c r="B660">
        <f t="shared" ca="1" si="10"/>
        <v>93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0">
        <f ca="1">IF(dict_zuord_Transfers_Storages[[#This Row],[kval_active]],dict_zuord_Transfers_Storages[[#This Row],[ID_Storages]],"")</f>
        <v>93</v>
      </c>
    </row>
    <row r="661" spans="1:4" x14ac:dyDescent="0.45">
      <c r="A661">
        <v>73</v>
      </c>
      <c r="B661">
        <f t="shared" ca="1" si="10"/>
        <v>98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1">
        <f ca="1">IF(dict_zuord_Transfers_Storages[[#This Row],[kval_active]],dict_zuord_Transfers_Storages[[#This Row],[ID_Storages]],"")</f>
        <v>98</v>
      </c>
    </row>
    <row r="662" spans="1:4" x14ac:dyDescent="0.45">
      <c r="A662">
        <v>73</v>
      </c>
      <c r="B662">
        <f t="shared" ca="1" si="10"/>
        <v>62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2">
        <f ca="1">IF(dict_zuord_Transfers_Storages[[#This Row],[kval_active]],dict_zuord_Transfers_Storages[[#This Row],[ID_Storages]],"")</f>
        <v>62</v>
      </c>
    </row>
    <row r="663" spans="1:4" x14ac:dyDescent="0.45">
      <c r="A663">
        <v>73</v>
      </c>
      <c r="B663">
        <f t="shared" ca="1" si="10"/>
        <v>43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3">
        <f ca="1">IF(dict_zuord_Transfers_Storages[[#This Row],[kval_active]],dict_zuord_Transfers_Storages[[#This Row],[ID_Storages]],"")</f>
        <v>43</v>
      </c>
    </row>
    <row r="664" spans="1:4" x14ac:dyDescent="0.45">
      <c r="A664">
        <v>73</v>
      </c>
      <c r="B664">
        <f t="shared" ca="1" si="10"/>
        <v>15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4">
        <f ca="1">IF(dict_zuord_Transfers_Storages[[#This Row],[kval_active]],dict_zuord_Transfers_Storages[[#This Row],[ID_Storages]],"")</f>
        <v>15</v>
      </c>
    </row>
    <row r="665" spans="1:4" x14ac:dyDescent="0.45">
      <c r="A665">
        <v>73</v>
      </c>
      <c r="B665">
        <f t="shared" ca="1" si="10"/>
        <v>77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5">
        <f ca="1">IF(dict_zuord_Transfers_Storages[[#This Row],[kval_active]],dict_zuord_Transfers_Storages[[#This Row],[ID_Storages]],"")</f>
        <v>77</v>
      </c>
    </row>
    <row r="666" spans="1:4" x14ac:dyDescent="0.45">
      <c r="A666">
        <v>73</v>
      </c>
      <c r="B666">
        <f t="shared" ca="1" si="10"/>
        <v>44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6">
        <f ca="1">IF(dict_zuord_Transfers_Storages[[#This Row],[kval_active]],dict_zuord_Transfers_Storages[[#This Row],[ID_Storages]],"")</f>
        <v>44</v>
      </c>
    </row>
    <row r="667" spans="1:4" x14ac:dyDescent="0.45">
      <c r="A667">
        <v>73</v>
      </c>
      <c r="B667">
        <f t="shared" ca="1" si="10"/>
        <v>9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7">
        <f ca="1">IF(dict_zuord_Transfers_Storages[[#This Row],[kval_active]],dict_zuord_Transfers_Storages[[#This Row],[ID_Storages]],"")</f>
        <v>9</v>
      </c>
    </row>
    <row r="668" spans="1:4" x14ac:dyDescent="0.45">
      <c r="A668">
        <v>74</v>
      </c>
      <c r="B668">
        <f t="shared" ca="1" si="10"/>
        <v>51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8">
        <f ca="1">IF(dict_zuord_Transfers_Storages[[#This Row],[kval_active]],dict_zuord_Transfers_Storages[[#This Row],[ID_Storages]],"")</f>
        <v>51</v>
      </c>
    </row>
    <row r="669" spans="1:4" x14ac:dyDescent="0.45">
      <c r="A669">
        <v>74</v>
      </c>
      <c r="B669">
        <f t="shared" ca="1" si="10"/>
        <v>64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9">
        <f ca="1">IF(dict_zuord_Transfers_Storages[[#This Row],[kval_active]],dict_zuord_Transfers_Storages[[#This Row],[ID_Storages]],"")</f>
        <v>64</v>
      </c>
    </row>
    <row r="670" spans="1:4" x14ac:dyDescent="0.45">
      <c r="A670">
        <v>74</v>
      </c>
      <c r="B670">
        <f t="shared" ca="1" si="10"/>
        <v>86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0">
        <f ca="1">IF(dict_zuord_Transfers_Storages[[#This Row],[kval_active]],dict_zuord_Transfers_Storages[[#This Row],[ID_Storages]],"")</f>
        <v>86</v>
      </c>
    </row>
    <row r="671" spans="1:4" x14ac:dyDescent="0.45">
      <c r="A671">
        <v>74</v>
      </c>
      <c r="B671">
        <f t="shared" ca="1" si="10"/>
        <v>60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1">
        <f ca="1">IF(dict_zuord_Transfers_Storages[[#This Row],[kval_active]],dict_zuord_Transfers_Storages[[#This Row],[ID_Storages]],"")</f>
        <v>60</v>
      </c>
    </row>
    <row r="672" spans="1:4" x14ac:dyDescent="0.45">
      <c r="A672">
        <v>74</v>
      </c>
      <c r="B672">
        <f t="shared" ca="1" si="10"/>
        <v>18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2">
        <f ca="1">IF(dict_zuord_Transfers_Storages[[#This Row],[kval_active]],dict_zuord_Transfers_Storages[[#This Row],[ID_Storages]],"")</f>
        <v>18</v>
      </c>
    </row>
    <row r="673" spans="1:4" x14ac:dyDescent="0.45">
      <c r="A673">
        <v>74</v>
      </c>
      <c r="B673">
        <f t="shared" ca="1" si="10"/>
        <v>63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3">
        <f ca="1">IF(dict_zuord_Transfers_Storages[[#This Row],[kval_active]],dict_zuord_Transfers_Storages[[#This Row],[ID_Storages]],"")</f>
        <v>63</v>
      </c>
    </row>
    <row r="674" spans="1:4" x14ac:dyDescent="0.45">
      <c r="A674">
        <v>74</v>
      </c>
      <c r="B674">
        <f t="shared" ca="1" si="10"/>
        <v>84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4">
        <f ca="1">IF(dict_zuord_Transfers_Storages[[#This Row],[kval_active]],dict_zuord_Transfers_Storages[[#This Row],[ID_Storages]],"")</f>
        <v>84</v>
      </c>
    </row>
    <row r="675" spans="1:4" x14ac:dyDescent="0.45">
      <c r="A675">
        <v>74</v>
      </c>
      <c r="B675">
        <f t="shared" ca="1" si="10"/>
        <v>51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5">
        <f ca="1">IF(dict_zuord_Transfers_Storages[[#This Row],[kval_active]],dict_zuord_Transfers_Storages[[#This Row],[ID_Storages]],"")</f>
        <v>51</v>
      </c>
    </row>
    <row r="676" spans="1:4" x14ac:dyDescent="0.45">
      <c r="A676">
        <v>74</v>
      </c>
      <c r="B676">
        <f t="shared" ca="1" si="10"/>
        <v>51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6">
        <f ca="1">IF(dict_zuord_Transfers_Storages[[#This Row],[kval_active]],dict_zuord_Transfers_Storages[[#This Row],[ID_Storages]],"")</f>
        <v>51</v>
      </c>
    </row>
    <row r="677" spans="1:4" x14ac:dyDescent="0.45">
      <c r="A677">
        <v>75</v>
      </c>
      <c r="B677">
        <f t="shared" ca="1" si="10"/>
        <v>30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7">
        <f ca="1">IF(dict_zuord_Transfers_Storages[[#This Row],[kval_active]],dict_zuord_Transfers_Storages[[#This Row],[ID_Storages]],"")</f>
        <v>30</v>
      </c>
    </row>
    <row r="678" spans="1:4" x14ac:dyDescent="0.45">
      <c r="A678">
        <v>75</v>
      </c>
      <c r="B678">
        <f t="shared" ca="1" si="10"/>
        <v>53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8">
        <f ca="1">IF(dict_zuord_Transfers_Storages[[#This Row],[kval_active]],dict_zuord_Transfers_Storages[[#This Row],[ID_Storages]],"")</f>
        <v>53</v>
      </c>
    </row>
    <row r="679" spans="1:4" x14ac:dyDescent="0.45">
      <c r="A679">
        <v>75</v>
      </c>
      <c r="B679">
        <f t="shared" ca="1" si="10"/>
        <v>2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9">
        <f ca="1">IF(dict_zuord_Transfers_Storages[[#This Row],[kval_active]],dict_zuord_Transfers_Storages[[#This Row],[ID_Storages]],"")</f>
        <v>2</v>
      </c>
    </row>
    <row r="680" spans="1:4" x14ac:dyDescent="0.45">
      <c r="A680">
        <v>75</v>
      </c>
      <c r="B680">
        <f t="shared" ca="1" si="10"/>
        <v>35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0">
        <f ca="1">IF(dict_zuord_Transfers_Storages[[#This Row],[kval_active]],dict_zuord_Transfers_Storages[[#This Row],[ID_Storages]],"")</f>
        <v>35</v>
      </c>
    </row>
    <row r="681" spans="1:4" x14ac:dyDescent="0.45">
      <c r="A681">
        <v>75</v>
      </c>
      <c r="B681">
        <f t="shared" ca="1" si="10"/>
        <v>16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1">
        <f ca="1">IF(dict_zuord_Transfers_Storages[[#This Row],[kval_active]],dict_zuord_Transfers_Storages[[#This Row],[ID_Storages]],"")</f>
        <v>16</v>
      </c>
    </row>
    <row r="682" spans="1:4" x14ac:dyDescent="0.45">
      <c r="A682">
        <v>75</v>
      </c>
      <c r="B682">
        <f t="shared" ca="1" si="10"/>
        <v>29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2">
        <f ca="1">IF(dict_zuord_Transfers_Storages[[#This Row],[kval_active]],dict_zuord_Transfers_Storages[[#This Row],[ID_Storages]],"")</f>
        <v>29</v>
      </c>
    </row>
    <row r="683" spans="1:4" x14ac:dyDescent="0.45">
      <c r="A683">
        <v>75</v>
      </c>
      <c r="B683">
        <f t="shared" ca="1" si="10"/>
        <v>0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3">
        <f ca="1">IF(dict_zuord_Transfers_Storages[[#This Row],[kval_active]],dict_zuord_Transfers_Storages[[#This Row],[ID_Storages]],"")</f>
        <v>0</v>
      </c>
    </row>
    <row r="684" spans="1:4" x14ac:dyDescent="0.45">
      <c r="A684">
        <v>75</v>
      </c>
      <c r="B684">
        <f t="shared" ca="1" si="10"/>
        <v>5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4">
        <f ca="1">IF(dict_zuord_Transfers_Storages[[#This Row],[kval_active]],dict_zuord_Transfers_Storages[[#This Row],[ID_Storages]],"")</f>
        <v>5</v>
      </c>
    </row>
    <row r="685" spans="1:4" x14ac:dyDescent="0.45">
      <c r="A685">
        <v>75</v>
      </c>
      <c r="B685">
        <f t="shared" ca="1" si="10"/>
        <v>69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5">
        <f ca="1">IF(dict_zuord_Transfers_Storages[[#This Row],[kval_active]],dict_zuord_Transfers_Storages[[#This Row],[ID_Storages]],"")</f>
        <v>69</v>
      </c>
    </row>
    <row r="686" spans="1:4" x14ac:dyDescent="0.45">
      <c r="A686">
        <v>76</v>
      </c>
      <c r="B686">
        <f t="shared" ca="1" si="10"/>
        <v>26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6">
        <f ca="1">IF(dict_zuord_Transfers_Storages[[#This Row],[kval_active]],dict_zuord_Transfers_Storages[[#This Row],[ID_Storages]],"")</f>
        <v>26</v>
      </c>
    </row>
    <row r="687" spans="1:4" x14ac:dyDescent="0.45">
      <c r="A687">
        <v>76</v>
      </c>
      <c r="B687">
        <f t="shared" ca="1" si="10"/>
        <v>95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7">
        <f ca="1">IF(dict_zuord_Transfers_Storages[[#This Row],[kval_active]],dict_zuord_Transfers_Storages[[#This Row],[ID_Storages]],"")</f>
        <v>95</v>
      </c>
    </row>
    <row r="688" spans="1:4" x14ac:dyDescent="0.45">
      <c r="A688">
        <v>76</v>
      </c>
      <c r="B688">
        <f t="shared" ca="1" si="10"/>
        <v>56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8">
        <f ca="1">IF(dict_zuord_Transfers_Storages[[#This Row],[kval_active]],dict_zuord_Transfers_Storages[[#This Row],[ID_Storages]],"")</f>
        <v>56</v>
      </c>
    </row>
    <row r="689" spans="1:4" x14ac:dyDescent="0.45">
      <c r="A689">
        <v>76</v>
      </c>
      <c r="B689">
        <f t="shared" ca="1" si="10"/>
        <v>89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9">
        <f ca="1">IF(dict_zuord_Transfers_Storages[[#This Row],[kval_active]],dict_zuord_Transfers_Storages[[#This Row],[ID_Storages]],"")</f>
        <v>89</v>
      </c>
    </row>
    <row r="690" spans="1:4" x14ac:dyDescent="0.45">
      <c r="A690">
        <v>76</v>
      </c>
      <c r="B690">
        <f t="shared" ca="1" si="10"/>
        <v>60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0">
        <f ca="1">IF(dict_zuord_Transfers_Storages[[#This Row],[kval_active]],dict_zuord_Transfers_Storages[[#This Row],[ID_Storages]],"")</f>
        <v>60</v>
      </c>
    </row>
    <row r="691" spans="1:4" x14ac:dyDescent="0.45">
      <c r="A691">
        <v>76</v>
      </c>
      <c r="B691">
        <f t="shared" ca="1" si="10"/>
        <v>99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1">
        <f ca="1">IF(dict_zuord_Transfers_Storages[[#This Row],[kval_active]],dict_zuord_Transfers_Storages[[#This Row],[ID_Storages]],"")</f>
        <v>99</v>
      </c>
    </row>
    <row r="692" spans="1:4" x14ac:dyDescent="0.45">
      <c r="A692">
        <v>76</v>
      </c>
      <c r="B692">
        <f t="shared" ca="1" si="10"/>
        <v>19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2">
        <f ca="1">IF(dict_zuord_Transfers_Storages[[#This Row],[kval_active]],dict_zuord_Transfers_Storages[[#This Row],[ID_Storages]],"")</f>
        <v>19</v>
      </c>
    </row>
    <row r="693" spans="1:4" x14ac:dyDescent="0.45">
      <c r="A693">
        <v>76</v>
      </c>
      <c r="B693">
        <f t="shared" ca="1" si="10"/>
        <v>31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3">
        <f ca="1">IF(dict_zuord_Transfers_Storages[[#This Row],[kval_active]],dict_zuord_Transfers_Storages[[#This Row],[ID_Storages]],"")</f>
        <v>31</v>
      </c>
    </row>
    <row r="694" spans="1:4" x14ac:dyDescent="0.45">
      <c r="A694">
        <v>76</v>
      </c>
      <c r="B694">
        <f t="shared" ca="1" si="10"/>
        <v>73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4">
        <f ca="1">IF(dict_zuord_Transfers_Storages[[#This Row],[kval_active]],dict_zuord_Transfers_Storages[[#This Row],[ID_Storages]],"")</f>
        <v>73</v>
      </c>
    </row>
    <row r="695" spans="1:4" x14ac:dyDescent="0.45">
      <c r="A695">
        <v>77</v>
      </c>
      <c r="B695">
        <f t="shared" ca="1" si="10"/>
        <v>41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5">
        <f ca="1">IF(dict_zuord_Transfers_Storages[[#This Row],[kval_active]],dict_zuord_Transfers_Storages[[#This Row],[ID_Storages]],"")</f>
        <v>41</v>
      </c>
    </row>
    <row r="696" spans="1:4" x14ac:dyDescent="0.45">
      <c r="A696">
        <v>77</v>
      </c>
      <c r="B696">
        <f t="shared" ca="1" si="10"/>
        <v>54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6">
        <f ca="1">IF(dict_zuord_Transfers_Storages[[#This Row],[kval_active]],dict_zuord_Transfers_Storages[[#This Row],[ID_Storages]],"")</f>
        <v>54</v>
      </c>
    </row>
    <row r="697" spans="1:4" x14ac:dyDescent="0.45">
      <c r="A697">
        <v>77</v>
      </c>
      <c r="B697">
        <f t="shared" ca="1" si="10"/>
        <v>54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7">
        <f ca="1">IF(dict_zuord_Transfers_Storages[[#This Row],[kval_active]],dict_zuord_Transfers_Storages[[#This Row],[ID_Storages]],"")</f>
        <v>54</v>
      </c>
    </row>
    <row r="698" spans="1:4" x14ac:dyDescent="0.45">
      <c r="A698">
        <v>77</v>
      </c>
      <c r="B698">
        <f t="shared" ca="1" si="10"/>
        <v>72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8">
        <f ca="1">IF(dict_zuord_Transfers_Storages[[#This Row],[kval_active]],dict_zuord_Transfers_Storages[[#This Row],[ID_Storages]],"")</f>
        <v>72</v>
      </c>
    </row>
    <row r="699" spans="1:4" x14ac:dyDescent="0.45">
      <c r="A699">
        <v>77</v>
      </c>
      <c r="B699">
        <f t="shared" ca="1" si="10"/>
        <v>74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9">
        <f ca="1">IF(dict_zuord_Transfers_Storages[[#This Row],[kval_active]],dict_zuord_Transfers_Storages[[#This Row],[ID_Storages]],"")</f>
        <v>74</v>
      </c>
    </row>
    <row r="700" spans="1:4" x14ac:dyDescent="0.45">
      <c r="A700">
        <v>77</v>
      </c>
      <c r="B700">
        <f t="shared" ca="1" si="10"/>
        <v>24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0">
        <f ca="1">IF(dict_zuord_Transfers_Storages[[#This Row],[kval_active]],dict_zuord_Transfers_Storages[[#This Row],[ID_Storages]],"")</f>
        <v>24</v>
      </c>
    </row>
    <row r="701" spans="1:4" x14ac:dyDescent="0.45">
      <c r="A701">
        <v>77</v>
      </c>
      <c r="B701">
        <f t="shared" ca="1" si="10"/>
        <v>11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1">
        <f ca="1">IF(dict_zuord_Transfers_Storages[[#This Row],[kval_active]],dict_zuord_Transfers_Storages[[#This Row],[ID_Storages]],"")</f>
        <v>11</v>
      </c>
    </row>
    <row r="702" spans="1:4" x14ac:dyDescent="0.45">
      <c r="A702">
        <v>77</v>
      </c>
      <c r="B702">
        <f t="shared" ca="1" si="10"/>
        <v>64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2">
        <f ca="1">IF(dict_zuord_Transfers_Storages[[#This Row],[kval_active]],dict_zuord_Transfers_Storages[[#This Row],[ID_Storages]],"")</f>
        <v>64</v>
      </c>
    </row>
    <row r="703" spans="1:4" x14ac:dyDescent="0.45">
      <c r="A703">
        <v>77</v>
      </c>
      <c r="B703">
        <f t="shared" ca="1" si="10"/>
        <v>20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3">
        <f ca="1">IF(dict_zuord_Transfers_Storages[[#This Row],[kval_active]],dict_zuord_Transfers_Storages[[#This Row],[ID_Storages]],"")</f>
        <v>20</v>
      </c>
    </row>
    <row r="704" spans="1:4" x14ac:dyDescent="0.45">
      <c r="A704">
        <v>78</v>
      </c>
      <c r="B704">
        <f t="shared" ca="1" si="10"/>
        <v>87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4">
        <f ca="1">IF(dict_zuord_Transfers_Storages[[#This Row],[kval_active]],dict_zuord_Transfers_Storages[[#This Row],[ID_Storages]],"")</f>
        <v>87</v>
      </c>
    </row>
    <row r="705" spans="1:4" x14ac:dyDescent="0.45">
      <c r="A705">
        <v>78</v>
      </c>
      <c r="B705">
        <f t="shared" ca="1" si="10"/>
        <v>5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5">
        <f ca="1">IF(dict_zuord_Transfers_Storages[[#This Row],[kval_active]],dict_zuord_Transfers_Storages[[#This Row],[ID_Storages]],"")</f>
        <v>5</v>
      </c>
    </row>
    <row r="706" spans="1:4" x14ac:dyDescent="0.45">
      <c r="A706">
        <v>78</v>
      </c>
      <c r="B706">
        <f t="shared" ref="B706:B769" ca="1" si="11">RANDBETWEEN(0,100)</f>
        <v>67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6">
        <f ca="1">IF(dict_zuord_Transfers_Storages[[#This Row],[kval_active]],dict_zuord_Transfers_Storages[[#This Row],[ID_Storages]],"")</f>
        <v>67</v>
      </c>
    </row>
    <row r="707" spans="1:4" x14ac:dyDescent="0.45">
      <c r="A707">
        <v>78</v>
      </c>
      <c r="B707">
        <f t="shared" ca="1" si="11"/>
        <v>82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7">
        <f ca="1">IF(dict_zuord_Transfers_Storages[[#This Row],[kval_active]],dict_zuord_Transfers_Storages[[#This Row],[ID_Storages]],"")</f>
        <v>82</v>
      </c>
    </row>
    <row r="708" spans="1:4" x14ac:dyDescent="0.45">
      <c r="A708">
        <v>78</v>
      </c>
      <c r="B708">
        <f t="shared" ca="1" si="11"/>
        <v>46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8">
        <f ca="1">IF(dict_zuord_Transfers_Storages[[#This Row],[kval_active]],dict_zuord_Transfers_Storages[[#This Row],[ID_Storages]],"")</f>
        <v>46</v>
      </c>
    </row>
    <row r="709" spans="1:4" x14ac:dyDescent="0.45">
      <c r="A709">
        <v>78</v>
      </c>
      <c r="B709">
        <f t="shared" ca="1" si="11"/>
        <v>9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9">
        <f ca="1">IF(dict_zuord_Transfers_Storages[[#This Row],[kval_active]],dict_zuord_Transfers_Storages[[#This Row],[ID_Storages]],"")</f>
        <v>9</v>
      </c>
    </row>
    <row r="710" spans="1:4" x14ac:dyDescent="0.45">
      <c r="A710">
        <v>78</v>
      </c>
      <c r="B710">
        <f t="shared" ca="1" si="11"/>
        <v>13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0">
        <f ca="1">IF(dict_zuord_Transfers_Storages[[#This Row],[kval_active]],dict_zuord_Transfers_Storages[[#This Row],[ID_Storages]],"")</f>
        <v>13</v>
      </c>
    </row>
    <row r="711" spans="1:4" x14ac:dyDescent="0.45">
      <c r="A711">
        <v>78</v>
      </c>
      <c r="B711">
        <f t="shared" ca="1" si="11"/>
        <v>2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1">
        <f ca="1">IF(dict_zuord_Transfers_Storages[[#This Row],[kval_active]],dict_zuord_Transfers_Storages[[#This Row],[ID_Storages]],"")</f>
        <v>2</v>
      </c>
    </row>
    <row r="712" spans="1:4" x14ac:dyDescent="0.45">
      <c r="A712">
        <v>78</v>
      </c>
      <c r="B712">
        <f t="shared" ca="1" si="11"/>
        <v>64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2">
        <f ca="1">IF(dict_zuord_Transfers_Storages[[#This Row],[kval_active]],dict_zuord_Transfers_Storages[[#This Row],[ID_Storages]],"")</f>
        <v>64</v>
      </c>
    </row>
    <row r="713" spans="1:4" x14ac:dyDescent="0.45">
      <c r="A713">
        <v>79</v>
      </c>
      <c r="B713">
        <f t="shared" ca="1" si="11"/>
        <v>44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3" t="str">
        <f ca="1">IF(dict_zuord_Transfers_Storages[[#This Row],[kval_active]],dict_zuord_Transfers_Storages[[#This Row],[ID_Storages]],"")</f>
        <v/>
      </c>
    </row>
    <row r="714" spans="1:4" x14ac:dyDescent="0.45">
      <c r="A714">
        <v>79</v>
      </c>
      <c r="B714">
        <f t="shared" ca="1" si="11"/>
        <v>5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4" t="str">
        <f ca="1">IF(dict_zuord_Transfers_Storages[[#This Row],[kval_active]],dict_zuord_Transfers_Storages[[#This Row],[ID_Storages]],"")</f>
        <v/>
      </c>
    </row>
    <row r="715" spans="1:4" x14ac:dyDescent="0.45">
      <c r="A715">
        <v>79</v>
      </c>
      <c r="B715">
        <f t="shared" ca="1" si="11"/>
        <v>76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5" t="str">
        <f ca="1">IF(dict_zuord_Transfers_Storages[[#This Row],[kval_active]],dict_zuord_Transfers_Storages[[#This Row],[ID_Storages]],"")</f>
        <v/>
      </c>
    </row>
    <row r="716" spans="1:4" x14ac:dyDescent="0.45">
      <c r="A716">
        <v>79</v>
      </c>
      <c r="B716">
        <f t="shared" ca="1" si="11"/>
        <v>94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6" t="str">
        <f ca="1">IF(dict_zuord_Transfers_Storages[[#This Row],[kval_active]],dict_zuord_Transfers_Storages[[#This Row],[ID_Storages]],"")</f>
        <v/>
      </c>
    </row>
    <row r="717" spans="1:4" x14ac:dyDescent="0.45">
      <c r="A717">
        <v>79</v>
      </c>
      <c r="B717">
        <f t="shared" ca="1" si="11"/>
        <v>85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7" t="str">
        <f ca="1">IF(dict_zuord_Transfers_Storages[[#This Row],[kval_active]],dict_zuord_Transfers_Storages[[#This Row],[ID_Storages]],"")</f>
        <v/>
      </c>
    </row>
    <row r="718" spans="1:4" x14ac:dyDescent="0.45">
      <c r="A718">
        <v>79</v>
      </c>
      <c r="B718">
        <f t="shared" ca="1" si="11"/>
        <v>6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8" t="str">
        <f ca="1">IF(dict_zuord_Transfers_Storages[[#This Row],[kval_active]],dict_zuord_Transfers_Storages[[#This Row],[ID_Storages]],"")</f>
        <v/>
      </c>
    </row>
    <row r="719" spans="1:4" x14ac:dyDescent="0.45">
      <c r="A719">
        <v>79</v>
      </c>
      <c r="B719">
        <f t="shared" ca="1" si="11"/>
        <v>32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9" t="str">
        <f ca="1">IF(dict_zuord_Transfers_Storages[[#This Row],[kval_active]],dict_zuord_Transfers_Storages[[#This Row],[ID_Storages]],"")</f>
        <v/>
      </c>
    </row>
    <row r="720" spans="1:4" x14ac:dyDescent="0.45">
      <c r="A720">
        <v>79</v>
      </c>
      <c r="B720">
        <f t="shared" ca="1" si="11"/>
        <v>87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0" t="str">
        <f ca="1">IF(dict_zuord_Transfers_Storages[[#This Row],[kval_active]],dict_zuord_Transfers_Storages[[#This Row],[ID_Storages]],"")</f>
        <v/>
      </c>
    </row>
    <row r="721" spans="1:4" x14ac:dyDescent="0.45">
      <c r="A721">
        <v>79</v>
      </c>
      <c r="B721">
        <f t="shared" ca="1" si="11"/>
        <v>97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1" t="str">
        <f ca="1">IF(dict_zuord_Transfers_Storages[[#This Row],[kval_active]],dict_zuord_Transfers_Storages[[#This Row],[ID_Storages]],"")</f>
        <v/>
      </c>
    </row>
    <row r="722" spans="1:4" x14ac:dyDescent="0.45">
      <c r="A722">
        <v>80</v>
      </c>
      <c r="B722">
        <f t="shared" ca="1" si="11"/>
        <v>16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2">
        <f ca="1">IF(dict_zuord_Transfers_Storages[[#This Row],[kval_active]],dict_zuord_Transfers_Storages[[#This Row],[ID_Storages]],"")</f>
        <v>16</v>
      </c>
    </row>
    <row r="723" spans="1:4" x14ac:dyDescent="0.45">
      <c r="A723">
        <v>80</v>
      </c>
      <c r="B723">
        <f t="shared" ca="1" si="11"/>
        <v>90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3">
        <f ca="1">IF(dict_zuord_Transfers_Storages[[#This Row],[kval_active]],dict_zuord_Transfers_Storages[[#This Row],[ID_Storages]],"")</f>
        <v>90</v>
      </c>
    </row>
    <row r="724" spans="1:4" x14ac:dyDescent="0.45">
      <c r="A724">
        <v>80</v>
      </c>
      <c r="B724">
        <f t="shared" ca="1" si="11"/>
        <v>65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4">
        <f ca="1">IF(dict_zuord_Transfers_Storages[[#This Row],[kval_active]],dict_zuord_Transfers_Storages[[#This Row],[ID_Storages]],"")</f>
        <v>65</v>
      </c>
    </row>
    <row r="725" spans="1:4" x14ac:dyDescent="0.45">
      <c r="A725">
        <v>80</v>
      </c>
      <c r="B725">
        <f t="shared" ca="1" si="11"/>
        <v>5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5">
        <f ca="1">IF(dict_zuord_Transfers_Storages[[#This Row],[kval_active]],dict_zuord_Transfers_Storages[[#This Row],[ID_Storages]],"")</f>
        <v>5</v>
      </c>
    </row>
    <row r="726" spans="1:4" x14ac:dyDescent="0.45">
      <c r="A726">
        <v>80</v>
      </c>
      <c r="B726">
        <f t="shared" ca="1" si="11"/>
        <v>56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6">
        <f ca="1">IF(dict_zuord_Transfers_Storages[[#This Row],[kval_active]],dict_zuord_Transfers_Storages[[#This Row],[ID_Storages]],"")</f>
        <v>56</v>
      </c>
    </row>
    <row r="727" spans="1:4" x14ac:dyDescent="0.45">
      <c r="A727">
        <v>80</v>
      </c>
      <c r="B727">
        <f t="shared" ca="1" si="11"/>
        <v>43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7">
        <f ca="1">IF(dict_zuord_Transfers_Storages[[#This Row],[kval_active]],dict_zuord_Transfers_Storages[[#This Row],[ID_Storages]],"")</f>
        <v>43</v>
      </c>
    </row>
    <row r="728" spans="1:4" x14ac:dyDescent="0.45">
      <c r="A728">
        <v>80</v>
      </c>
      <c r="B728">
        <f t="shared" ca="1" si="11"/>
        <v>22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8">
        <f ca="1">IF(dict_zuord_Transfers_Storages[[#This Row],[kval_active]],dict_zuord_Transfers_Storages[[#This Row],[ID_Storages]],"")</f>
        <v>22</v>
      </c>
    </row>
    <row r="729" spans="1:4" x14ac:dyDescent="0.45">
      <c r="A729">
        <v>80</v>
      </c>
      <c r="B729">
        <f t="shared" ca="1" si="11"/>
        <v>62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9">
        <f ca="1">IF(dict_zuord_Transfers_Storages[[#This Row],[kval_active]],dict_zuord_Transfers_Storages[[#This Row],[ID_Storages]],"")</f>
        <v>62</v>
      </c>
    </row>
    <row r="730" spans="1:4" x14ac:dyDescent="0.45">
      <c r="A730">
        <v>80</v>
      </c>
      <c r="B730">
        <f t="shared" ca="1" si="11"/>
        <v>89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0">
        <f ca="1">IF(dict_zuord_Transfers_Storages[[#This Row],[kval_active]],dict_zuord_Transfers_Storages[[#This Row],[ID_Storages]],"")</f>
        <v>89</v>
      </c>
    </row>
    <row r="731" spans="1:4" x14ac:dyDescent="0.45">
      <c r="A731">
        <v>81</v>
      </c>
      <c r="B731">
        <f t="shared" ca="1" si="11"/>
        <v>38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1" t="str">
        <f ca="1">IF(dict_zuord_Transfers_Storages[[#This Row],[kval_active]],dict_zuord_Transfers_Storages[[#This Row],[ID_Storages]],"")</f>
        <v/>
      </c>
    </row>
    <row r="732" spans="1:4" x14ac:dyDescent="0.45">
      <c r="A732">
        <v>81</v>
      </c>
      <c r="B732">
        <f t="shared" ca="1" si="11"/>
        <v>87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2" t="str">
        <f ca="1">IF(dict_zuord_Transfers_Storages[[#This Row],[kval_active]],dict_zuord_Transfers_Storages[[#This Row],[ID_Storages]],"")</f>
        <v/>
      </c>
    </row>
    <row r="733" spans="1:4" x14ac:dyDescent="0.45">
      <c r="A733">
        <v>81</v>
      </c>
      <c r="B733">
        <f t="shared" ca="1" si="11"/>
        <v>46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3" t="str">
        <f ca="1">IF(dict_zuord_Transfers_Storages[[#This Row],[kval_active]],dict_zuord_Transfers_Storages[[#This Row],[ID_Storages]],"")</f>
        <v/>
      </c>
    </row>
    <row r="734" spans="1:4" x14ac:dyDescent="0.45">
      <c r="A734">
        <v>81</v>
      </c>
      <c r="B734">
        <f t="shared" ca="1" si="11"/>
        <v>86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4" t="str">
        <f ca="1">IF(dict_zuord_Transfers_Storages[[#This Row],[kval_active]],dict_zuord_Transfers_Storages[[#This Row],[ID_Storages]],"")</f>
        <v/>
      </c>
    </row>
    <row r="735" spans="1:4" x14ac:dyDescent="0.45">
      <c r="A735">
        <v>81</v>
      </c>
      <c r="B735">
        <f t="shared" ca="1" si="11"/>
        <v>96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5" t="str">
        <f ca="1">IF(dict_zuord_Transfers_Storages[[#This Row],[kval_active]],dict_zuord_Transfers_Storages[[#This Row],[ID_Storages]],"")</f>
        <v/>
      </c>
    </row>
    <row r="736" spans="1:4" x14ac:dyDescent="0.45">
      <c r="A736">
        <v>81</v>
      </c>
      <c r="B736">
        <f t="shared" ca="1" si="11"/>
        <v>86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6" t="str">
        <f ca="1">IF(dict_zuord_Transfers_Storages[[#This Row],[kval_active]],dict_zuord_Transfers_Storages[[#This Row],[ID_Storages]],"")</f>
        <v/>
      </c>
    </row>
    <row r="737" spans="1:4" x14ac:dyDescent="0.45">
      <c r="A737">
        <v>81</v>
      </c>
      <c r="B737">
        <f t="shared" ca="1" si="11"/>
        <v>38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7" t="str">
        <f ca="1">IF(dict_zuord_Transfers_Storages[[#This Row],[kval_active]],dict_zuord_Transfers_Storages[[#This Row],[ID_Storages]],"")</f>
        <v/>
      </c>
    </row>
    <row r="738" spans="1:4" x14ac:dyDescent="0.45">
      <c r="A738">
        <v>81</v>
      </c>
      <c r="B738">
        <f t="shared" ca="1" si="11"/>
        <v>83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8" t="str">
        <f ca="1">IF(dict_zuord_Transfers_Storages[[#This Row],[kval_active]],dict_zuord_Transfers_Storages[[#This Row],[ID_Storages]],"")</f>
        <v/>
      </c>
    </row>
    <row r="739" spans="1:4" x14ac:dyDescent="0.45">
      <c r="A739">
        <v>81</v>
      </c>
      <c r="B739">
        <f t="shared" ca="1" si="11"/>
        <v>56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9" t="str">
        <f ca="1">IF(dict_zuord_Transfers_Storages[[#This Row],[kval_active]],dict_zuord_Transfers_Storages[[#This Row],[ID_Storages]],"")</f>
        <v/>
      </c>
    </row>
    <row r="740" spans="1:4" x14ac:dyDescent="0.45">
      <c r="A740">
        <v>82</v>
      </c>
      <c r="B740">
        <f t="shared" ca="1" si="11"/>
        <v>40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0" t="str">
        <f ca="1">IF(dict_zuord_Transfers_Storages[[#This Row],[kval_active]],dict_zuord_Transfers_Storages[[#This Row],[ID_Storages]],"")</f>
        <v/>
      </c>
    </row>
    <row r="741" spans="1:4" x14ac:dyDescent="0.45">
      <c r="A741">
        <v>82</v>
      </c>
      <c r="B741">
        <f t="shared" ca="1" si="11"/>
        <v>62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1" t="str">
        <f ca="1">IF(dict_zuord_Transfers_Storages[[#This Row],[kval_active]],dict_zuord_Transfers_Storages[[#This Row],[ID_Storages]],"")</f>
        <v/>
      </c>
    </row>
    <row r="742" spans="1:4" x14ac:dyDescent="0.45">
      <c r="A742">
        <v>82</v>
      </c>
      <c r="B742">
        <f t="shared" ca="1" si="11"/>
        <v>97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2" t="str">
        <f ca="1">IF(dict_zuord_Transfers_Storages[[#This Row],[kval_active]],dict_zuord_Transfers_Storages[[#This Row],[ID_Storages]],"")</f>
        <v/>
      </c>
    </row>
    <row r="743" spans="1:4" x14ac:dyDescent="0.45">
      <c r="A743">
        <v>82</v>
      </c>
      <c r="B743">
        <f t="shared" ca="1" si="11"/>
        <v>100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3" t="str">
        <f ca="1">IF(dict_zuord_Transfers_Storages[[#This Row],[kval_active]],dict_zuord_Transfers_Storages[[#This Row],[ID_Storages]],"")</f>
        <v/>
      </c>
    </row>
    <row r="744" spans="1:4" x14ac:dyDescent="0.45">
      <c r="A744">
        <v>82</v>
      </c>
      <c r="B744">
        <f t="shared" ca="1" si="11"/>
        <v>90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4" t="str">
        <f ca="1">IF(dict_zuord_Transfers_Storages[[#This Row],[kval_active]],dict_zuord_Transfers_Storages[[#This Row],[ID_Storages]],"")</f>
        <v/>
      </c>
    </row>
    <row r="745" spans="1:4" x14ac:dyDescent="0.45">
      <c r="A745">
        <v>82</v>
      </c>
      <c r="B745">
        <f t="shared" ca="1" si="11"/>
        <v>94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5" t="str">
        <f ca="1">IF(dict_zuord_Transfers_Storages[[#This Row],[kval_active]],dict_zuord_Transfers_Storages[[#This Row],[ID_Storages]],"")</f>
        <v/>
      </c>
    </row>
    <row r="746" spans="1:4" x14ac:dyDescent="0.45">
      <c r="A746">
        <v>82</v>
      </c>
      <c r="B746">
        <f t="shared" ca="1" si="11"/>
        <v>83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6" t="str">
        <f ca="1">IF(dict_zuord_Transfers_Storages[[#This Row],[kval_active]],dict_zuord_Transfers_Storages[[#This Row],[ID_Storages]],"")</f>
        <v/>
      </c>
    </row>
    <row r="747" spans="1:4" x14ac:dyDescent="0.45">
      <c r="A747">
        <v>82</v>
      </c>
      <c r="B747">
        <f t="shared" ca="1" si="11"/>
        <v>56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7" t="str">
        <f ca="1">IF(dict_zuord_Transfers_Storages[[#This Row],[kval_active]],dict_zuord_Transfers_Storages[[#This Row],[ID_Storages]],"")</f>
        <v/>
      </c>
    </row>
    <row r="748" spans="1:4" x14ac:dyDescent="0.45">
      <c r="A748">
        <v>82</v>
      </c>
      <c r="B748">
        <f t="shared" ca="1" si="11"/>
        <v>17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8" t="str">
        <f ca="1">IF(dict_zuord_Transfers_Storages[[#This Row],[kval_active]],dict_zuord_Transfers_Storages[[#This Row],[ID_Storages]],"")</f>
        <v/>
      </c>
    </row>
    <row r="749" spans="1:4" x14ac:dyDescent="0.45">
      <c r="A749">
        <v>83</v>
      </c>
      <c r="B749">
        <f t="shared" ca="1" si="11"/>
        <v>86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9">
        <f ca="1">IF(dict_zuord_Transfers_Storages[[#This Row],[kval_active]],dict_zuord_Transfers_Storages[[#This Row],[ID_Storages]],"")</f>
        <v>86</v>
      </c>
    </row>
    <row r="750" spans="1:4" x14ac:dyDescent="0.45">
      <c r="A750">
        <v>83</v>
      </c>
      <c r="B750">
        <f t="shared" ca="1" si="11"/>
        <v>94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0">
        <f ca="1">IF(dict_zuord_Transfers_Storages[[#This Row],[kval_active]],dict_zuord_Transfers_Storages[[#This Row],[ID_Storages]],"")</f>
        <v>94</v>
      </c>
    </row>
    <row r="751" spans="1:4" x14ac:dyDescent="0.45">
      <c r="A751">
        <v>83</v>
      </c>
      <c r="B751">
        <f t="shared" ca="1" si="11"/>
        <v>18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1">
        <f ca="1">IF(dict_zuord_Transfers_Storages[[#This Row],[kval_active]],dict_zuord_Transfers_Storages[[#This Row],[ID_Storages]],"")</f>
        <v>18</v>
      </c>
    </row>
    <row r="752" spans="1:4" x14ac:dyDescent="0.45">
      <c r="A752">
        <v>83</v>
      </c>
      <c r="B752">
        <f t="shared" ca="1" si="11"/>
        <v>43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2">
        <f ca="1">IF(dict_zuord_Transfers_Storages[[#This Row],[kval_active]],dict_zuord_Transfers_Storages[[#This Row],[ID_Storages]],"")</f>
        <v>43</v>
      </c>
    </row>
    <row r="753" spans="1:4" x14ac:dyDescent="0.45">
      <c r="A753">
        <v>83</v>
      </c>
      <c r="B753">
        <f t="shared" ca="1" si="11"/>
        <v>24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3">
        <f ca="1">IF(dict_zuord_Transfers_Storages[[#This Row],[kval_active]],dict_zuord_Transfers_Storages[[#This Row],[ID_Storages]],"")</f>
        <v>24</v>
      </c>
    </row>
    <row r="754" spans="1:4" x14ac:dyDescent="0.45">
      <c r="A754">
        <v>83</v>
      </c>
      <c r="B754">
        <f t="shared" ca="1" si="11"/>
        <v>99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4">
        <f ca="1">IF(dict_zuord_Transfers_Storages[[#This Row],[kval_active]],dict_zuord_Transfers_Storages[[#This Row],[ID_Storages]],"")</f>
        <v>99</v>
      </c>
    </row>
    <row r="755" spans="1:4" x14ac:dyDescent="0.45">
      <c r="A755">
        <v>83</v>
      </c>
      <c r="B755">
        <f t="shared" ca="1" si="11"/>
        <v>8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5">
        <f ca="1">IF(dict_zuord_Transfers_Storages[[#This Row],[kval_active]],dict_zuord_Transfers_Storages[[#This Row],[ID_Storages]],"")</f>
        <v>8</v>
      </c>
    </row>
    <row r="756" spans="1:4" x14ac:dyDescent="0.45">
      <c r="A756">
        <v>83</v>
      </c>
      <c r="B756">
        <f t="shared" ca="1" si="11"/>
        <v>19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6">
        <f ca="1">IF(dict_zuord_Transfers_Storages[[#This Row],[kval_active]],dict_zuord_Transfers_Storages[[#This Row],[ID_Storages]],"")</f>
        <v>19</v>
      </c>
    </row>
    <row r="757" spans="1:4" x14ac:dyDescent="0.45">
      <c r="A757">
        <v>83</v>
      </c>
      <c r="B757">
        <f t="shared" ca="1" si="11"/>
        <v>9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7">
        <f ca="1">IF(dict_zuord_Transfers_Storages[[#This Row],[kval_active]],dict_zuord_Transfers_Storages[[#This Row],[ID_Storages]],"")</f>
        <v>9</v>
      </c>
    </row>
    <row r="758" spans="1:4" x14ac:dyDescent="0.45">
      <c r="A758">
        <v>84</v>
      </c>
      <c r="B758">
        <f t="shared" ca="1" si="11"/>
        <v>83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8" t="str">
        <f ca="1">IF(dict_zuord_Transfers_Storages[[#This Row],[kval_active]],dict_zuord_Transfers_Storages[[#This Row],[ID_Storages]],"")</f>
        <v/>
      </c>
    </row>
    <row r="759" spans="1:4" x14ac:dyDescent="0.45">
      <c r="A759">
        <v>84</v>
      </c>
      <c r="B759">
        <f t="shared" ca="1" si="11"/>
        <v>21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9" t="str">
        <f ca="1">IF(dict_zuord_Transfers_Storages[[#This Row],[kval_active]],dict_zuord_Transfers_Storages[[#This Row],[ID_Storages]],"")</f>
        <v/>
      </c>
    </row>
    <row r="760" spans="1:4" x14ac:dyDescent="0.45">
      <c r="A760">
        <v>84</v>
      </c>
      <c r="B760">
        <f t="shared" ca="1" si="11"/>
        <v>98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0" t="str">
        <f ca="1">IF(dict_zuord_Transfers_Storages[[#This Row],[kval_active]],dict_zuord_Transfers_Storages[[#This Row],[ID_Storages]],"")</f>
        <v/>
      </c>
    </row>
    <row r="761" spans="1:4" x14ac:dyDescent="0.45">
      <c r="A761">
        <v>84</v>
      </c>
      <c r="B761">
        <f t="shared" ca="1" si="11"/>
        <v>99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1" t="str">
        <f ca="1">IF(dict_zuord_Transfers_Storages[[#This Row],[kval_active]],dict_zuord_Transfers_Storages[[#This Row],[ID_Storages]],"")</f>
        <v/>
      </c>
    </row>
    <row r="762" spans="1:4" x14ac:dyDescent="0.45">
      <c r="A762">
        <v>84</v>
      </c>
      <c r="B762">
        <f t="shared" ca="1" si="11"/>
        <v>54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2" t="str">
        <f ca="1">IF(dict_zuord_Transfers_Storages[[#This Row],[kval_active]],dict_zuord_Transfers_Storages[[#This Row],[ID_Storages]],"")</f>
        <v/>
      </c>
    </row>
    <row r="763" spans="1:4" x14ac:dyDescent="0.45">
      <c r="A763">
        <v>84</v>
      </c>
      <c r="B763">
        <f t="shared" ca="1" si="11"/>
        <v>37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3" t="str">
        <f ca="1">IF(dict_zuord_Transfers_Storages[[#This Row],[kval_active]],dict_zuord_Transfers_Storages[[#This Row],[ID_Storages]],"")</f>
        <v/>
      </c>
    </row>
    <row r="764" spans="1:4" x14ac:dyDescent="0.45">
      <c r="A764">
        <v>84</v>
      </c>
      <c r="B764">
        <f t="shared" ca="1" si="11"/>
        <v>83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4" t="str">
        <f ca="1">IF(dict_zuord_Transfers_Storages[[#This Row],[kval_active]],dict_zuord_Transfers_Storages[[#This Row],[ID_Storages]],"")</f>
        <v/>
      </c>
    </row>
    <row r="765" spans="1:4" x14ac:dyDescent="0.45">
      <c r="A765">
        <v>84</v>
      </c>
      <c r="B765">
        <f t="shared" ca="1" si="11"/>
        <v>59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5" t="str">
        <f ca="1">IF(dict_zuord_Transfers_Storages[[#This Row],[kval_active]],dict_zuord_Transfers_Storages[[#This Row],[ID_Storages]],"")</f>
        <v/>
      </c>
    </row>
    <row r="766" spans="1:4" x14ac:dyDescent="0.45">
      <c r="A766">
        <v>84</v>
      </c>
      <c r="B766">
        <f t="shared" ca="1" si="11"/>
        <v>30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6" t="str">
        <f ca="1">IF(dict_zuord_Transfers_Storages[[#This Row],[kval_active]],dict_zuord_Transfers_Storages[[#This Row],[ID_Storages]],"")</f>
        <v/>
      </c>
    </row>
    <row r="767" spans="1:4" x14ac:dyDescent="0.45">
      <c r="A767">
        <v>85</v>
      </c>
      <c r="B767">
        <f t="shared" ca="1" si="11"/>
        <v>20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7">
        <f ca="1">IF(dict_zuord_Transfers_Storages[[#This Row],[kval_active]],dict_zuord_Transfers_Storages[[#This Row],[ID_Storages]],"")</f>
        <v>20</v>
      </c>
    </row>
    <row r="768" spans="1:4" x14ac:dyDescent="0.45">
      <c r="A768">
        <v>85</v>
      </c>
      <c r="B768">
        <f t="shared" ca="1" si="11"/>
        <v>90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8">
        <f ca="1">IF(dict_zuord_Transfers_Storages[[#This Row],[kval_active]],dict_zuord_Transfers_Storages[[#This Row],[ID_Storages]],"")</f>
        <v>90</v>
      </c>
    </row>
    <row r="769" spans="1:4" x14ac:dyDescent="0.45">
      <c r="A769">
        <v>85</v>
      </c>
      <c r="B769">
        <f t="shared" ca="1" si="11"/>
        <v>10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9">
        <f ca="1">IF(dict_zuord_Transfers_Storages[[#This Row],[kval_active]],dict_zuord_Transfers_Storages[[#This Row],[ID_Storages]],"")</f>
        <v>10</v>
      </c>
    </row>
    <row r="770" spans="1:4" x14ac:dyDescent="0.45">
      <c r="A770">
        <v>85</v>
      </c>
      <c r="B770">
        <f t="shared" ref="B770:B833" ca="1" si="12">RANDBETWEEN(0,100)</f>
        <v>100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0">
        <f ca="1">IF(dict_zuord_Transfers_Storages[[#This Row],[kval_active]],dict_zuord_Transfers_Storages[[#This Row],[ID_Storages]],"")</f>
        <v>100</v>
      </c>
    </row>
    <row r="771" spans="1:4" x14ac:dyDescent="0.45">
      <c r="A771">
        <v>85</v>
      </c>
      <c r="B771">
        <f t="shared" ca="1" si="12"/>
        <v>78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1">
        <f ca="1">IF(dict_zuord_Transfers_Storages[[#This Row],[kval_active]],dict_zuord_Transfers_Storages[[#This Row],[ID_Storages]],"")</f>
        <v>78</v>
      </c>
    </row>
    <row r="772" spans="1:4" x14ac:dyDescent="0.45">
      <c r="A772">
        <v>85</v>
      </c>
      <c r="B772">
        <f t="shared" ca="1" si="12"/>
        <v>39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2">
        <f ca="1">IF(dict_zuord_Transfers_Storages[[#This Row],[kval_active]],dict_zuord_Transfers_Storages[[#This Row],[ID_Storages]],"")</f>
        <v>39</v>
      </c>
    </row>
    <row r="773" spans="1:4" x14ac:dyDescent="0.45">
      <c r="A773">
        <v>85</v>
      </c>
      <c r="B773">
        <f t="shared" ca="1" si="12"/>
        <v>72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3">
        <f ca="1">IF(dict_zuord_Transfers_Storages[[#This Row],[kval_active]],dict_zuord_Transfers_Storages[[#This Row],[ID_Storages]],"")</f>
        <v>72</v>
      </c>
    </row>
    <row r="774" spans="1:4" x14ac:dyDescent="0.45">
      <c r="A774">
        <v>85</v>
      </c>
      <c r="B774">
        <f t="shared" ca="1" si="12"/>
        <v>90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4">
        <f ca="1">IF(dict_zuord_Transfers_Storages[[#This Row],[kval_active]],dict_zuord_Transfers_Storages[[#This Row],[ID_Storages]],"")</f>
        <v>90</v>
      </c>
    </row>
    <row r="775" spans="1:4" x14ac:dyDescent="0.45">
      <c r="A775">
        <v>85</v>
      </c>
      <c r="B775">
        <f t="shared" ca="1" si="12"/>
        <v>73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5">
        <f ca="1">IF(dict_zuord_Transfers_Storages[[#This Row],[kval_active]],dict_zuord_Transfers_Storages[[#This Row],[ID_Storages]],"")</f>
        <v>73</v>
      </c>
    </row>
    <row r="776" spans="1:4" x14ac:dyDescent="0.45">
      <c r="A776">
        <v>86</v>
      </c>
      <c r="B776">
        <f t="shared" ca="1" si="12"/>
        <v>93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6" t="str">
        <f ca="1">IF(dict_zuord_Transfers_Storages[[#This Row],[kval_active]],dict_zuord_Transfers_Storages[[#This Row],[ID_Storages]],"")</f>
        <v/>
      </c>
    </row>
    <row r="777" spans="1:4" x14ac:dyDescent="0.45">
      <c r="A777">
        <v>86</v>
      </c>
      <c r="B777">
        <f t="shared" ca="1" si="12"/>
        <v>25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7" t="str">
        <f ca="1">IF(dict_zuord_Transfers_Storages[[#This Row],[kval_active]],dict_zuord_Transfers_Storages[[#This Row],[ID_Storages]],"")</f>
        <v/>
      </c>
    </row>
    <row r="778" spans="1:4" x14ac:dyDescent="0.45">
      <c r="A778">
        <v>86</v>
      </c>
      <c r="B778">
        <f t="shared" ca="1" si="12"/>
        <v>89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8" t="str">
        <f ca="1">IF(dict_zuord_Transfers_Storages[[#This Row],[kval_active]],dict_zuord_Transfers_Storages[[#This Row],[ID_Storages]],"")</f>
        <v/>
      </c>
    </row>
    <row r="779" spans="1:4" x14ac:dyDescent="0.45">
      <c r="A779">
        <v>86</v>
      </c>
      <c r="B779">
        <f t="shared" ca="1" si="12"/>
        <v>10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9" t="str">
        <f ca="1">IF(dict_zuord_Transfers_Storages[[#This Row],[kval_active]],dict_zuord_Transfers_Storages[[#This Row],[ID_Storages]],"")</f>
        <v/>
      </c>
    </row>
    <row r="780" spans="1:4" x14ac:dyDescent="0.45">
      <c r="A780">
        <v>86</v>
      </c>
      <c r="B780">
        <f t="shared" ca="1" si="12"/>
        <v>60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0" t="str">
        <f ca="1">IF(dict_zuord_Transfers_Storages[[#This Row],[kval_active]],dict_zuord_Transfers_Storages[[#This Row],[ID_Storages]],"")</f>
        <v/>
      </c>
    </row>
    <row r="781" spans="1:4" x14ac:dyDescent="0.45">
      <c r="A781">
        <v>86</v>
      </c>
      <c r="B781">
        <f t="shared" ca="1" si="12"/>
        <v>24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1" t="str">
        <f ca="1">IF(dict_zuord_Transfers_Storages[[#This Row],[kval_active]],dict_zuord_Transfers_Storages[[#This Row],[ID_Storages]],"")</f>
        <v/>
      </c>
    </row>
    <row r="782" spans="1:4" x14ac:dyDescent="0.45">
      <c r="A782">
        <v>86</v>
      </c>
      <c r="B782">
        <f t="shared" ca="1" si="12"/>
        <v>68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2" t="str">
        <f ca="1">IF(dict_zuord_Transfers_Storages[[#This Row],[kval_active]],dict_zuord_Transfers_Storages[[#This Row],[ID_Storages]],"")</f>
        <v/>
      </c>
    </row>
    <row r="783" spans="1:4" x14ac:dyDescent="0.45">
      <c r="A783">
        <v>86</v>
      </c>
      <c r="B783">
        <f t="shared" ca="1" si="12"/>
        <v>39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3" t="str">
        <f ca="1">IF(dict_zuord_Transfers_Storages[[#This Row],[kval_active]],dict_zuord_Transfers_Storages[[#This Row],[ID_Storages]],"")</f>
        <v/>
      </c>
    </row>
    <row r="784" spans="1:4" x14ac:dyDescent="0.45">
      <c r="A784">
        <v>86</v>
      </c>
      <c r="B784">
        <f t="shared" ca="1" si="12"/>
        <v>30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4" t="str">
        <f ca="1">IF(dict_zuord_Transfers_Storages[[#This Row],[kval_active]],dict_zuord_Transfers_Storages[[#This Row],[ID_Storages]],"")</f>
        <v/>
      </c>
    </row>
    <row r="785" spans="1:4" x14ac:dyDescent="0.45">
      <c r="A785">
        <v>87</v>
      </c>
      <c r="B785">
        <f t="shared" ca="1" si="12"/>
        <v>25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5" t="str">
        <f ca="1">IF(dict_zuord_Transfers_Storages[[#This Row],[kval_active]],dict_zuord_Transfers_Storages[[#This Row],[ID_Storages]],"")</f>
        <v/>
      </c>
    </row>
    <row r="786" spans="1:4" x14ac:dyDescent="0.45">
      <c r="A786">
        <v>87</v>
      </c>
      <c r="B786">
        <f t="shared" ca="1" si="12"/>
        <v>100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6" t="str">
        <f ca="1">IF(dict_zuord_Transfers_Storages[[#This Row],[kval_active]],dict_zuord_Transfers_Storages[[#This Row],[ID_Storages]],"")</f>
        <v/>
      </c>
    </row>
    <row r="787" spans="1:4" x14ac:dyDescent="0.45">
      <c r="A787">
        <v>87</v>
      </c>
      <c r="B787">
        <f t="shared" ca="1" si="12"/>
        <v>58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7" t="str">
        <f ca="1">IF(dict_zuord_Transfers_Storages[[#This Row],[kval_active]],dict_zuord_Transfers_Storages[[#This Row],[ID_Storages]],"")</f>
        <v/>
      </c>
    </row>
    <row r="788" spans="1:4" x14ac:dyDescent="0.45">
      <c r="A788">
        <v>87</v>
      </c>
      <c r="B788">
        <f t="shared" ca="1" si="12"/>
        <v>62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8" t="str">
        <f ca="1">IF(dict_zuord_Transfers_Storages[[#This Row],[kval_active]],dict_zuord_Transfers_Storages[[#This Row],[ID_Storages]],"")</f>
        <v/>
      </c>
    </row>
    <row r="789" spans="1:4" x14ac:dyDescent="0.45">
      <c r="A789">
        <v>87</v>
      </c>
      <c r="B789">
        <f t="shared" ca="1" si="12"/>
        <v>11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9" t="str">
        <f ca="1">IF(dict_zuord_Transfers_Storages[[#This Row],[kval_active]],dict_zuord_Transfers_Storages[[#This Row],[ID_Storages]],"")</f>
        <v/>
      </c>
    </row>
    <row r="790" spans="1:4" x14ac:dyDescent="0.45">
      <c r="A790">
        <v>87</v>
      </c>
      <c r="B790">
        <f t="shared" ca="1" si="12"/>
        <v>43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0" t="str">
        <f ca="1">IF(dict_zuord_Transfers_Storages[[#This Row],[kval_active]],dict_zuord_Transfers_Storages[[#This Row],[ID_Storages]],"")</f>
        <v/>
      </c>
    </row>
    <row r="791" spans="1:4" x14ac:dyDescent="0.45">
      <c r="A791">
        <v>87</v>
      </c>
      <c r="B791">
        <f t="shared" ca="1" si="12"/>
        <v>40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1" t="str">
        <f ca="1">IF(dict_zuord_Transfers_Storages[[#This Row],[kval_active]],dict_zuord_Transfers_Storages[[#This Row],[ID_Storages]],"")</f>
        <v/>
      </c>
    </row>
    <row r="792" spans="1:4" x14ac:dyDescent="0.45">
      <c r="A792">
        <v>87</v>
      </c>
      <c r="B792">
        <f t="shared" ca="1" si="12"/>
        <v>100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2" t="str">
        <f ca="1">IF(dict_zuord_Transfers_Storages[[#This Row],[kval_active]],dict_zuord_Transfers_Storages[[#This Row],[ID_Storages]],"")</f>
        <v/>
      </c>
    </row>
    <row r="793" spans="1:4" x14ac:dyDescent="0.45">
      <c r="A793">
        <v>87</v>
      </c>
      <c r="B793">
        <f t="shared" ca="1" si="12"/>
        <v>67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3" t="str">
        <f ca="1">IF(dict_zuord_Transfers_Storages[[#This Row],[kval_active]],dict_zuord_Transfers_Storages[[#This Row],[ID_Storages]],"")</f>
        <v/>
      </c>
    </row>
    <row r="794" spans="1:4" x14ac:dyDescent="0.45">
      <c r="A794">
        <v>88</v>
      </c>
      <c r="B794">
        <f t="shared" ca="1" si="12"/>
        <v>99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4">
        <f ca="1">IF(dict_zuord_Transfers_Storages[[#This Row],[kval_active]],dict_zuord_Transfers_Storages[[#This Row],[ID_Storages]],"")</f>
        <v>99</v>
      </c>
    </row>
    <row r="795" spans="1:4" x14ac:dyDescent="0.45">
      <c r="A795">
        <v>88</v>
      </c>
      <c r="B795">
        <f t="shared" ca="1" si="12"/>
        <v>16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5">
        <f ca="1">IF(dict_zuord_Transfers_Storages[[#This Row],[kval_active]],dict_zuord_Transfers_Storages[[#This Row],[ID_Storages]],"")</f>
        <v>16</v>
      </c>
    </row>
    <row r="796" spans="1:4" x14ac:dyDescent="0.45">
      <c r="A796">
        <v>88</v>
      </c>
      <c r="B796">
        <f t="shared" ca="1" si="12"/>
        <v>38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6">
        <f ca="1">IF(dict_zuord_Transfers_Storages[[#This Row],[kval_active]],dict_zuord_Transfers_Storages[[#This Row],[ID_Storages]],"")</f>
        <v>38</v>
      </c>
    </row>
    <row r="797" spans="1:4" x14ac:dyDescent="0.45">
      <c r="A797">
        <v>88</v>
      </c>
      <c r="B797">
        <f t="shared" ca="1" si="12"/>
        <v>88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7">
        <f ca="1">IF(dict_zuord_Transfers_Storages[[#This Row],[kval_active]],dict_zuord_Transfers_Storages[[#This Row],[ID_Storages]],"")</f>
        <v>88</v>
      </c>
    </row>
    <row r="798" spans="1:4" x14ac:dyDescent="0.45">
      <c r="A798">
        <v>88</v>
      </c>
      <c r="B798">
        <f t="shared" ca="1" si="12"/>
        <v>39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8">
        <f ca="1">IF(dict_zuord_Transfers_Storages[[#This Row],[kval_active]],dict_zuord_Transfers_Storages[[#This Row],[ID_Storages]],"")</f>
        <v>39</v>
      </c>
    </row>
    <row r="799" spans="1:4" x14ac:dyDescent="0.45">
      <c r="A799">
        <v>88</v>
      </c>
      <c r="B799">
        <f t="shared" ca="1" si="12"/>
        <v>72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9">
        <f ca="1">IF(dict_zuord_Transfers_Storages[[#This Row],[kval_active]],dict_zuord_Transfers_Storages[[#This Row],[ID_Storages]],"")</f>
        <v>72</v>
      </c>
    </row>
    <row r="800" spans="1:4" x14ac:dyDescent="0.45">
      <c r="A800">
        <v>88</v>
      </c>
      <c r="B800">
        <f t="shared" ca="1" si="12"/>
        <v>24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0">
        <f ca="1">IF(dict_zuord_Transfers_Storages[[#This Row],[kval_active]],dict_zuord_Transfers_Storages[[#This Row],[ID_Storages]],"")</f>
        <v>24</v>
      </c>
    </row>
    <row r="801" spans="1:4" x14ac:dyDescent="0.45">
      <c r="A801">
        <v>88</v>
      </c>
      <c r="B801">
        <f t="shared" ca="1" si="12"/>
        <v>39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1">
        <f ca="1">IF(dict_zuord_Transfers_Storages[[#This Row],[kval_active]],dict_zuord_Transfers_Storages[[#This Row],[ID_Storages]],"")</f>
        <v>39</v>
      </c>
    </row>
    <row r="802" spans="1:4" x14ac:dyDescent="0.45">
      <c r="A802">
        <v>88</v>
      </c>
      <c r="B802">
        <f t="shared" ca="1" si="12"/>
        <v>48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2">
        <f ca="1">IF(dict_zuord_Transfers_Storages[[#This Row],[kval_active]],dict_zuord_Transfers_Storages[[#This Row],[ID_Storages]],"")</f>
        <v>48</v>
      </c>
    </row>
    <row r="803" spans="1:4" x14ac:dyDescent="0.45">
      <c r="A803">
        <v>89</v>
      </c>
      <c r="B803">
        <f t="shared" ca="1" si="12"/>
        <v>23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3">
        <f ca="1">IF(dict_zuord_Transfers_Storages[[#This Row],[kval_active]],dict_zuord_Transfers_Storages[[#This Row],[ID_Storages]],"")</f>
        <v>23</v>
      </c>
    </row>
    <row r="804" spans="1:4" x14ac:dyDescent="0.45">
      <c r="A804">
        <v>89</v>
      </c>
      <c r="B804">
        <f t="shared" ca="1" si="12"/>
        <v>75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4">
        <f ca="1">IF(dict_zuord_Transfers_Storages[[#This Row],[kval_active]],dict_zuord_Transfers_Storages[[#This Row],[ID_Storages]],"")</f>
        <v>75</v>
      </c>
    </row>
    <row r="805" spans="1:4" x14ac:dyDescent="0.45">
      <c r="A805">
        <v>89</v>
      </c>
      <c r="B805">
        <f t="shared" ca="1" si="12"/>
        <v>6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5">
        <f ca="1">IF(dict_zuord_Transfers_Storages[[#This Row],[kval_active]],dict_zuord_Transfers_Storages[[#This Row],[ID_Storages]],"")</f>
        <v>6</v>
      </c>
    </row>
    <row r="806" spans="1:4" x14ac:dyDescent="0.45">
      <c r="A806">
        <v>89</v>
      </c>
      <c r="B806">
        <f t="shared" ca="1" si="12"/>
        <v>5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6">
        <f ca="1">IF(dict_zuord_Transfers_Storages[[#This Row],[kval_active]],dict_zuord_Transfers_Storages[[#This Row],[ID_Storages]],"")</f>
        <v>5</v>
      </c>
    </row>
    <row r="807" spans="1:4" x14ac:dyDescent="0.45">
      <c r="A807">
        <v>89</v>
      </c>
      <c r="B807">
        <f t="shared" ca="1" si="12"/>
        <v>36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7">
        <f ca="1">IF(dict_zuord_Transfers_Storages[[#This Row],[kval_active]],dict_zuord_Transfers_Storages[[#This Row],[ID_Storages]],"")</f>
        <v>36</v>
      </c>
    </row>
    <row r="808" spans="1:4" x14ac:dyDescent="0.45">
      <c r="A808">
        <v>89</v>
      </c>
      <c r="B808">
        <f t="shared" ca="1" si="12"/>
        <v>73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8">
        <f ca="1">IF(dict_zuord_Transfers_Storages[[#This Row],[kval_active]],dict_zuord_Transfers_Storages[[#This Row],[ID_Storages]],"")</f>
        <v>73</v>
      </c>
    </row>
    <row r="809" spans="1:4" x14ac:dyDescent="0.45">
      <c r="A809">
        <v>89</v>
      </c>
      <c r="B809">
        <f t="shared" ca="1" si="12"/>
        <v>9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9">
        <f ca="1">IF(dict_zuord_Transfers_Storages[[#This Row],[kval_active]],dict_zuord_Transfers_Storages[[#This Row],[ID_Storages]],"")</f>
        <v>9</v>
      </c>
    </row>
    <row r="810" spans="1:4" x14ac:dyDescent="0.45">
      <c r="A810">
        <v>89</v>
      </c>
      <c r="B810">
        <f t="shared" ca="1" si="12"/>
        <v>14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0">
        <f ca="1">IF(dict_zuord_Transfers_Storages[[#This Row],[kval_active]],dict_zuord_Transfers_Storages[[#This Row],[ID_Storages]],"")</f>
        <v>14</v>
      </c>
    </row>
    <row r="811" spans="1:4" x14ac:dyDescent="0.45">
      <c r="A811">
        <v>89</v>
      </c>
      <c r="B811">
        <f t="shared" ca="1" si="12"/>
        <v>27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1">
        <f ca="1">IF(dict_zuord_Transfers_Storages[[#This Row],[kval_active]],dict_zuord_Transfers_Storages[[#This Row],[ID_Storages]],"")</f>
        <v>27</v>
      </c>
    </row>
    <row r="812" spans="1:4" x14ac:dyDescent="0.45">
      <c r="A812">
        <v>90</v>
      </c>
      <c r="B812">
        <f t="shared" ca="1" si="12"/>
        <v>16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2">
        <f ca="1">IF(dict_zuord_Transfers_Storages[[#This Row],[kval_active]],dict_zuord_Transfers_Storages[[#This Row],[ID_Storages]],"")</f>
        <v>16</v>
      </c>
    </row>
    <row r="813" spans="1:4" x14ac:dyDescent="0.45">
      <c r="A813">
        <v>90</v>
      </c>
      <c r="B813">
        <f t="shared" ca="1" si="12"/>
        <v>13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3">
        <f ca="1">IF(dict_zuord_Transfers_Storages[[#This Row],[kval_active]],dict_zuord_Transfers_Storages[[#This Row],[ID_Storages]],"")</f>
        <v>13</v>
      </c>
    </row>
    <row r="814" spans="1:4" x14ac:dyDescent="0.45">
      <c r="A814">
        <v>90</v>
      </c>
      <c r="B814">
        <f t="shared" ca="1" si="12"/>
        <v>64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4">
        <f ca="1">IF(dict_zuord_Transfers_Storages[[#This Row],[kval_active]],dict_zuord_Transfers_Storages[[#This Row],[ID_Storages]],"")</f>
        <v>64</v>
      </c>
    </row>
    <row r="815" spans="1:4" x14ac:dyDescent="0.45">
      <c r="A815">
        <v>90</v>
      </c>
      <c r="B815">
        <f t="shared" ca="1" si="12"/>
        <v>42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5">
        <f ca="1">IF(dict_zuord_Transfers_Storages[[#This Row],[kval_active]],dict_zuord_Transfers_Storages[[#This Row],[ID_Storages]],"")</f>
        <v>42</v>
      </c>
    </row>
    <row r="816" spans="1:4" x14ac:dyDescent="0.45">
      <c r="A816">
        <v>90</v>
      </c>
      <c r="B816">
        <f t="shared" ca="1" si="12"/>
        <v>60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6">
        <f ca="1">IF(dict_zuord_Transfers_Storages[[#This Row],[kval_active]],dict_zuord_Transfers_Storages[[#This Row],[ID_Storages]],"")</f>
        <v>60</v>
      </c>
    </row>
    <row r="817" spans="1:4" x14ac:dyDescent="0.45">
      <c r="A817">
        <v>90</v>
      </c>
      <c r="B817">
        <f t="shared" ca="1" si="12"/>
        <v>63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7">
        <f ca="1">IF(dict_zuord_Transfers_Storages[[#This Row],[kval_active]],dict_zuord_Transfers_Storages[[#This Row],[ID_Storages]],"")</f>
        <v>63</v>
      </c>
    </row>
    <row r="818" spans="1:4" x14ac:dyDescent="0.45">
      <c r="A818">
        <v>90</v>
      </c>
      <c r="B818">
        <f t="shared" ca="1" si="12"/>
        <v>40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8">
        <f ca="1">IF(dict_zuord_Transfers_Storages[[#This Row],[kval_active]],dict_zuord_Transfers_Storages[[#This Row],[ID_Storages]],"")</f>
        <v>40</v>
      </c>
    </row>
    <row r="819" spans="1:4" x14ac:dyDescent="0.45">
      <c r="A819">
        <v>90</v>
      </c>
      <c r="B819">
        <f t="shared" ca="1" si="12"/>
        <v>15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9">
        <f ca="1">IF(dict_zuord_Transfers_Storages[[#This Row],[kval_active]],dict_zuord_Transfers_Storages[[#This Row],[ID_Storages]],"")</f>
        <v>15</v>
      </c>
    </row>
    <row r="820" spans="1:4" x14ac:dyDescent="0.45">
      <c r="A820">
        <v>90</v>
      </c>
      <c r="B820">
        <f t="shared" ca="1" si="12"/>
        <v>68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0">
        <f ca="1">IF(dict_zuord_Transfers_Storages[[#This Row],[kval_active]],dict_zuord_Transfers_Storages[[#This Row],[ID_Storages]],"")</f>
        <v>68</v>
      </c>
    </row>
    <row r="821" spans="1:4" x14ac:dyDescent="0.45">
      <c r="A821">
        <v>91</v>
      </c>
      <c r="B821">
        <f t="shared" ca="1" si="12"/>
        <v>39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1">
        <f ca="1">IF(dict_zuord_Transfers_Storages[[#This Row],[kval_active]],dict_zuord_Transfers_Storages[[#This Row],[ID_Storages]],"")</f>
        <v>39</v>
      </c>
    </row>
    <row r="822" spans="1:4" x14ac:dyDescent="0.45">
      <c r="A822">
        <v>91</v>
      </c>
      <c r="B822">
        <f t="shared" ca="1" si="12"/>
        <v>28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2">
        <f ca="1">IF(dict_zuord_Transfers_Storages[[#This Row],[kval_active]],dict_zuord_Transfers_Storages[[#This Row],[ID_Storages]],"")</f>
        <v>28</v>
      </c>
    </row>
    <row r="823" spans="1:4" x14ac:dyDescent="0.45">
      <c r="A823">
        <v>91</v>
      </c>
      <c r="B823">
        <f t="shared" ca="1" si="12"/>
        <v>82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3">
        <f ca="1">IF(dict_zuord_Transfers_Storages[[#This Row],[kval_active]],dict_zuord_Transfers_Storages[[#This Row],[ID_Storages]],"")</f>
        <v>82</v>
      </c>
    </row>
    <row r="824" spans="1:4" x14ac:dyDescent="0.45">
      <c r="A824">
        <v>91</v>
      </c>
      <c r="B824">
        <f t="shared" ca="1" si="12"/>
        <v>98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4">
        <f ca="1">IF(dict_zuord_Transfers_Storages[[#This Row],[kval_active]],dict_zuord_Transfers_Storages[[#This Row],[ID_Storages]],"")</f>
        <v>98</v>
      </c>
    </row>
    <row r="825" spans="1:4" x14ac:dyDescent="0.45">
      <c r="A825">
        <v>91</v>
      </c>
      <c r="B825">
        <f t="shared" ca="1" si="12"/>
        <v>33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5">
        <f ca="1">IF(dict_zuord_Transfers_Storages[[#This Row],[kval_active]],dict_zuord_Transfers_Storages[[#This Row],[ID_Storages]],"")</f>
        <v>33</v>
      </c>
    </row>
    <row r="826" spans="1:4" x14ac:dyDescent="0.45">
      <c r="A826">
        <v>91</v>
      </c>
      <c r="B826">
        <f t="shared" ca="1" si="12"/>
        <v>46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6">
        <f ca="1">IF(dict_zuord_Transfers_Storages[[#This Row],[kval_active]],dict_zuord_Transfers_Storages[[#This Row],[ID_Storages]],"")</f>
        <v>46</v>
      </c>
    </row>
    <row r="827" spans="1:4" x14ac:dyDescent="0.45">
      <c r="A827">
        <v>91</v>
      </c>
      <c r="B827">
        <f t="shared" ca="1" si="12"/>
        <v>93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7">
        <f ca="1">IF(dict_zuord_Transfers_Storages[[#This Row],[kval_active]],dict_zuord_Transfers_Storages[[#This Row],[ID_Storages]],"")</f>
        <v>93</v>
      </c>
    </row>
    <row r="828" spans="1:4" x14ac:dyDescent="0.45">
      <c r="A828">
        <v>91</v>
      </c>
      <c r="B828">
        <f t="shared" ca="1" si="12"/>
        <v>56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8">
        <f ca="1">IF(dict_zuord_Transfers_Storages[[#This Row],[kval_active]],dict_zuord_Transfers_Storages[[#This Row],[ID_Storages]],"")</f>
        <v>56</v>
      </c>
    </row>
    <row r="829" spans="1:4" x14ac:dyDescent="0.45">
      <c r="A829">
        <v>91</v>
      </c>
      <c r="B829">
        <f t="shared" ca="1" si="12"/>
        <v>24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9">
        <f ca="1">IF(dict_zuord_Transfers_Storages[[#This Row],[kval_active]],dict_zuord_Transfers_Storages[[#This Row],[ID_Storages]],"")</f>
        <v>24</v>
      </c>
    </row>
    <row r="830" spans="1:4" x14ac:dyDescent="0.45">
      <c r="A830">
        <v>92</v>
      </c>
      <c r="B830">
        <f t="shared" ca="1" si="12"/>
        <v>73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0" t="str">
        <f ca="1">IF(dict_zuord_Transfers_Storages[[#This Row],[kval_active]],dict_zuord_Transfers_Storages[[#This Row],[ID_Storages]],"")</f>
        <v/>
      </c>
    </row>
    <row r="831" spans="1:4" x14ac:dyDescent="0.45">
      <c r="A831">
        <v>92</v>
      </c>
      <c r="B831">
        <f t="shared" ca="1" si="12"/>
        <v>30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1" t="str">
        <f ca="1">IF(dict_zuord_Transfers_Storages[[#This Row],[kval_active]],dict_zuord_Transfers_Storages[[#This Row],[ID_Storages]],"")</f>
        <v/>
      </c>
    </row>
    <row r="832" spans="1:4" x14ac:dyDescent="0.45">
      <c r="A832">
        <v>92</v>
      </c>
      <c r="B832">
        <f t="shared" ca="1" si="12"/>
        <v>64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2" t="str">
        <f ca="1">IF(dict_zuord_Transfers_Storages[[#This Row],[kval_active]],dict_zuord_Transfers_Storages[[#This Row],[ID_Storages]],"")</f>
        <v/>
      </c>
    </row>
    <row r="833" spans="1:4" x14ac:dyDescent="0.45">
      <c r="A833">
        <v>92</v>
      </c>
      <c r="B833">
        <f t="shared" ca="1" si="12"/>
        <v>40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3" t="str">
        <f ca="1">IF(dict_zuord_Transfers_Storages[[#This Row],[kval_active]],dict_zuord_Transfers_Storages[[#This Row],[ID_Storages]],"")</f>
        <v/>
      </c>
    </row>
    <row r="834" spans="1:4" x14ac:dyDescent="0.45">
      <c r="A834">
        <v>92</v>
      </c>
      <c r="B834">
        <f t="shared" ref="B834:B897" ca="1" si="13">RANDBETWEEN(0,100)</f>
        <v>55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4" t="str">
        <f ca="1">IF(dict_zuord_Transfers_Storages[[#This Row],[kval_active]],dict_zuord_Transfers_Storages[[#This Row],[ID_Storages]],"")</f>
        <v/>
      </c>
    </row>
    <row r="835" spans="1:4" x14ac:dyDescent="0.45">
      <c r="A835">
        <v>92</v>
      </c>
      <c r="B835">
        <f t="shared" ca="1" si="13"/>
        <v>22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5" t="str">
        <f ca="1">IF(dict_zuord_Transfers_Storages[[#This Row],[kval_active]],dict_zuord_Transfers_Storages[[#This Row],[ID_Storages]],"")</f>
        <v/>
      </c>
    </row>
    <row r="836" spans="1:4" x14ac:dyDescent="0.45">
      <c r="A836">
        <v>92</v>
      </c>
      <c r="B836">
        <f t="shared" ca="1" si="13"/>
        <v>90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6" t="str">
        <f ca="1">IF(dict_zuord_Transfers_Storages[[#This Row],[kval_active]],dict_zuord_Transfers_Storages[[#This Row],[ID_Storages]],"")</f>
        <v/>
      </c>
    </row>
    <row r="837" spans="1:4" x14ac:dyDescent="0.45">
      <c r="A837">
        <v>92</v>
      </c>
      <c r="B837">
        <f t="shared" ca="1" si="13"/>
        <v>27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7" t="str">
        <f ca="1">IF(dict_zuord_Transfers_Storages[[#This Row],[kval_active]],dict_zuord_Transfers_Storages[[#This Row],[ID_Storages]],"")</f>
        <v/>
      </c>
    </row>
    <row r="838" spans="1:4" x14ac:dyDescent="0.45">
      <c r="A838">
        <v>92</v>
      </c>
      <c r="B838">
        <f t="shared" ca="1" si="13"/>
        <v>61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8" t="str">
        <f ca="1">IF(dict_zuord_Transfers_Storages[[#This Row],[kval_active]],dict_zuord_Transfers_Storages[[#This Row],[ID_Storages]],"")</f>
        <v/>
      </c>
    </row>
    <row r="839" spans="1:4" x14ac:dyDescent="0.45">
      <c r="A839">
        <v>93</v>
      </c>
      <c r="B839">
        <f t="shared" ca="1" si="13"/>
        <v>70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9" t="str">
        <f ca="1">IF(dict_zuord_Transfers_Storages[[#This Row],[kval_active]],dict_zuord_Transfers_Storages[[#This Row],[ID_Storages]],"")</f>
        <v/>
      </c>
    </row>
    <row r="840" spans="1:4" x14ac:dyDescent="0.45">
      <c r="A840">
        <v>93</v>
      </c>
      <c r="B840">
        <f t="shared" ca="1" si="13"/>
        <v>37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0" t="str">
        <f ca="1">IF(dict_zuord_Transfers_Storages[[#This Row],[kval_active]],dict_zuord_Transfers_Storages[[#This Row],[ID_Storages]],"")</f>
        <v/>
      </c>
    </row>
    <row r="841" spans="1:4" x14ac:dyDescent="0.45">
      <c r="A841">
        <v>93</v>
      </c>
      <c r="B841">
        <f t="shared" ca="1" si="13"/>
        <v>63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1" t="str">
        <f ca="1">IF(dict_zuord_Transfers_Storages[[#This Row],[kval_active]],dict_zuord_Transfers_Storages[[#This Row],[ID_Storages]],"")</f>
        <v/>
      </c>
    </row>
    <row r="842" spans="1:4" x14ac:dyDescent="0.45">
      <c r="A842">
        <v>93</v>
      </c>
      <c r="B842">
        <f t="shared" ca="1" si="13"/>
        <v>63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2" t="str">
        <f ca="1">IF(dict_zuord_Transfers_Storages[[#This Row],[kval_active]],dict_zuord_Transfers_Storages[[#This Row],[ID_Storages]],"")</f>
        <v/>
      </c>
    </row>
    <row r="843" spans="1:4" x14ac:dyDescent="0.45">
      <c r="A843">
        <v>93</v>
      </c>
      <c r="B843">
        <f t="shared" ca="1" si="13"/>
        <v>10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3" t="str">
        <f ca="1">IF(dict_zuord_Transfers_Storages[[#This Row],[kval_active]],dict_zuord_Transfers_Storages[[#This Row],[ID_Storages]],"")</f>
        <v/>
      </c>
    </row>
    <row r="844" spans="1:4" x14ac:dyDescent="0.45">
      <c r="A844">
        <v>93</v>
      </c>
      <c r="B844">
        <f t="shared" ca="1" si="13"/>
        <v>71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4" t="str">
        <f ca="1">IF(dict_zuord_Transfers_Storages[[#This Row],[kval_active]],dict_zuord_Transfers_Storages[[#This Row],[ID_Storages]],"")</f>
        <v/>
      </c>
    </row>
    <row r="845" spans="1:4" x14ac:dyDescent="0.45">
      <c r="A845">
        <v>93</v>
      </c>
      <c r="B845">
        <f t="shared" ca="1" si="13"/>
        <v>99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5" t="str">
        <f ca="1">IF(dict_zuord_Transfers_Storages[[#This Row],[kval_active]],dict_zuord_Transfers_Storages[[#This Row],[ID_Storages]],"")</f>
        <v/>
      </c>
    </row>
    <row r="846" spans="1:4" x14ac:dyDescent="0.45">
      <c r="A846">
        <v>93</v>
      </c>
      <c r="B846">
        <f t="shared" ca="1" si="13"/>
        <v>77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6" t="str">
        <f ca="1">IF(dict_zuord_Transfers_Storages[[#This Row],[kval_active]],dict_zuord_Transfers_Storages[[#This Row],[ID_Storages]],"")</f>
        <v/>
      </c>
    </row>
    <row r="847" spans="1:4" x14ac:dyDescent="0.45">
      <c r="A847">
        <v>93</v>
      </c>
      <c r="B847">
        <f t="shared" ca="1" si="13"/>
        <v>10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7" t="str">
        <f ca="1">IF(dict_zuord_Transfers_Storages[[#This Row],[kval_active]],dict_zuord_Transfers_Storages[[#This Row],[ID_Storages]],"")</f>
        <v/>
      </c>
    </row>
    <row r="848" spans="1:4" x14ac:dyDescent="0.45">
      <c r="A848">
        <v>94</v>
      </c>
      <c r="B848">
        <f t="shared" ca="1" si="13"/>
        <v>22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8">
        <f ca="1">IF(dict_zuord_Transfers_Storages[[#This Row],[kval_active]],dict_zuord_Transfers_Storages[[#This Row],[ID_Storages]],"")</f>
        <v>22</v>
      </c>
    </row>
    <row r="849" spans="1:4" x14ac:dyDescent="0.45">
      <c r="A849">
        <v>94</v>
      </c>
      <c r="B849">
        <f t="shared" ca="1" si="13"/>
        <v>16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9">
        <f ca="1">IF(dict_zuord_Transfers_Storages[[#This Row],[kval_active]],dict_zuord_Transfers_Storages[[#This Row],[ID_Storages]],"")</f>
        <v>16</v>
      </c>
    </row>
    <row r="850" spans="1:4" x14ac:dyDescent="0.45">
      <c r="A850">
        <v>94</v>
      </c>
      <c r="B850">
        <f t="shared" ca="1" si="13"/>
        <v>30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0">
        <f ca="1">IF(dict_zuord_Transfers_Storages[[#This Row],[kval_active]],dict_zuord_Transfers_Storages[[#This Row],[ID_Storages]],"")</f>
        <v>30</v>
      </c>
    </row>
    <row r="851" spans="1:4" x14ac:dyDescent="0.45">
      <c r="A851">
        <v>94</v>
      </c>
      <c r="B851">
        <f t="shared" ca="1" si="13"/>
        <v>98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1">
        <f ca="1">IF(dict_zuord_Transfers_Storages[[#This Row],[kval_active]],dict_zuord_Transfers_Storages[[#This Row],[ID_Storages]],"")</f>
        <v>98</v>
      </c>
    </row>
    <row r="852" spans="1:4" x14ac:dyDescent="0.45">
      <c r="A852">
        <v>94</v>
      </c>
      <c r="B852">
        <f t="shared" ca="1" si="13"/>
        <v>96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2">
        <f ca="1">IF(dict_zuord_Transfers_Storages[[#This Row],[kval_active]],dict_zuord_Transfers_Storages[[#This Row],[ID_Storages]],"")</f>
        <v>96</v>
      </c>
    </row>
    <row r="853" spans="1:4" x14ac:dyDescent="0.45">
      <c r="A853">
        <v>94</v>
      </c>
      <c r="B853">
        <f t="shared" ca="1" si="13"/>
        <v>95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3">
        <f ca="1">IF(dict_zuord_Transfers_Storages[[#This Row],[kval_active]],dict_zuord_Transfers_Storages[[#This Row],[ID_Storages]],"")</f>
        <v>95</v>
      </c>
    </row>
    <row r="854" spans="1:4" x14ac:dyDescent="0.45">
      <c r="A854">
        <v>94</v>
      </c>
      <c r="B854">
        <f t="shared" ca="1" si="13"/>
        <v>35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4">
        <f ca="1">IF(dict_zuord_Transfers_Storages[[#This Row],[kval_active]],dict_zuord_Transfers_Storages[[#This Row],[ID_Storages]],"")</f>
        <v>35</v>
      </c>
    </row>
    <row r="855" spans="1:4" x14ac:dyDescent="0.45">
      <c r="A855">
        <v>94</v>
      </c>
      <c r="B855">
        <f t="shared" ca="1" si="13"/>
        <v>89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5">
        <f ca="1">IF(dict_zuord_Transfers_Storages[[#This Row],[kval_active]],dict_zuord_Transfers_Storages[[#This Row],[ID_Storages]],"")</f>
        <v>89</v>
      </c>
    </row>
    <row r="856" spans="1:4" x14ac:dyDescent="0.45">
      <c r="A856">
        <v>94</v>
      </c>
      <c r="B856">
        <f t="shared" ca="1" si="13"/>
        <v>45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6">
        <f ca="1">IF(dict_zuord_Transfers_Storages[[#This Row],[kval_active]],dict_zuord_Transfers_Storages[[#This Row],[ID_Storages]],"")</f>
        <v>45</v>
      </c>
    </row>
    <row r="857" spans="1:4" x14ac:dyDescent="0.45">
      <c r="A857">
        <v>95</v>
      </c>
      <c r="B857">
        <f t="shared" ca="1" si="13"/>
        <v>8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7">
        <f ca="1">IF(dict_zuord_Transfers_Storages[[#This Row],[kval_active]],dict_zuord_Transfers_Storages[[#This Row],[ID_Storages]],"")</f>
        <v>8</v>
      </c>
    </row>
    <row r="858" spans="1:4" x14ac:dyDescent="0.45">
      <c r="A858">
        <v>95</v>
      </c>
      <c r="B858">
        <f t="shared" ca="1" si="13"/>
        <v>61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8">
        <f ca="1">IF(dict_zuord_Transfers_Storages[[#This Row],[kval_active]],dict_zuord_Transfers_Storages[[#This Row],[ID_Storages]],"")</f>
        <v>61</v>
      </c>
    </row>
    <row r="859" spans="1:4" x14ac:dyDescent="0.45">
      <c r="A859">
        <v>95</v>
      </c>
      <c r="B859">
        <f t="shared" ca="1" si="13"/>
        <v>36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9">
        <f ca="1">IF(dict_zuord_Transfers_Storages[[#This Row],[kval_active]],dict_zuord_Transfers_Storages[[#This Row],[ID_Storages]],"")</f>
        <v>36</v>
      </c>
    </row>
    <row r="860" spans="1:4" x14ac:dyDescent="0.45">
      <c r="A860">
        <v>95</v>
      </c>
      <c r="B860">
        <f t="shared" ca="1" si="13"/>
        <v>26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0">
        <f ca="1">IF(dict_zuord_Transfers_Storages[[#This Row],[kval_active]],dict_zuord_Transfers_Storages[[#This Row],[ID_Storages]],"")</f>
        <v>26</v>
      </c>
    </row>
    <row r="861" spans="1:4" x14ac:dyDescent="0.45">
      <c r="A861">
        <v>95</v>
      </c>
      <c r="B861">
        <f t="shared" ca="1" si="13"/>
        <v>43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1">
        <f ca="1">IF(dict_zuord_Transfers_Storages[[#This Row],[kval_active]],dict_zuord_Transfers_Storages[[#This Row],[ID_Storages]],"")</f>
        <v>43</v>
      </c>
    </row>
    <row r="862" spans="1:4" x14ac:dyDescent="0.45">
      <c r="A862">
        <v>95</v>
      </c>
      <c r="B862">
        <f t="shared" ca="1" si="13"/>
        <v>93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2">
        <f ca="1">IF(dict_zuord_Transfers_Storages[[#This Row],[kval_active]],dict_zuord_Transfers_Storages[[#This Row],[ID_Storages]],"")</f>
        <v>93</v>
      </c>
    </row>
    <row r="863" spans="1:4" x14ac:dyDescent="0.45">
      <c r="A863">
        <v>95</v>
      </c>
      <c r="B863">
        <f t="shared" ca="1" si="13"/>
        <v>52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3">
        <f ca="1">IF(dict_zuord_Transfers_Storages[[#This Row],[kval_active]],dict_zuord_Transfers_Storages[[#This Row],[ID_Storages]],"")</f>
        <v>52</v>
      </c>
    </row>
    <row r="864" spans="1:4" x14ac:dyDescent="0.45">
      <c r="A864">
        <v>95</v>
      </c>
      <c r="B864">
        <f t="shared" ca="1" si="13"/>
        <v>23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4">
        <f ca="1">IF(dict_zuord_Transfers_Storages[[#This Row],[kval_active]],dict_zuord_Transfers_Storages[[#This Row],[ID_Storages]],"")</f>
        <v>23</v>
      </c>
    </row>
    <row r="865" spans="1:4" x14ac:dyDescent="0.45">
      <c r="A865">
        <v>95</v>
      </c>
      <c r="B865">
        <f t="shared" ca="1" si="13"/>
        <v>26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5">
        <f ca="1">IF(dict_zuord_Transfers_Storages[[#This Row],[kval_active]],dict_zuord_Transfers_Storages[[#This Row],[ID_Storages]],"")</f>
        <v>26</v>
      </c>
    </row>
    <row r="866" spans="1:4" x14ac:dyDescent="0.45">
      <c r="A866">
        <v>96</v>
      </c>
      <c r="B866">
        <f t="shared" ca="1" si="13"/>
        <v>53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6" t="str">
        <f ca="1">IF(dict_zuord_Transfers_Storages[[#This Row],[kval_active]],dict_zuord_Transfers_Storages[[#This Row],[ID_Storages]],"")</f>
        <v/>
      </c>
    </row>
    <row r="867" spans="1:4" x14ac:dyDescent="0.45">
      <c r="A867">
        <v>96</v>
      </c>
      <c r="B867">
        <f t="shared" ca="1" si="13"/>
        <v>70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7" t="str">
        <f ca="1">IF(dict_zuord_Transfers_Storages[[#This Row],[kval_active]],dict_zuord_Transfers_Storages[[#This Row],[ID_Storages]],"")</f>
        <v/>
      </c>
    </row>
    <row r="868" spans="1:4" x14ac:dyDescent="0.45">
      <c r="A868">
        <v>96</v>
      </c>
      <c r="B868">
        <f t="shared" ca="1" si="13"/>
        <v>10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8" t="str">
        <f ca="1">IF(dict_zuord_Transfers_Storages[[#This Row],[kval_active]],dict_zuord_Transfers_Storages[[#This Row],[ID_Storages]],"")</f>
        <v/>
      </c>
    </row>
    <row r="869" spans="1:4" x14ac:dyDescent="0.45">
      <c r="A869">
        <v>96</v>
      </c>
      <c r="B869">
        <f t="shared" ca="1" si="13"/>
        <v>42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9" t="str">
        <f ca="1">IF(dict_zuord_Transfers_Storages[[#This Row],[kval_active]],dict_zuord_Transfers_Storages[[#This Row],[ID_Storages]],"")</f>
        <v/>
      </c>
    </row>
    <row r="870" spans="1:4" x14ac:dyDescent="0.45">
      <c r="A870">
        <v>96</v>
      </c>
      <c r="B870">
        <f t="shared" ca="1" si="13"/>
        <v>46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0" t="str">
        <f ca="1">IF(dict_zuord_Transfers_Storages[[#This Row],[kval_active]],dict_zuord_Transfers_Storages[[#This Row],[ID_Storages]],"")</f>
        <v/>
      </c>
    </row>
    <row r="871" spans="1:4" x14ac:dyDescent="0.45">
      <c r="A871">
        <v>96</v>
      </c>
      <c r="B871">
        <f t="shared" ca="1" si="13"/>
        <v>9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1" t="str">
        <f ca="1">IF(dict_zuord_Transfers_Storages[[#This Row],[kval_active]],dict_zuord_Transfers_Storages[[#This Row],[ID_Storages]],"")</f>
        <v/>
      </c>
    </row>
    <row r="872" spans="1:4" x14ac:dyDescent="0.45">
      <c r="A872">
        <v>96</v>
      </c>
      <c r="B872">
        <f t="shared" ca="1" si="13"/>
        <v>31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2" t="str">
        <f ca="1">IF(dict_zuord_Transfers_Storages[[#This Row],[kval_active]],dict_zuord_Transfers_Storages[[#This Row],[ID_Storages]],"")</f>
        <v/>
      </c>
    </row>
    <row r="873" spans="1:4" x14ac:dyDescent="0.45">
      <c r="A873">
        <v>96</v>
      </c>
      <c r="B873">
        <f t="shared" ca="1" si="13"/>
        <v>78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3" t="str">
        <f ca="1">IF(dict_zuord_Transfers_Storages[[#This Row],[kval_active]],dict_zuord_Transfers_Storages[[#This Row],[ID_Storages]],"")</f>
        <v/>
      </c>
    </row>
    <row r="874" spans="1:4" x14ac:dyDescent="0.45">
      <c r="A874">
        <v>96</v>
      </c>
      <c r="B874">
        <f t="shared" ca="1" si="13"/>
        <v>89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4" t="str">
        <f ca="1">IF(dict_zuord_Transfers_Storages[[#This Row],[kval_active]],dict_zuord_Transfers_Storages[[#This Row],[ID_Storages]],"")</f>
        <v/>
      </c>
    </row>
    <row r="875" spans="1:4" x14ac:dyDescent="0.45">
      <c r="A875">
        <v>97</v>
      </c>
      <c r="B875">
        <f t="shared" ca="1" si="13"/>
        <v>53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5" t="str">
        <f ca="1">IF(dict_zuord_Transfers_Storages[[#This Row],[kval_active]],dict_zuord_Transfers_Storages[[#This Row],[ID_Storages]],"")</f>
        <v/>
      </c>
    </row>
    <row r="876" spans="1:4" x14ac:dyDescent="0.45">
      <c r="A876">
        <v>97</v>
      </c>
      <c r="B876">
        <f t="shared" ca="1" si="13"/>
        <v>53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6" t="str">
        <f ca="1">IF(dict_zuord_Transfers_Storages[[#This Row],[kval_active]],dict_zuord_Transfers_Storages[[#This Row],[ID_Storages]],"")</f>
        <v/>
      </c>
    </row>
    <row r="877" spans="1:4" x14ac:dyDescent="0.45">
      <c r="A877">
        <v>97</v>
      </c>
      <c r="B877">
        <f t="shared" ca="1" si="13"/>
        <v>8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7" t="str">
        <f ca="1">IF(dict_zuord_Transfers_Storages[[#This Row],[kval_active]],dict_zuord_Transfers_Storages[[#This Row],[ID_Storages]],"")</f>
        <v/>
      </c>
    </row>
    <row r="878" spans="1:4" x14ac:dyDescent="0.45">
      <c r="A878">
        <v>97</v>
      </c>
      <c r="B878">
        <f t="shared" ca="1" si="13"/>
        <v>35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8" t="str">
        <f ca="1">IF(dict_zuord_Transfers_Storages[[#This Row],[kval_active]],dict_zuord_Transfers_Storages[[#This Row],[ID_Storages]],"")</f>
        <v/>
      </c>
    </row>
    <row r="879" spans="1:4" x14ac:dyDescent="0.45">
      <c r="A879">
        <v>97</v>
      </c>
      <c r="B879">
        <f t="shared" ca="1" si="13"/>
        <v>77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9" t="str">
        <f ca="1">IF(dict_zuord_Transfers_Storages[[#This Row],[kval_active]],dict_zuord_Transfers_Storages[[#This Row],[ID_Storages]],"")</f>
        <v/>
      </c>
    </row>
    <row r="880" spans="1:4" x14ac:dyDescent="0.45">
      <c r="A880">
        <v>97</v>
      </c>
      <c r="B880">
        <f t="shared" ca="1" si="13"/>
        <v>18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0" t="str">
        <f ca="1">IF(dict_zuord_Transfers_Storages[[#This Row],[kval_active]],dict_zuord_Transfers_Storages[[#This Row],[ID_Storages]],"")</f>
        <v/>
      </c>
    </row>
    <row r="881" spans="1:4" x14ac:dyDescent="0.45">
      <c r="A881">
        <v>97</v>
      </c>
      <c r="B881">
        <f t="shared" ca="1" si="13"/>
        <v>18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1" t="str">
        <f ca="1">IF(dict_zuord_Transfers_Storages[[#This Row],[kval_active]],dict_zuord_Transfers_Storages[[#This Row],[ID_Storages]],"")</f>
        <v/>
      </c>
    </row>
    <row r="882" spans="1:4" x14ac:dyDescent="0.45">
      <c r="A882">
        <v>97</v>
      </c>
      <c r="B882">
        <f t="shared" ca="1" si="13"/>
        <v>52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2" t="str">
        <f ca="1">IF(dict_zuord_Transfers_Storages[[#This Row],[kval_active]],dict_zuord_Transfers_Storages[[#This Row],[ID_Storages]],"")</f>
        <v/>
      </c>
    </row>
    <row r="883" spans="1:4" x14ac:dyDescent="0.45">
      <c r="A883">
        <v>97</v>
      </c>
      <c r="B883">
        <f t="shared" ca="1" si="13"/>
        <v>16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3" t="str">
        <f ca="1">IF(dict_zuord_Transfers_Storages[[#This Row],[kval_active]],dict_zuord_Transfers_Storages[[#This Row],[ID_Storages]],"")</f>
        <v/>
      </c>
    </row>
    <row r="884" spans="1:4" x14ac:dyDescent="0.45">
      <c r="A884">
        <v>98</v>
      </c>
      <c r="B884">
        <f t="shared" ca="1" si="13"/>
        <v>87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4">
        <f ca="1">IF(dict_zuord_Transfers_Storages[[#This Row],[kval_active]],dict_zuord_Transfers_Storages[[#This Row],[ID_Storages]],"")</f>
        <v>87</v>
      </c>
    </row>
    <row r="885" spans="1:4" x14ac:dyDescent="0.45">
      <c r="A885">
        <v>98</v>
      </c>
      <c r="B885">
        <f t="shared" ca="1" si="13"/>
        <v>86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5">
        <f ca="1">IF(dict_zuord_Transfers_Storages[[#This Row],[kval_active]],dict_zuord_Transfers_Storages[[#This Row],[ID_Storages]],"")</f>
        <v>86</v>
      </c>
    </row>
    <row r="886" spans="1:4" x14ac:dyDescent="0.45">
      <c r="A886">
        <v>98</v>
      </c>
      <c r="B886">
        <f t="shared" ca="1" si="13"/>
        <v>79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6">
        <f ca="1">IF(dict_zuord_Transfers_Storages[[#This Row],[kval_active]],dict_zuord_Transfers_Storages[[#This Row],[ID_Storages]],"")</f>
        <v>79</v>
      </c>
    </row>
    <row r="887" spans="1:4" x14ac:dyDescent="0.45">
      <c r="A887">
        <v>98</v>
      </c>
      <c r="B887">
        <f t="shared" ca="1" si="13"/>
        <v>28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7">
        <f ca="1">IF(dict_zuord_Transfers_Storages[[#This Row],[kval_active]],dict_zuord_Transfers_Storages[[#This Row],[ID_Storages]],"")</f>
        <v>28</v>
      </c>
    </row>
    <row r="888" spans="1:4" x14ac:dyDescent="0.45">
      <c r="A888">
        <v>98</v>
      </c>
      <c r="B888">
        <f t="shared" ca="1" si="13"/>
        <v>81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8">
        <f ca="1">IF(dict_zuord_Transfers_Storages[[#This Row],[kval_active]],dict_zuord_Transfers_Storages[[#This Row],[ID_Storages]],"")</f>
        <v>81</v>
      </c>
    </row>
    <row r="889" spans="1:4" x14ac:dyDescent="0.45">
      <c r="A889">
        <v>98</v>
      </c>
      <c r="B889">
        <f t="shared" ca="1" si="13"/>
        <v>15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9">
        <f ca="1">IF(dict_zuord_Transfers_Storages[[#This Row],[kval_active]],dict_zuord_Transfers_Storages[[#This Row],[ID_Storages]],"")</f>
        <v>15</v>
      </c>
    </row>
    <row r="890" spans="1:4" x14ac:dyDescent="0.45">
      <c r="A890">
        <v>98</v>
      </c>
      <c r="B890">
        <f t="shared" ca="1" si="13"/>
        <v>70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0">
        <f ca="1">IF(dict_zuord_Transfers_Storages[[#This Row],[kval_active]],dict_zuord_Transfers_Storages[[#This Row],[ID_Storages]],"")</f>
        <v>70</v>
      </c>
    </row>
    <row r="891" spans="1:4" x14ac:dyDescent="0.45">
      <c r="A891">
        <v>98</v>
      </c>
      <c r="B891">
        <f t="shared" ca="1" si="13"/>
        <v>37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1">
        <f ca="1">IF(dict_zuord_Transfers_Storages[[#This Row],[kval_active]],dict_zuord_Transfers_Storages[[#This Row],[ID_Storages]],"")</f>
        <v>37</v>
      </c>
    </row>
    <row r="892" spans="1:4" x14ac:dyDescent="0.45">
      <c r="A892">
        <v>98</v>
      </c>
      <c r="B892">
        <f t="shared" ca="1" si="13"/>
        <v>63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2">
        <f ca="1">IF(dict_zuord_Transfers_Storages[[#This Row],[kval_active]],dict_zuord_Transfers_Storages[[#This Row],[ID_Storages]],"")</f>
        <v>63</v>
      </c>
    </row>
    <row r="893" spans="1:4" x14ac:dyDescent="0.45">
      <c r="A893">
        <v>99</v>
      </c>
      <c r="B893">
        <f t="shared" ca="1" si="13"/>
        <v>61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3" t="str">
        <f ca="1">IF(dict_zuord_Transfers_Storages[[#This Row],[kval_active]],dict_zuord_Transfers_Storages[[#This Row],[ID_Storages]],"")</f>
        <v/>
      </c>
    </row>
    <row r="894" spans="1:4" x14ac:dyDescent="0.45">
      <c r="A894">
        <v>99</v>
      </c>
      <c r="B894">
        <f t="shared" ca="1" si="13"/>
        <v>45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4" t="str">
        <f ca="1">IF(dict_zuord_Transfers_Storages[[#This Row],[kval_active]],dict_zuord_Transfers_Storages[[#This Row],[ID_Storages]],"")</f>
        <v/>
      </c>
    </row>
    <row r="895" spans="1:4" x14ac:dyDescent="0.45">
      <c r="A895">
        <v>99</v>
      </c>
      <c r="B895">
        <f t="shared" ca="1" si="13"/>
        <v>87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5" t="str">
        <f ca="1">IF(dict_zuord_Transfers_Storages[[#This Row],[kval_active]],dict_zuord_Transfers_Storages[[#This Row],[ID_Storages]],"")</f>
        <v/>
      </c>
    </row>
    <row r="896" spans="1:4" x14ac:dyDescent="0.45">
      <c r="A896">
        <v>99</v>
      </c>
      <c r="B896">
        <f t="shared" ca="1" si="13"/>
        <v>73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6" t="str">
        <f ca="1">IF(dict_zuord_Transfers_Storages[[#This Row],[kval_active]],dict_zuord_Transfers_Storages[[#This Row],[ID_Storages]],"")</f>
        <v/>
      </c>
    </row>
    <row r="897" spans="1:4" x14ac:dyDescent="0.45">
      <c r="A897">
        <v>99</v>
      </c>
      <c r="B897">
        <f t="shared" ca="1" si="13"/>
        <v>57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7" t="str">
        <f ca="1">IF(dict_zuord_Transfers_Storages[[#This Row],[kval_active]],dict_zuord_Transfers_Storages[[#This Row],[ID_Storages]],"")</f>
        <v/>
      </c>
    </row>
    <row r="898" spans="1:4" x14ac:dyDescent="0.45">
      <c r="A898">
        <v>99</v>
      </c>
      <c r="B898">
        <f t="shared" ref="B898:B961" ca="1" si="14">RANDBETWEEN(0,100)</f>
        <v>48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8" t="str">
        <f ca="1">IF(dict_zuord_Transfers_Storages[[#This Row],[kval_active]],dict_zuord_Transfers_Storages[[#This Row],[ID_Storages]],"")</f>
        <v/>
      </c>
    </row>
    <row r="899" spans="1:4" x14ac:dyDescent="0.45">
      <c r="A899">
        <v>99</v>
      </c>
      <c r="B899">
        <f t="shared" ca="1" si="14"/>
        <v>56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9" t="str">
        <f ca="1">IF(dict_zuord_Transfers_Storages[[#This Row],[kval_active]],dict_zuord_Transfers_Storages[[#This Row],[ID_Storages]],"")</f>
        <v/>
      </c>
    </row>
    <row r="900" spans="1:4" x14ac:dyDescent="0.45">
      <c r="A900">
        <v>99</v>
      </c>
      <c r="B900">
        <f t="shared" ca="1" si="14"/>
        <v>32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0" t="str">
        <f ca="1">IF(dict_zuord_Transfers_Storages[[#This Row],[kval_active]],dict_zuord_Transfers_Storages[[#This Row],[ID_Storages]],"")</f>
        <v/>
      </c>
    </row>
    <row r="901" spans="1:4" x14ac:dyDescent="0.45">
      <c r="A901">
        <v>99</v>
      </c>
      <c r="B901">
        <f t="shared" ca="1" si="14"/>
        <v>38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1" t="str">
        <f ca="1">IF(dict_zuord_Transfers_Storages[[#This Row],[kval_active]],dict_zuord_Transfers_Storages[[#This Row],[ID_Storages]],"")</f>
        <v/>
      </c>
    </row>
    <row r="902" spans="1:4" x14ac:dyDescent="0.45">
      <c r="A902">
        <v>100</v>
      </c>
      <c r="B902">
        <f t="shared" ca="1" si="14"/>
        <v>32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2" t="str">
        <f ca="1">IF(dict_zuord_Transfers_Storages[[#This Row],[kval_active]],dict_zuord_Transfers_Storages[[#This Row],[ID_Storages]],"")</f>
        <v/>
      </c>
    </row>
    <row r="903" spans="1:4" x14ac:dyDescent="0.45">
      <c r="A903">
        <v>100</v>
      </c>
      <c r="B903">
        <f t="shared" ca="1" si="14"/>
        <v>57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3" t="str">
        <f ca="1">IF(dict_zuord_Transfers_Storages[[#This Row],[kval_active]],dict_zuord_Transfers_Storages[[#This Row],[ID_Storages]],"")</f>
        <v/>
      </c>
    </row>
    <row r="904" spans="1:4" x14ac:dyDescent="0.45">
      <c r="A904">
        <v>100</v>
      </c>
      <c r="B904">
        <f t="shared" ca="1" si="14"/>
        <v>95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4" t="str">
        <f ca="1">IF(dict_zuord_Transfers_Storages[[#This Row],[kval_active]],dict_zuord_Transfers_Storages[[#This Row],[ID_Storages]],"")</f>
        <v/>
      </c>
    </row>
    <row r="905" spans="1:4" x14ac:dyDescent="0.45">
      <c r="A905">
        <v>100</v>
      </c>
      <c r="B905">
        <f t="shared" ca="1" si="14"/>
        <v>42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5" t="str">
        <f ca="1">IF(dict_zuord_Transfers_Storages[[#This Row],[kval_active]],dict_zuord_Transfers_Storages[[#This Row],[ID_Storages]],"")</f>
        <v/>
      </c>
    </row>
    <row r="906" spans="1:4" x14ac:dyDescent="0.45">
      <c r="A906">
        <v>100</v>
      </c>
      <c r="B906">
        <f t="shared" ca="1" si="14"/>
        <v>56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6" t="str">
        <f ca="1">IF(dict_zuord_Transfers_Storages[[#This Row],[kval_active]],dict_zuord_Transfers_Storages[[#This Row],[ID_Storages]],"")</f>
        <v/>
      </c>
    </row>
    <row r="907" spans="1:4" x14ac:dyDescent="0.45">
      <c r="A907">
        <v>100</v>
      </c>
      <c r="B907">
        <f t="shared" ca="1" si="14"/>
        <v>46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7" t="str">
        <f ca="1">IF(dict_zuord_Transfers_Storages[[#This Row],[kval_active]],dict_zuord_Transfers_Storages[[#This Row],[ID_Storages]],"")</f>
        <v/>
      </c>
    </row>
    <row r="908" spans="1:4" x14ac:dyDescent="0.45">
      <c r="A908">
        <v>100</v>
      </c>
      <c r="B908">
        <f t="shared" ca="1" si="14"/>
        <v>68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8" t="str">
        <f ca="1">IF(dict_zuord_Transfers_Storages[[#This Row],[kval_active]],dict_zuord_Transfers_Storages[[#This Row],[ID_Storages]],"")</f>
        <v/>
      </c>
    </row>
    <row r="909" spans="1:4" x14ac:dyDescent="0.45">
      <c r="A909">
        <v>100</v>
      </c>
      <c r="B909">
        <f t="shared" ca="1" si="14"/>
        <v>21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9" t="str">
        <f ca="1">IF(dict_zuord_Transfers_Storages[[#This Row],[kval_active]],dict_zuord_Transfers_Storages[[#This Row],[ID_Storages]],"")</f>
        <v/>
      </c>
    </row>
    <row r="910" spans="1:4" x14ac:dyDescent="0.45">
      <c r="A910">
        <v>100</v>
      </c>
      <c r="B910">
        <f t="shared" ca="1" si="14"/>
        <v>30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0" t="str">
        <f ca="1">IF(dict_zuord_Transfers_Storages[[#This Row],[kval_active]],dict_zuord_Transfers_Storages[[#This Row],[ID_Storages]],"")</f>
        <v/>
      </c>
    </row>
    <row r="911" spans="1:4" x14ac:dyDescent="0.45">
      <c r="A911">
        <v>101</v>
      </c>
      <c r="B911">
        <f t="shared" ca="1" si="14"/>
        <v>39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1">
        <f ca="1">IF(dict_zuord_Transfers_Storages[[#This Row],[kval_active]],dict_zuord_Transfers_Storages[[#This Row],[ID_Storages]],"")</f>
        <v>39</v>
      </c>
    </row>
    <row r="912" spans="1:4" x14ac:dyDescent="0.45">
      <c r="A912">
        <v>101</v>
      </c>
      <c r="B912">
        <f t="shared" ca="1" si="14"/>
        <v>5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2">
        <f ca="1">IF(dict_zuord_Transfers_Storages[[#This Row],[kval_active]],dict_zuord_Transfers_Storages[[#This Row],[ID_Storages]],"")</f>
        <v>5</v>
      </c>
    </row>
    <row r="913" spans="1:4" x14ac:dyDescent="0.45">
      <c r="A913">
        <v>101</v>
      </c>
      <c r="B913">
        <f t="shared" ca="1" si="14"/>
        <v>68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3">
        <f ca="1">IF(dict_zuord_Transfers_Storages[[#This Row],[kval_active]],dict_zuord_Transfers_Storages[[#This Row],[ID_Storages]],"")</f>
        <v>68</v>
      </c>
    </row>
    <row r="914" spans="1:4" x14ac:dyDescent="0.45">
      <c r="A914">
        <v>101</v>
      </c>
      <c r="B914">
        <f t="shared" ca="1" si="14"/>
        <v>99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4">
        <f ca="1">IF(dict_zuord_Transfers_Storages[[#This Row],[kval_active]],dict_zuord_Transfers_Storages[[#This Row],[ID_Storages]],"")</f>
        <v>99</v>
      </c>
    </row>
    <row r="915" spans="1:4" x14ac:dyDescent="0.45">
      <c r="A915">
        <v>101</v>
      </c>
      <c r="B915">
        <f t="shared" ca="1" si="14"/>
        <v>62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5">
        <f ca="1">IF(dict_zuord_Transfers_Storages[[#This Row],[kval_active]],dict_zuord_Transfers_Storages[[#This Row],[ID_Storages]],"")</f>
        <v>62</v>
      </c>
    </row>
    <row r="916" spans="1:4" x14ac:dyDescent="0.45">
      <c r="A916">
        <v>101</v>
      </c>
      <c r="B916">
        <f t="shared" ca="1" si="14"/>
        <v>23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6">
        <f ca="1">IF(dict_zuord_Transfers_Storages[[#This Row],[kval_active]],dict_zuord_Transfers_Storages[[#This Row],[ID_Storages]],"")</f>
        <v>23</v>
      </c>
    </row>
    <row r="917" spans="1:4" x14ac:dyDescent="0.45">
      <c r="A917">
        <v>101</v>
      </c>
      <c r="B917">
        <f t="shared" ca="1" si="14"/>
        <v>100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7">
        <f ca="1">IF(dict_zuord_Transfers_Storages[[#This Row],[kval_active]],dict_zuord_Transfers_Storages[[#This Row],[ID_Storages]],"")</f>
        <v>100</v>
      </c>
    </row>
    <row r="918" spans="1:4" x14ac:dyDescent="0.45">
      <c r="A918">
        <v>101</v>
      </c>
      <c r="B918">
        <f t="shared" ca="1" si="14"/>
        <v>84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8">
        <f ca="1">IF(dict_zuord_Transfers_Storages[[#This Row],[kval_active]],dict_zuord_Transfers_Storages[[#This Row],[ID_Storages]],"")</f>
        <v>84</v>
      </c>
    </row>
    <row r="919" spans="1:4" x14ac:dyDescent="0.45">
      <c r="A919">
        <v>101</v>
      </c>
      <c r="B919">
        <f t="shared" ca="1" si="14"/>
        <v>53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9">
        <f ca="1">IF(dict_zuord_Transfers_Storages[[#This Row],[kval_active]],dict_zuord_Transfers_Storages[[#This Row],[ID_Storages]],"")</f>
        <v>53</v>
      </c>
    </row>
    <row r="920" spans="1:4" x14ac:dyDescent="0.45">
      <c r="A920">
        <v>102</v>
      </c>
      <c r="B920">
        <f t="shared" ca="1" si="14"/>
        <v>49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0">
        <f ca="1">IF(dict_zuord_Transfers_Storages[[#This Row],[kval_active]],dict_zuord_Transfers_Storages[[#This Row],[ID_Storages]],"")</f>
        <v>49</v>
      </c>
    </row>
    <row r="921" spans="1:4" x14ac:dyDescent="0.45">
      <c r="A921">
        <v>102</v>
      </c>
      <c r="B921">
        <f t="shared" ca="1" si="14"/>
        <v>68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1">
        <f ca="1">IF(dict_zuord_Transfers_Storages[[#This Row],[kval_active]],dict_zuord_Transfers_Storages[[#This Row],[ID_Storages]],"")</f>
        <v>68</v>
      </c>
    </row>
    <row r="922" spans="1:4" x14ac:dyDescent="0.45">
      <c r="A922">
        <v>102</v>
      </c>
      <c r="B922">
        <f t="shared" ca="1" si="14"/>
        <v>9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2">
        <f ca="1">IF(dict_zuord_Transfers_Storages[[#This Row],[kval_active]],dict_zuord_Transfers_Storages[[#This Row],[ID_Storages]],"")</f>
        <v>9</v>
      </c>
    </row>
    <row r="923" spans="1:4" x14ac:dyDescent="0.45">
      <c r="A923">
        <v>102</v>
      </c>
      <c r="B923">
        <f t="shared" ca="1" si="14"/>
        <v>45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3">
        <f ca="1">IF(dict_zuord_Transfers_Storages[[#This Row],[kval_active]],dict_zuord_Transfers_Storages[[#This Row],[ID_Storages]],"")</f>
        <v>45</v>
      </c>
    </row>
    <row r="924" spans="1:4" x14ac:dyDescent="0.45">
      <c r="A924">
        <v>102</v>
      </c>
      <c r="B924">
        <f t="shared" ca="1" si="14"/>
        <v>3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4">
        <f ca="1">IF(dict_zuord_Transfers_Storages[[#This Row],[kval_active]],dict_zuord_Transfers_Storages[[#This Row],[ID_Storages]],"")</f>
        <v>3</v>
      </c>
    </row>
    <row r="925" spans="1:4" x14ac:dyDescent="0.45">
      <c r="A925">
        <v>102</v>
      </c>
      <c r="B925">
        <f t="shared" ca="1" si="14"/>
        <v>56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5">
        <f ca="1">IF(dict_zuord_Transfers_Storages[[#This Row],[kval_active]],dict_zuord_Transfers_Storages[[#This Row],[ID_Storages]],"")</f>
        <v>56</v>
      </c>
    </row>
    <row r="926" spans="1:4" x14ac:dyDescent="0.45">
      <c r="A926">
        <v>102</v>
      </c>
      <c r="B926">
        <f t="shared" ca="1" si="14"/>
        <v>1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6">
        <f ca="1">IF(dict_zuord_Transfers_Storages[[#This Row],[kval_active]],dict_zuord_Transfers_Storages[[#This Row],[ID_Storages]],"")</f>
        <v>1</v>
      </c>
    </row>
    <row r="927" spans="1:4" x14ac:dyDescent="0.45">
      <c r="A927">
        <v>102</v>
      </c>
      <c r="B927">
        <f t="shared" ca="1" si="14"/>
        <v>67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7">
        <f ca="1">IF(dict_zuord_Transfers_Storages[[#This Row],[kval_active]],dict_zuord_Transfers_Storages[[#This Row],[ID_Storages]],"")</f>
        <v>67</v>
      </c>
    </row>
    <row r="928" spans="1:4" x14ac:dyDescent="0.45">
      <c r="A928">
        <v>102</v>
      </c>
      <c r="B928">
        <f t="shared" ca="1" si="14"/>
        <v>23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8">
        <f ca="1">IF(dict_zuord_Transfers_Storages[[#This Row],[kval_active]],dict_zuord_Transfers_Storages[[#This Row],[ID_Storages]],"")</f>
        <v>23</v>
      </c>
    </row>
    <row r="929" spans="1:4" x14ac:dyDescent="0.45">
      <c r="A929">
        <v>103</v>
      </c>
      <c r="B929">
        <f t="shared" ca="1" si="14"/>
        <v>64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9">
        <f ca="1">IF(dict_zuord_Transfers_Storages[[#This Row],[kval_active]],dict_zuord_Transfers_Storages[[#This Row],[ID_Storages]],"")</f>
        <v>64</v>
      </c>
    </row>
    <row r="930" spans="1:4" x14ac:dyDescent="0.45">
      <c r="A930">
        <v>103</v>
      </c>
      <c r="B930">
        <f t="shared" ca="1" si="14"/>
        <v>87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0">
        <f ca="1">IF(dict_zuord_Transfers_Storages[[#This Row],[kval_active]],dict_zuord_Transfers_Storages[[#This Row],[ID_Storages]],"")</f>
        <v>87</v>
      </c>
    </row>
    <row r="931" spans="1:4" x14ac:dyDescent="0.45">
      <c r="A931">
        <v>103</v>
      </c>
      <c r="B931">
        <f t="shared" ca="1" si="14"/>
        <v>1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1">
        <f ca="1">IF(dict_zuord_Transfers_Storages[[#This Row],[kval_active]],dict_zuord_Transfers_Storages[[#This Row],[ID_Storages]],"")</f>
        <v>1</v>
      </c>
    </row>
    <row r="932" spans="1:4" x14ac:dyDescent="0.45">
      <c r="A932">
        <v>103</v>
      </c>
      <c r="B932">
        <f t="shared" ca="1" si="14"/>
        <v>56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2">
        <f ca="1">IF(dict_zuord_Transfers_Storages[[#This Row],[kval_active]],dict_zuord_Transfers_Storages[[#This Row],[ID_Storages]],"")</f>
        <v>56</v>
      </c>
    </row>
    <row r="933" spans="1:4" x14ac:dyDescent="0.45">
      <c r="A933">
        <v>103</v>
      </c>
      <c r="B933">
        <f t="shared" ca="1" si="14"/>
        <v>75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3">
        <f ca="1">IF(dict_zuord_Transfers_Storages[[#This Row],[kval_active]],dict_zuord_Transfers_Storages[[#This Row],[ID_Storages]],"")</f>
        <v>75</v>
      </c>
    </row>
    <row r="934" spans="1:4" x14ac:dyDescent="0.45">
      <c r="A934">
        <v>103</v>
      </c>
      <c r="B934">
        <f t="shared" ca="1" si="14"/>
        <v>5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4">
        <f ca="1">IF(dict_zuord_Transfers_Storages[[#This Row],[kval_active]],dict_zuord_Transfers_Storages[[#This Row],[ID_Storages]],"")</f>
        <v>5</v>
      </c>
    </row>
    <row r="935" spans="1:4" x14ac:dyDescent="0.45">
      <c r="A935">
        <v>103</v>
      </c>
      <c r="B935">
        <f t="shared" ca="1" si="14"/>
        <v>71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5">
        <f ca="1">IF(dict_zuord_Transfers_Storages[[#This Row],[kval_active]],dict_zuord_Transfers_Storages[[#This Row],[ID_Storages]],"")</f>
        <v>71</v>
      </c>
    </row>
    <row r="936" spans="1:4" x14ac:dyDescent="0.45">
      <c r="A936">
        <v>103</v>
      </c>
      <c r="B936">
        <f t="shared" ca="1" si="14"/>
        <v>28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6">
        <f ca="1">IF(dict_zuord_Transfers_Storages[[#This Row],[kval_active]],dict_zuord_Transfers_Storages[[#This Row],[ID_Storages]],"")</f>
        <v>28</v>
      </c>
    </row>
    <row r="937" spans="1:4" x14ac:dyDescent="0.45">
      <c r="A937">
        <v>103</v>
      </c>
      <c r="B937">
        <f t="shared" ca="1" si="14"/>
        <v>18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7">
        <f ca="1">IF(dict_zuord_Transfers_Storages[[#This Row],[kval_active]],dict_zuord_Transfers_Storages[[#This Row],[ID_Storages]],"")</f>
        <v>18</v>
      </c>
    </row>
    <row r="938" spans="1:4" x14ac:dyDescent="0.45">
      <c r="A938">
        <v>104</v>
      </c>
      <c r="B938">
        <f t="shared" ca="1" si="14"/>
        <v>99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8">
        <f ca="1">IF(dict_zuord_Transfers_Storages[[#This Row],[kval_active]],dict_zuord_Transfers_Storages[[#This Row],[ID_Storages]],"")</f>
        <v>99</v>
      </c>
    </row>
    <row r="939" spans="1:4" x14ac:dyDescent="0.45">
      <c r="A939">
        <v>104</v>
      </c>
      <c r="B939">
        <f t="shared" ca="1" si="14"/>
        <v>50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9">
        <f ca="1">IF(dict_zuord_Transfers_Storages[[#This Row],[kval_active]],dict_zuord_Transfers_Storages[[#This Row],[ID_Storages]],"")</f>
        <v>50</v>
      </c>
    </row>
    <row r="940" spans="1:4" x14ac:dyDescent="0.45">
      <c r="A940">
        <v>104</v>
      </c>
      <c r="B940">
        <f t="shared" ca="1" si="14"/>
        <v>62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0">
        <f ca="1">IF(dict_zuord_Transfers_Storages[[#This Row],[kval_active]],dict_zuord_Transfers_Storages[[#This Row],[ID_Storages]],"")</f>
        <v>62</v>
      </c>
    </row>
    <row r="941" spans="1:4" x14ac:dyDescent="0.45">
      <c r="A941">
        <v>104</v>
      </c>
      <c r="B941">
        <f t="shared" ca="1" si="14"/>
        <v>12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1">
        <f ca="1">IF(dict_zuord_Transfers_Storages[[#This Row],[kval_active]],dict_zuord_Transfers_Storages[[#This Row],[ID_Storages]],"")</f>
        <v>12</v>
      </c>
    </row>
    <row r="942" spans="1:4" x14ac:dyDescent="0.45">
      <c r="A942">
        <v>104</v>
      </c>
      <c r="B942">
        <f t="shared" ca="1" si="14"/>
        <v>6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2">
        <f ca="1">IF(dict_zuord_Transfers_Storages[[#This Row],[kval_active]],dict_zuord_Transfers_Storages[[#This Row],[ID_Storages]],"")</f>
        <v>6</v>
      </c>
    </row>
    <row r="943" spans="1:4" x14ac:dyDescent="0.45">
      <c r="A943">
        <v>104</v>
      </c>
      <c r="B943">
        <f t="shared" ca="1" si="14"/>
        <v>55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3">
        <f ca="1">IF(dict_zuord_Transfers_Storages[[#This Row],[kval_active]],dict_zuord_Transfers_Storages[[#This Row],[ID_Storages]],"")</f>
        <v>55</v>
      </c>
    </row>
    <row r="944" spans="1:4" x14ac:dyDescent="0.45">
      <c r="A944">
        <v>104</v>
      </c>
      <c r="B944">
        <f t="shared" ca="1" si="14"/>
        <v>69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4">
        <f ca="1">IF(dict_zuord_Transfers_Storages[[#This Row],[kval_active]],dict_zuord_Transfers_Storages[[#This Row],[ID_Storages]],"")</f>
        <v>69</v>
      </c>
    </row>
    <row r="945" spans="1:4" x14ac:dyDescent="0.45">
      <c r="A945">
        <v>104</v>
      </c>
      <c r="B945">
        <f t="shared" ca="1" si="14"/>
        <v>74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5">
        <f ca="1">IF(dict_zuord_Transfers_Storages[[#This Row],[kval_active]],dict_zuord_Transfers_Storages[[#This Row],[ID_Storages]],"")</f>
        <v>74</v>
      </c>
    </row>
    <row r="946" spans="1:4" x14ac:dyDescent="0.45">
      <c r="A946">
        <v>104</v>
      </c>
      <c r="B946">
        <f t="shared" ca="1" si="14"/>
        <v>92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6">
        <f ca="1">IF(dict_zuord_Transfers_Storages[[#This Row],[kval_active]],dict_zuord_Transfers_Storages[[#This Row],[ID_Storages]],"")</f>
        <v>92</v>
      </c>
    </row>
    <row r="947" spans="1:4" x14ac:dyDescent="0.45">
      <c r="A947">
        <v>105</v>
      </c>
      <c r="B947">
        <f t="shared" ca="1" si="14"/>
        <v>76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7">
        <f ca="1">IF(dict_zuord_Transfers_Storages[[#This Row],[kval_active]],dict_zuord_Transfers_Storages[[#This Row],[ID_Storages]],"")</f>
        <v>76</v>
      </c>
    </row>
    <row r="948" spans="1:4" x14ac:dyDescent="0.45">
      <c r="A948">
        <v>105</v>
      </c>
      <c r="B948">
        <f t="shared" ca="1" si="14"/>
        <v>92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8">
        <f ca="1">IF(dict_zuord_Transfers_Storages[[#This Row],[kval_active]],dict_zuord_Transfers_Storages[[#This Row],[ID_Storages]],"")</f>
        <v>92</v>
      </c>
    </row>
    <row r="949" spans="1:4" x14ac:dyDescent="0.45">
      <c r="A949">
        <v>105</v>
      </c>
      <c r="B949">
        <f t="shared" ca="1" si="14"/>
        <v>6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9">
        <f ca="1">IF(dict_zuord_Transfers_Storages[[#This Row],[kval_active]],dict_zuord_Transfers_Storages[[#This Row],[ID_Storages]],"")</f>
        <v>6</v>
      </c>
    </row>
    <row r="950" spans="1:4" x14ac:dyDescent="0.45">
      <c r="A950">
        <v>105</v>
      </c>
      <c r="B950">
        <f t="shared" ca="1" si="14"/>
        <v>47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0">
        <f ca="1">IF(dict_zuord_Transfers_Storages[[#This Row],[kval_active]],dict_zuord_Transfers_Storages[[#This Row],[ID_Storages]],"")</f>
        <v>47</v>
      </c>
    </row>
    <row r="951" spans="1:4" x14ac:dyDescent="0.45">
      <c r="A951">
        <v>105</v>
      </c>
      <c r="B951">
        <f t="shared" ca="1" si="14"/>
        <v>79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1">
        <f ca="1">IF(dict_zuord_Transfers_Storages[[#This Row],[kval_active]],dict_zuord_Transfers_Storages[[#This Row],[ID_Storages]],"")</f>
        <v>79</v>
      </c>
    </row>
    <row r="952" spans="1:4" x14ac:dyDescent="0.45">
      <c r="A952">
        <v>105</v>
      </c>
      <c r="B952">
        <f t="shared" ca="1" si="14"/>
        <v>42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2">
        <f ca="1">IF(dict_zuord_Transfers_Storages[[#This Row],[kval_active]],dict_zuord_Transfers_Storages[[#This Row],[ID_Storages]],"")</f>
        <v>42</v>
      </c>
    </row>
    <row r="953" spans="1:4" x14ac:dyDescent="0.45">
      <c r="A953">
        <v>105</v>
      </c>
      <c r="B953">
        <f t="shared" ca="1" si="14"/>
        <v>53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3">
        <f ca="1">IF(dict_zuord_Transfers_Storages[[#This Row],[kval_active]],dict_zuord_Transfers_Storages[[#This Row],[ID_Storages]],"")</f>
        <v>53</v>
      </c>
    </row>
    <row r="954" spans="1:4" x14ac:dyDescent="0.45">
      <c r="A954">
        <v>105</v>
      </c>
      <c r="B954">
        <f t="shared" ca="1" si="14"/>
        <v>93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4">
        <f ca="1">IF(dict_zuord_Transfers_Storages[[#This Row],[kval_active]],dict_zuord_Transfers_Storages[[#This Row],[ID_Storages]],"")</f>
        <v>93</v>
      </c>
    </row>
    <row r="955" spans="1:4" x14ac:dyDescent="0.45">
      <c r="A955">
        <v>105</v>
      </c>
      <c r="B955">
        <f t="shared" ca="1" si="14"/>
        <v>16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5">
        <f ca="1">IF(dict_zuord_Transfers_Storages[[#This Row],[kval_active]],dict_zuord_Transfers_Storages[[#This Row],[ID_Storages]],"")</f>
        <v>16</v>
      </c>
    </row>
    <row r="956" spans="1:4" x14ac:dyDescent="0.45">
      <c r="A956">
        <v>106</v>
      </c>
      <c r="B956">
        <f t="shared" ca="1" si="14"/>
        <v>63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6">
        <f ca="1">IF(dict_zuord_Transfers_Storages[[#This Row],[kval_active]],dict_zuord_Transfers_Storages[[#This Row],[ID_Storages]],"")</f>
        <v>63</v>
      </c>
    </row>
    <row r="957" spans="1:4" x14ac:dyDescent="0.45">
      <c r="A957">
        <v>106</v>
      </c>
      <c r="B957">
        <f t="shared" ca="1" si="14"/>
        <v>3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7">
        <f ca="1">IF(dict_zuord_Transfers_Storages[[#This Row],[kval_active]],dict_zuord_Transfers_Storages[[#This Row],[ID_Storages]],"")</f>
        <v>3</v>
      </c>
    </row>
    <row r="958" spans="1:4" x14ac:dyDescent="0.45">
      <c r="A958">
        <v>106</v>
      </c>
      <c r="B958">
        <f t="shared" ca="1" si="14"/>
        <v>7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8">
        <f ca="1">IF(dict_zuord_Transfers_Storages[[#This Row],[kval_active]],dict_zuord_Transfers_Storages[[#This Row],[ID_Storages]],"")</f>
        <v>7</v>
      </c>
    </row>
    <row r="959" spans="1:4" x14ac:dyDescent="0.45">
      <c r="A959">
        <v>106</v>
      </c>
      <c r="B959">
        <f t="shared" ca="1" si="14"/>
        <v>93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9">
        <f ca="1">IF(dict_zuord_Transfers_Storages[[#This Row],[kval_active]],dict_zuord_Transfers_Storages[[#This Row],[ID_Storages]],"")</f>
        <v>93</v>
      </c>
    </row>
    <row r="960" spans="1:4" x14ac:dyDescent="0.45">
      <c r="A960">
        <v>106</v>
      </c>
      <c r="B960">
        <f t="shared" ca="1" si="14"/>
        <v>66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0">
        <f ca="1">IF(dict_zuord_Transfers_Storages[[#This Row],[kval_active]],dict_zuord_Transfers_Storages[[#This Row],[ID_Storages]],"")</f>
        <v>66</v>
      </c>
    </row>
    <row r="961" spans="1:4" x14ac:dyDescent="0.45">
      <c r="A961">
        <v>106</v>
      </c>
      <c r="B961">
        <f t="shared" ca="1" si="14"/>
        <v>94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1">
        <f ca="1">IF(dict_zuord_Transfers_Storages[[#This Row],[kval_active]],dict_zuord_Transfers_Storages[[#This Row],[ID_Storages]],"")</f>
        <v>94</v>
      </c>
    </row>
    <row r="962" spans="1:4" x14ac:dyDescent="0.45">
      <c r="A962">
        <v>106</v>
      </c>
      <c r="B962">
        <f t="shared" ref="B962:B1025" ca="1" si="15">RANDBETWEEN(0,100)</f>
        <v>41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2">
        <f ca="1">IF(dict_zuord_Transfers_Storages[[#This Row],[kval_active]],dict_zuord_Transfers_Storages[[#This Row],[ID_Storages]],"")</f>
        <v>41</v>
      </c>
    </row>
    <row r="963" spans="1:4" x14ac:dyDescent="0.45">
      <c r="A963">
        <v>106</v>
      </c>
      <c r="B963">
        <f t="shared" ca="1" si="15"/>
        <v>92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3">
        <f ca="1">IF(dict_zuord_Transfers_Storages[[#This Row],[kval_active]],dict_zuord_Transfers_Storages[[#This Row],[ID_Storages]],"")</f>
        <v>92</v>
      </c>
    </row>
    <row r="964" spans="1:4" x14ac:dyDescent="0.45">
      <c r="A964">
        <v>106</v>
      </c>
      <c r="B964">
        <f t="shared" ca="1" si="15"/>
        <v>77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4">
        <f ca="1">IF(dict_zuord_Transfers_Storages[[#This Row],[kval_active]],dict_zuord_Transfers_Storages[[#This Row],[ID_Storages]],"")</f>
        <v>77</v>
      </c>
    </row>
    <row r="965" spans="1:4" x14ac:dyDescent="0.45">
      <c r="A965">
        <v>107</v>
      </c>
      <c r="B965">
        <f t="shared" ca="1" si="15"/>
        <v>52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5">
        <f ca="1">IF(dict_zuord_Transfers_Storages[[#This Row],[kval_active]],dict_zuord_Transfers_Storages[[#This Row],[ID_Storages]],"")</f>
        <v>52</v>
      </c>
    </row>
    <row r="966" spans="1:4" x14ac:dyDescent="0.45">
      <c r="A966">
        <v>107</v>
      </c>
      <c r="B966">
        <f t="shared" ca="1" si="15"/>
        <v>90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6">
        <f ca="1">IF(dict_zuord_Transfers_Storages[[#This Row],[kval_active]],dict_zuord_Transfers_Storages[[#This Row],[ID_Storages]],"")</f>
        <v>90</v>
      </c>
    </row>
    <row r="967" spans="1:4" x14ac:dyDescent="0.45">
      <c r="A967">
        <v>107</v>
      </c>
      <c r="B967">
        <f t="shared" ca="1" si="15"/>
        <v>7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7">
        <f ca="1">IF(dict_zuord_Transfers_Storages[[#This Row],[kval_active]],dict_zuord_Transfers_Storages[[#This Row],[ID_Storages]],"")</f>
        <v>7</v>
      </c>
    </row>
    <row r="968" spans="1:4" x14ac:dyDescent="0.45">
      <c r="A968">
        <v>107</v>
      </c>
      <c r="B968">
        <f t="shared" ca="1" si="15"/>
        <v>29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8">
        <f ca="1">IF(dict_zuord_Transfers_Storages[[#This Row],[kval_active]],dict_zuord_Transfers_Storages[[#This Row],[ID_Storages]],"")</f>
        <v>29</v>
      </c>
    </row>
    <row r="969" spans="1:4" x14ac:dyDescent="0.45">
      <c r="A969">
        <v>107</v>
      </c>
      <c r="B969">
        <f t="shared" ca="1" si="15"/>
        <v>75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9">
        <f ca="1">IF(dict_zuord_Transfers_Storages[[#This Row],[kval_active]],dict_zuord_Transfers_Storages[[#This Row],[ID_Storages]],"")</f>
        <v>75</v>
      </c>
    </row>
    <row r="970" spans="1:4" x14ac:dyDescent="0.45">
      <c r="A970">
        <v>107</v>
      </c>
      <c r="B970">
        <f t="shared" ca="1" si="15"/>
        <v>23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0">
        <f ca="1">IF(dict_zuord_Transfers_Storages[[#This Row],[kval_active]],dict_zuord_Transfers_Storages[[#This Row],[ID_Storages]],"")</f>
        <v>23</v>
      </c>
    </row>
    <row r="971" spans="1:4" x14ac:dyDescent="0.45">
      <c r="A971">
        <v>107</v>
      </c>
      <c r="B971">
        <f t="shared" ca="1" si="15"/>
        <v>70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1">
        <f ca="1">IF(dict_zuord_Transfers_Storages[[#This Row],[kval_active]],dict_zuord_Transfers_Storages[[#This Row],[ID_Storages]],"")</f>
        <v>70</v>
      </c>
    </row>
    <row r="972" spans="1:4" x14ac:dyDescent="0.45">
      <c r="A972">
        <v>107</v>
      </c>
      <c r="B972">
        <f t="shared" ca="1" si="15"/>
        <v>25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2">
        <f ca="1">IF(dict_zuord_Transfers_Storages[[#This Row],[kval_active]],dict_zuord_Transfers_Storages[[#This Row],[ID_Storages]],"")</f>
        <v>25</v>
      </c>
    </row>
    <row r="973" spans="1:4" x14ac:dyDescent="0.45">
      <c r="A973">
        <v>107</v>
      </c>
      <c r="B973">
        <f t="shared" ca="1" si="15"/>
        <v>76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3">
        <f ca="1">IF(dict_zuord_Transfers_Storages[[#This Row],[kval_active]],dict_zuord_Transfers_Storages[[#This Row],[ID_Storages]],"")</f>
        <v>76</v>
      </c>
    </row>
    <row r="974" spans="1:4" x14ac:dyDescent="0.45">
      <c r="A974">
        <v>108</v>
      </c>
      <c r="B974">
        <f t="shared" ca="1" si="15"/>
        <v>8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4">
        <f ca="1">IF(dict_zuord_Transfers_Storages[[#This Row],[kval_active]],dict_zuord_Transfers_Storages[[#This Row],[ID_Storages]],"")</f>
        <v>8</v>
      </c>
    </row>
    <row r="975" spans="1:4" x14ac:dyDescent="0.45">
      <c r="A975">
        <v>108</v>
      </c>
      <c r="B975">
        <f t="shared" ca="1" si="15"/>
        <v>95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5">
        <f ca="1">IF(dict_zuord_Transfers_Storages[[#This Row],[kval_active]],dict_zuord_Transfers_Storages[[#This Row],[ID_Storages]],"")</f>
        <v>95</v>
      </c>
    </row>
    <row r="976" spans="1:4" x14ac:dyDescent="0.45">
      <c r="A976">
        <v>108</v>
      </c>
      <c r="B976">
        <f t="shared" ca="1" si="15"/>
        <v>1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6">
        <f ca="1">IF(dict_zuord_Transfers_Storages[[#This Row],[kval_active]],dict_zuord_Transfers_Storages[[#This Row],[ID_Storages]],"")</f>
        <v>1</v>
      </c>
    </row>
    <row r="977" spans="1:4" x14ac:dyDescent="0.45">
      <c r="A977">
        <v>108</v>
      </c>
      <c r="B977">
        <f t="shared" ca="1" si="15"/>
        <v>76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7">
        <f ca="1">IF(dict_zuord_Transfers_Storages[[#This Row],[kval_active]],dict_zuord_Transfers_Storages[[#This Row],[ID_Storages]],"")</f>
        <v>76</v>
      </c>
    </row>
    <row r="978" spans="1:4" x14ac:dyDescent="0.45">
      <c r="A978">
        <v>108</v>
      </c>
      <c r="B978">
        <f t="shared" ca="1" si="15"/>
        <v>84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8">
        <f ca="1">IF(dict_zuord_Transfers_Storages[[#This Row],[kval_active]],dict_zuord_Transfers_Storages[[#This Row],[ID_Storages]],"")</f>
        <v>84</v>
      </c>
    </row>
    <row r="979" spans="1:4" x14ac:dyDescent="0.45">
      <c r="A979">
        <v>108</v>
      </c>
      <c r="B979">
        <f t="shared" ca="1" si="15"/>
        <v>40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9">
        <f ca="1">IF(dict_zuord_Transfers_Storages[[#This Row],[kval_active]],dict_zuord_Transfers_Storages[[#This Row],[ID_Storages]],"")</f>
        <v>40</v>
      </c>
    </row>
    <row r="980" spans="1:4" x14ac:dyDescent="0.45">
      <c r="A980">
        <v>108</v>
      </c>
      <c r="B980">
        <f t="shared" ca="1" si="15"/>
        <v>86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0">
        <f ca="1">IF(dict_zuord_Transfers_Storages[[#This Row],[kval_active]],dict_zuord_Transfers_Storages[[#This Row],[ID_Storages]],"")</f>
        <v>86</v>
      </c>
    </row>
    <row r="981" spans="1:4" x14ac:dyDescent="0.45">
      <c r="A981">
        <v>108</v>
      </c>
      <c r="B981">
        <f t="shared" ca="1" si="15"/>
        <v>74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1">
        <f ca="1">IF(dict_zuord_Transfers_Storages[[#This Row],[kval_active]],dict_zuord_Transfers_Storages[[#This Row],[ID_Storages]],"")</f>
        <v>74</v>
      </c>
    </row>
    <row r="982" spans="1:4" x14ac:dyDescent="0.45">
      <c r="A982">
        <v>108</v>
      </c>
      <c r="B982">
        <f t="shared" ca="1" si="15"/>
        <v>13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2">
        <f ca="1">IF(dict_zuord_Transfers_Storages[[#This Row],[kval_active]],dict_zuord_Transfers_Storages[[#This Row],[ID_Storages]],"")</f>
        <v>13</v>
      </c>
    </row>
    <row r="983" spans="1:4" x14ac:dyDescent="0.45">
      <c r="A983">
        <v>109</v>
      </c>
      <c r="B983">
        <f t="shared" ca="1" si="15"/>
        <v>24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3">
        <f ca="1">IF(dict_zuord_Transfers_Storages[[#This Row],[kval_active]],dict_zuord_Transfers_Storages[[#This Row],[ID_Storages]],"")</f>
        <v>24</v>
      </c>
    </row>
    <row r="984" spans="1:4" x14ac:dyDescent="0.45">
      <c r="A984">
        <v>109</v>
      </c>
      <c r="B984">
        <f t="shared" ca="1" si="15"/>
        <v>91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4">
        <f ca="1">IF(dict_zuord_Transfers_Storages[[#This Row],[kval_active]],dict_zuord_Transfers_Storages[[#This Row],[ID_Storages]],"")</f>
        <v>91</v>
      </c>
    </row>
    <row r="985" spans="1:4" x14ac:dyDescent="0.45">
      <c r="A985">
        <v>109</v>
      </c>
      <c r="B985">
        <f t="shared" ca="1" si="15"/>
        <v>53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5">
        <f ca="1">IF(dict_zuord_Transfers_Storages[[#This Row],[kval_active]],dict_zuord_Transfers_Storages[[#This Row],[ID_Storages]],"")</f>
        <v>53</v>
      </c>
    </row>
    <row r="986" spans="1:4" x14ac:dyDescent="0.45">
      <c r="A986">
        <v>109</v>
      </c>
      <c r="B986">
        <f t="shared" ca="1" si="15"/>
        <v>73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6">
        <f ca="1">IF(dict_zuord_Transfers_Storages[[#This Row],[kval_active]],dict_zuord_Transfers_Storages[[#This Row],[ID_Storages]],"")</f>
        <v>73</v>
      </c>
    </row>
    <row r="987" spans="1:4" x14ac:dyDescent="0.45">
      <c r="A987">
        <v>109</v>
      </c>
      <c r="B987">
        <f t="shared" ca="1" si="15"/>
        <v>74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7">
        <f ca="1">IF(dict_zuord_Transfers_Storages[[#This Row],[kval_active]],dict_zuord_Transfers_Storages[[#This Row],[ID_Storages]],"")</f>
        <v>74</v>
      </c>
    </row>
    <row r="988" spans="1:4" x14ac:dyDescent="0.45">
      <c r="A988">
        <v>109</v>
      </c>
      <c r="B988">
        <f t="shared" ca="1" si="15"/>
        <v>89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8">
        <f ca="1">IF(dict_zuord_Transfers_Storages[[#This Row],[kval_active]],dict_zuord_Transfers_Storages[[#This Row],[ID_Storages]],"")</f>
        <v>89</v>
      </c>
    </row>
    <row r="989" spans="1:4" x14ac:dyDescent="0.45">
      <c r="A989">
        <v>109</v>
      </c>
      <c r="B989">
        <f t="shared" ca="1" si="15"/>
        <v>0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9">
        <f ca="1">IF(dict_zuord_Transfers_Storages[[#This Row],[kval_active]],dict_zuord_Transfers_Storages[[#This Row],[ID_Storages]],"")</f>
        <v>0</v>
      </c>
    </row>
    <row r="990" spans="1:4" x14ac:dyDescent="0.45">
      <c r="A990">
        <v>109</v>
      </c>
      <c r="B990">
        <f t="shared" ca="1" si="15"/>
        <v>12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0">
        <f ca="1">IF(dict_zuord_Transfers_Storages[[#This Row],[kval_active]],dict_zuord_Transfers_Storages[[#This Row],[ID_Storages]],"")</f>
        <v>12</v>
      </c>
    </row>
    <row r="991" spans="1:4" x14ac:dyDescent="0.45">
      <c r="A991">
        <v>109</v>
      </c>
      <c r="B991">
        <f t="shared" ca="1" si="15"/>
        <v>92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1">
        <f ca="1">IF(dict_zuord_Transfers_Storages[[#This Row],[kval_active]],dict_zuord_Transfers_Storages[[#This Row],[ID_Storages]],"")</f>
        <v>92</v>
      </c>
    </row>
    <row r="992" spans="1:4" x14ac:dyDescent="0.45">
      <c r="A992">
        <v>110</v>
      </c>
      <c r="B992">
        <f t="shared" ca="1" si="15"/>
        <v>17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2">
        <f ca="1">IF(dict_zuord_Transfers_Storages[[#This Row],[kval_active]],dict_zuord_Transfers_Storages[[#This Row],[ID_Storages]],"")</f>
        <v>17</v>
      </c>
    </row>
    <row r="993" spans="1:4" x14ac:dyDescent="0.45">
      <c r="A993">
        <v>110</v>
      </c>
      <c r="B993">
        <f t="shared" ca="1" si="15"/>
        <v>27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3">
        <f ca="1">IF(dict_zuord_Transfers_Storages[[#This Row],[kval_active]],dict_zuord_Transfers_Storages[[#This Row],[ID_Storages]],"")</f>
        <v>27</v>
      </c>
    </row>
    <row r="994" spans="1:4" x14ac:dyDescent="0.45">
      <c r="A994">
        <v>110</v>
      </c>
      <c r="B994">
        <f t="shared" ca="1" si="15"/>
        <v>9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4">
        <f ca="1">IF(dict_zuord_Transfers_Storages[[#This Row],[kval_active]],dict_zuord_Transfers_Storages[[#This Row],[ID_Storages]],"")</f>
        <v>9</v>
      </c>
    </row>
    <row r="995" spans="1:4" x14ac:dyDescent="0.45">
      <c r="A995">
        <v>110</v>
      </c>
      <c r="B995">
        <f t="shared" ca="1" si="15"/>
        <v>65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5">
        <f ca="1">IF(dict_zuord_Transfers_Storages[[#This Row],[kval_active]],dict_zuord_Transfers_Storages[[#This Row],[ID_Storages]],"")</f>
        <v>65</v>
      </c>
    </row>
    <row r="996" spans="1:4" x14ac:dyDescent="0.45">
      <c r="A996">
        <v>110</v>
      </c>
      <c r="B996">
        <f t="shared" ca="1" si="15"/>
        <v>80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6">
        <f ca="1">IF(dict_zuord_Transfers_Storages[[#This Row],[kval_active]],dict_zuord_Transfers_Storages[[#This Row],[ID_Storages]],"")</f>
        <v>80</v>
      </c>
    </row>
    <row r="997" spans="1:4" x14ac:dyDescent="0.45">
      <c r="A997">
        <v>110</v>
      </c>
      <c r="B997">
        <f t="shared" ca="1" si="15"/>
        <v>64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7">
        <f ca="1">IF(dict_zuord_Transfers_Storages[[#This Row],[kval_active]],dict_zuord_Transfers_Storages[[#This Row],[ID_Storages]],"")</f>
        <v>64</v>
      </c>
    </row>
    <row r="998" spans="1:4" x14ac:dyDescent="0.45">
      <c r="A998">
        <v>110</v>
      </c>
      <c r="B998">
        <f t="shared" ca="1" si="15"/>
        <v>33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8">
        <f ca="1">IF(dict_zuord_Transfers_Storages[[#This Row],[kval_active]],dict_zuord_Transfers_Storages[[#This Row],[ID_Storages]],"")</f>
        <v>33</v>
      </c>
    </row>
    <row r="999" spans="1:4" x14ac:dyDescent="0.45">
      <c r="A999">
        <v>110</v>
      </c>
      <c r="B999">
        <f t="shared" ca="1" si="15"/>
        <v>83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9">
        <f ca="1">IF(dict_zuord_Transfers_Storages[[#This Row],[kval_active]],dict_zuord_Transfers_Storages[[#This Row],[ID_Storages]],"")</f>
        <v>83</v>
      </c>
    </row>
    <row r="1000" spans="1:4" x14ac:dyDescent="0.45">
      <c r="A1000">
        <v>110</v>
      </c>
      <c r="B1000">
        <f t="shared" ca="1" si="15"/>
        <v>23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0">
        <f ca="1">IF(dict_zuord_Transfers_Storages[[#This Row],[kval_active]],dict_zuord_Transfers_Storages[[#This Row],[ID_Storages]],"")</f>
        <v>23</v>
      </c>
    </row>
    <row r="1001" spans="1:4" x14ac:dyDescent="0.45">
      <c r="A1001">
        <v>111</v>
      </c>
      <c r="B1001">
        <f t="shared" ca="1" si="15"/>
        <v>1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1">
        <f ca="1">IF(dict_zuord_Transfers_Storages[[#This Row],[kval_active]],dict_zuord_Transfers_Storages[[#This Row],[ID_Storages]],"")</f>
        <v>1</v>
      </c>
    </row>
    <row r="1002" spans="1:4" x14ac:dyDescent="0.45">
      <c r="A1002">
        <v>111</v>
      </c>
      <c r="B1002">
        <f t="shared" ca="1" si="15"/>
        <v>48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2">
        <f ca="1">IF(dict_zuord_Transfers_Storages[[#This Row],[kval_active]],dict_zuord_Transfers_Storages[[#This Row],[ID_Storages]],"")</f>
        <v>48</v>
      </c>
    </row>
    <row r="1003" spans="1:4" x14ac:dyDescent="0.45">
      <c r="A1003">
        <v>111</v>
      </c>
      <c r="B1003">
        <f t="shared" ca="1" si="15"/>
        <v>43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3">
        <f ca="1">IF(dict_zuord_Transfers_Storages[[#This Row],[kval_active]],dict_zuord_Transfers_Storages[[#This Row],[ID_Storages]],"")</f>
        <v>43</v>
      </c>
    </row>
    <row r="1004" spans="1:4" x14ac:dyDescent="0.45">
      <c r="A1004">
        <v>111</v>
      </c>
      <c r="B1004">
        <f t="shared" ca="1" si="15"/>
        <v>45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4">
        <f ca="1">IF(dict_zuord_Transfers_Storages[[#This Row],[kval_active]],dict_zuord_Transfers_Storages[[#This Row],[ID_Storages]],"")</f>
        <v>45</v>
      </c>
    </row>
    <row r="1005" spans="1:4" x14ac:dyDescent="0.45">
      <c r="A1005">
        <v>111</v>
      </c>
      <c r="B1005">
        <f t="shared" ca="1" si="15"/>
        <v>18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5">
        <f ca="1">IF(dict_zuord_Transfers_Storages[[#This Row],[kval_active]],dict_zuord_Transfers_Storages[[#This Row],[ID_Storages]],"")</f>
        <v>18</v>
      </c>
    </row>
    <row r="1006" spans="1:4" x14ac:dyDescent="0.45">
      <c r="A1006">
        <v>111</v>
      </c>
      <c r="B1006">
        <f t="shared" ca="1" si="15"/>
        <v>48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6">
        <f ca="1">IF(dict_zuord_Transfers_Storages[[#This Row],[kval_active]],dict_zuord_Transfers_Storages[[#This Row],[ID_Storages]],"")</f>
        <v>48</v>
      </c>
    </row>
    <row r="1007" spans="1:4" x14ac:dyDescent="0.45">
      <c r="A1007">
        <v>111</v>
      </c>
      <c r="B1007">
        <f t="shared" ca="1" si="15"/>
        <v>35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7">
        <f ca="1">IF(dict_zuord_Transfers_Storages[[#This Row],[kval_active]],dict_zuord_Transfers_Storages[[#This Row],[ID_Storages]],"")</f>
        <v>35</v>
      </c>
    </row>
    <row r="1008" spans="1:4" x14ac:dyDescent="0.45">
      <c r="A1008">
        <v>111</v>
      </c>
      <c r="B1008">
        <f t="shared" ca="1" si="15"/>
        <v>88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8">
        <f ca="1">IF(dict_zuord_Transfers_Storages[[#This Row],[kval_active]],dict_zuord_Transfers_Storages[[#This Row],[ID_Storages]],"")</f>
        <v>88</v>
      </c>
    </row>
    <row r="1009" spans="1:4" x14ac:dyDescent="0.45">
      <c r="A1009">
        <v>111</v>
      </c>
      <c r="B1009">
        <f t="shared" ca="1" si="15"/>
        <v>27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9">
        <f ca="1">IF(dict_zuord_Transfers_Storages[[#This Row],[kval_active]],dict_zuord_Transfers_Storages[[#This Row],[ID_Storages]],"")</f>
        <v>27</v>
      </c>
    </row>
    <row r="1010" spans="1:4" x14ac:dyDescent="0.45">
      <c r="A1010">
        <v>112</v>
      </c>
      <c r="B1010">
        <f t="shared" ca="1" si="15"/>
        <v>18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0">
        <f ca="1">IF(dict_zuord_Transfers_Storages[[#This Row],[kval_active]],dict_zuord_Transfers_Storages[[#This Row],[ID_Storages]],"")</f>
        <v>18</v>
      </c>
    </row>
    <row r="1011" spans="1:4" x14ac:dyDescent="0.45">
      <c r="A1011">
        <v>112</v>
      </c>
      <c r="B1011">
        <f t="shared" ca="1" si="15"/>
        <v>19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1">
        <f ca="1">IF(dict_zuord_Transfers_Storages[[#This Row],[kval_active]],dict_zuord_Transfers_Storages[[#This Row],[ID_Storages]],"")</f>
        <v>19</v>
      </c>
    </row>
    <row r="1012" spans="1:4" x14ac:dyDescent="0.45">
      <c r="A1012">
        <v>112</v>
      </c>
      <c r="B1012">
        <f t="shared" ca="1" si="15"/>
        <v>63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2">
        <f ca="1">IF(dict_zuord_Transfers_Storages[[#This Row],[kval_active]],dict_zuord_Transfers_Storages[[#This Row],[ID_Storages]],"")</f>
        <v>63</v>
      </c>
    </row>
    <row r="1013" spans="1:4" x14ac:dyDescent="0.45">
      <c r="A1013">
        <v>112</v>
      </c>
      <c r="B1013">
        <f t="shared" ca="1" si="15"/>
        <v>97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3">
        <f ca="1">IF(dict_zuord_Transfers_Storages[[#This Row],[kval_active]],dict_zuord_Transfers_Storages[[#This Row],[ID_Storages]],"")</f>
        <v>97</v>
      </c>
    </row>
    <row r="1014" spans="1:4" x14ac:dyDescent="0.45">
      <c r="A1014">
        <v>112</v>
      </c>
      <c r="B1014">
        <f t="shared" ca="1" si="15"/>
        <v>26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4">
        <f ca="1">IF(dict_zuord_Transfers_Storages[[#This Row],[kval_active]],dict_zuord_Transfers_Storages[[#This Row],[ID_Storages]],"")</f>
        <v>26</v>
      </c>
    </row>
    <row r="1015" spans="1:4" x14ac:dyDescent="0.45">
      <c r="A1015">
        <v>112</v>
      </c>
      <c r="B1015">
        <f t="shared" ca="1" si="15"/>
        <v>23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5">
        <f ca="1">IF(dict_zuord_Transfers_Storages[[#This Row],[kval_active]],dict_zuord_Transfers_Storages[[#This Row],[ID_Storages]],"")</f>
        <v>23</v>
      </c>
    </row>
    <row r="1016" spans="1:4" x14ac:dyDescent="0.45">
      <c r="A1016">
        <v>112</v>
      </c>
      <c r="B1016">
        <f t="shared" ca="1" si="15"/>
        <v>77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6">
        <f ca="1">IF(dict_zuord_Transfers_Storages[[#This Row],[kval_active]],dict_zuord_Transfers_Storages[[#This Row],[ID_Storages]],"")</f>
        <v>77</v>
      </c>
    </row>
    <row r="1017" spans="1:4" x14ac:dyDescent="0.45">
      <c r="A1017">
        <v>112</v>
      </c>
      <c r="B1017">
        <f t="shared" ca="1" si="15"/>
        <v>99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7">
        <f ca="1">IF(dict_zuord_Transfers_Storages[[#This Row],[kval_active]],dict_zuord_Transfers_Storages[[#This Row],[ID_Storages]],"")</f>
        <v>99</v>
      </c>
    </row>
    <row r="1018" spans="1:4" x14ac:dyDescent="0.45">
      <c r="A1018">
        <v>112</v>
      </c>
      <c r="B1018">
        <f t="shared" ca="1" si="15"/>
        <v>31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8">
        <f ca="1">IF(dict_zuord_Transfers_Storages[[#This Row],[kval_active]],dict_zuord_Transfers_Storages[[#This Row],[ID_Storages]],"")</f>
        <v>31</v>
      </c>
    </row>
    <row r="1019" spans="1:4" x14ac:dyDescent="0.45">
      <c r="A1019">
        <v>113</v>
      </c>
      <c r="B1019">
        <f t="shared" ca="1" si="15"/>
        <v>46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9">
        <f ca="1">IF(dict_zuord_Transfers_Storages[[#This Row],[kval_active]],dict_zuord_Transfers_Storages[[#This Row],[ID_Storages]],"")</f>
        <v>46</v>
      </c>
    </row>
    <row r="1020" spans="1:4" x14ac:dyDescent="0.45">
      <c r="A1020">
        <v>113</v>
      </c>
      <c r="B1020">
        <f t="shared" ca="1" si="15"/>
        <v>67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0">
        <f ca="1">IF(dict_zuord_Transfers_Storages[[#This Row],[kval_active]],dict_zuord_Transfers_Storages[[#This Row],[ID_Storages]],"")</f>
        <v>67</v>
      </c>
    </row>
    <row r="1021" spans="1:4" x14ac:dyDescent="0.45">
      <c r="A1021">
        <v>113</v>
      </c>
      <c r="B1021">
        <f t="shared" ca="1" si="15"/>
        <v>16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1">
        <f ca="1">IF(dict_zuord_Transfers_Storages[[#This Row],[kval_active]],dict_zuord_Transfers_Storages[[#This Row],[ID_Storages]],"")</f>
        <v>16</v>
      </c>
    </row>
    <row r="1022" spans="1:4" x14ac:dyDescent="0.45">
      <c r="A1022">
        <v>113</v>
      </c>
      <c r="B1022">
        <f t="shared" ca="1" si="15"/>
        <v>90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2">
        <f ca="1">IF(dict_zuord_Transfers_Storages[[#This Row],[kval_active]],dict_zuord_Transfers_Storages[[#This Row],[ID_Storages]],"")</f>
        <v>90</v>
      </c>
    </row>
    <row r="1023" spans="1:4" x14ac:dyDescent="0.45">
      <c r="A1023">
        <v>113</v>
      </c>
      <c r="B1023">
        <f t="shared" ca="1" si="15"/>
        <v>84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3">
        <f ca="1">IF(dict_zuord_Transfers_Storages[[#This Row],[kval_active]],dict_zuord_Transfers_Storages[[#This Row],[ID_Storages]],"")</f>
        <v>84</v>
      </c>
    </row>
    <row r="1024" spans="1:4" x14ac:dyDescent="0.45">
      <c r="A1024">
        <v>113</v>
      </c>
      <c r="B1024">
        <f t="shared" ca="1" si="15"/>
        <v>24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4">
        <f ca="1">IF(dict_zuord_Transfers_Storages[[#This Row],[kval_active]],dict_zuord_Transfers_Storages[[#This Row],[ID_Storages]],"")</f>
        <v>24</v>
      </c>
    </row>
    <row r="1025" spans="1:4" x14ac:dyDescent="0.45">
      <c r="A1025">
        <v>113</v>
      </c>
      <c r="B1025">
        <f t="shared" ca="1" si="15"/>
        <v>30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5">
        <f ca="1">IF(dict_zuord_Transfers_Storages[[#This Row],[kval_active]],dict_zuord_Transfers_Storages[[#This Row],[ID_Storages]],"")</f>
        <v>30</v>
      </c>
    </row>
    <row r="1026" spans="1:4" x14ac:dyDescent="0.45">
      <c r="A1026">
        <v>113</v>
      </c>
      <c r="B1026">
        <f t="shared" ref="B1026:B1089" ca="1" si="16">RANDBETWEEN(0,100)</f>
        <v>1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6">
        <f ca="1">IF(dict_zuord_Transfers_Storages[[#This Row],[kval_active]],dict_zuord_Transfers_Storages[[#This Row],[ID_Storages]],"")</f>
        <v>1</v>
      </c>
    </row>
    <row r="1027" spans="1:4" x14ac:dyDescent="0.45">
      <c r="A1027">
        <v>113</v>
      </c>
      <c r="B1027">
        <f t="shared" ca="1" si="16"/>
        <v>41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7">
        <f ca="1">IF(dict_zuord_Transfers_Storages[[#This Row],[kval_active]],dict_zuord_Transfers_Storages[[#This Row],[ID_Storages]],"")</f>
        <v>41</v>
      </c>
    </row>
    <row r="1028" spans="1:4" x14ac:dyDescent="0.45">
      <c r="A1028">
        <v>114</v>
      </c>
      <c r="B1028">
        <f t="shared" ca="1" si="16"/>
        <v>25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8">
        <f ca="1">IF(dict_zuord_Transfers_Storages[[#This Row],[kval_active]],dict_zuord_Transfers_Storages[[#This Row],[ID_Storages]],"")</f>
        <v>25</v>
      </c>
    </row>
    <row r="1029" spans="1:4" x14ac:dyDescent="0.45">
      <c r="A1029">
        <v>114</v>
      </c>
      <c r="B1029">
        <f t="shared" ca="1" si="16"/>
        <v>64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9">
        <f ca="1">IF(dict_zuord_Transfers_Storages[[#This Row],[kval_active]],dict_zuord_Transfers_Storages[[#This Row],[ID_Storages]],"")</f>
        <v>64</v>
      </c>
    </row>
    <row r="1030" spans="1:4" x14ac:dyDescent="0.45">
      <c r="A1030">
        <v>114</v>
      </c>
      <c r="B1030">
        <f t="shared" ca="1" si="16"/>
        <v>71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0">
        <f ca="1">IF(dict_zuord_Transfers_Storages[[#This Row],[kval_active]],dict_zuord_Transfers_Storages[[#This Row],[ID_Storages]],"")</f>
        <v>71</v>
      </c>
    </row>
    <row r="1031" spans="1:4" x14ac:dyDescent="0.45">
      <c r="A1031">
        <v>114</v>
      </c>
      <c r="B1031">
        <f t="shared" ca="1" si="16"/>
        <v>1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1">
        <f ca="1">IF(dict_zuord_Transfers_Storages[[#This Row],[kval_active]],dict_zuord_Transfers_Storages[[#This Row],[ID_Storages]],"")</f>
        <v>1</v>
      </c>
    </row>
    <row r="1032" spans="1:4" x14ac:dyDescent="0.45">
      <c r="A1032">
        <v>114</v>
      </c>
      <c r="B1032">
        <f t="shared" ca="1" si="16"/>
        <v>17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2">
        <f ca="1">IF(dict_zuord_Transfers_Storages[[#This Row],[kval_active]],dict_zuord_Transfers_Storages[[#This Row],[ID_Storages]],"")</f>
        <v>17</v>
      </c>
    </row>
    <row r="1033" spans="1:4" x14ac:dyDescent="0.45">
      <c r="A1033">
        <v>114</v>
      </c>
      <c r="B1033">
        <f t="shared" ca="1" si="16"/>
        <v>37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3">
        <f ca="1">IF(dict_zuord_Transfers_Storages[[#This Row],[kval_active]],dict_zuord_Transfers_Storages[[#This Row],[ID_Storages]],"")</f>
        <v>37</v>
      </c>
    </row>
    <row r="1034" spans="1:4" x14ac:dyDescent="0.45">
      <c r="A1034">
        <v>114</v>
      </c>
      <c r="B1034">
        <f t="shared" ca="1" si="16"/>
        <v>67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4">
        <f ca="1">IF(dict_zuord_Transfers_Storages[[#This Row],[kval_active]],dict_zuord_Transfers_Storages[[#This Row],[ID_Storages]],"")</f>
        <v>67</v>
      </c>
    </row>
    <row r="1035" spans="1:4" x14ac:dyDescent="0.45">
      <c r="A1035">
        <v>114</v>
      </c>
      <c r="B1035">
        <f t="shared" ca="1" si="16"/>
        <v>93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5">
        <f ca="1">IF(dict_zuord_Transfers_Storages[[#This Row],[kval_active]],dict_zuord_Transfers_Storages[[#This Row],[ID_Storages]],"")</f>
        <v>93</v>
      </c>
    </row>
    <row r="1036" spans="1:4" x14ac:dyDescent="0.45">
      <c r="A1036">
        <v>114</v>
      </c>
      <c r="B1036">
        <f t="shared" ca="1" si="16"/>
        <v>53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6">
        <f ca="1">IF(dict_zuord_Transfers_Storages[[#This Row],[kval_active]],dict_zuord_Transfers_Storages[[#This Row],[ID_Storages]],"")</f>
        <v>53</v>
      </c>
    </row>
    <row r="1037" spans="1:4" x14ac:dyDescent="0.45">
      <c r="A1037">
        <v>115</v>
      </c>
      <c r="B1037">
        <f t="shared" ca="1" si="16"/>
        <v>35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7" t="str">
        <f ca="1">IF(dict_zuord_Transfers_Storages[[#This Row],[kval_active]],dict_zuord_Transfers_Storages[[#This Row],[ID_Storages]],"")</f>
        <v/>
      </c>
    </row>
    <row r="1038" spans="1:4" x14ac:dyDescent="0.45">
      <c r="A1038">
        <v>115</v>
      </c>
      <c r="B1038">
        <f t="shared" ca="1" si="16"/>
        <v>13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8" t="str">
        <f ca="1">IF(dict_zuord_Transfers_Storages[[#This Row],[kval_active]],dict_zuord_Transfers_Storages[[#This Row],[ID_Storages]],"")</f>
        <v/>
      </c>
    </row>
    <row r="1039" spans="1:4" x14ac:dyDescent="0.45">
      <c r="A1039">
        <v>115</v>
      </c>
      <c r="B1039">
        <f t="shared" ca="1" si="16"/>
        <v>38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9" t="str">
        <f ca="1">IF(dict_zuord_Transfers_Storages[[#This Row],[kval_active]],dict_zuord_Transfers_Storages[[#This Row],[ID_Storages]],"")</f>
        <v/>
      </c>
    </row>
    <row r="1040" spans="1:4" x14ac:dyDescent="0.45">
      <c r="A1040">
        <v>115</v>
      </c>
      <c r="B1040">
        <f t="shared" ca="1" si="16"/>
        <v>66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0" t="str">
        <f ca="1">IF(dict_zuord_Transfers_Storages[[#This Row],[kval_active]],dict_zuord_Transfers_Storages[[#This Row],[ID_Storages]],"")</f>
        <v/>
      </c>
    </row>
    <row r="1041" spans="1:4" x14ac:dyDescent="0.45">
      <c r="A1041">
        <v>115</v>
      </c>
      <c r="B1041">
        <f t="shared" ca="1" si="16"/>
        <v>92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1" t="str">
        <f ca="1">IF(dict_zuord_Transfers_Storages[[#This Row],[kval_active]],dict_zuord_Transfers_Storages[[#This Row],[ID_Storages]],"")</f>
        <v/>
      </c>
    </row>
    <row r="1042" spans="1:4" x14ac:dyDescent="0.45">
      <c r="A1042">
        <v>115</v>
      </c>
      <c r="B1042">
        <f t="shared" ca="1" si="16"/>
        <v>40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2" t="str">
        <f ca="1">IF(dict_zuord_Transfers_Storages[[#This Row],[kval_active]],dict_zuord_Transfers_Storages[[#This Row],[ID_Storages]],"")</f>
        <v/>
      </c>
    </row>
    <row r="1043" spans="1:4" x14ac:dyDescent="0.45">
      <c r="A1043">
        <v>115</v>
      </c>
      <c r="B1043">
        <f t="shared" ca="1" si="16"/>
        <v>43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3" t="str">
        <f ca="1">IF(dict_zuord_Transfers_Storages[[#This Row],[kval_active]],dict_zuord_Transfers_Storages[[#This Row],[ID_Storages]],"")</f>
        <v/>
      </c>
    </row>
    <row r="1044" spans="1:4" x14ac:dyDescent="0.45">
      <c r="A1044">
        <v>115</v>
      </c>
      <c r="B1044">
        <f t="shared" ca="1" si="16"/>
        <v>86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4" t="str">
        <f ca="1">IF(dict_zuord_Transfers_Storages[[#This Row],[kval_active]],dict_zuord_Transfers_Storages[[#This Row],[ID_Storages]],"")</f>
        <v/>
      </c>
    </row>
    <row r="1045" spans="1:4" x14ac:dyDescent="0.45">
      <c r="A1045">
        <v>115</v>
      </c>
      <c r="B1045">
        <f t="shared" ca="1" si="16"/>
        <v>50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5" t="str">
        <f ca="1">IF(dict_zuord_Transfers_Storages[[#This Row],[kval_active]],dict_zuord_Transfers_Storages[[#This Row],[ID_Storages]],"")</f>
        <v/>
      </c>
    </row>
    <row r="1046" spans="1:4" x14ac:dyDescent="0.45">
      <c r="A1046">
        <v>116</v>
      </c>
      <c r="B1046">
        <f t="shared" ca="1" si="16"/>
        <v>35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6">
        <f ca="1">IF(dict_zuord_Transfers_Storages[[#This Row],[kval_active]],dict_zuord_Transfers_Storages[[#This Row],[ID_Storages]],"")</f>
        <v>35</v>
      </c>
    </row>
    <row r="1047" spans="1:4" x14ac:dyDescent="0.45">
      <c r="A1047">
        <v>116</v>
      </c>
      <c r="B1047">
        <f t="shared" ca="1" si="16"/>
        <v>3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7">
        <f ca="1">IF(dict_zuord_Transfers_Storages[[#This Row],[kval_active]],dict_zuord_Transfers_Storages[[#This Row],[ID_Storages]],"")</f>
        <v>3</v>
      </c>
    </row>
    <row r="1048" spans="1:4" x14ac:dyDescent="0.45">
      <c r="A1048">
        <v>116</v>
      </c>
      <c r="B1048">
        <f t="shared" ca="1" si="16"/>
        <v>20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8">
        <f ca="1">IF(dict_zuord_Transfers_Storages[[#This Row],[kval_active]],dict_zuord_Transfers_Storages[[#This Row],[ID_Storages]],"")</f>
        <v>20</v>
      </c>
    </row>
    <row r="1049" spans="1:4" x14ac:dyDescent="0.45">
      <c r="A1049">
        <v>116</v>
      </c>
      <c r="B1049">
        <f t="shared" ca="1" si="16"/>
        <v>17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9">
        <f ca="1">IF(dict_zuord_Transfers_Storages[[#This Row],[kval_active]],dict_zuord_Transfers_Storages[[#This Row],[ID_Storages]],"")</f>
        <v>17</v>
      </c>
    </row>
    <row r="1050" spans="1:4" x14ac:dyDescent="0.45">
      <c r="A1050">
        <v>116</v>
      </c>
      <c r="B1050">
        <f t="shared" ca="1" si="16"/>
        <v>15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0">
        <f ca="1">IF(dict_zuord_Transfers_Storages[[#This Row],[kval_active]],dict_zuord_Transfers_Storages[[#This Row],[ID_Storages]],"")</f>
        <v>15</v>
      </c>
    </row>
    <row r="1051" spans="1:4" x14ac:dyDescent="0.45">
      <c r="A1051">
        <v>116</v>
      </c>
      <c r="B1051">
        <f t="shared" ca="1" si="16"/>
        <v>52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1">
        <f ca="1">IF(dict_zuord_Transfers_Storages[[#This Row],[kval_active]],dict_zuord_Transfers_Storages[[#This Row],[ID_Storages]],"")</f>
        <v>52</v>
      </c>
    </row>
    <row r="1052" spans="1:4" x14ac:dyDescent="0.45">
      <c r="A1052">
        <v>116</v>
      </c>
      <c r="B1052">
        <f t="shared" ca="1" si="16"/>
        <v>21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2">
        <f ca="1">IF(dict_zuord_Transfers_Storages[[#This Row],[kval_active]],dict_zuord_Transfers_Storages[[#This Row],[ID_Storages]],"")</f>
        <v>21</v>
      </c>
    </row>
    <row r="1053" spans="1:4" x14ac:dyDescent="0.45">
      <c r="A1053">
        <v>116</v>
      </c>
      <c r="B1053">
        <f t="shared" ca="1" si="16"/>
        <v>99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3">
        <f ca="1">IF(dict_zuord_Transfers_Storages[[#This Row],[kval_active]],dict_zuord_Transfers_Storages[[#This Row],[ID_Storages]],"")</f>
        <v>99</v>
      </c>
    </row>
    <row r="1054" spans="1:4" x14ac:dyDescent="0.45">
      <c r="A1054">
        <v>116</v>
      </c>
      <c r="B1054">
        <f t="shared" ca="1" si="16"/>
        <v>51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4">
        <f ca="1">IF(dict_zuord_Transfers_Storages[[#This Row],[kval_active]],dict_zuord_Transfers_Storages[[#This Row],[ID_Storages]],"")</f>
        <v>51</v>
      </c>
    </row>
    <row r="1055" spans="1:4" x14ac:dyDescent="0.45">
      <c r="A1055">
        <v>117</v>
      </c>
      <c r="B1055">
        <f t="shared" ca="1" si="16"/>
        <v>9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5">
        <f ca="1">IF(dict_zuord_Transfers_Storages[[#This Row],[kval_active]],dict_zuord_Transfers_Storages[[#This Row],[ID_Storages]],"")</f>
        <v>9</v>
      </c>
    </row>
    <row r="1056" spans="1:4" x14ac:dyDescent="0.45">
      <c r="A1056">
        <v>117</v>
      </c>
      <c r="B1056">
        <f t="shared" ca="1" si="16"/>
        <v>4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6">
        <f ca="1">IF(dict_zuord_Transfers_Storages[[#This Row],[kval_active]],dict_zuord_Transfers_Storages[[#This Row],[ID_Storages]],"")</f>
        <v>4</v>
      </c>
    </row>
    <row r="1057" spans="1:4" x14ac:dyDescent="0.45">
      <c r="A1057">
        <v>117</v>
      </c>
      <c r="B1057">
        <f t="shared" ca="1" si="16"/>
        <v>49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7">
        <f ca="1">IF(dict_zuord_Transfers_Storages[[#This Row],[kval_active]],dict_zuord_Transfers_Storages[[#This Row],[ID_Storages]],"")</f>
        <v>49</v>
      </c>
    </row>
    <row r="1058" spans="1:4" x14ac:dyDescent="0.45">
      <c r="A1058">
        <v>117</v>
      </c>
      <c r="B1058">
        <f t="shared" ca="1" si="16"/>
        <v>60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8">
        <f ca="1">IF(dict_zuord_Transfers_Storages[[#This Row],[kval_active]],dict_zuord_Transfers_Storages[[#This Row],[ID_Storages]],"")</f>
        <v>60</v>
      </c>
    </row>
    <row r="1059" spans="1:4" x14ac:dyDescent="0.45">
      <c r="A1059">
        <v>117</v>
      </c>
      <c r="B1059">
        <f t="shared" ca="1" si="16"/>
        <v>87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9">
        <f ca="1">IF(dict_zuord_Transfers_Storages[[#This Row],[kval_active]],dict_zuord_Transfers_Storages[[#This Row],[ID_Storages]],"")</f>
        <v>87</v>
      </c>
    </row>
    <row r="1060" spans="1:4" x14ac:dyDescent="0.45">
      <c r="A1060">
        <v>117</v>
      </c>
      <c r="B1060">
        <f t="shared" ca="1" si="16"/>
        <v>32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0">
        <f ca="1">IF(dict_zuord_Transfers_Storages[[#This Row],[kval_active]],dict_zuord_Transfers_Storages[[#This Row],[ID_Storages]],"")</f>
        <v>32</v>
      </c>
    </row>
    <row r="1061" spans="1:4" x14ac:dyDescent="0.45">
      <c r="A1061">
        <v>117</v>
      </c>
      <c r="B1061">
        <f t="shared" ca="1" si="16"/>
        <v>3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1">
        <f ca="1">IF(dict_zuord_Transfers_Storages[[#This Row],[kval_active]],dict_zuord_Transfers_Storages[[#This Row],[ID_Storages]],"")</f>
        <v>3</v>
      </c>
    </row>
    <row r="1062" spans="1:4" x14ac:dyDescent="0.45">
      <c r="A1062">
        <v>117</v>
      </c>
      <c r="B1062">
        <f t="shared" ca="1" si="16"/>
        <v>8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2">
        <f ca="1">IF(dict_zuord_Transfers_Storages[[#This Row],[kval_active]],dict_zuord_Transfers_Storages[[#This Row],[ID_Storages]],"")</f>
        <v>8</v>
      </c>
    </row>
    <row r="1063" spans="1:4" x14ac:dyDescent="0.45">
      <c r="A1063">
        <v>117</v>
      </c>
      <c r="B1063">
        <f t="shared" ca="1" si="16"/>
        <v>62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3">
        <f ca="1">IF(dict_zuord_Transfers_Storages[[#This Row],[kval_active]],dict_zuord_Transfers_Storages[[#This Row],[ID_Storages]],"")</f>
        <v>62</v>
      </c>
    </row>
    <row r="1064" spans="1:4" x14ac:dyDescent="0.45">
      <c r="A1064">
        <v>118</v>
      </c>
      <c r="B1064">
        <f t="shared" ca="1" si="16"/>
        <v>2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4">
        <f ca="1">IF(dict_zuord_Transfers_Storages[[#This Row],[kval_active]],dict_zuord_Transfers_Storages[[#This Row],[ID_Storages]],"")</f>
        <v>2</v>
      </c>
    </row>
    <row r="1065" spans="1:4" x14ac:dyDescent="0.45">
      <c r="A1065">
        <v>118</v>
      </c>
      <c r="B1065">
        <f t="shared" ca="1" si="16"/>
        <v>63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5">
        <f ca="1">IF(dict_zuord_Transfers_Storages[[#This Row],[kval_active]],dict_zuord_Transfers_Storages[[#This Row],[ID_Storages]],"")</f>
        <v>63</v>
      </c>
    </row>
    <row r="1066" spans="1:4" x14ac:dyDescent="0.45">
      <c r="A1066">
        <v>118</v>
      </c>
      <c r="B1066">
        <f t="shared" ca="1" si="16"/>
        <v>87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6">
        <f ca="1">IF(dict_zuord_Transfers_Storages[[#This Row],[kval_active]],dict_zuord_Transfers_Storages[[#This Row],[ID_Storages]],"")</f>
        <v>87</v>
      </c>
    </row>
    <row r="1067" spans="1:4" x14ac:dyDescent="0.45">
      <c r="A1067">
        <v>118</v>
      </c>
      <c r="B1067">
        <f t="shared" ca="1" si="16"/>
        <v>3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7">
        <f ca="1">IF(dict_zuord_Transfers_Storages[[#This Row],[kval_active]],dict_zuord_Transfers_Storages[[#This Row],[ID_Storages]],"")</f>
        <v>3</v>
      </c>
    </row>
    <row r="1068" spans="1:4" x14ac:dyDescent="0.45">
      <c r="A1068">
        <v>118</v>
      </c>
      <c r="B1068">
        <f t="shared" ca="1" si="16"/>
        <v>8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8">
        <f ca="1">IF(dict_zuord_Transfers_Storages[[#This Row],[kval_active]],dict_zuord_Transfers_Storages[[#This Row],[ID_Storages]],"")</f>
        <v>8</v>
      </c>
    </row>
    <row r="1069" spans="1:4" x14ac:dyDescent="0.45">
      <c r="A1069">
        <v>118</v>
      </c>
      <c r="B1069">
        <f t="shared" ca="1" si="16"/>
        <v>51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9">
        <f ca="1">IF(dict_zuord_Transfers_Storages[[#This Row],[kval_active]],dict_zuord_Transfers_Storages[[#This Row],[ID_Storages]],"")</f>
        <v>51</v>
      </c>
    </row>
    <row r="1070" spans="1:4" x14ac:dyDescent="0.45">
      <c r="A1070">
        <v>118</v>
      </c>
      <c r="B1070">
        <f t="shared" ca="1" si="16"/>
        <v>47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0">
        <f ca="1">IF(dict_zuord_Transfers_Storages[[#This Row],[kval_active]],dict_zuord_Transfers_Storages[[#This Row],[ID_Storages]],"")</f>
        <v>47</v>
      </c>
    </row>
    <row r="1071" spans="1:4" x14ac:dyDescent="0.45">
      <c r="A1071">
        <v>118</v>
      </c>
      <c r="B1071">
        <f t="shared" ca="1" si="16"/>
        <v>7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1">
        <f ca="1">IF(dict_zuord_Transfers_Storages[[#This Row],[kval_active]],dict_zuord_Transfers_Storages[[#This Row],[ID_Storages]],"")</f>
        <v>7</v>
      </c>
    </row>
    <row r="1072" spans="1:4" x14ac:dyDescent="0.45">
      <c r="A1072">
        <v>118</v>
      </c>
      <c r="B1072">
        <f t="shared" ca="1" si="16"/>
        <v>35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2">
        <f ca="1">IF(dict_zuord_Transfers_Storages[[#This Row],[kval_active]],dict_zuord_Transfers_Storages[[#This Row],[ID_Storages]],"")</f>
        <v>35</v>
      </c>
    </row>
    <row r="1073" spans="1:4" x14ac:dyDescent="0.45">
      <c r="A1073">
        <v>119</v>
      </c>
      <c r="B1073">
        <f t="shared" ca="1" si="16"/>
        <v>15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3" t="str">
        <f ca="1">IF(dict_zuord_Transfers_Storages[[#This Row],[kval_active]],dict_zuord_Transfers_Storages[[#This Row],[ID_Storages]],"")</f>
        <v/>
      </c>
    </row>
    <row r="1074" spans="1:4" x14ac:dyDescent="0.45">
      <c r="A1074">
        <v>119</v>
      </c>
      <c r="B1074">
        <f t="shared" ca="1" si="16"/>
        <v>59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4" t="str">
        <f ca="1">IF(dict_zuord_Transfers_Storages[[#This Row],[kval_active]],dict_zuord_Transfers_Storages[[#This Row],[ID_Storages]],"")</f>
        <v/>
      </c>
    </row>
    <row r="1075" spans="1:4" x14ac:dyDescent="0.45">
      <c r="A1075">
        <v>119</v>
      </c>
      <c r="B1075">
        <f t="shared" ca="1" si="16"/>
        <v>46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5" t="str">
        <f ca="1">IF(dict_zuord_Transfers_Storages[[#This Row],[kval_active]],dict_zuord_Transfers_Storages[[#This Row],[ID_Storages]],"")</f>
        <v/>
      </c>
    </row>
    <row r="1076" spans="1:4" x14ac:dyDescent="0.45">
      <c r="A1076">
        <v>119</v>
      </c>
      <c r="B1076">
        <f t="shared" ca="1" si="16"/>
        <v>98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6" t="str">
        <f ca="1">IF(dict_zuord_Transfers_Storages[[#This Row],[kval_active]],dict_zuord_Transfers_Storages[[#This Row],[ID_Storages]],"")</f>
        <v/>
      </c>
    </row>
    <row r="1077" spans="1:4" x14ac:dyDescent="0.45">
      <c r="A1077">
        <v>119</v>
      </c>
      <c r="B1077">
        <f t="shared" ca="1" si="16"/>
        <v>25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7" t="str">
        <f ca="1">IF(dict_zuord_Transfers_Storages[[#This Row],[kval_active]],dict_zuord_Transfers_Storages[[#This Row],[ID_Storages]],"")</f>
        <v/>
      </c>
    </row>
    <row r="1078" spans="1:4" x14ac:dyDescent="0.45">
      <c r="A1078">
        <v>119</v>
      </c>
      <c r="B1078">
        <f t="shared" ca="1" si="16"/>
        <v>85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8" t="str">
        <f ca="1">IF(dict_zuord_Transfers_Storages[[#This Row],[kval_active]],dict_zuord_Transfers_Storages[[#This Row],[ID_Storages]],"")</f>
        <v/>
      </c>
    </row>
    <row r="1079" spans="1:4" x14ac:dyDescent="0.45">
      <c r="A1079">
        <v>119</v>
      </c>
      <c r="B1079">
        <f t="shared" ca="1" si="16"/>
        <v>0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9" t="str">
        <f ca="1">IF(dict_zuord_Transfers_Storages[[#This Row],[kval_active]],dict_zuord_Transfers_Storages[[#This Row],[ID_Storages]],"")</f>
        <v/>
      </c>
    </row>
    <row r="1080" spans="1:4" x14ac:dyDescent="0.45">
      <c r="A1080">
        <v>119</v>
      </c>
      <c r="B1080">
        <f t="shared" ca="1" si="16"/>
        <v>56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0" t="str">
        <f ca="1">IF(dict_zuord_Transfers_Storages[[#This Row],[kval_active]],dict_zuord_Transfers_Storages[[#This Row],[ID_Storages]],"")</f>
        <v/>
      </c>
    </row>
    <row r="1081" spans="1:4" x14ac:dyDescent="0.45">
      <c r="A1081">
        <v>119</v>
      </c>
      <c r="B1081">
        <f t="shared" ca="1" si="16"/>
        <v>42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1" t="str">
        <f ca="1">IF(dict_zuord_Transfers_Storages[[#This Row],[kval_active]],dict_zuord_Transfers_Storages[[#This Row],[ID_Storages]],"")</f>
        <v/>
      </c>
    </row>
    <row r="1082" spans="1:4" x14ac:dyDescent="0.45">
      <c r="A1082">
        <v>120</v>
      </c>
      <c r="B1082">
        <f t="shared" ca="1" si="16"/>
        <v>21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2">
        <f ca="1">IF(dict_zuord_Transfers_Storages[[#This Row],[kval_active]],dict_zuord_Transfers_Storages[[#This Row],[ID_Storages]],"")</f>
        <v>21</v>
      </c>
    </row>
    <row r="1083" spans="1:4" x14ac:dyDescent="0.45">
      <c r="A1083">
        <v>120</v>
      </c>
      <c r="B1083">
        <f t="shared" ca="1" si="16"/>
        <v>69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3">
        <f ca="1">IF(dict_zuord_Transfers_Storages[[#This Row],[kval_active]],dict_zuord_Transfers_Storages[[#This Row],[ID_Storages]],"")</f>
        <v>69</v>
      </c>
    </row>
    <row r="1084" spans="1:4" x14ac:dyDescent="0.45">
      <c r="A1084">
        <v>120</v>
      </c>
      <c r="B1084">
        <f t="shared" ca="1" si="16"/>
        <v>74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4">
        <f ca="1">IF(dict_zuord_Transfers_Storages[[#This Row],[kval_active]],dict_zuord_Transfers_Storages[[#This Row],[ID_Storages]],"")</f>
        <v>74</v>
      </c>
    </row>
    <row r="1085" spans="1:4" x14ac:dyDescent="0.45">
      <c r="A1085">
        <v>120</v>
      </c>
      <c r="B1085">
        <f t="shared" ca="1" si="16"/>
        <v>5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5">
        <f ca="1">IF(dict_zuord_Transfers_Storages[[#This Row],[kval_active]],dict_zuord_Transfers_Storages[[#This Row],[ID_Storages]],"")</f>
        <v>5</v>
      </c>
    </row>
    <row r="1086" spans="1:4" x14ac:dyDescent="0.45">
      <c r="A1086">
        <v>120</v>
      </c>
      <c r="B1086">
        <f t="shared" ca="1" si="16"/>
        <v>64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6">
        <f ca="1">IF(dict_zuord_Transfers_Storages[[#This Row],[kval_active]],dict_zuord_Transfers_Storages[[#This Row],[ID_Storages]],"")</f>
        <v>64</v>
      </c>
    </row>
    <row r="1087" spans="1:4" x14ac:dyDescent="0.45">
      <c r="A1087">
        <v>120</v>
      </c>
      <c r="B1087">
        <f t="shared" ca="1" si="16"/>
        <v>84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7">
        <f ca="1">IF(dict_zuord_Transfers_Storages[[#This Row],[kval_active]],dict_zuord_Transfers_Storages[[#This Row],[ID_Storages]],"")</f>
        <v>84</v>
      </c>
    </row>
    <row r="1088" spans="1:4" x14ac:dyDescent="0.45">
      <c r="A1088">
        <v>120</v>
      </c>
      <c r="B1088">
        <f t="shared" ca="1" si="16"/>
        <v>20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8">
        <f ca="1">IF(dict_zuord_Transfers_Storages[[#This Row],[kval_active]],dict_zuord_Transfers_Storages[[#This Row],[ID_Storages]],"")</f>
        <v>20</v>
      </c>
    </row>
    <row r="1089" spans="1:4" x14ac:dyDescent="0.45">
      <c r="A1089">
        <v>120</v>
      </c>
      <c r="B1089">
        <f t="shared" ca="1" si="16"/>
        <v>21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9">
        <f ca="1">IF(dict_zuord_Transfers_Storages[[#This Row],[kval_active]],dict_zuord_Transfers_Storages[[#This Row],[ID_Storages]],"")</f>
        <v>21</v>
      </c>
    </row>
    <row r="1090" spans="1:4" x14ac:dyDescent="0.45">
      <c r="A1090">
        <v>120</v>
      </c>
      <c r="B1090">
        <f t="shared" ref="B1090:B1153" ca="1" si="17">RANDBETWEEN(0,100)</f>
        <v>45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0">
        <f ca="1">IF(dict_zuord_Transfers_Storages[[#This Row],[kval_active]],dict_zuord_Transfers_Storages[[#This Row],[ID_Storages]],"")</f>
        <v>45</v>
      </c>
    </row>
    <row r="1091" spans="1:4" x14ac:dyDescent="0.45">
      <c r="A1091">
        <v>121</v>
      </c>
      <c r="B1091">
        <f t="shared" ca="1" si="17"/>
        <v>100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1">
        <f ca="1">IF(dict_zuord_Transfers_Storages[[#This Row],[kval_active]],dict_zuord_Transfers_Storages[[#This Row],[ID_Storages]],"")</f>
        <v>100</v>
      </c>
    </row>
    <row r="1092" spans="1:4" x14ac:dyDescent="0.45">
      <c r="A1092">
        <v>121</v>
      </c>
      <c r="B1092">
        <f t="shared" ca="1" si="17"/>
        <v>2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2">
        <f ca="1">IF(dict_zuord_Transfers_Storages[[#This Row],[kval_active]],dict_zuord_Transfers_Storages[[#This Row],[ID_Storages]],"")</f>
        <v>2</v>
      </c>
    </row>
    <row r="1093" spans="1:4" x14ac:dyDescent="0.45">
      <c r="A1093">
        <v>121</v>
      </c>
      <c r="B1093">
        <f t="shared" ca="1" si="17"/>
        <v>36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3">
        <f ca="1">IF(dict_zuord_Transfers_Storages[[#This Row],[kval_active]],dict_zuord_Transfers_Storages[[#This Row],[ID_Storages]],"")</f>
        <v>36</v>
      </c>
    </row>
    <row r="1094" spans="1:4" x14ac:dyDescent="0.45">
      <c r="A1094">
        <v>121</v>
      </c>
      <c r="B1094">
        <f t="shared" ca="1" si="17"/>
        <v>51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4">
        <f ca="1">IF(dict_zuord_Transfers_Storages[[#This Row],[kval_active]],dict_zuord_Transfers_Storages[[#This Row],[ID_Storages]],"")</f>
        <v>51</v>
      </c>
    </row>
    <row r="1095" spans="1:4" x14ac:dyDescent="0.45">
      <c r="A1095">
        <v>121</v>
      </c>
      <c r="B1095">
        <f t="shared" ca="1" si="17"/>
        <v>47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5">
        <f ca="1">IF(dict_zuord_Transfers_Storages[[#This Row],[kval_active]],dict_zuord_Transfers_Storages[[#This Row],[ID_Storages]],"")</f>
        <v>47</v>
      </c>
    </row>
    <row r="1096" spans="1:4" x14ac:dyDescent="0.45">
      <c r="A1096">
        <v>121</v>
      </c>
      <c r="B1096">
        <f t="shared" ca="1" si="17"/>
        <v>89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6">
        <f ca="1">IF(dict_zuord_Transfers_Storages[[#This Row],[kval_active]],dict_zuord_Transfers_Storages[[#This Row],[ID_Storages]],"")</f>
        <v>89</v>
      </c>
    </row>
    <row r="1097" spans="1:4" x14ac:dyDescent="0.45">
      <c r="A1097">
        <v>121</v>
      </c>
      <c r="B1097">
        <f t="shared" ca="1" si="17"/>
        <v>74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7">
        <f ca="1">IF(dict_zuord_Transfers_Storages[[#This Row],[kval_active]],dict_zuord_Transfers_Storages[[#This Row],[ID_Storages]],"")</f>
        <v>74</v>
      </c>
    </row>
    <row r="1098" spans="1:4" x14ac:dyDescent="0.45">
      <c r="A1098">
        <v>121</v>
      </c>
      <c r="B1098">
        <f t="shared" ca="1" si="17"/>
        <v>96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8">
        <f ca="1">IF(dict_zuord_Transfers_Storages[[#This Row],[kval_active]],dict_zuord_Transfers_Storages[[#This Row],[ID_Storages]],"")</f>
        <v>96</v>
      </c>
    </row>
    <row r="1099" spans="1:4" x14ac:dyDescent="0.45">
      <c r="A1099">
        <v>121</v>
      </c>
      <c r="B1099">
        <f t="shared" ca="1" si="17"/>
        <v>64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9">
        <f ca="1">IF(dict_zuord_Transfers_Storages[[#This Row],[kval_active]],dict_zuord_Transfers_Storages[[#This Row],[ID_Storages]],"")</f>
        <v>64</v>
      </c>
    </row>
    <row r="1100" spans="1:4" x14ac:dyDescent="0.45">
      <c r="A1100">
        <v>122</v>
      </c>
      <c r="B1100">
        <f t="shared" ca="1" si="17"/>
        <v>77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0" t="str">
        <f ca="1">IF(dict_zuord_Transfers_Storages[[#This Row],[kval_active]],dict_zuord_Transfers_Storages[[#This Row],[ID_Storages]],"")</f>
        <v/>
      </c>
    </row>
    <row r="1101" spans="1:4" x14ac:dyDescent="0.45">
      <c r="A1101">
        <v>122</v>
      </c>
      <c r="B1101">
        <f t="shared" ca="1" si="17"/>
        <v>48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1" t="str">
        <f ca="1">IF(dict_zuord_Transfers_Storages[[#This Row],[kval_active]],dict_zuord_Transfers_Storages[[#This Row],[ID_Storages]],"")</f>
        <v/>
      </c>
    </row>
    <row r="1102" spans="1:4" x14ac:dyDescent="0.45">
      <c r="A1102">
        <v>122</v>
      </c>
      <c r="B1102">
        <f t="shared" ca="1" si="17"/>
        <v>30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2" t="str">
        <f ca="1">IF(dict_zuord_Transfers_Storages[[#This Row],[kval_active]],dict_zuord_Transfers_Storages[[#This Row],[ID_Storages]],"")</f>
        <v/>
      </c>
    </row>
    <row r="1103" spans="1:4" x14ac:dyDescent="0.45">
      <c r="A1103">
        <v>122</v>
      </c>
      <c r="B1103">
        <f t="shared" ca="1" si="17"/>
        <v>2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3" t="str">
        <f ca="1">IF(dict_zuord_Transfers_Storages[[#This Row],[kval_active]],dict_zuord_Transfers_Storages[[#This Row],[ID_Storages]],"")</f>
        <v/>
      </c>
    </row>
    <row r="1104" spans="1:4" x14ac:dyDescent="0.45">
      <c r="A1104">
        <v>122</v>
      </c>
      <c r="B1104">
        <f t="shared" ca="1" si="17"/>
        <v>83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4" t="str">
        <f ca="1">IF(dict_zuord_Transfers_Storages[[#This Row],[kval_active]],dict_zuord_Transfers_Storages[[#This Row],[ID_Storages]],"")</f>
        <v/>
      </c>
    </row>
    <row r="1105" spans="1:4" x14ac:dyDescent="0.45">
      <c r="A1105">
        <v>122</v>
      </c>
      <c r="B1105">
        <f t="shared" ca="1" si="17"/>
        <v>57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5" t="str">
        <f ca="1">IF(dict_zuord_Transfers_Storages[[#This Row],[kval_active]],dict_zuord_Transfers_Storages[[#This Row],[ID_Storages]],"")</f>
        <v/>
      </c>
    </row>
    <row r="1106" spans="1:4" x14ac:dyDescent="0.45">
      <c r="A1106">
        <v>122</v>
      </c>
      <c r="B1106">
        <f t="shared" ca="1" si="17"/>
        <v>98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6" t="str">
        <f ca="1">IF(dict_zuord_Transfers_Storages[[#This Row],[kval_active]],dict_zuord_Transfers_Storages[[#This Row],[ID_Storages]],"")</f>
        <v/>
      </c>
    </row>
    <row r="1107" spans="1:4" x14ac:dyDescent="0.45">
      <c r="A1107">
        <v>122</v>
      </c>
      <c r="B1107">
        <f t="shared" ca="1" si="17"/>
        <v>61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7" t="str">
        <f ca="1">IF(dict_zuord_Transfers_Storages[[#This Row],[kval_active]],dict_zuord_Transfers_Storages[[#This Row],[ID_Storages]],"")</f>
        <v/>
      </c>
    </row>
    <row r="1108" spans="1:4" x14ac:dyDescent="0.45">
      <c r="A1108">
        <v>122</v>
      </c>
      <c r="B1108">
        <f t="shared" ca="1" si="17"/>
        <v>63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8" t="str">
        <f ca="1">IF(dict_zuord_Transfers_Storages[[#This Row],[kval_active]],dict_zuord_Transfers_Storages[[#This Row],[ID_Storages]],"")</f>
        <v/>
      </c>
    </row>
    <row r="1109" spans="1:4" x14ac:dyDescent="0.45">
      <c r="A1109">
        <v>123</v>
      </c>
      <c r="B1109">
        <f t="shared" ca="1" si="17"/>
        <v>38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9">
        <f ca="1">IF(dict_zuord_Transfers_Storages[[#This Row],[kval_active]],dict_zuord_Transfers_Storages[[#This Row],[ID_Storages]],"")</f>
        <v>38</v>
      </c>
    </row>
    <row r="1110" spans="1:4" x14ac:dyDescent="0.45">
      <c r="A1110">
        <v>123</v>
      </c>
      <c r="B1110">
        <f t="shared" ca="1" si="17"/>
        <v>80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0">
        <f ca="1">IF(dict_zuord_Transfers_Storages[[#This Row],[kval_active]],dict_zuord_Transfers_Storages[[#This Row],[ID_Storages]],"")</f>
        <v>80</v>
      </c>
    </row>
    <row r="1111" spans="1:4" x14ac:dyDescent="0.45">
      <c r="A1111">
        <v>123</v>
      </c>
      <c r="B1111">
        <f t="shared" ca="1" si="17"/>
        <v>26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1">
        <f ca="1">IF(dict_zuord_Transfers_Storages[[#This Row],[kval_active]],dict_zuord_Transfers_Storages[[#This Row],[ID_Storages]],"")</f>
        <v>26</v>
      </c>
    </row>
    <row r="1112" spans="1:4" x14ac:dyDescent="0.45">
      <c r="A1112">
        <v>123</v>
      </c>
      <c r="B1112">
        <f t="shared" ca="1" si="17"/>
        <v>93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2">
        <f ca="1">IF(dict_zuord_Transfers_Storages[[#This Row],[kval_active]],dict_zuord_Transfers_Storages[[#This Row],[ID_Storages]],"")</f>
        <v>93</v>
      </c>
    </row>
    <row r="1113" spans="1:4" x14ac:dyDescent="0.45">
      <c r="A1113">
        <v>123</v>
      </c>
      <c r="B1113">
        <f t="shared" ca="1" si="17"/>
        <v>11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3">
        <f ca="1">IF(dict_zuord_Transfers_Storages[[#This Row],[kval_active]],dict_zuord_Transfers_Storages[[#This Row],[ID_Storages]],"")</f>
        <v>11</v>
      </c>
    </row>
    <row r="1114" spans="1:4" x14ac:dyDescent="0.45">
      <c r="A1114">
        <v>123</v>
      </c>
      <c r="B1114">
        <f t="shared" ca="1" si="17"/>
        <v>59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4">
        <f ca="1">IF(dict_zuord_Transfers_Storages[[#This Row],[kval_active]],dict_zuord_Transfers_Storages[[#This Row],[ID_Storages]],"")</f>
        <v>59</v>
      </c>
    </row>
    <row r="1115" spans="1:4" x14ac:dyDescent="0.45">
      <c r="A1115">
        <v>123</v>
      </c>
      <c r="B1115">
        <f t="shared" ca="1" si="17"/>
        <v>89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5">
        <f ca="1">IF(dict_zuord_Transfers_Storages[[#This Row],[kval_active]],dict_zuord_Transfers_Storages[[#This Row],[ID_Storages]],"")</f>
        <v>89</v>
      </c>
    </row>
    <row r="1116" spans="1:4" x14ac:dyDescent="0.45">
      <c r="A1116">
        <v>123</v>
      </c>
      <c r="B1116">
        <f t="shared" ca="1" si="17"/>
        <v>82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6">
        <f ca="1">IF(dict_zuord_Transfers_Storages[[#This Row],[kval_active]],dict_zuord_Transfers_Storages[[#This Row],[ID_Storages]],"")</f>
        <v>82</v>
      </c>
    </row>
    <row r="1117" spans="1:4" x14ac:dyDescent="0.45">
      <c r="A1117">
        <v>123</v>
      </c>
      <c r="B1117">
        <f t="shared" ca="1" si="17"/>
        <v>8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7">
        <f ca="1">IF(dict_zuord_Transfers_Storages[[#This Row],[kval_active]],dict_zuord_Transfers_Storages[[#This Row],[ID_Storages]],"")</f>
        <v>8</v>
      </c>
    </row>
    <row r="1118" spans="1:4" x14ac:dyDescent="0.45">
      <c r="A1118">
        <v>124</v>
      </c>
      <c r="B1118">
        <f t="shared" ca="1" si="17"/>
        <v>58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8">
        <f ca="1">IF(dict_zuord_Transfers_Storages[[#This Row],[kval_active]],dict_zuord_Transfers_Storages[[#This Row],[ID_Storages]],"")</f>
        <v>58</v>
      </c>
    </row>
    <row r="1119" spans="1:4" x14ac:dyDescent="0.45">
      <c r="A1119">
        <v>124</v>
      </c>
      <c r="B1119">
        <f t="shared" ca="1" si="17"/>
        <v>13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9">
        <f ca="1">IF(dict_zuord_Transfers_Storages[[#This Row],[kval_active]],dict_zuord_Transfers_Storages[[#This Row],[ID_Storages]],"")</f>
        <v>13</v>
      </c>
    </row>
    <row r="1120" spans="1:4" x14ac:dyDescent="0.45">
      <c r="A1120">
        <v>124</v>
      </c>
      <c r="B1120">
        <f t="shared" ca="1" si="17"/>
        <v>91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0">
        <f ca="1">IF(dict_zuord_Transfers_Storages[[#This Row],[kval_active]],dict_zuord_Transfers_Storages[[#This Row],[ID_Storages]],"")</f>
        <v>91</v>
      </c>
    </row>
    <row r="1121" spans="1:4" x14ac:dyDescent="0.45">
      <c r="A1121">
        <v>124</v>
      </c>
      <c r="B1121">
        <f t="shared" ca="1" si="17"/>
        <v>93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1">
        <f ca="1">IF(dict_zuord_Transfers_Storages[[#This Row],[kval_active]],dict_zuord_Transfers_Storages[[#This Row],[ID_Storages]],"")</f>
        <v>93</v>
      </c>
    </row>
    <row r="1122" spans="1:4" x14ac:dyDescent="0.45">
      <c r="A1122">
        <v>124</v>
      </c>
      <c r="B1122">
        <f t="shared" ca="1" si="17"/>
        <v>73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2">
        <f ca="1">IF(dict_zuord_Transfers_Storages[[#This Row],[kval_active]],dict_zuord_Transfers_Storages[[#This Row],[ID_Storages]],"")</f>
        <v>73</v>
      </c>
    </row>
    <row r="1123" spans="1:4" x14ac:dyDescent="0.45">
      <c r="A1123">
        <v>124</v>
      </c>
      <c r="B1123">
        <f t="shared" ca="1" si="17"/>
        <v>85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3">
        <f ca="1">IF(dict_zuord_Transfers_Storages[[#This Row],[kval_active]],dict_zuord_Transfers_Storages[[#This Row],[ID_Storages]],"")</f>
        <v>85</v>
      </c>
    </row>
    <row r="1124" spans="1:4" x14ac:dyDescent="0.45">
      <c r="A1124">
        <v>124</v>
      </c>
      <c r="B1124">
        <f t="shared" ca="1" si="17"/>
        <v>1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4">
        <f ca="1">IF(dict_zuord_Transfers_Storages[[#This Row],[kval_active]],dict_zuord_Transfers_Storages[[#This Row],[ID_Storages]],"")</f>
        <v>1</v>
      </c>
    </row>
    <row r="1125" spans="1:4" x14ac:dyDescent="0.45">
      <c r="A1125">
        <v>124</v>
      </c>
      <c r="B1125">
        <f t="shared" ca="1" si="17"/>
        <v>29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5">
        <f ca="1">IF(dict_zuord_Transfers_Storages[[#This Row],[kval_active]],dict_zuord_Transfers_Storages[[#This Row],[ID_Storages]],"")</f>
        <v>29</v>
      </c>
    </row>
    <row r="1126" spans="1:4" x14ac:dyDescent="0.45">
      <c r="A1126">
        <v>124</v>
      </c>
      <c r="B1126">
        <f t="shared" ca="1" si="17"/>
        <v>80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6">
        <f ca="1">IF(dict_zuord_Transfers_Storages[[#This Row],[kval_active]],dict_zuord_Transfers_Storages[[#This Row],[ID_Storages]],"")</f>
        <v>80</v>
      </c>
    </row>
    <row r="1127" spans="1:4" x14ac:dyDescent="0.45">
      <c r="A1127">
        <v>125</v>
      </c>
      <c r="B1127">
        <f t="shared" ca="1" si="17"/>
        <v>98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7">
        <f ca="1">IF(dict_zuord_Transfers_Storages[[#This Row],[kval_active]],dict_zuord_Transfers_Storages[[#This Row],[ID_Storages]],"")</f>
        <v>98</v>
      </c>
    </row>
    <row r="1128" spans="1:4" x14ac:dyDescent="0.45">
      <c r="A1128">
        <v>125</v>
      </c>
      <c r="B1128">
        <f t="shared" ca="1" si="17"/>
        <v>81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8">
        <f ca="1">IF(dict_zuord_Transfers_Storages[[#This Row],[kval_active]],dict_zuord_Transfers_Storages[[#This Row],[ID_Storages]],"")</f>
        <v>81</v>
      </c>
    </row>
    <row r="1129" spans="1:4" x14ac:dyDescent="0.45">
      <c r="A1129">
        <v>125</v>
      </c>
      <c r="B1129">
        <f t="shared" ca="1" si="17"/>
        <v>40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9">
        <f ca="1">IF(dict_zuord_Transfers_Storages[[#This Row],[kval_active]],dict_zuord_Transfers_Storages[[#This Row],[ID_Storages]],"")</f>
        <v>40</v>
      </c>
    </row>
    <row r="1130" spans="1:4" x14ac:dyDescent="0.45">
      <c r="A1130">
        <v>125</v>
      </c>
      <c r="B1130">
        <f t="shared" ca="1" si="17"/>
        <v>39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0">
        <f ca="1">IF(dict_zuord_Transfers_Storages[[#This Row],[kval_active]],dict_zuord_Transfers_Storages[[#This Row],[ID_Storages]],"")</f>
        <v>39</v>
      </c>
    </row>
    <row r="1131" spans="1:4" x14ac:dyDescent="0.45">
      <c r="A1131">
        <v>125</v>
      </c>
      <c r="B1131">
        <f t="shared" ca="1" si="17"/>
        <v>2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1">
        <f ca="1">IF(dict_zuord_Transfers_Storages[[#This Row],[kval_active]],dict_zuord_Transfers_Storages[[#This Row],[ID_Storages]],"")</f>
        <v>2</v>
      </c>
    </row>
    <row r="1132" spans="1:4" x14ac:dyDescent="0.45">
      <c r="A1132">
        <v>125</v>
      </c>
      <c r="B1132">
        <f t="shared" ca="1" si="17"/>
        <v>86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2">
        <f ca="1">IF(dict_zuord_Transfers_Storages[[#This Row],[kval_active]],dict_zuord_Transfers_Storages[[#This Row],[ID_Storages]],"")</f>
        <v>86</v>
      </c>
    </row>
    <row r="1133" spans="1:4" x14ac:dyDescent="0.45">
      <c r="A1133">
        <v>125</v>
      </c>
      <c r="B1133">
        <f t="shared" ca="1" si="17"/>
        <v>86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3">
        <f ca="1">IF(dict_zuord_Transfers_Storages[[#This Row],[kval_active]],dict_zuord_Transfers_Storages[[#This Row],[ID_Storages]],"")</f>
        <v>86</v>
      </c>
    </row>
    <row r="1134" spans="1:4" x14ac:dyDescent="0.45">
      <c r="A1134">
        <v>125</v>
      </c>
      <c r="B1134">
        <f t="shared" ca="1" si="17"/>
        <v>73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4">
        <f ca="1">IF(dict_zuord_Transfers_Storages[[#This Row],[kval_active]],dict_zuord_Transfers_Storages[[#This Row],[ID_Storages]],"")</f>
        <v>73</v>
      </c>
    </row>
    <row r="1135" spans="1:4" x14ac:dyDescent="0.45">
      <c r="A1135">
        <v>125</v>
      </c>
      <c r="B1135">
        <f t="shared" ca="1" si="17"/>
        <v>36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5">
        <f ca="1">IF(dict_zuord_Transfers_Storages[[#This Row],[kval_active]],dict_zuord_Transfers_Storages[[#This Row],[ID_Storages]],"")</f>
        <v>36</v>
      </c>
    </row>
    <row r="1136" spans="1:4" x14ac:dyDescent="0.45">
      <c r="A1136">
        <v>126</v>
      </c>
      <c r="B1136">
        <f t="shared" ca="1" si="17"/>
        <v>28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6">
        <f ca="1">IF(dict_zuord_Transfers_Storages[[#This Row],[kval_active]],dict_zuord_Transfers_Storages[[#This Row],[ID_Storages]],"")</f>
        <v>28</v>
      </c>
    </row>
    <row r="1137" spans="1:4" x14ac:dyDescent="0.45">
      <c r="A1137">
        <v>126</v>
      </c>
      <c r="B1137">
        <f t="shared" ca="1" si="17"/>
        <v>81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7">
        <f ca="1">IF(dict_zuord_Transfers_Storages[[#This Row],[kval_active]],dict_zuord_Transfers_Storages[[#This Row],[ID_Storages]],"")</f>
        <v>81</v>
      </c>
    </row>
    <row r="1138" spans="1:4" x14ac:dyDescent="0.45">
      <c r="A1138">
        <v>126</v>
      </c>
      <c r="B1138">
        <f t="shared" ca="1" si="17"/>
        <v>91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8">
        <f ca="1">IF(dict_zuord_Transfers_Storages[[#This Row],[kval_active]],dict_zuord_Transfers_Storages[[#This Row],[ID_Storages]],"")</f>
        <v>91</v>
      </c>
    </row>
    <row r="1139" spans="1:4" x14ac:dyDescent="0.45">
      <c r="A1139">
        <v>126</v>
      </c>
      <c r="B1139">
        <f t="shared" ca="1" si="17"/>
        <v>77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9">
        <f ca="1">IF(dict_zuord_Transfers_Storages[[#This Row],[kval_active]],dict_zuord_Transfers_Storages[[#This Row],[ID_Storages]],"")</f>
        <v>77</v>
      </c>
    </row>
    <row r="1140" spans="1:4" x14ac:dyDescent="0.45">
      <c r="A1140">
        <v>126</v>
      </c>
      <c r="B1140">
        <f t="shared" ca="1" si="17"/>
        <v>3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0">
        <f ca="1">IF(dict_zuord_Transfers_Storages[[#This Row],[kval_active]],dict_zuord_Transfers_Storages[[#This Row],[ID_Storages]],"")</f>
        <v>3</v>
      </c>
    </row>
    <row r="1141" spans="1:4" x14ac:dyDescent="0.45">
      <c r="A1141">
        <v>126</v>
      </c>
      <c r="B1141">
        <f t="shared" ca="1" si="17"/>
        <v>79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1">
        <f ca="1">IF(dict_zuord_Transfers_Storages[[#This Row],[kval_active]],dict_zuord_Transfers_Storages[[#This Row],[ID_Storages]],"")</f>
        <v>79</v>
      </c>
    </row>
    <row r="1142" spans="1:4" x14ac:dyDescent="0.45">
      <c r="A1142">
        <v>126</v>
      </c>
      <c r="B1142">
        <f t="shared" ca="1" si="17"/>
        <v>27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2">
        <f ca="1">IF(dict_zuord_Transfers_Storages[[#This Row],[kval_active]],dict_zuord_Transfers_Storages[[#This Row],[ID_Storages]],"")</f>
        <v>27</v>
      </c>
    </row>
    <row r="1143" spans="1:4" x14ac:dyDescent="0.45">
      <c r="A1143">
        <v>126</v>
      </c>
      <c r="B1143">
        <f t="shared" ca="1" si="17"/>
        <v>24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3">
        <f ca="1">IF(dict_zuord_Transfers_Storages[[#This Row],[kval_active]],dict_zuord_Transfers_Storages[[#This Row],[ID_Storages]],"")</f>
        <v>24</v>
      </c>
    </row>
    <row r="1144" spans="1:4" x14ac:dyDescent="0.45">
      <c r="A1144">
        <v>126</v>
      </c>
      <c r="B1144">
        <f t="shared" ca="1" si="17"/>
        <v>6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4">
        <f ca="1">IF(dict_zuord_Transfers_Storages[[#This Row],[kval_active]],dict_zuord_Transfers_Storages[[#This Row],[ID_Storages]],"")</f>
        <v>6</v>
      </c>
    </row>
    <row r="1145" spans="1:4" x14ac:dyDescent="0.45">
      <c r="A1145">
        <v>127</v>
      </c>
      <c r="B1145">
        <f t="shared" ca="1" si="17"/>
        <v>79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5">
        <f ca="1">IF(dict_zuord_Transfers_Storages[[#This Row],[kval_active]],dict_zuord_Transfers_Storages[[#This Row],[ID_Storages]],"")</f>
        <v>79</v>
      </c>
    </row>
    <row r="1146" spans="1:4" x14ac:dyDescent="0.45">
      <c r="A1146">
        <v>127</v>
      </c>
      <c r="B1146">
        <f t="shared" ca="1" si="17"/>
        <v>95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6">
        <f ca="1">IF(dict_zuord_Transfers_Storages[[#This Row],[kval_active]],dict_zuord_Transfers_Storages[[#This Row],[ID_Storages]],"")</f>
        <v>95</v>
      </c>
    </row>
    <row r="1147" spans="1:4" x14ac:dyDescent="0.45">
      <c r="A1147">
        <v>127</v>
      </c>
      <c r="B1147">
        <f t="shared" ca="1" si="17"/>
        <v>37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7">
        <f ca="1">IF(dict_zuord_Transfers_Storages[[#This Row],[kval_active]],dict_zuord_Transfers_Storages[[#This Row],[ID_Storages]],"")</f>
        <v>37</v>
      </c>
    </row>
    <row r="1148" spans="1:4" x14ac:dyDescent="0.45">
      <c r="A1148">
        <v>127</v>
      </c>
      <c r="B1148">
        <f t="shared" ca="1" si="17"/>
        <v>80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8">
        <f ca="1">IF(dict_zuord_Transfers_Storages[[#This Row],[kval_active]],dict_zuord_Transfers_Storages[[#This Row],[ID_Storages]],"")</f>
        <v>80</v>
      </c>
    </row>
    <row r="1149" spans="1:4" x14ac:dyDescent="0.45">
      <c r="A1149">
        <v>127</v>
      </c>
      <c r="B1149">
        <f t="shared" ca="1" si="17"/>
        <v>95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9">
        <f ca="1">IF(dict_zuord_Transfers_Storages[[#This Row],[kval_active]],dict_zuord_Transfers_Storages[[#This Row],[ID_Storages]],"")</f>
        <v>95</v>
      </c>
    </row>
    <row r="1150" spans="1:4" x14ac:dyDescent="0.45">
      <c r="A1150">
        <v>127</v>
      </c>
      <c r="B1150">
        <f t="shared" ca="1" si="17"/>
        <v>35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0">
        <f ca="1">IF(dict_zuord_Transfers_Storages[[#This Row],[kval_active]],dict_zuord_Transfers_Storages[[#This Row],[ID_Storages]],"")</f>
        <v>35</v>
      </c>
    </row>
    <row r="1151" spans="1:4" x14ac:dyDescent="0.45">
      <c r="A1151">
        <v>127</v>
      </c>
      <c r="B1151">
        <f t="shared" ca="1" si="17"/>
        <v>32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1">
        <f ca="1">IF(dict_zuord_Transfers_Storages[[#This Row],[kval_active]],dict_zuord_Transfers_Storages[[#This Row],[ID_Storages]],"")</f>
        <v>32</v>
      </c>
    </row>
    <row r="1152" spans="1:4" x14ac:dyDescent="0.45">
      <c r="A1152">
        <v>127</v>
      </c>
      <c r="B1152">
        <f t="shared" ca="1" si="17"/>
        <v>51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2">
        <f ca="1">IF(dict_zuord_Transfers_Storages[[#This Row],[kval_active]],dict_zuord_Transfers_Storages[[#This Row],[ID_Storages]],"")</f>
        <v>51</v>
      </c>
    </row>
    <row r="1153" spans="1:4" x14ac:dyDescent="0.45">
      <c r="A1153">
        <v>127</v>
      </c>
      <c r="B1153">
        <f t="shared" ca="1" si="17"/>
        <v>35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3">
        <f ca="1">IF(dict_zuord_Transfers_Storages[[#This Row],[kval_active]],dict_zuord_Transfers_Storages[[#This Row],[ID_Storages]],"")</f>
        <v>35</v>
      </c>
    </row>
    <row r="1154" spans="1:4" x14ac:dyDescent="0.45">
      <c r="A1154">
        <v>128</v>
      </c>
      <c r="B1154">
        <f t="shared" ref="B1154:B1217" ca="1" si="18">RANDBETWEEN(0,100)</f>
        <v>47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4" t="str">
        <f ca="1">IF(dict_zuord_Transfers_Storages[[#This Row],[kval_active]],dict_zuord_Transfers_Storages[[#This Row],[ID_Storages]],"")</f>
        <v/>
      </c>
    </row>
    <row r="1155" spans="1:4" x14ac:dyDescent="0.45">
      <c r="A1155">
        <v>128</v>
      </c>
      <c r="B1155">
        <f t="shared" ca="1" si="18"/>
        <v>84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5" t="str">
        <f ca="1">IF(dict_zuord_Transfers_Storages[[#This Row],[kval_active]],dict_zuord_Transfers_Storages[[#This Row],[ID_Storages]],"")</f>
        <v/>
      </c>
    </row>
    <row r="1156" spans="1:4" x14ac:dyDescent="0.45">
      <c r="A1156">
        <v>128</v>
      </c>
      <c r="B1156">
        <f t="shared" ca="1" si="18"/>
        <v>17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6" t="str">
        <f ca="1">IF(dict_zuord_Transfers_Storages[[#This Row],[kval_active]],dict_zuord_Transfers_Storages[[#This Row],[ID_Storages]],"")</f>
        <v/>
      </c>
    </row>
    <row r="1157" spans="1:4" x14ac:dyDescent="0.45">
      <c r="A1157">
        <v>128</v>
      </c>
      <c r="B1157">
        <f t="shared" ca="1" si="18"/>
        <v>18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7" t="str">
        <f ca="1">IF(dict_zuord_Transfers_Storages[[#This Row],[kval_active]],dict_zuord_Transfers_Storages[[#This Row],[ID_Storages]],"")</f>
        <v/>
      </c>
    </row>
    <row r="1158" spans="1:4" x14ac:dyDescent="0.45">
      <c r="A1158">
        <v>128</v>
      </c>
      <c r="B1158">
        <f t="shared" ca="1" si="18"/>
        <v>27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8" t="str">
        <f ca="1">IF(dict_zuord_Transfers_Storages[[#This Row],[kval_active]],dict_zuord_Transfers_Storages[[#This Row],[ID_Storages]],"")</f>
        <v/>
      </c>
    </row>
    <row r="1159" spans="1:4" x14ac:dyDescent="0.45">
      <c r="A1159">
        <v>128</v>
      </c>
      <c r="B1159">
        <f t="shared" ca="1" si="18"/>
        <v>36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9" t="str">
        <f ca="1">IF(dict_zuord_Transfers_Storages[[#This Row],[kval_active]],dict_zuord_Transfers_Storages[[#This Row],[ID_Storages]],"")</f>
        <v/>
      </c>
    </row>
    <row r="1160" spans="1:4" x14ac:dyDescent="0.45">
      <c r="A1160">
        <v>128</v>
      </c>
      <c r="B1160">
        <f t="shared" ca="1" si="18"/>
        <v>52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0" t="str">
        <f ca="1">IF(dict_zuord_Transfers_Storages[[#This Row],[kval_active]],dict_zuord_Transfers_Storages[[#This Row],[ID_Storages]],"")</f>
        <v/>
      </c>
    </row>
    <row r="1161" spans="1:4" x14ac:dyDescent="0.45">
      <c r="A1161">
        <v>128</v>
      </c>
      <c r="B1161">
        <f t="shared" ca="1" si="18"/>
        <v>27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1" t="str">
        <f ca="1">IF(dict_zuord_Transfers_Storages[[#This Row],[kval_active]],dict_zuord_Transfers_Storages[[#This Row],[ID_Storages]],"")</f>
        <v/>
      </c>
    </row>
    <row r="1162" spans="1:4" x14ac:dyDescent="0.45">
      <c r="A1162">
        <v>128</v>
      </c>
      <c r="B1162">
        <f t="shared" ca="1" si="18"/>
        <v>11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2" t="str">
        <f ca="1">IF(dict_zuord_Transfers_Storages[[#This Row],[kval_active]],dict_zuord_Transfers_Storages[[#This Row],[ID_Storages]],"")</f>
        <v/>
      </c>
    </row>
    <row r="1163" spans="1:4" x14ac:dyDescent="0.45">
      <c r="A1163">
        <v>129</v>
      </c>
      <c r="B1163">
        <f t="shared" ca="1" si="18"/>
        <v>36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3" t="str">
        <f ca="1">IF(dict_zuord_Transfers_Storages[[#This Row],[kval_active]],dict_zuord_Transfers_Storages[[#This Row],[ID_Storages]],"")</f>
        <v/>
      </c>
    </row>
    <row r="1164" spans="1:4" x14ac:dyDescent="0.45">
      <c r="A1164">
        <v>129</v>
      </c>
      <c r="B1164">
        <f t="shared" ca="1" si="18"/>
        <v>28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4" t="str">
        <f ca="1">IF(dict_zuord_Transfers_Storages[[#This Row],[kval_active]],dict_zuord_Transfers_Storages[[#This Row],[ID_Storages]],"")</f>
        <v/>
      </c>
    </row>
    <row r="1165" spans="1:4" x14ac:dyDescent="0.45">
      <c r="A1165">
        <v>129</v>
      </c>
      <c r="B1165">
        <f t="shared" ca="1" si="18"/>
        <v>98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5" t="str">
        <f ca="1">IF(dict_zuord_Transfers_Storages[[#This Row],[kval_active]],dict_zuord_Transfers_Storages[[#This Row],[ID_Storages]],"")</f>
        <v/>
      </c>
    </row>
    <row r="1166" spans="1:4" x14ac:dyDescent="0.45">
      <c r="A1166">
        <v>129</v>
      </c>
      <c r="B1166">
        <f t="shared" ca="1" si="18"/>
        <v>8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6" t="str">
        <f ca="1">IF(dict_zuord_Transfers_Storages[[#This Row],[kval_active]],dict_zuord_Transfers_Storages[[#This Row],[ID_Storages]],"")</f>
        <v/>
      </c>
    </row>
    <row r="1167" spans="1:4" x14ac:dyDescent="0.45">
      <c r="A1167">
        <v>129</v>
      </c>
      <c r="B1167">
        <f t="shared" ca="1" si="18"/>
        <v>84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7" t="str">
        <f ca="1">IF(dict_zuord_Transfers_Storages[[#This Row],[kval_active]],dict_zuord_Transfers_Storages[[#This Row],[ID_Storages]],"")</f>
        <v/>
      </c>
    </row>
    <row r="1168" spans="1:4" x14ac:dyDescent="0.45">
      <c r="A1168">
        <v>129</v>
      </c>
      <c r="B1168">
        <f t="shared" ca="1" si="18"/>
        <v>75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8" t="str">
        <f ca="1">IF(dict_zuord_Transfers_Storages[[#This Row],[kval_active]],dict_zuord_Transfers_Storages[[#This Row],[ID_Storages]],"")</f>
        <v/>
      </c>
    </row>
    <row r="1169" spans="1:4" x14ac:dyDescent="0.45">
      <c r="A1169">
        <v>129</v>
      </c>
      <c r="B1169">
        <f t="shared" ca="1" si="18"/>
        <v>33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9" t="str">
        <f ca="1">IF(dict_zuord_Transfers_Storages[[#This Row],[kval_active]],dict_zuord_Transfers_Storages[[#This Row],[ID_Storages]],"")</f>
        <v/>
      </c>
    </row>
    <row r="1170" spans="1:4" x14ac:dyDescent="0.45">
      <c r="A1170">
        <v>129</v>
      </c>
      <c r="B1170">
        <f t="shared" ca="1" si="18"/>
        <v>32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0" t="str">
        <f ca="1">IF(dict_zuord_Transfers_Storages[[#This Row],[kval_active]],dict_zuord_Transfers_Storages[[#This Row],[ID_Storages]],"")</f>
        <v/>
      </c>
    </row>
    <row r="1171" spans="1:4" x14ac:dyDescent="0.45">
      <c r="A1171">
        <v>129</v>
      </c>
      <c r="B1171">
        <f t="shared" ca="1" si="18"/>
        <v>33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1" t="str">
        <f ca="1">IF(dict_zuord_Transfers_Storages[[#This Row],[kval_active]],dict_zuord_Transfers_Storages[[#This Row],[ID_Storages]],"")</f>
        <v/>
      </c>
    </row>
    <row r="1172" spans="1:4" x14ac:dyDescent="0.45">
      <c r="A1172">
        <v>130</v>
      </c>
      <c r="B1172">
        <f t="shared" ca="1" si="18"/>
        <v>68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2">
        <f ca="1">IF(dict_zuord_Transfers_Storages[[#This Row],[kval_active]],dict_zuord_Transfers_Storages[[#This Row],[ID_Storages]],"")</f>
        <v>68</v>
      </c>
    </row>
    <row r="1173" spans="1:4" x14ac:dyDescent="0.45">
      <c r="A1173">
        <v>130</v>
      </c>
      <c r="B1173">
        <f t="shared" ca="1" si="18"/>
        <v>81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3">
        <f ca="1">IF(dict_zuord_Transfers_Storages[[#This Row],[kval_active]],dict_zuord_Transfers_Storages[[#This Row],[ID_Storages]],"")</f>
        <v>81</v>
      </c>
    </row>
    <row r="1174" spans="1:4" x14ac:dyDescent="0.45">
      <c r="A1174">
        <v>130</v>
      </c>
      <c r="B1174">
        <f t="shared" ca="1" si="18"/>
        <v>100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4">
        <f ca="1">IF(dict_zuord_Transfers_Storages[[#This Row],[kval_active]],dict_zuord_Transfers_Storages[[#This Row],[ID_Storages]],"")</f>
        <v>100</v>
      </c>
    </row>
    <row r="1175" spans="1:4" x14ac:dyDescent="0.45">
      <c r="A1175">
        <v>130</v>
      </c>
      <c r="B1175">
        <f t="shared" ca="1" si="18"/>
        <v>16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5">
        <f ca="1">IF(dict_zuord_Transfers_Storages[[#This Row],[kval_active]],dict_zuord_Transfers_Storages[[#This Row],[ID_Storages]],"")</f>
        <v>16</v>
      </c>
    </row>
    <row r="1176" spans="1:4" x14ac:dyDescent="0.45">
      <c r="A1176">
        <v>130</v>
      </c>
      <c r="B1176">
        <f t="shared" ca="1" si="18"/>
        <v>42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6">
        <f ca="1">IF(dict_zuord_Transfers_Storages[[#This Row],[kval_active]],dict_zuord_Transfers_Storages[[#This Row],[ID_Storages]],"")</f>
        <v>42</v>
      </c>
    </row>
    <row r="1177" spans="1:4" x14ac:dyDescent="0.45">
      <c r="A1177">
        <v>130</v>
      </c>
      <c r="B1177">
        <f t="shared" ca="1" si="18"/>
        <v>31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7">
        <f ca="1">IF(dict_zuord_Transfers_Storages[[#This Row],[kval_active]],dict_zuord_Transfers_Storages[[#This Row],[ID_Storages]],"")</f>
        <v>31</v>
      </c>
    </row>
    <row r="1178" spans="1:4" x14ac:dyDescent="0.45">
      <c r="A1178">
        <v>130</v>
      </c>
      <c r="B1178">
        <f t="shared" ca="1" si="18"/>
        <v>24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8">
        <f ca="1">IF(dict_zuord_Transfers_Storages[[#This Row],[kval_active]],dict_zuord_Transfers_Storages[[#This Row],[ID_Storages]],"")</f>
        <v>24</v>
      </c>
    </row>
    <row r="1179" spans="1:4" x14ac:dyDescent="0.45">
      <c r="A1179">
        <v>130</v>
      </c>
      <c r="B1179">
        <f t="shared" ca="1" si="18"/>
        <v>80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9">
        <f ca="1">IF(dict_zuord_Transfers_Storages[[#This Row],[kval_active]],dict_zuord_Transfers_Storages[[#This Row],[ID_Storages]],"")</f>
        <v>80</v>
      </c>
    </row>
    <row r="1180" spans="1:4" x14ac:dyDescent="0.45">
      <c r="A1180">
        <v>130</v>
      </c>
      <c r="B1180">
        <f t="shared" ca="1" si="18"/>
        <v>76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0">
        <f ca="1">IF(dict_zuord_Transfers_Storages[[#This Row],[kval_active]],dict_zuord_Transfers_Storages[[#This Row],[ID_Storages]],"")</f>
        <v>76</v>
      </c>
    </row>
    <row r="1181" spans="1:4" x14ac:dyDescent="0.45">
      <c r="A1181">
        <v>131</v>
      </c>
      <c r="B1181">
        <f t="shared" ca="1" si="18"/>
        <v>53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1">
        <f ca="1">IF(dict_zuord_Transfers_Storages[[#This Row],[kval_active]],dict_zuord_Transfers_Storages[[#This Row],[ID_Storages]],"")</f>
        <v>53</v>
      </c>
    </row>
    <row r="1182" spans="1:4" x14ac:dyDescent="0.45">
      <c r="A1182">
        <v>131</v>
      </c>
      <c r="B1182">
        <f t="shared" ca="1" si="18"/>
        <v>95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2">
        <f ca="1">IF(dict_zuord_Transfers_Storages[[#This Row],[kval_active]],dict_zuord_Transfers_Storages[[#This Row],[ID_Storages]],"")</f>
        <v>95</v>
      </c>
    </row>
    <row r="1183" spans="1:4" x14ac:dyDescent="0.45">
      <c r="A1183">
        <v>131</v>
      </c>
      <c r="B1183">
        <f t="shared" ca="1" si="18"/>
        <v>51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3">
        <f ca="1">IF(dict_zuord_Transfers_Storages[[#This Row],[kval_active]],dict_zuord_Transfers_Storages[[#This Row],[ID_Storages]],"")</f>
        <v>51</v>
      </c>
    </row>
    <row r="1184" spans="1:4" x14ac:dyDescent="0.45">
      <c r="A1184">
        <v>131</v>
      </c>
      <c r="B1184">
        <f t="shared" ca="1" si="18"/>
        <v>16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4">
        <f ca="1">IF(dict_zuord_Transfers_Storages[[#This Row],[kval_active]],dict_zuord_Transfers_Storages[[#This Row],[ID_Storages]],"")</f>
        <v>16</v>
      </c>
    </row>
    <row r="1185" spans="1:4" x14ac:dyDescent="0.45">
      <c r="A1185">
        <v>131</v>
      </c>
      <c r="B1185">
        <f t="shared" ca="1" si="18"/>
        <v>75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5">
        <f ca="1">IF(dict_zuord_Transfers_Storages[[#This Row],[kval_active]],dict_zuord_Transfers_Storages[[#This Row],[ID_Storages]],"")</f>
        <v>75</v>
      </c>
    </row>
    <row r="1186" spans="1:4" x14ac:dyDescent="0.45">
      <c r="A1186">
        <v>131</v>
      </c>
      <c r="B1186">
        <f t="shared" ca="1" si="18"/>
        <v>86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6">
        <f ca="1">IF(dict_zuord_Transfers_Storages[[#This Row],[kval_active]],dict_zuord_Transfers_Storages[[#This Row],[ID_Storages]],"")</f>
        <v>86</v>
      </c>
    </row>
    <row r="1187" spans="1:4" x14ac:dyDescent="0.45">
      <c r="A1187">
        <v>131</v>
      </c>
      <c r="B1187">
        <f t="shared" ca="1" si="18"/>
        <v>72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7">
        <f ca="1">IF(dict_zuord_Transfers_Storages[[#This Row],[kval_active]],dict_zuord_Transfers_Storages[[#This Row],[ID_Storages]],"")</f>
        <v>72</v>
      </c>
    </row>
    <row r="1188" spans="1:4" x14ac:dyDescent="0.45">
      <c r="A1188">
        <v>131</v>
      </c>
      <c r="B1188">
        <f t="shared" ca="1" si="18"/>
        <v>31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8">
        <f ca="1">IF(dict_zuord_Transfers_Storages[[#This Row],[kval_active]],dict_zuord_Transfers_Storages[[#This Row],[ID_Storages]],"")</f>
        <v>31</v>
      </c>
    </row>
    <row r="1189" spans="1:4" x14ac:dyDescent="0.45">
      <c r="A1189">
        <v>131</v>
      </c>
      <c r="B1189">
        <f t="shared" ca="1" si="18"/>
        <v>9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9">
        <f ca="1">IF(dict_zuord_Transfers_Storages[[#This Row],[kval_active]],dict_zuord_Transfers_Storages[[#This Row],[ID_Storages]],"")</f>
        <v>9</v>
      </c>
    </row>
    <row r="1190" spans="1:4" x14ac:dyDescent="0.45">
      <c r="A1190">
        <v>132</v>
      </c>
      <c r="B1190">
        <f t="shared" ca="1" si="18"/>
        <v>49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0">
        <f ca="1">IF(dict_zuord_Transfers_Storages[[#This Row],[kval_active]],dict_zuord_Transfers_Storages[[#This Row],[ID_Storages]],"")</f>
        <v>49</v>
      </c>
    </row>
    <row r="1191" spans="1:4" x14ac:dyDescent="0.45">
      <c r="A1191">
        <v>132</v>
      </c>
      <c r="B1191">
        <f t="shared" ca="1" si="18"/>
        <v>30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1">
        <f ca="1">IF(dict_zuord_Transfers_Storages[[#This Row],[kval_active]],dict_zuord_Transfers_Storages[[#This Row],[ID_Storages]],"")</f>
        <v>30</v>
      </c>
    </row>
    <row r="1192" spans="1:4" x14ac:dyDescent="0.45">
      <c r="A1192">
        <v>132</v>
      </c>
      <c r="B1192">
        <f t="shared" ca="1" si="18"/>
        <v>35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2">
        <f ca="1">IF(dict_zuord_Transfers_Storages[[#This Row],[kval_active]],dict_zuord_Transfers_Storages[[#This Row],[ID_Storages]],"")</f>
        <v>35</v>
      </c>
    </row>
    <row r="1193" spans="1:4" x14ac:dyDescent="0.45">
      <c r="A1193">
        <v>132</v>
      </c>
      <c r="B1193">
        <f t="shared" ca="1" si="18"/>
        <v>14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3">
        <f ca="1">IF(dict_zuord_Transfers_Storages[[#This Row],[kval_active]],dict_zuord_Transfers_Storages[[#This Row],[ID_Storages]],"")</f>
        <v>14</v>
      </c>
    </row>
    <row r="1194" spans="1:4" x14ac:dyDescent="0.45">
      <c r="A1194">
        <v>132</v>
      </c>
      <c r="B1194">
        <f t="shared" ca="1" si="18"/>
        <v>56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4">
        <f ca="1">IF(dict_zuord_Transfers_Storages[[#This Row],[kval_active]],dict_zuord_Transfers_Storages[[#This Row],[ID_Storages]],"")</f>
        <v>56</v>
      </c>
    </row>
    <row r="1195" spans="1:4" x14ac:dyDescent="0.45">
      <c r="A1195">
        <v>132</v>
      </c>
      <c r="B1195">
        <f t="shared" ca="1" si="18"/>
        <v>19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5">
        <f ca="1">IF(dict_zuord_Transfers_Storages[[#This Row],[kval_active]],dict_zuord_Transfers_Storages[[#This Row],[ID_Storages]],"")</f>
        <v>19</v>
      </c>
    </row>
    <row r="1196" spans="1:4" x14ac:dyDescent="0.45">
      <c r="A1196">
        <v>132</v>
      </c>
      <c r="B1196">
        <f t="shared" ca="1" si="18"/>
        <v>84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6">
        <f ca="1">IF(dict_zuord_Transfers_Storages[[#This Row],[kval_active]],dict_zuord_Transfers_Storages[[#This Row],[ID_Storages]],"")</f>
        <v>84</v>
      </c>
    </row>
    <row r="1197" spans="1:4" x14ac:dyDescent="0.45">
      <c r="A1197">
        <v>132</v>
      </c>
      <c r="B1197">
        <f t="shared" ca="1" si="18"/>
        <v>43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7">
        <f ca="1">IF(dict_zuord_Transfers_Storages[[#This Row],[kval_active]],dict_zuord_Transfers_Storages[[#This Row],[ID_Storages]],"")</f>
        <v>43</v>
      </c>
    </row>
    <row r="1198" spans="1:4" x14ac:dyDescent="0.45">
      <c r="A1198">
        <v>132</v>
      </c>
      <c r="B1198">
        <f t="shared" ca="1" si="18"/>
        <v>70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8">
        <f ca="1">IF(dict_zuord_Transfers_Storages[[#This Row],[kval_active]],dict_zuord_Transfers_Storages[[#This Row],[ID_Storages]],"")</f>
        <v>70</v>
      </c>
    </row>
    <row r="1199" spans="1:4" x14ac:dyDescent="0.45">
      <c r="A1199">
        <v>133</v>
      </c>
      <c r="B1199">
        <f t="shared" ca="1" si="18"/>
        <v>37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9" t="str">
        <f ca="1">IF(dict_zuord_Transfers_Storages[[#This Row],[kval_active]],dict_zuord_Transfers_Storages[[#This Row],[ID_Storages]],"")</f>
        <v/>
      </c>
    </row>
    <row r="1200" spans="1:4" x14ac:dyDescent="0.45">
      <c r="A1200">
        <v>133</v>
      </c>
      <c r="B1200">
        <f t="shared" ca="1" si="18"/>
        <v>44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0" t="str">
        <f ca="1">IF(dict_zuord_Transfers_Storages[[#This Row],[kval_active]],dict_zuord_Transfers_Storages[[#This Row],[ID_Storages]],"")</f>
        <v/>
      </c>
    </row>
    <row r="1201" spans="1:4" x14ac:dyDescent="0.45">
      <c r="A1201">
        <v>133</v>
      </c>
      <c r="B1201">
        <f t="shared" ca="1" si="18"/>
        <v>2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1" t="str">
        <f ca="1">IF(dict_zuord_Transfers_Storages[[#This Row],[kval_active]],dict_zuord_Transfers_Storages[[#This Row],[ID_Storages]],"")</f>
        <v/>
      </c>
    </row>
    <row r="1202" spans="1:4" x14ac:dyDescent="0.45">
      <c r="A1202">
        <v>133</v>
      </c>
      <c r="B1202">
        <f t="shared" ca="1" si="18"/>
        <v>98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2" t="str">
        <f ca="1">IF(dict_zuord_Transfers_Storages[[#This Row],[kval_active]],dict_zuord_Transfers_Storages[[#This Row],[ID_Storages]],"")</f>
        <v/>
      </c>
    </row>
    <row r="1203" spans="1:4" x14ac:dyDescent="0.45">
      <c r="A1203">
        <v>133</v>
      </c>
      <c r="B1203">
        <f t="shared" ca="1" si="18"/>
        <v>79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3" t="str">
        <f ca="1">IF(dict_zuord_Transfers_Storages[[#This Row],[kval_active]],dict_zuord_Transfers_Storages[[#This Row],[ID_Storages]],"")</f>
        <v/>
      </c>
    </row>
    <row r="1204" spans="1:4" x14ac:dyDescent="0.45">
      <c r="A1204">
        <v>133</v>
      </c>
      <c r="B1204">
        <f t="shared" ca="1" si="18"/>
        <v>25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4" t="str">
        <f ca="1">IF(dict_zuord_Transfers_Storages[[#This Row],[kval_active]],dict_zuord_Transfers_Storages[[#This Row],[ID_Storages]],"")</f>
        <v/>
      </c>
    </row>
    <row r="1205" spans="1:4" x14ac:dyDescent="0.45">
      <c r="A1205">
        <v>133</v>
      </c>
      <c r="B1205">
        <f t="shared" ca="1" si="18"/>
        <v>8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5" t="str">
        <f ca="1">IF(dict_zuord_Transfers_Storages[[#This Row],[kval_active]],dict_zuord_Transfers_Storages[[#This Row],[ID_Storages]],"")</f>
        <v/>
      </c>
    </row>
    <row r="1206" spans="1:4" x14ac:dyDescent="0.45">
      <c r="A1206">
        <v>133</v>
      </c>
      <c r="B1206">
        <f t="shared" ca="1" si="18"/>
        <v>95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6" t="str">
        <f ca="1">IF(dict_zuord_Transfers_Storages[[#This Row],[kval_active]],dict_zuord_Transfers_Storages[[#This Row],[ID_Storages]],"")</f>
        <v/>
      </c>
    </row>
    <row r="1207" spans="1:4" x14ac:dyDescent="0.45">
      <c r="A1207">
        <v>133</v>
      </c>
      <c r="B1207">
        <f t="shared" ca="1" si="18"/>
        <v>100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7" t="str">
        <f ca="1">IF(dict_zuord_Transfers_Storages[[#This Row],[kval_active]],dict_zuord_Transfers_Storages[[#This Row],[ID_Storages]],"")</f>
        <v/>
      </c>
    </row>
    <row r="1208" spans="1:4" x14ac:dyDescent="0.45">
      <c r="A1208">
        <v>134</v>
      </c>
      <c r="B1208">
        <f t="shared" ca="1" si="18"/>
        <v>59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8">
        <f ca="1">IF(dict_zuord_Transfers_Storages[[#This Row],[kval_active]],dict_zuord_Transfers_Storages[[#This Row],[ID_Storages]],"")</f>
        <v>59</v>
      </c>
    </row>
    <row r="1209" spans="1:4" x14ac:dyDescent="0.45">
      <c r="A1209">
        <v>134</v>
      </c>
      <c r="B1209">
        <f t="shared" ca="1" si="18"/>
        <v>66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9">
        <f ca="1">IF(dict_zuord_Transfers_Storages[[#This Row],[kval_active]],dict_zuord_Transfers_Storages[[#This Row],[ID_Storages]],"")</f>
        <v>66</v>
      </c>
    </row>
    <row r="1210" spans="1:4" x14ac:dyDescent="0.45">
      <c r="A1210">
        <v>134</v>
      </c>
      <c r="B1210">
        <f t="shared" ca="1" si="18"/>
        <v>88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0">
        <f ca="1">IF(dict_zuord_Transfers_Storages[[#This Row],[kval_active]],dict_zuord_Transfers_Storages[[#This Row],[ID_Storages]],"")</f>
        <v>88</v>
      </c>
    </row>
    <row r="1211" spans="1:4" x14ac:dyDescent="0.45">
      <c r="A1211">
        <v>134</v>
      </c>
      <c r="B1211">
        <f t="shared" ca="1" si="18"/>
        <v>9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1">
        <f ca="1">IF(dict_zuord_Transfers_Storages[[#This Row],[kval_active]],dict_zuord_Transfers_Storages[[#This Row],[ID_Storages]],"")</f>
        <v>9</v>
      </c>
    </row>
    <row r="1212" spans="1:4" x14ac:dyDescent="0.45">
      <c r="A1212">
        <v>134</v>
      </c>
      <c r="B1212">
        <f t="shared" ca="1" si="18"/>
        <v>58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2">
        <f ca="1">IF(dict_zuord_Transfers_Storages[[#This Row],[kval_active]],dict_zuord_Transfers_Storages[[#This Row],[ID_Storages]],"")</f>
        <v>58</v>
      </c>
    </row>
    <row r="1213" spans="1:4" x14ac:dyDescent="0.45">
      <c r="A1213">
        <v>134</v>
      </c>
      <c r="B1213">
        <f t="shared" ca="1" si="18"/>
        <v>3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3">
        <f ca="1">IF(dict_zuord_Transfers_Storages[[#This Row],[kval_active]],dict_zuord_Transfers_Storages[[#This Row],[ID_Storages]],"")</f>
        <v>3</v>
      </c>
    </row>
    <row r="1214" spans="1:4" x14ac:dyDescent="0.45">
      <c r="A1214">
        <v>134</v>
      </c>
      <c r="B1214">
        <f t="shared" ca="1" si="18"/>
        <v>18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4">
        <f ca="1">IF(dict_zuord_Transfers_Storages[[#This Row],[kval_active]],dict_zuord_Transfers_Storages[[#This Row],[ID_Storages]],"")</f>
        <v>18</v>
      </c>
    </row>
    <row r="1215" spans="1:4" x14ac:dyDescent="0.45">
      <c r="A1215">
        <v>134</v>
      </c>
      <c r="B1215">
        <f t="shared" ca="1" si="18"/>
        <v>70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5">
        <f ca="1">IF(dict_zuord_Transfers_Storages[[#This Row],[kval_active]],dict_zuord_Transfers_Storages[[#This Row],[ID_Storages]],"")</f>
        <v>70</v>
      </c>
    </row>
    <row r="1216" spans="1:4" x14ac:dyDescent="0.45">
      <c r="A1216">
        <v>134</v>
      </c>
      <c r="B1216">
        <f t="shared" ca="1" si="18"/>
        <v>22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6">
        <f ca="1">IF(dict_zuord_Transfers_Storages[[#This Row],[kval_active]],dict_zuord_Transfers_Storages[[#This Row],[ID_Storages]],"")</f>
        <v>22</v>
      </c>
    </row>
    <row r="1217" spans="1:4" x14ac:dyDescent="0.45">
      <c r="A1217">
        <v>135</v>
      </c>
      <c r="B1217">
        <f t="shared" ca="1" si="18"/>
        <v>56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7">
        <f ca="1">IF(dict_zuord_Transfers_Storages[[#This Row],[kval_active]],dict_zuord_Transfers_Storages[[#This Row],[ID_Storages]],"")</f>
        <v>56</v>
      </c>
    </row>
    <row r="1218" spans="1:4" x14ac:dyDescent="0.45">
      <c r="A1218">
        <v>135</v>
      </c>
      <c r="B1218">
        <f t="shared" ref="B1218:B1281" ca="1" si="19">RANDBETWEEN(0,100)</f>
        <v>10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8">
        <f ca="1">IF(dict_zuord_Transfers_Storages[[#This Row],[kval_active]],dict_zuord_Transfers_Storages[[#This Row],[ID_Storages]],"")</f>
        <v>10</v>
      </c>
    </row>
    <row r="1219" spans="1:4" x14ac:dyDescent="0.45">
      <c r="A1219">
        <v>135</v>
      </c>
      <c r="B1219">
        <f t="shared" ca="1" si="19"/>
        <v>58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9">
        <f ca="1">IF(dict_zuord_Transfers_Storages[[#This Row],[kval_active]],dict_zuord_Transfers_Storages[[#This Row],[ID_Storages]],"")</f>
        <v>58</v>
      </c>
    </row>
    <row r="1220" spans="1:4" x14ac:dyDescent="0.45">
      <c r="A1220">
        <v>135</v>
      </c>
      <c r="B1220">
        <f t="shared" ca="1" si="19"/>
        <v>33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0">
        <f ca="1">IF(dict_zuord_Transfers_Storages[[#This Row],[kval_active]],dict_zuord_Transfers_Storages[[#This Row],[ID_Storages]],"")</f>
        <v>33</v>
      </c>
    </row>
    <row r="1221" spans="1:4" x14ac:dyDescent="0.45">
      <c r="A1221">
        <v>135</v>
      </c>
      <c r="B1221">
        <f t="shared" ca="1" si="19"/>
        <v>40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1">
        <f ca="1">IF(dict_zuord_Transfers_Storages[[#This Row],[kval_active]],dict_zuord_Transfers_Storages[[#This Row],[ID_Storages]],"")</f>
        <v>40</v>
      </c>
    </row>
    <row r="1222" spans="1:4" x14ac:dyDescent="0.45">
      <c r="A1222">
        <v>135</v>
      </c>
      <c r="B1222">
        <f t="shared" ca="1" si="19"/>
        <v>100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2">
        <f ca="1">IF(dict_zuord_Transfers_Storages[[#This Row],[kval_active]],dict_zuord_Transfers_Storages[[#This Row],[ID_Storages]],"")</f>
        <v>100</v>
      </c>
    </row>
    <row r="1223" spans="1:4" x14ac:dyDescent="0.45">
      <c r="A1223">
        <v>135</v>
      </c>
      <c r="B1223">
        <f t="shared" ca="1" si="19"/>
        <v>76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3">
        <f ca="1">IF(dict_zuord_Transfers_Storages[[#This Row],[kval_active]],dict_zuord_Transfers_Storages[[#This Row],[ID_Storages]],"")</f>
        <v>76</v>
      </c>
    </row>
    <row r="1224" spans="1:4" x14ac:dyDescent="0.45">
      <c r="A1224">
        <v>135</v>
      </c>
      <c r="B1224">
        <f t="shared" ca="1" si="19"/>
        <v>70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4">
        <f ca="1">IF(dict_zuord_Transfers_Storages[[#This Row],[kval_active]],dict_zuord_Transfers_Storages[[#This Row],[ID_Storages]],"")</f>
        <v>70</v>
      </c>
    </row>
    <row r="1225" spans="1:4" x14ac:dyDescent="0.45">
      <c r="A1225">
        <v>135</v>
      </c>
      <c r="B1225">
        <f t="shared" ca="1" si="19"/>
        <v>52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5">
        <f ca="1">IF(dict_zuord_Transfers_Storages[[#This Row],[kval_active]],dict_zuord_Transfers_Storages[[#This Row],[ID_Storages]],"")</f>
        <v>52</v>
      </c>
    </row>
    <row r="1226" spans="1:4" x14ac:dyDescent="0.45">
      <c r="A1226">
        <v>136</v>
      </c>
      <c r="B1226">
        <f t="shared" ca="1" si="19"/>
        <v>0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6">
        <f ca="1">IF(dict_zuord_Transfers_Storages[[#This Row],[kval_active]],dict_zuord_Transfers_Storages[[#This Row],[ID_Storages]],"")</f>
        <v>0</v>
      </c>
    </row>
    <row r="1227" spans="1:4" x14ac:dyDescent="0.45">
      <c r="A1227">
        <v>136</v>
      </c>
      <c r="B1227">
        <f t="shared" ca="1" si="19"/>
        <v>38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7">
        <f ca="1">IF(dict_zuord_Transfers_Storages[[#This Row],[kval_active]],dict_zuord_Transfers_Storages[[#This Row],[ID_Storages]],"")</f>
        <v>38</v>
      </c>
    </row>
    <row r="1228" spans="1:4" x14ac:dyDescent="0.45">
      <c r="A1228">
        <v>136</v>
      </c>
      <c r="B1228">
        <f t="shared" ca="1" si="19"/>
        <v>44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8">
        <f ca="1">IF(dict_zuord_Transfers_Storages[[#This Row],[kval_active]],dict_zuord_Transfers_Storages[[#This Row],[ID_Storages]],"")</f>
        <v>44</v>
      </c>
    </row>
    <row r="1229" spans="1:4" x14ac:dyDescent="0.45">
      <c r="A1229">
        <v>136</v>
      </c>
      <c r="B1229">
        <f t="shared" ca="1" si="19"/>
        <v>28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9">
        <f ca="1">IF(dict_zuord_Transfers_Storages[[#This Row],[kval_active]],dict_zuord_Transfers_Storages[[#This Row],[ID_Storages]],"")</f>
        <v>28</v>
      </c>
    </row>
    <row r="1230" spans="1:4" x14ac:dyDescent="0.45">
      <c r="A1230">
        <v>136</v>
      </c>
      <c r="B1230">
        <f t="shared" ca="1" si="19"/>
        <v>2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0">
        <f ca="1">IF(dict_zuord_Transfers_Storages[[#This Row],[kval_active]],dict_zuord_Transfers_Storages[[#This Row],[ID_Storages]],"")</f>
        <v>2</v>
      </c>
    </row>
    <row r="1231" spans="1:4" x14ac:dyDescent="0.45">
      <c r="A1231">
        <v>136</v>
      </c>
      <c r="B1231">
        <f t="shared" ca="1" si="19"/>
        <v>22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1">
        <f ca="1">IF(dict_zuord_Transfers_Storages[[#This Row],[kval_active]],dict_zuord_Transfers_Storages[[#This Row],[ID_Storages]],"")</f>
        <v>22</v>
      </c>
    </row>
    <row r="1232" spans="1:4" x14ac:dyDescent="0.45">
      <c r="A1232">
        <v>136</v>
      </c>
      <c r="B1232">
        <f t="shared" ca="1" si="19"/>
        <v>49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2">
        <f ca="1">IF(dict_zuord_Transfers_Storages[[#This Row],[kval_active]],dict_zuord_Transfers_Storages[[#This Row],[ID_Storages]],"")</f>
        <v>49</v>
      </c>
    </row>
    <row r="1233" spans="1:4" x14ac:dyDescent="0.45">
      <c r="A1233">
        <v>136</v>
      </c>
      <c r="B1233">
        <f t="shared" ca="1" si="19"/>
        <v>94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3">
        <f ca="1">IF(dict_zuord_Transfers_Storages[[#This Row],[kval_active]],dict_zuord_Transfers_Storages[[#This Row],[ID_Storages]],"")</f>
        <v>94</v>
      </c>
    </row>
    <row r="1234" spans="1:4" x14ac:dyDescent="0.45">
      <c r="A1234">
        <v>136</v>
      </c>
      <c r="B1234">
        <f t="shared" ca="1" si="19"/>
        <v>72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4">
        <f ca="1">IF(dict_zuord_Transfers_Storages[[#This Row],[kval_active]],dict_zuord_Transfers_Storages[[#This Row],[ID_Storages]],"")</f>
        <v>72</v>
      </c>
    </row>
    <row r="1235" spans="1:4" x14ac:dyDescent="0.45">
      <c r="A1235">
        <v>137</v>
      </c>
      <c r="B1235">
        <f t="shared" ca="1" si="19"/>
        <v>19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5">
        <f ca="1">IF(dict_zuord_Transfers_Storages[[#This Row],[kval_active]],dict_zuord_Transfers_Storages[[#This Row],[ID_Storages]],"")</f>
        <v>19</v>
      </c>
    </row>
    <row r="1236" spans="1:4" x14ac:dyDescent="0.45">
      <c r="A1236">
        <v>137</v>
      </c>
      <c r="B1236">
        <f t="shared" ca="1" si="19"/>
        <v>53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6">
        <f ca="1">IF(dict_zuord_Transfers_Storages[[#This Row],[kval_active]],dict_zuord_Transfers_Storages[[#This Row],[ID_Storages]],"")</f>
        <v>53</v>
      </c>
    </row>
    <row r="1237" spans="1:4" x14ac:dyDescent="0.45">
      <c r="A1237">
        <v>137</v>
      </c>
      <c r="B1237">
        <f t="shared" ca="1" si="19"/>
        <v>68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7">
        <f ca="1">IF(dict_zuord_Transfers_Storages[[#This Row],[kval_active]],dict_zuord_Transfers_Storages[[#This Row],[ID_Storages]],"")</f>
        <v>68</v>
      </c>
    </row>
    <row r="1238" spans="1:4" x14ac:dyDescent="0.45">
      <c r="A1238">
        <v>137</v>
      </c>
      <c r="B1238">
        <f t="shared" ca="1" si="19"/>
        <v>71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8">
        <f ca="1">IF(dict_zuord_Transfers_Storages[[#This Row],[kval_active]],dict_zuord_Transfers_Storages[[#This Row],[ID_Storages]],"")</f>
        <v>71</v>
      </c>
    </row>
    <row r="1239" spans="1:4" x14ac:dyDescent="0.45">
      <c r="A1239">
        <v>137</v>
      </c>
      <c r="B1239">
        <f t="shared" ca="1" si="19"/>
        <v>38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9">
        <f ca="1">IF(dict_zuord_Transfers_Storages[[#This Row],[kval_active]],dict_zuord_Transfers_Storages[[#This Row],[ID_Storages]],"")</f>
        <v>38</v>
      </c>
    </row>
    <row r="1240" spans="1:4" x14ac:dyDescent="0.45">
      <c r="A1240">
        <v>137</v>
      </c>
      <c r="B1240">
        <f t="shared" ca="1" si="19"/>
        <v>73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0">
        <f ca="1">IF(dict_zuord_Transfers_Storages[[#This Row],[kval_active]],dict_zuord_Transfers_Storages[[#This Row],[ID_Storages]],"")</f>
        <v>73</v>
      </c>
    </row>
    <row r="1241" spans="1:4" x14ac:dyDescent="0.45">
      <c r="A1241">
        <v>137</v>
      </c>
      <c r="B1241">
        <f t="shared" ca="1" si="19"/>
        <v>51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1">
        <f ca="1">IF(dict_zuord_Transfers_Storages[[#This Row],[kval_active]],dict_zuord_Transfers_Storages[[#This Row],[ID_Storages]],"")</f>
        <v>51</v>
      </c>
    </row>
    <row r="1242" spans="1:4" x14ac:dyDescent="0.45">
      <c r="A1242">
        <v>137</v>
      </c>
      <c r="B1242">
        <f t="shared" ca="1" si="19"/>
        <v>49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2">
        <f ca="1">IF(dict_zuord_Transfers_Storages[[#This Row],[kval_active]],dict_zuord_Transfers_Storages[[#This Row],[ID_Storages]],"")</f>
        <v>49</v>
      </c>
    </row>
    <row r="1243" spans="1:4" x14ac:dyDescent="0.45">
      <c r="A1243">
        <v>137</v>
      </c>
      <c r="B1243">
        <f t="shared" ca="1" si="19"/>
        <v>59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3">
        <f ca="1">IF(dict_zuord_Transfers_Storages[[#This Row],[kval_active]],dict_zuord_Transfers_Storages[[#This Row],[ID_Storages]],"")</f>
        <v>59</v>
      </c>
    </row>
    <row r="1244" spans="1:4" x14ac:dyDescent="0.45">
      <c r="A1244">
        <v>138</v>
      </c>
      <c r="B1244">
        <f t="shared" ca="1" si="19"/>
        <v>45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4">
        <f ca="1">IF(dict_zuord_Transfers_Storages[[#This Row],[kval_active]],dict_zuord_Transfers_Storages[[#This Row],[ID_Storages]],"")</f>
        <v>45</v>
      </c>
    </row>
    <row r="1245" spans="1:4" x14ac:dyDescent="0.45">
      <c r="A1245">
        <v>138</v>
      </c>
      <c r="B1245">
        <f t="shared" ca="1" si="19"/>
        <v>61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5">
        <f ca="1">IF(dict_zuord_Transfers_Storages[[#This Row],[kval_active]],dict_zuord_Transfers_Storages[[#This Row],[ID_Storages]],"")</f>
        <v>61</v>
      </c>
    </row>
    <row r="1246" spans="1:4" x14ac:dyDescent="0.45">
      <c r="A1246">
        <v>138</v>
      </c>
      <c r="B1246">
        <f t="shared" ca="1" si="19"/>
        <v>71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6">
        <f ca="1">IF(dict_zuord_Transfers_Storages[[#This Row],[kval_active]],dict_zuord_Transfers_Storages[[#This Row],[ID_Storages]],"")</f>
        <v>71</v>
      </c>
    </row>
    <row r="1247" spans="1:4" x14ac:dyDescent="0.45">
      <c r="A1247">
        <v>138</v>
      </c>
      <c r="B1247">
        <f t="shared" ca="1" si="19"/>
        <v>90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7">
        <f ca="1">IF(dict_zuord_Transfers_Storages[[#This Row],[kval_active]],dict_zuord_Transfers_Storages[[#This Row],[ID_Storages]],"")</f>
        <v>90</v>
      </c>
    </row>
    <row r="1248" spans="1:4" x14ac:dyDescent="0.45">
      <c r="A1248">
        <v>138</v>
      </c>
      <c r="B1248">
        <f t="shared" ca="1" si="19"/>
        <v>83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8">
        <f ca="1">IF(dict_zuord_Transfers_Storages[[#This Row],[kval_active]],dict_zuord_Transfers_Storages[[#This Row],[ID_Storages]],"")</f>
        <v>83</v>
      </c>
    </row>
    <row r="1249" spans="1:4" x14ac:dyDescent="0.45">
      <c r="A1249">
        <v>138</v>
      </c>
      <c r="B1249">
        <f t="shared" ca="1" si="19"/>
        <v>78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9">
        <f ca="1">IF(dict_zuord_Transfers_Storages[[#This Row],[kval_active]],dict_zuord_Transfers_Storages[[#This Row],[ID_Storages]],"")</f>
        <v>78</v>
      </c>
    </row>
    <row r="1250" spans="1:4" x14ac:dyDescent="0.45">
      <c r="A1250">
        <v>138</v>
      </c>
      <c r="B1250">
        <f t="shared" ca="1" si="19"/>
        <v>67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0">
        <f ca="1">IF(dict_zuord_Transfers_Storages[[#This Row],[kval_active]],dict_zuord_Transfers_Storages[[#This Row],[ID_Storages]],"")</f>
        <v>67</v>
      </c>
    </row>
    <row r="1251" spans="1:4" x14ac:dyDescent="0.45">
      <c r="A1251">
        <v>138</v>
      </c>
      <c r="B1251">
        <f t="shared" ca="1" si="19"/>
        <v>0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1">
        <f ca="1">IF(dict_zuord_Transfers_Storages[[#This Row],[kval_active]],dict_zuord_Transfers_Storages[[#This Row],[ID_Storages]],"")</f>
        <v>0</v>
      </c>
    </row>
    <row r="1252" spans="1:4" x14ac:dyDescent="0.45">
      <c r="A1252">
        <v>138</v>
      </c>
      <c r="B1252">
        <f t="shared" ca="1" si="19"/>
        <v>13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2">
        <f ca="1">IF(dict_zuord_Transfers_Storages[[#This Row],[kval_active]],dict_zuord_Transfers_Storages[[#This Row],[ID_Storages]],"")</f>
        <v>13</v>
      </c>
    </row>
    <row r="1253" spans="1:4" x14ac:dyDescent="0.45">
      <c r="A1253">
        <v>139</v>
      </c>
      <c r="B1253">
        <f t="shared" ca="1" si="19"/>
        <v>96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3">
        <f ca="1">IF(dict_zuord_Transfers_Storages[[#This Row],[kval_active]],dict_zuord_Transfers_Storages[[#This Row],[ID_Storages]],"")</f>
        <v>96</v>
      </c>
    </row>
    <row r="1254" spans="1:4" x14ac:dyDescent="0.45">
      <c r="A1254">
        <v>139</v>
      </c>
      <c r="B1254">
        <f t="shared" ca="1" si="19"/>
        <v>43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4">
        <f ca="1">IF(dict_zuord_Transfers_Storages[[#This Row],[kval_active]],dict_zuord_Transfers_Storages[[#This Row],[ID_Storages]],"")</f>
        <v>43</v>
      </c>
    </row>
    <row r="1255" spans="1:4" x14ac:dyDescent="0.45">
      <c r="A1255">
        <v>139</v>
      </c>
      <c r="B1255">
        <f t="shared" ca="1" si="19"/>
        <v>61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5">
        <f ca="1">IF(dict_zuord_Transfers_Storages[[#This Row],[kval_active]],dict_zuord_Transfers_Storages[[#This Row],[ID_Storages]],"")</f>
        <v>61</v>
      </c>
    </row>
    <row r="1256" spans="1:4" x14ac:dyDescent="0.45">
      <c r="A1256">
        <v>139</v>
      </c>
      <c r="B1256">
        <f t="shared" ca="1" si="19"/>
        <v>66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6">
        <f ca="1">IF(dict_zuord_Transfers_Storages[[#This Row],[kval_active]],dict_zuord_Transfers_Storages[[#This Row],[ID_Storages]],"")</f>
        <v>66</v>
      </c>
    </row>
    <row r="1257" spans="1:4" x14ac:dyDescent="0.45">
      <c r="A1257">
        <v>139</v>
      </c>
      <c r="B1257">
        <f t="shared" ca="1" si="19"/>
        <v>9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7">
        <f ca="1">IF(dict_zuord_Transfers_Storages[[#This Row],[kval_active]],dict_zuord_Transfers_Storages[[#This Row],[ID_Storages]],"")</f>
        <v>9</v>
      </c>
    </row>
    <row r="1258" spans="1:4" x14ac:dyDescent="0.45">
      <c r="A1258">
        <v>139</v>
      </c>
      <c r="B1258">
        <f t="shared" ca="1" si="19"/>
        <v>14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8">
        <f ca="1">IF(dict_zuord_Transfers_Storages[[#This Row],[kval_active]],dict_zuord_Transfers_Storages[[#This Row],[ID_Storages]],"")</f>
        <v>14</v>
      </c>
    </row>
    <row r="1259" spans="1:4" x14ac:dyDescent="0.45">
      <c r="A1259">
        <v>139</v>
      </c>
      <c r="B1259">
        <f t="shared" ca="1" si="19"/>
        <v>71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9">
        <f ca="1">IF(dict_zuord_Transfers_Storages[[#This Row],[kval_active]],dict_zuord_Transfers_Storages[[#This Row],[ID_Storages]],"")</f>
        <v>71</v>
      </c>
    </row>
    <row r="1260" spans="1:4" x14ac:dyDescent="0.45">
      <c r="A1260">
        <v>139</v>
      </c>
      <c r="B1260">
        <f t="shared" ca="1" si="19"/>
        <v>50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0">
        <f ca="1">IF(dict_zuord_Transfers_Storages[[#This Row],[kval_active]],dict_zuord_Transfers_Storages[[#This Row],[ID_Storages]],"")</f>
        <v>50</v>
      </c>
    </row>
    <row r="1261" spans="1:4" x14ac:dyDescent="0.45">
      <c r="A1261">
        <v>139</v>
      </c>
      <c r="B1261">
        <f t="shared" ca="1" si="19"/>
        <v>66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1">
        <f ca="1">IF(dict_zuord_Transfers_Storages[[#This Row],[kval_active]],dict_zuord_Transfers_Storages[[#This Row],[ID_Storages]],"")</f>
        <v>66</v>
      </c>
    </row>
    <row r="1262" spans="1:4" x14ac:dyDescent="0.45">
      <c r="A1262">
        <v>140</v>
      </c>
      <c r="B1262">
        <f t="shared" ca="1" si="19"/>
        <v>76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2" t="str">
        <f ca="1">IF(dict_zuord_Transfers_Storages[[#This Row],[kval_active]],dict_zuord_Transfers_Storages[[#This Row],[ID_Storages]],"")</f>
        <v/>
      </c>
    </row>
    <row r="1263" spans="1:4" x14ac:dyDescent="0.45">
      <c r="A1263">
        <v>140</v>
      </c>
      <c r="B1263">
        <f t="shared" ca="1" si="19"/>
        <v>97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3" t="str">
        <f ca="1">IF(dict_zuord_Transfers_Storages[[#This Row],[kval_active]],dict_zuord_Transfers_Storages[[#This Row],[ID_Storages]],"")</f>
        <v/>
      </c>
    </row>
    <row r="1264" spans="1:4" x14ac:dyDescent="0.45">
      <c r="A1264">
        <v>140</v>
      </c>
      <c r="B1264">
        <f t="shared" ca="1" si="19"/>
        <v>88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4" t="str">
        <f ca="1">IF(dict_zuord_Transfers_Storages[[#This Row],[kval_active]],dict_zuord_Transfers_Storages[[#This Row],[ID_Storages]],"")</f>
        <v/>
      </c>
    </row>
    <row r="1265" spans="1:4" x14ac:dyDescent="0.45">
      <c r="A1265">
        <v>140</v>
      </c>
      <c r="B1265">
        <f t="shared" ca="1" si="19"/>
        <v>26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5" t="str">
        <f ca="1">IF(dict_zuord_Transfers_Storages[[#This Row],[kval_active]],dict_zuord_Transfers_Storages[[#This Row],[ID_Storages]],"")</f>
        <v/>
      </c>
    </row>
    <row r="1266" spans="1:4" x14ac:dyDescent="0.45">
      <c r="A1266">
        <v>140</v>
      </c>
      <c r="B1266">
        <f t="shared" ca="1" si="19"/>
        <v>53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6" t="str">
        <f ca="1">IF(dict_zuord_Transfers_Storages[[#This Row],[kval_active]],dict_zuord_Transfers_Storages[[#This Row],[ID_Storages]],"")</f>
        <v/>
      </c>
    </row>
    <row r="1267" spans="1:4" x14ac:dyDescent="0.45">
      <c r="A1267">
        <v>140</v>
      </c>
      <c r="B1267">
        <f t="shared" ca="1" si="19"/>
        <v>89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7" t="str">
        <f ca="1">IF(dict_zuord_Transfers_Storages[[#This Row],[kval_active]],dict_zuord_Transfers_Storages[[#This Row],[ID_Storages]],"")</f>
        <v/>
      </c>
    </row>
    <row r="1268" spans="1:4" x14ac:dyDescent="0.45">
      <c r="A1268">
        <v>140</v>
      </c>
      <c r="B1268">
        <f t="shared" ca="1" si="19"/>
        <v>18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8" t="str">
        <f ca="1">IF(dict_zuord_Transfers_Storages[[#This Row],[kval_active]],dict_zuord_Transfers_Storages[[#This Row],[ID_Storages]],"")</f>
        <v/>
      </c>
    </row>
    <row r="1269" spans="1:4" x14ac:dyDescent="0.45">
      <c r="A1269">
        <v>140</v>
      </c>
      <c r="B1269">
        <f t="shared" ca="1" si="19"/>
        <v>95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9" t="str">
        <f ca="1">IF(dict_zuord_Transfers_Storages[[#This Row],[kval_active]],dict_zuord_Transfers_Storages[[#This Row],[ID_Storages]],"")</f>
        <v/>
      </c>
    </row>
    <row r="1270" spans="1:4" x14ac:dyDescent="0.45">
      <c r="A1270">
        <v>140</v>
      </c>
      <c r="B1270">
        <f t="shared" ca="1" si="19"/>
        <v>31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0" t="str">
        <f ca="1">IF(dict_zuord_Transfers_Storages[[#This Row],[kval_active]],dict_zuord_Transfers_Storages[[#This Row],[ID_Storages]],"")</f>
        <v/>
      </c>
    </row>
    <row r="1271" spans="1:4" x14ac:dyDescent="0.45">
      <c r="A1271">
        <v>141</v>
      </c>
      <c r="B1271">
        <f t="shared" ca="1" si="19"/>
        <v>19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1" t="str">
        <f ca="1">IF(dict_zuord_Transfers_Storages[[#This Row],[kval_active]],dict_zuord_Transfers_Storages[[#This Row],[ID_Storages]],"")</f>
        <v/>
      </c>
    </row>
    <row r="1272" spans="1:4" x14ac:dyDescent="0.45">
      <c r="A1272">
        <v>141</v>
      </c>
      <c r="B1272">
        <f t="shared" ca="1" si="19"/>
        <v>28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2" t="str">
        <f ca="1">IF(dict_zuord_Transfers_Storages[[#This Row],[kval_active]],dict_zuord_Transfers_Storages[[#This Row],[ID_Storages]],"")</f>
        <v/>
      </c>
    </row>
    <row r="1273" spans="1:4" x14ac:dyDescent="0.45">
      <c r="A1273">
        <v>141</v>
      </c>
      <c r="B1273">
        <f t="shared" ca="1" si="19"/>
        <v>21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3" t="str">
        <f ca="1">IF(dict_zuord_Transfers_Storages[[#This Row],[kval_active]],dict_zuord_Transfers_Storages[[#This Row],[ID_Storages]],"")</f>
        <v/>
      </c>
    </row>
    <row r="1274" spans="1:4" x14ac:dyDescent="0.45">
      <c r="A1274">
        <v>141</v>
      </c>
      <c r="B1274">
        <f t="shared" ca="1" si="19"/>
        <v>14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4" t="str">
        <f ca="1">IF(dict_zuord_Transfers_Storages[[#This Row],[kval_active]],dict_zuord_Transfers_Storages[[#This Row],[ID_Storages]],"")</f>
        <v/>
      </c>
    </row>
    <row r="1275" spans="1:4" x14ac:dyDescent="0.45">
      <c r="A1275">
        <v>141</v>
      </c>
      <c r="B1275">
        <f t="shared" ca="1" si="19"/>
        <v>55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5" t="str">
        <f ca="1">IF(dict_zuord_Transfers_Storages[[#This Row],[kval_active]],dict_zuord_Transfers_Storages[[#This Row],[ID_Storages]],"")</f>
        <v/>
      </c>
    </row>
    <row r="1276" spans="1:4" x14ac:dyDescent="0.45">
      <c r="A1276">
        <v>141</v>
      </c>
      <c r="B1276">
        <f t="shared" ca="1" si="19"/>
        <v>57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6" t="str">
        <f ca="1">IF(dict_zuord_Transfers_Storages[[#This Row],[kval_active]],dict_zuord_Transfers_Storages[[#This Row],[ID_Storages]],"")</f>
        <v/>
      </c>
    </row>
    <row r="1277" spans="1:4" x14ac:dyDescent="0.45">
      <c r="A1277">
        <v>141</v>
      </c>
      <c r="B1277">
        <f t="shared" ca="1" si="19"/>
        <v>5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7" t="str">
        <f ca="1">IF(dict_zuord_Transfers_Storages[[#This Row],[kval_active]],dict_zuord_Transfers_Storages[[#This Row],[ID_Storages]],"")</f>
        <v/>
      </c>
    </row>
    <row r="1278" spans="1:4" x14ac:dyDescent="0.45">
      <c r="A1278">
        <v>141</v>
      </c>
      <c r="B1278">
        <f t="shared" ca="1" si="19"/>
        <v>25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8" t="str">
        <f ca="1">IF(dict_zuord_Transfers_Storages[[#This Row],[kval_active]],dict_zuord_Transfers_Storages[[#This Row],[ID_Storages]],"")</f>
        <v/>
      </c>
    </row>
    <row r="1279" spans="1:4" x14ac:dyDescent="0.45">
      <c r="A1279">
        <v>141</v>
      </c>
      <c r="B1279">
        <f t="shared" ca="1" si="19"/>
        <v>57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9" t="str">
        <f ca="1">IF(dict_zuord_Transfers_Storages[[#This Row],[kval_active]],dict_zuord_Transfers_Storages[[#This Row],[ID_Storages]],"")</f>
        <v/>
      </c>
    </row>
    <row r="1280" spans="1:4" x14ac:dyDescent="0.45">
      <c r="A1280">
        <v>142</v>
      </c>
      <c r="B1280">
        <f t="shared" ca="1" si="19"/>
        <v>44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0" t="str">
        <f ca="1">IF(dict_zuord_Transfers_Storages[[#This Row],[kval_active]],dict_zuord_Transfers_Storages[[#This Row],[ID_Storages]],"")</f>
        <v/>
      </c>
    </row>
    <row r="1281" spans="1:4" x14ac:dyDescent="0.45">
      <c r="A1281">
        <v>142</v>
      </c>
      <c r="B1281">
        <f t="shared" ca="1" si="19"/>
        <v>7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1" t="str">
        <f ca="1">IF(dict_zuord_Transfers_Storages[[#This Row],[kval_active]],dict_zuord_Transfers_Storages[[#This Row],[ID_Storages]],"")</f>
        <v/>
      </c>
    </row>
    <row r="1282" spans="1:4" x14ac:dyDescent="0.45">
      <c r="A1282">
        <v>142</v>
      </c>
      <c r="B1282">
        <f t="shared" ref="B1282:B1345" ca="1" si="20">RANDBETWEEN(0,100)</f>
        <v>84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2" t="str">
        <f ca="1">IF(dict_zuord_Transfers_Storages[[#This Row],[kval_active]],dict_zuord_Transfers_Storages[[#This Row],[ID_Storages]],"")</f>
        <v/>
      </c>
    </row>
    <row r="1283" spans="1:4" x14ac:dyDescent="0.45">
      <c r="A1283">
        <v>142</v>
      </c>
      <c r="B1283">
        <f t="shared" ca="1" si="20"/>
        <v>31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3" t="str">
        <f ca="1">IF(dict_zuord_Transfers_Storages[[#This Row],[kval_active]],dict_zuord_Transfers_Storages[[#This Row],[ID_Storages]],"")</f>
        <v/>
      </c>
    </row>
    <row r="1284" spans="1:4" x14ac:dyDescent="0.45">
      <c r="A1284">
        <v>142</v>
      </c>
      <c r="B1284">
        <f t="shared" ca="1" si="20"/>
        <v>85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4" t="str">
        <f ca="1">IF(dict_zuord_Transfers_Storages[[#This Row],[kval_active]],dict_zuord_Transfers_Storages[[#This Row],[ID_Storages]],"")</f>
        <v/>
      </c>
    </row>
    <row r="1285" spans="1:4" x14ac:dyDescent="0.45">
      <c r="A1285">
        <v>142</v>
      </c>
      <c r="B1285">
        <f t="shared" ca="1" si="20"/>
        <v>49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5" t="str">
        <f ca="1">IF(dict_zuord_Transfers_Storages[[#This Row],[kval_active]],dict_zuord_Transfers_Storages[[#This Row],[ID_Storages]],"")</f>
        <v/>
      </c>
    </row>
    <row r="1286" spans="1:4" x14ac:dyDescent="0.45">
      <c r="A1286">
        <v>142</v>
      </c>
      <c r="B1286">
        <f t="shared" ca="1" si="20"/>
        <v>70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6" t="str">
        <f ca="1">IF(dict_zuord_Transfers_Storages[[#This Row],[kval_active]],dict_zuord_Transfers_Storages[[#This Row],[ID_Storages]],"")</f>
        <v/>
      </c>
    </row>
    <row r="1287" spans="1:4" x14ac:dyDescent="0.45">
      <c r="A1287">
        <v>142</v>
      </c>
      <c r="B1287">
        <f t="shared" ca="1" si="20"/>
        <v>6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7" t="str">
        <f ca="1">IF(dict_zuord_Transfers_Storages[[#This Row],[kval_active]],dict_zuord_Transfers_Storages[[#This Row],[ID_Storages]],"")</f>
        <v/>
      </c>
    </row>
    <row r="1288" spans="1:4" x14ac:dyDescent="0.45">
      <c r="A1288">
        <v>142</v>
      </c>
      <c r="B1288">
        <f t="shared" ca="1" si="20"/>
        <v>4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8" t="str">
        <f ca="1">IF(dict_zuord_Transfers_Storages[[#This Row],[kval_active]],dict_zuord_Transfers_Storages[[#This Row],[ID_Storages]],"")</f>
        <v/>
      </c>
    </row>
    <row r="1289" spans="1:4" x14ac:dyDescent="0.45">
      <c r="A1289">
        <v>143</v>
      </c>
      <c r="B1289">
        <f t="shared" ca="1" si="20"/>
        <v>12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9">
        <f ca="1">IF(dict_zuord_Transfers_Storages[[#This Row],[kval_active]],dict_zuord_Transfers_Storages[[#This Row],[ID_Storages]],"")</f>
        <v>12</v>
      </c>
    </row>
    <row r="1290" spans="1:4" x14ac:dyDescent="0.45">
      <c r="A1290">
        <v>143</v>
      </c>
      <c r="B1290">
        <f t="shared" ca="1" si="20"/>
        <v>56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0">
        <f ca="1">IF(dict_zuord_Transfers_Storages[[#This Row],[kval_active]],dict_zuord_Transfers_Storages[[#This Row],[ID_Storages]],"")</f>
        <v>56</v>
      </c>
    </row>
    <row r="1291" spans="1:4" x14ac:dyDescent="0.45">
      <c r="A1291">
        <v>143</v>
      </c>
      <c r="B1291">
        <f t="shared" ca="1" si="20"/>
        <v>51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1">
        <f ca="1">IF(dict_zuord_Transfers_Storages[[#This Row],[kval_active]],dict_zuord_Transfers_Storages[[#This Row],[ID_Storages]],"")</f>
        <v>51</v>
      </c>
    </row>
    <row r="1292" spans="1:4" x14ac:dyDescent="0.45">
      <c r="A1292">
        <v>143</v>
      </c>
      <c r="B1292">
        <f t="shared" ca="1" si="20"/>
        <v>5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2">
        <f ca="1">IF(dict_zuord_Transfers_Storages[[#This Row],[kval_active]],dict_zuord_Transfers_Storages[[#This Row],[ID_Storages]],"")</f>
        <v>5</v>
      </c>
    </row>
    <row r="1293" spans="1:4" x14ac:dyDescent="0.45">
      <c r="A1293">
        <v>143</v>
      </c>
      <c r="B1293">
        <f t="shared" ca="1" si="20"/>
        <v>48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3">
        <f ca="1">IF(dict_zuord_Transfers_Storages[[#This Row],[kval_active]],dict_zuord_Transfers_Storages[[#This Row],[ID_Storages]],"")</f>
        <v>48</v>
      </c>
    </row>
    <row r="1294" spans="1:4" x14ac:dyDescent="0.45">
      <c r="A1294">
        <v>143</v>
      </c>
      <c r="B1294">
        <f t="shared" ca="1" si="20"/>
        <v>29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4">
        <f ca="1">IF(dict_zuord_Transfers_Storages[[#This Row],[kval_active]],dict_zuord_Transfers_Storages[[#This Row],[ID_Storages]],"")</f>
        <v>29</v>
      </c>
    </row>
    <row r="1295" spans="1:4" x14ac:dyDescent="0.45">
      <c r="A1295">
        <v>143</v>
      </c>
      <c r="B1295">
        <f t="shared" ca="1" si="20"/>
        <v>26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5">
        <f ca="1">IF(dict_zuord_Transfers_Storages[[#This Row],[kval_active]],dict_zuord_Transfers_Storages[[#This Row],[ID_Storages]],"")</f>
        <v>26</v>
      </c>
    </row>
    <row r="1296" spans="1:4" x14ac:dyDescent="0.45">
      <c r="A1296">
        <v>143</v>
      </c>
      <c r="B1296">
        <f t="shared" ca="1" si="20"/>
        <v>42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6">
        <f ca="1">IF(dict_zuord_Transfers_Storages[[#This Row],[kval_active]],dict_zuord_Transfers_Storages[[#This Row],[ID_Storages]],"")</f>
        <v>42</v>
      </c>
    </row>
    <row r="1297" spans="1:4" x14ac:dyDescent="0.45">
      <c r="A1297">
        <v>143</v>
      </c>
      <c r="B1297">
        <f t="shared" ca="1" si="20"/>
        <v>70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7">
        <f ca="1">IF(dict_zuord_Transfers_Storages[[#This Row],[kval_active]],dict_zuord_Transfers_Storages[[#This Row],[ID_Storages]],"")</f>
        <v>70</v>
      </c>
    </row>
    <row r="1298" spans="1:4" x14ac:dyDescent="0.45">
      <c r="A1298">
        <v>144</v>
      </c>
      <c r="B1298">
        <f t="shared" ca="1" si="20"/>
        <v>91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8">
        <f ca="1">IF(dict_zuord_Transfers_Storages[[#This Row],[kval_active]],dict_zuord_Transfers_Storages[[#This Row],[ID_Storages]],"")</f>
        <v>91</v>
      </c>
    </row>
    <row r="1299" spans="1:4" x14ac:dyDescent="0.45">
      <c r="A1299">
        <v>144</v>
      </c>
      <c r="B1299">
        <f t="shared" ca="1" si="20"/>
        <v>49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9">
        <f ca="1">IF(dict_zuord_Transfers_Storages[[#This Row],[kval_active]],dict_zuord_Transfers_Storages[[#This Row],[ID_Storages]],"")</f>
        <v>49</v>
      </c>
    </row>
    <row r="1300" spans="1:4" x14ac:dyDescent="0.45">
      <c r="A1300">
        <v>144</v>
      </c>
      <c r="B1300">
        <f t="shared" ca="1" si="20"/>
        <v>8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0">
        <f ca="1">IF(dict_zuord_Transfers_Storages[[#This Row],[kval_active]],dict_zuord_Transfers_Storages[[#This Row],[ID_Storages]],"")</f>
        <v>8</v>
      </c>
    </row>
    <row r="1301" spans="1:4" x14ac:dyDescent="0.45">
      <c r="A1301">
        <v>144</v>
      </c>
      <c r="B1301">
        <f t="shared" ca="1" si="20"/>
        <v>46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1">
        <f ca="1">IF(dict_zuord_Transfers_Storages[[#This Row],[kval_active]],dict_zuord_Transfers_Storages[[#This Row],[ID_Storages]],"")</f>
        <v>46</v>
      </c>
    </row>
    <row r="1302" spans="1:4" x14ac:dyDescent="0.45">
      <c r="A1302">
        <v>144</v>
      </c>
      <c r="B1302">
        <f t="shared" ca="1" si="20"/>
        <v>52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2">
        <f ca="1">IF(dict_zuord_Transfers_Storages[[#This Row],[kval_active]],dict_zuord_Transfers_Storages[[#This Row],[ID_Storages]],"")</f>
        <v>52</v>
      </c>
    </row>
    <row r="1303" spans="1:4" x14ac:dyDescent="0.45">
      <c r="A1303">
        <v>144</v>
      </c>
      <c r="B1303">
        <f t="shared" ca="1" si="20"/>
        <v>3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3">
        <f ca="1">IF(dict_zuord_Transfers_Storages[[#This Row],[kval_active]],dict_zuord_Transfers_Storages[[#This Row],[ID_Storages]],"")</f>
        <v>3</v>
      </c>
    </row>
    <row r="1304" spans="1:4" x14ac:dyDescent="0.45">
      <c r="A1304">
        <v>144</v>
      </c>
      <c r="B1304">
        <f t="shared" ca="1" si="20"/>
        <v>51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4">
        <f ca="1">IF(dict_zuord_Transfers_Storages[[#This Row],[kval_active]],dict_zuord_Transfers_Storages[[#This Row],[ID_Storages]],"")</f>
        <v>51</v>
      </c>
    </row>
    <row r="1305" spans="1:4" x14ac:dyDescent="0.45">
      <c r="A1305">
        <v>144</v>
      </c>
      <c r="B1305">
        <f t="shared" ca="1" si="20"/>
        <v>68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5">
        <f ca="1">IF(dict_zuord_Transfers_Storages[[#This Row],[kval_active]],dict_zuord_Transfers_Storages[[#This Row],[ID_Storages]],"")</f>
        <v>68</v>
      </c>
    </row>
    <row r="1306" spans="1:4" x14ac:dyDescent="0.45">
      <c r="A1306">
        <v>144</v>
      </c>
      <c r="B1306">
        <f t="shared" ca="1" si="20"/>
        <v>86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6">
        <f ca="1">IF(dict_zuord_Transfers_Storages[[#This Row],[kval_active]],dict_zuord_Transfers_Storages[[#This Row],[ID_Storages]],"")</f>
        <v>86</v>
      </c>
    </row>
    <row r="1307" spans="1:4" x14ac:dyDescent="0.45">
      <c r="A1307">
        <v>145</v>
      </c>
      <c r="B1307">
        <f t="shared" ca="1" si="20"/>
        <v>62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7">
        <f ca="1">IF(dict_zuord_Transfers_Storages[[#This Row],[kval_active]],dict_zuord_Transfers_Storages[[#This Row],[ID_Storages]],"")</f>
        <v>62</v>
      </c>
    </row>
    <row r="1308" spans="1:4" x14ac:dyDescent="0.45">
      <c r="A1308">
        <v>145</v>
      </c>
      <c r="B1308">
        <f t="shared" ca="1" si="20"/>
        <v>64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8">
        <f ca="1">IF(dict_zuord_Transfers_Storages[[#This Row],[kval_active]],dict_zuord_Transfers_Storages[[#This Row],[ID_Storages]],"")</f>
        <v>64</v>
      </c>
    </row>
    <row r="1309" spans="1:4" x14ac:dyDescent="0.45">
      <c r="A1309">
        <v>145</v>
      </c>
      <c r="B1309">
        <f t="shared" ca="1" si="20"/>
        <v>85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9">
        <f ca="1">IF(dict_zuord_Transfers_Storages[[#This Row],[kval_active]],dict_zuord_Transfers_Storages[[#This Row],[ID_Storages]],"")</f>
        <v>85</v>
      </c>
    </row>
    <row r="1310" spans="1:4" x14ac:dyDescent="0.45">
      <c r="A1310">
        <v>145</v>
      </c>
      <c r="B1310">
        <f t="shared" ca="1" si="20"/>
        <v>53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0">
        <f ca="1">IF(dict_zuord_Transfers_Storages[[#This Row],[kval_active]],dict_zuord_Transfers_Storages[[#This Row],[ID_Storages]],"")</f>
        <v>53</v>
      </c>
    </row>
    <row r="1311" spans="1:4" x14ac:dyDescent="0.45">
      <c r="A1311">
        <v>145</v>
      </c>
      <c r="B1311">
        <f t="shared" ca="1" si="20"/>
        <v>80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1">
        <f ca="1">IF(dict_zuord_Transfers_Storages[[#This Row],[kval_active]],dict_zuord_Transfers_Storages[[#This Row],[ID_Storages]],"")</f>
        <v>80</v>
      </c>
    </row>
    <row r="1312" spans="1:4" x14ac:dyDescent="0.45">
      <c r="A1312">
        <v>145</v>
      </c>
      <c r="B1312">
        <f t="shared" ca="1" si="20"/>
        <v>12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2">
        <f ca="1">IF(dict_zuord_Transfers_Storages[[#This Row],[kval_active]],dict_zuord_Transfers_Storages[[#This Row],[ID_Storages]],"")</f>
        <v>12</v>
      </c>
    </row>
    <row r="1313" spans="1:4" x14ac:dyDescent="0.45">
      <c r="A1313">
        <v>145</v>
      </c>
      <c r="B1313">
        <f t="shared" ca="1" si="20"/>
        <v>13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3">
        <f ca="1">IF(dict_zuord_Transfers_Storages[[#This Row],[kval_active]],dict_zuord_Transfers_Storages[[#This Row],[ID_Storages]],"")</f>
        <v>13</v>
      </c>
    </row>
    <row r="1314" spans="1:4" x14ac:dyDescent="0.45">
      <c r="A1314">
        <v>145</v>
      </c>
      <c r="B1314">
        <f t="shared" ca="1" si="20"/>
        <v>51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4">
        <f ca="1">IF(dict_zuord_Transfers_Storages[[#This Row],[kval_active]],dict_zuord_Transfers_Storages[[#This Row],[ID_Storages]],"")</f>
        <v>51</v>
      </c>
    </row>
    <row r="1315" spans="1:4" x14ac:dyDescent="0.45">
      <c r="A1315">
        <v>145</v>
      </c>
      <c r="B1315">
        <f t="shared" ca="1" si="20"/>
        <v>57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5">
        <f ca="1">IF(dict_zuord_Transfers_Storages[[#This Row],[kval_active]],dict_zuord_Transfers_Storages[[#This Row],[ID_Storages]],"")</f>
        <v>57</v>
      </c>
    </row>
    <row r="1316" spans="1:4" x14ac:dyDescent="0.45">
      <c r="A1316">
        <v>146</v>
      </c>
      <c r="B1316">
        <f t="shared" ca="1" si="20"/>
        <v>36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6">
        <f ca="1">IF(dict_zuord_Transfers_Storages[[#This Row],[kval_active]],dict_zuord_Transfers_Storages[[#This Row],[ID_Storages]],"")</f>
        <v>36</v>
      </c>
    </row>
    <row r="1317" spans="1:4" x14ac:dyDescent="0.45">
      <c r="A1317">
        <v>146</v>
      </c>
      <c r="B1317">
        <f t="shared" ca="1" si="20"/>
        <v>78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7">
        <f ca="1">IF(dict_zuord_Transfers_Storages[[#This Row],[kval_active]],dict_zuord_Transfers_Storages[[#This Row],[ID_Storages]],"")</f>
        <v>78</v>
      </c>
    </row>
    <row r="1318" spans="1:4" x14ac:dyDescent="0.45">
      <c r="A1318">
        <v>146</v>
      </c>
      <c r="B1318">
        <f t="shared" ca="1" si="20"/>
        <v>80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8">
        <f ca="1">IF(dict_zuord_Transfers_Storages[[#This Row],[kval_active]],dict_zuord_Transfers_Storages[[#This Row],[ID_Storages]],"")</f>
        <v>80</v>
      </c>
    </row>
    <row r="1319" spans="1:4" x14ac:dyDescent="0.45">
      <c r="A1319">
        <v>146</v>
      </c>
      <c r="B1319">
        <f t="shared" ca="1" si="20"/>
        <v>38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9">
        <f ca="1">IF(dict_zuord_Transfers_Storages[[#This Row],[kval_active]],dict_zuord_Transfers_Storages[[#This Row],[ID_Storages]],"")</f>
        <v>38</v>
      </c>
    </row>
    <row r="1320" spans="1:4" x14ac:dyDescent="0.45">
      <c r="A1320">
        <v>146</v>
      </c>
      <c r="B1320">
        <f t="shared" ca="1" si="20"/>
        <v>56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0">
        <f ca="1">IF(dict_zuord_Transfers_Storages[[#This Row],[kval_active]],dict_zuord_Transfers_Storages[[#This Row],[ID_Storages]],"")</f>
        <v>56</v>
      </c>
    </row>
    <row r="1321" spans="1:4" x14ac:dyDescent="0.45">
      <c r="A1321">
        <v>146</v>
      </c>
      <c r="B1321">
        <f t="shared" ca="1" si="20"/>
        <v>69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1">
        <f ca="1">IF(dict_zuord_Transfers_Storages[[#This Row],[kval_active]],dict_zuord_Transfers_Storages[[#This Row],[ID_Storages]],"")</f>
        <v>69</v>
      </c>
    </row>
    <row r="1322" spans="1:4" x14ac:dyDescent="0.45">
      <c r="A1322">
        <v>146</v>
      </c>
      <c r="B1322">
        <f t="shared" ca="1" si="20"/>
        <v>85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2">
        <f ca="1">IF(dict_zuord_Transfers_Storages[[#This Row],[kval_active]],dict_zuord_Transfers_Storages[[#This Row],[ID_Storages]],"")</f>
        <v>85</v>
      </c>
    </row>
    <row r="1323" spans="1:4" x14ac:dyDescent="0.45">
      <c r="A1323">
        <v>146</v>
      </c>
      <c r="B1323">
        <f t="shared" ca="1" si="20"/>
        <v>66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3">
        <f ca="1">IF(dict_zuord_Transfers_Storages[[#This Row],[kval_active]],dict_zuord_Transfers_Storages[[#This Row],[ID_Storages]],"")</f>
        <v>66</v>
      </c>
    </row>
    <row r="1324" spans="1:4" x14ac:dyDescent="0.45">
      <c r="A1324">
        <v>146</v>
      </c>
      <c r="B1324">
        <f t="shared" ca="1" si="20"/>
        <v>55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4">
        <f ca="1">IF(dict_zuord_Transfers_Storages[[#This Row],[kval_active]],dict_zuord_Transfers_Storages[[#This Row],[ID_Storages]],"")</f>
        <v>55</v>
      </c>
    </row>
    <row r="1325" spans="1:4" x14ac:dyDescent="0.45">
      <c r="A1325">
        <v>147</v>
      </c>
      <c r="B1325">
        <f t="shared" ca="1" si="20"/>
        <v>58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5" t="str">
        <f ca="1">IF(dict_zuord_Transfers_Storages[[#This Row],[kval_active]],dict_zuord_Transfers_Storages[[#This Row],[ID_Storages]],"")</f>
        <v/>
      </c>
    </row>
    <row r="1326" spans="1:4" x14ac:dyDescent="0.45">
      <c r="A1326">
        <v>147</v>
      </c>
      <c r="B1326">
        <f t="shared" ca="1" si="20"/>
        <v>90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6" t="str">
        <f ca="1">IF(dict_zuord_Transfers_Storages[[#This Row],[kval_active]],dict_zuord_Transfers_Storages[[#This Row],[ID_Storages]],"")</f>
        <v/>
      </c>
    </row>
    <row r="1327" spans="1:4" x14ac:dyDescent="0.45">
      <c r="A1327">
        <v>147</v>
      </c>
      <c r="B1327">
        <f t="shared" ca="1" si="20"/>
        <v>27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7" t="str">
        <f ca="1">IF(dict_zuord_Transfers_Storages[[#This Row],[kval_active]],dict_zuord_Transfers_Storages[[#This Row],[ID_Storages]],"")</f>
        <v/>
      </c>
    </row>
    <row r="1328" spans="1:4" x14ac:dyDescent="0.45">
      <c r="A1328">
        <v>147</v>
      </c>
      <c r="B1328">
        <f t="shared" ca="1" si="20"/>
        <v>33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8" t="str">
        <f ca="1">IF(dict_zuord_Transfers_Storages[[#This Row],[kval_active]],dict_zuord_Transfers_Storages[[#This Row],[ID_Storages]],"")</f>
        <v/>
      </c>
    </row>
    <row r="1329" spans="1:4" x14ac:dyDescent="0.45">
      <c r="A1329">
        <v>147</v>
      </c>
      <c r="B1329">
        <f t="shared" ca="1" si="20"/>
        <v>17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9" t="str">
        <f ca="1">IF(dict_zuord_Transfers_Storages[[#This Row],[kval_active]],dict_zuord_Transfers_Storages[[#This Row],[ID_Storages]],"")</f>
        <v/>
      </c>
    </row>
    <row r="1330" spans="1:4" x14ac:dyDescent="0.45">
      <c r="A1330">
        <v>147</v>
      </c>
      <c r="B1330">
        <f t="shared" ca="1" si="20"/>
        <v>38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0" t="str">
        <f ca="1">IF(dict_zuord_Transfers_Storages[[#This Row],[kval_active]],dict_zuord_Transfers_Storages[[#This Row],[ID_Storages]],"")</f>
        <v/>
      </c>
    </row>
    <row r="1331" spans="1:4" x14ac:dyDescent="0.45">
      <c r="A1331">
        <v>147</v>
      </c>
      <c r="B1331">
        <f t="shared" ca="1" si="20"/>
        <v>80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1" t="str">
        <f ca="1">IF(dict_zuord_Transfers_Storages[[#This Row],[kval_active]],dict_zuord_Transfers_Storages[[#This Row],[ID_Storages]],"")</f>
        <v/>
      </c>
    </row>
    <row r="1332" spans="1:4" x14ac:dyDescent="0.45">
      <c r="A1332">
        <v>147</v>
      </c>
      <c r="B1332">
        <f t="shared" ca="1" si="20"/>
        <v>69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2" t="str">
        <f ca="1">IF(dict_zuord_Transfers_Storages[[#This Row],[kval_active]],dict_zuord_Transfers_Storages[[#This Row],[ID_Storages]],"")</f>
        <v/>
      </c>
    </row>
    <row r="1333" spans="1:4" x14ac:dyDescent="0.45">
      <c r="A1333">
        <v>147</v>
      </c>
      <c r="B1333">
        <f t="shared" ca="1" si="20"/>
        <v>49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3" t="str">
        <f ca="1">IF(dict_zuord_Transfers_Storages[[#This Row],[kval_active]],dict_zuord_Transfers_Storages[[#This Row],[ID_Storages]],"")</f>
        <v/>
      </c>
    </row>
    <row r="1334" spans="1:4" x14ac:dyDescent="0.45">
      <c r="A1334">
        <v>148</v>
      </c>
      <c r="B1334">
        <f t="shared" ca="1" si="20"/>
        <v>60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4">
        <f ca="1">IF(dict_zuord_Transfers_Storages[[#This Row],[kval_active]],dict_zuord_Transfers_Storages[[#This Row],[ID_Storages]],"")</f>
        <v>60</v>
      </c>
    </row>
    <row r="1335" spans="1:4" x14ac:dyDescent="0.45">
      <c r="A1335">
        <v>148</v>
      </c>
      <c r="B1335">
        <f t="shared" ca="1" si="20"/>
        <v>86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5">
        <f ca="1">IF(dict_zuord_Transfers_Storages[[#This Row],[kval_active]],dict_zuord_Transfers_Storages[[#This Row],[ID_Storages]],"")</f>
        <v>86</v>
      </c>
    </row>
    <row r="1336" spans="1:4" x14ac:dyDescent="0.45">
      <c r="A1336">
        <v>148</v>
      </c>
      <c r="B1336">
        <f t="shared" ca="1" si="20"/>
        <v>20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6">
        <f ca="1">IF(dict_zuord_Transfers_Storages[[#This Row],[kval_active]],dict_zuord_Transfers_Storages[[#This Row],[ID_Storages]],"")</f>
        <v>20</v>
      </c>
    </row>
    <row r="1337" spans="1:4" x14ac:dyDescent="0.45">
      <c r="A1337">
        <v>148</v>
      </c>
      <c r="B1337">
        <f t="shared" ca="1" si="20"/>
        <v>86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7">
        <f ca="1">IF(dict_zuord_Transfers_Storages[[#This Row],[kval_active]],dict_zuord_Transfers_Storages[[#This Row],[ID_Storages]],"")</f>
        <v>86</v>
      </c>
    </row>
    <row r="1338" spans="1:4" x14ac:dyDescent="0.45">
      <c r="A1338">
        <v>148</v>
      </c>
      <c r="B1338">
        <f t="shared" ca="1" si="20"/>
        <v>98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8">
        <f ca="1">IF(dict_zuord_Transfers_Storages[[#This Row],[kval_active]],dict_zuord_Transfers_Storages[[#This Row],[ID_Storages]],"")</f>
        <v>98</v>
      </c>
    </row>
    <row r="1339" spans="1:4" x14ac:dyDescent="0.45">
      <c r="A1339">
        <v>148</v>
      </c>
      <c r="B1339">
        <f t="shared" ca="1" si="20"/>
        <v>19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9">
        <f ca="1">IF(dict_zuord_Transfers_Storages[[#This Row],[kval_active]],dict_zuord_Transfers_Storages[[#This Row],[ID_Storages]],"")</f>
        <v>19</v>
      </c>
    </row>
    <row r="1340" spans="1:4" x14ac:dyDescent="0.45">
      <c r="A1340">
        <v>148</v>
      </c>
      <c r="B1340">
        <f t="shared" ca="1" si="20"/>
        <v>33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0">
        <f ca="1">IF(dict_zuord_Transfers_Storages[[#This Row],[kval_active]],dict_zuord_Transfers_Storages[[#This Row],[ID_Storages]],"")</f>
        <v>33</v>
      </c>
    </row>
    <row r="1341" spans="1:4" x14ac:dyDescent="0.45">
      <c r="A1341">
        <v>148</v>
      </c>
      <c r="B1341">
        <f t="shared" ca="1" si="20"/>
        <v>88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1">
        <f ca="1">IF(dict_zuord_Transfers_Storages[[#This Row],[kval_active]],dict_zuord_Transfers_Storages[[#This Row],[ID_Storages]],"")</f>
        <v>88</v>
      </c>
    </row>
    <row r="1342" spans="1:4" x14ac:dyDescent="0.45">
      <c r="A1342">
        <v>148</v>
      </c>
      <c r="B1342">
        <f t="shared" ca="1" si="20"/>
        <v>77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2">
        <f ca="1">IF(dict_zuord_Transfers_Storages[[#This Row],[kval_active]],dict_zuord_Transfers_Storages[[#This Row],[ID_Storages]],"")</f>
        <v>77</v>
      </c>
    </row>
    <row r="1343" spans="1:4" x14ac:dyDescent="0.45">
      <c r="A1343">
        <v>149</v>
      </c>
      <c r="B1343">
        <f t="shared" ca="1" si="20"/>
        <v>64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3" t="str">
        <f ca="1">IF(dict_zuord_Transfers_Storages[[#This Row],[kval_active]],dict_zuord_Transfers_Storages[[#This Row],[ID_Storages]],"")</f>
        <v/>
      </c>
    </row>
    <row r="1344" spans="1:4" x14ac:dyDescent="0.45">
      <c r="A1344">
        <v>149</v>
      </c>
      <c r="B1344">
        <f t="shared" ca="1" si="20"/>
        <v>32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4" t="str">
        <f ca="1">IF(dict_zuord_Transfers_Storages[[#This Row],[kval_active]],dict_zuord_Transfers_Storages[[#This Row],[ID_Storages]],"")</f>
        <v/>
      </c>
    </row>
    <row r="1345" spans="1:4" x14ac:dyDescent="0.45">
      <c r="A1345">
        <v>149</v>
      </c>
      <c r="B1345">
        <f t="shared" ca="1" si="20"/>
        <v>23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5" t="str">
        <f ca="1">IF(dict_zuord_Transfers_Storages[[#This Row],[kval_active]],dict_zuord_Transfers_Storages[[#This Row],[ID_Storages]],"")</f>
        <v/>
      </c>
    </row>
    <row r="1346" spans="1:4" x14ac:dyDescent="0.45">
      <c r="A1346">
        <v>149</v>
      </c>
      <c r="B1346">
        <f t="shared" ref="B1346:B1409" ca="1" si="21">RANDBETWEEN(0,100)</f>
        <v>9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6" t="str">
        <f ca="1">IF(dict_zuord_Transfers_Storages[[#This Row],[kval_active]],dict_zuord_Transfers_Storages[[#This Row],[ID_Storages]],"")</f>
        <v/>
      </c>
    </row>
    <row r="1347" spans="1:4" x14ac:dyDescent="0.45">
      <c r="A1347">
        <v>149</v>
      </c>
      <c r="B1347">
        <f t="shared" ca="1" si="21"/>
        <v>81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7" t="str">
        <f ca="1">IF(dict_zuord_Transfers_Storages[[#This Row],[kval_active]],dict_zuord_Transfers_Storages[[#This Row],[ID_Storages]],"")</f>
        <v/>
      </c>
    </row>
    <row r="1348" spans="1:4" x14ac:dyDescent="0.45">
      <c r="A1348">
        <v>149</v>
      </c>
      <c r="B1348">
        <f t="shared" ca="1" si="21"/>
        <v>25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8" t="str">
        <f ca="1">IF(dict_zuord_Transfers_Storages[[#This Row],[kval_active]],dict_zuord_Transfers_Storages[[#This Row],[ID_Storages]],"")</f>
        <v/>
      </c>
    </row>
    <row r="1349" spans="1:4" x14ac:dyDescent="0.45">
      <c r="A1349">
        <v>149</v>
      </c>
      <c r="B1349">
        <f t="shared" ca="1" si="21"/>
        <v>18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9" t="str">
        <f ca="1">IF(dict_zuord_Transfers_Storages[[#This Row],[kval_active]],dict_zuord_Transfers_Storages[[#This Row],[ID_Storages]],"")</f>
        <v/>
      </c>
    </row>
    <row r="1350" spans="1:4" x14ac:dyDescent="0.45">
      <c r="A1350">
        <v>149</v>
      </c>
      <c r="B1350">
        <f t="shared" ca="1" si="21"/>
        <v>99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0" t="str">
        <f ca="1">IF(dict_zuord_Transfers_Storages[[#This Row],[kval_active]],dict_zuord_Transfers_Storages[[#This Row],[ID_Storages]],"")</f>
        <v/>
      </c>
    </row>
    <row r="1351" spans="1:4" x14ac:dyDescent="0.45">
      <c r="A1351">
        <v>149</v>
      </c>
      <c r="B1351">
        <f t="shared" ca="1" si="21"/>
        <v>83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1" t="str">
        <f ca="1">IF(dict_zuord_Transfers_Storages[[#This Row],[kval_active]],dict_zuord_Transfers_Storages[[#This Row],[ID_Storages]],"")</f>
        <v/>
      </c>
    </row>
    <row r="1352" spans="1:4" x14ac:dyDescent="0.45">
      <c r="A1352">
        <v>150</v>
      </c>
      <c r="B1352">
        <f t="shared" ca="1" si="21"/>
        <v>58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2">
        <f ca="1">IF(dict_zuord_Transfers_Storages[[#This Row],[kval_active]],dict_zuord_Transfers_Storages[[#This Row],[ID_Storages]],"")</f>
        <v>58</v>
      </c>
    </row>
    <row r="1353" spans="1:4" x14ac:dyDescent="0.45">
      <c r="A1353">
        <v>150</v>
      </c>
      <c r="B1353">
        <f t="shared" ca="1" si="21"/>
        <v>40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3">
        <f ca="1">IF(dict_zuord_Transfers_Storages[[#This Row],[kval_active]],dict_zuord_Transfers_Storages[[#This Row],[ID_Storages]],"")</f>
        <v>40</v>
      </c>
    </row>
    <row r="1354" spans="1:4" x14ac:dyDescent="0.45">
      <c r="A1354">
        <v>150</v>
      </c>
      <c r="B1354">
        <f t="shared" ca="1" si="21"/>
        <v>93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4">
        <f ca="1">IF(dict_zuord_Transfers_Storages[[#This Row],[kval_active]],dict_zuord_Transfers_Storages[[#This Row],[ID_Storages]],"")</f>
        <v>93</v>
      </c>
    </row>
    <row r="1355" spans="1:4" x14ac:dyDescent="0.45">
      <c r="A1355">
        <v>150</v>
      </c>
      <c r="B1355">
        <f t="shared" ca="1" si="21"/>
        <v>99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5">
        <f ca="1">IF(dict_zuord_Transfers_Storages[[#This Row],[kval_active]],dict_zuord_Transfers_Storages[[#This Row],[ID_Storages]],"")</f>
        <v>99</v>
      </c>
    </row>
    <row r="1356" spans="1:4" x14ac:dyDescent="0.45">
      <c r="A1356">
        <v>150</v>
      </c>
      <c r="B1356">
        <f t="shared" ca="1" si="21"/>
        <v>70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6">
        <f ca="1">IF(dict_zuord_Transfers_Storages[[#This Row],[kval_active]],dict_zuord_Transfers_Storages[[#This Row],[ID_Storages]],"")</f>
        <v>70</v>
      </c>
    </row>
    <row r="1357" spans="1:4" x14ac:dyDescent="0.45">
      <c r="A1357">
        <v>150</v>
      </c>
      <c r="B1357">
        <f t="shared" ca="1" si="21"/>
        <v>6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7">
        <f ca="1">IF(dict_zuord_Transfers_Storages[[#This Row],[kval_active]],dict_zuord_Transfers_Storages[[#This Row],[ID_Storages]],"")</f>
        <v>6</v>
      </c>
    </row>
    <row r="1358" spans="1:4" x14ac:dyDescent="0.45">
      <c r="A1358">
        <v>150</v>
      </c>
      <c r="B1358">
        <f t="shared" ca="1" si="21"/>
        <v>94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8">
        <f ca="1">IF(dict_zuord_Transfers_Storages[[#This Row],[kval_active]],dict_zuord_Transfers_Storages[[#This Row],[ID_Storages]],"")</f>
        <v>94</v>
      </c>
    </row>
    <row r="1359" spans="1:4" x14ac:dyDescent="0.45">
      <c r="A1359">
        <v>150</v>
      </c>
      <c r="B1359">
        <f t="shared" ca="1" si="21"/>
        <v>13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9">
        <f ca="1">IF(dict_zuord_Transfers_Storages[[#This Row],[kval_active]],dict_zuord_Transfers_Storages[[#This Row],[ID_Storages]],"")</f>
        <v>13</v>
      </c>
    </row>
    <row r="1360" spans="1:4" x14ac:dyDescent="0.45">
      <c r="A1360">
        <v>150</v>
      </c>
      <c r="B1360">
        <f t="shared" ca="1" si="21"/>
        <v>37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0">
        <f ca="1">IF(dict_zuord_Transfers_Storages[[#This Row],[kval_active]],dict_zuord_Transfers_Storages[[#This Row],[ID_Storages]],"")</f>
        <v>37</v>
      </c>
    </row>
    <row r="1361" spans="1:4" x14ac:dyDescent="0.45">
      <c r="A1361">
        <v>151</v>
      </c>
      <c r="B1361">
        <f t="shared" ca="1" si="21"/>
        <v>47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1">
        <f ca="1">IF(dict_zuord_Transfers_Storages[[#This Row],[kval_active]],dict_zuord_Transfers_Storages[[#This Row],[ID_Storages]],"")</f>
        <v>47</v>
      </c>
    </row>
    <row r="1362" spans="1:4" x14ac:dyDescent="0.45">
      <c r="A1362">
        <v>151</v>
      </c>
      <c r="B1362">
        <f t="shared" ca="1" si="21"/>
        <v>79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2">
        <f ca="1">IF(dict_zuord_Transfers_Storages[[#This Row],[kval_active]],dict_zuord_Transfers_Storages[[#This Row],[ID_Storages]],"")</f>
        <v>79</v>
      </c>
    </row>
    <row r="1363" spans="1:4" x14ac:dyDescent="0.45">
      <c r="A1363">
        <v>151</v>
      </c>
      <c r="B1363">
        <f t="shared" ca="1" si="21"/>
        <v>63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3">
        <f ca="1">IF(dict_zuord_Transfers_Storages[[#This Row],[kval_active]],dict_zuord_Transfers_Storages[[#This Row],[ID_Storages]],"")</f>
        <v>63</v>
      </c>
    </row>
    <row r="1364" spans="1:4" x14ac:dyDescent="0.45">
      <c r="A1364">
        <v>151</v>
      </c>
      <c r="B1364">
        <f t="shared" ca="1" si="21"/>
        <v>35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4">
        <f ca="1">IF(dict_zuord_Transfers_Storages[[#This Row],[kval_active]],dict_zuord_Transfers_Storages[[#This Row],[ID_Storages]],"")</f>
        <v>35</v>
      </c>
    </row>
    <row r="1365" spans="1:4" x14ac:dyDescent="0.45">
      <c r="A1365">
        <v>151</v>
      </c>
      <c r="B1365">
        <f t="shared" ca="1" si="21"/>
        <v>9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5">
        <f ca="1">IF(dict_zuord_Transfers_Storages[[#This Row],[kval_active]],dict_zuord_Transfers_Storages[[#This Row],[ID_Storages]],"")</f>
        <v>9</v>
      </c>
    </row>
    <row r="1366" spans="1:4" x14ac:dyDescent="0.45">
      <c r="A1366">
        <v>151</v>
      </c>
      <c r="B1366">
        <f t="shared" ca="1" si="21"/>
        <v>29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6">
        <f ca="1">IF(dict_zuord_Transfers_Storages[[#This Row],[kval_active]],dict_zuord_Transfers_Storages[[#This Row],[ID_Storages]],"")</f>
        <v>29</v>
      </c>
    </row>
    <row r="1367" spans="1:4" x14ac:dyDescent="0.45">
      <c r="A1367">
        <v>151</v>
      </c>
      <c r="B1367">
        <f t="shared" ca="1" si="21"/>
        <v>63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7">
        <f ca="1">IF(dict_zuord_Transfers_Storages[[#This Row],[kval_active]],dict_zuord_Transfers_Storages[[#This Row],[ID_Storages]],"")</f>
        <v>63</v>
      </c>
    </row>
    <row r="1368" spans="1:4" x14ac:dyDescent="0.45">
      <c r="A1368">
        <v>151</v>
      </c>
      <c r="B1368">
        <f t="shared" ca="1" si="21"/>
        <v>53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8">
        <f ca="1">IF(dict_zuord_Transfers_Storages[[#This Row],[kval_active]],dict_zuord_Transfers_Storages[[#This Row],[ID_Storages]],"")</f>
        <v>53</v>
      </c>
    </row>
    <row r="1369" spans="1:4" x14ac:dyDescent="0.45">
      <c r="A1369">
        <v>151</v>
      </c>
      <c r="B1369">
        <f t="shared" ca="1" si="21"/>
        <v>45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9">
        <f ca="1">IF(dict_zuord_Transfers_Storages[[#This Row],[kval_active]],dict_zuord_Transfers_Storages[[#This Row],[ID_Storages]],"")</f>
        <v>45</v>
      </c>
    </row>
    <row r="1370" spans="1:4" x14ac:dyDescent="0.45">
      <c r="A1370">
        <v>152</v>
      </c>
      <c r="B1370">
        <f t="shared" ca="1" si="21"/>
        <v>96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0">
        <f ca="1">IF(dict_zuord_Transfers_Storages[[#This Row],[kval_active]],dict_zuord_Transfers_Storages[[#This Row],[ID_Storages]],"")</f>
        <v>96</v>
      </c>
    </row>
    <row r="1371" spans="1:4" x14ac:dyDescent="0.45">
      <c r="A1371">
        <v>152</v>
      </c>
      <c r="B1371">
        <f t="shared" ca="1" si="21"/>
        <v>37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1">
        <f ca="1">IF(dict_zuord_Transfers_Storages[[#This Row],[kval_active]],dict_zuord_Transfers_Storages[[#This Row],[ID_Storages]],"")</f>
        <v>37</v>
      </c>
    </row>
    <row r="1372" spans="1:4" x14ac:dyDescent="0.45">
      <c r="A1372">
        <v>152</v>
      </c>
      <c r="B1372">
        <f t="shared" ca="1" si="21"/>
        <v>66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2">
        <f ca="1">IF(dict_zuord_Transfers_Storages[[#This Row],[kval_active]],dict_zuord_Transfers_Storages[[#This Row],[ID_Storages]],"")</f>
        <v>66</v>
      </c>
    </row>
    <row r="1373" spans="1:4" x14ac:dyDescent="0.45">
      <c r="A1373">
        <v>152</v>
      </c>
      <c r="B1373">
        <f t="shared" ca="1" si="21"/>
        <v>65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3">
        <f ca="1">IF(dict_zuord_Transfers_Storages[[#This Row],[kval_active]],dict_zuord_Transfers_Storages[[#This Row],[ID_Storages]],"")</f>
        <v>65</v>
      </c>
    </row>
    <row r="1374" spans="1:4" x14ac:dyDescent="0.45">
      <c r="A1374">
        <v>152</v>
      </c>
      <c r="B1374">
        <f t="shared" ca="1" si="21"/>
        <v>2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4">
        <f ca="1">IF(dict_zuord_Transfers_Storages[[#This Row],[kval_active]],dict_zuord_Transfers_Storages[[#This Row],[ID_Storages]],"")</f>
        <v>2</v>
      </c>
    </row>
    <row r="1375" spans="1:4" x14ac:dyDescent="0.45">
      <c r="A1375">
        <v>152</v>
      </c>
      <c r="B1375">
        <f t="shared" ca="1" si="21"/>
        <v>79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5">
        <f ca="1">IF(dict_zuord_Transfers_Storages[[#This Row],[kval_active]],dict_zuord_Transfers_Storages[[#This Row],[ID_Storages]],"")</f>
        <v>79</v>
      </c>
    </row>
    <row r="1376" spans="1:4" x14ac:dyDescent="0.45">
      <c r="A1376">
        <v>152</v>
      </c>
      <c r="B1376">
        <f t="shared" ca="1" si="21"/>
        <v>38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6">
        <f ca="1">IF(dict_zuord_Transfers_Storages[[#This Row],[kval_active]],dict_zuord_Transfers_Storages[[#This Row],[ID_Storages]],"")</f>
        <v>38</v>
      </c>
    </row>
    <row r="1377" spans="1:4" x14ac:dyDescent="0.45">
      <c r="A1377">
        <v>152</v>
      </c>
      <c r="B1377">
        <f t="shared" ca="1" si="21"/>
        <v>16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7">
        <f ca="1">IF(dict_zuord_Transfers_Storages[[#This Row],[kval_active]],dict_zuord_Transfers_Storages[[#This Row],[ID_Storages]],"")</f>
        <v>16</v>
      </c>
    </row>
    <row r="1378" spans="1:4" x14ac:dyDescent="0.45">
      <c r="A1378">
        <v>152</v>
      </c>
      <c r="B1378">
        <f t="shared" ca="1" si="21"/>
        <v>48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8">
        <f ca="1">IF(dict_zuord_Transfers_Storages[[#This Row],[kval_active]],dict_zuord_Transfers_Storages[[#This Row],[ID_Storages]],"")</f>
        <v>48</v>
      </c>
    </row>
    <row r="1379" spans="1:4" x14ac:dyDescent="0.45">
      <c r="A1379">
        <v>153</v>
      </c>
      <c r="B1379">
        <f t="shared" ca="1" si="21"/>
        <v>92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9">
        <f ca="1">IF(dict_zuord_Transfers_Storages[[#This Row],[kval_active]],dict_zuord_Transfers_Storages[[#This Row],[ID_Storages]],"")</f>
        <v>92</v>
      </c>
    </row>
    <row r="1380" spans="1:4" x14ac:dyDescent="0.45">
      <c r="A1380">
        <v>153</v>
      </c>
      <c r="B1380">
        <f t="shared" ca="1" si="21"/>
        <v>99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0">
        <f ca="1">IF(dict_zuord_Transfers_Storages[[#This Row],[kval_active]],dict_zuord_Transfers_Storages[[#This Row],[ID_Storages]],"")</f>
        <v>99</v>
      </c>
    </row>
    <row r="1381" spans="1:4" x14ac:dyDescent="0.45">
      <c r="A1381">
        <v>153</v>
      </c>
      <c r="B1381">
        <f t="shared" ca="1" si="21"/>
        <v>78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1">
        <f ca="1">IF(dict_zuord_Transfers_Storages[[#This Row],[kval_active]],dict_zuord_Transfers_Storages[[#This Row],[ID_Storages]],"")</f>
        <v>78</v>
      </c>
    </row>
    <row r="1382" spans="1:4" x14ac:dyDescent="0.45">
      <c r="A1382">
        <v>153</v>
      </c>
      <c r="B1382">
        <f t="shared" ca="1" si="21"/>
        <v>97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2">
        <f ca="1">IF(dict_zuord_Transfers_Storages[[#This Row],[kval_active]],dict_zuord_Transfers_Storages[[#This Row],[ID_Storages]],"")</f>
        <v>97</v>
      </c>
    </row>
    <row r="1383" spans="1:4" x14ac:dyDescent="0.45">
      <c r="A1383">
        <v>153</v>
      </c>
      <c r="B1383">
        <f t="shared" ca="1" si="21"/>
        <v>39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3">
        <f ca="1">IF(dict_zuord_Transfers_Storages[[#This Row],[kval_active]],dict_zuord_Transfers_Storages[[#This Row],[ID_Storages]],"")</f>
        <v>39</v>
      </c>
    </row>
    <row r="1384" spans="1:4" x14ac:dyDescent="0.45">
      <c r="A1384">
        <v>153</v>
      </c>
      <c r="B1384">
        <f t="shared" ca="1" si="21"/>
        <v>17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4">
        <f ca="1">IF(dict_zuord_Transfers_Storages[[#This Row],[kval_active]],dict_zuord_Transfers_Storages[[#This Row],[ID_Storages]],"")</f>
        <v>17</v>
      </c>
    </row>
    <row r="1385" spans="1:4" x14ac:dyDescent="0.45">
      <c r="A1385">
        <v>153</v>
      </c>
      <c r="B1385">
        <f t="shared" ca="1" si="21"/>
        <v>33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5">
        <f ca="1">IF(dict_zuord_Transfers_Storages[[#This Row],[kval_active]],dict_zuord_Transfers_Storages[[#This Row],[ID_Storages]],"")</f>
        <v>33</v>
      </c>
    </row>
    <row r="1386" spans="1:4" x14ac:dyDescent="0.45">
      <c r="A1386">
        <v>153</v>
      </c>
      <c r="B1386">
        <f t="shared" ca="1" si="21"/>
        <v>74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6">
        <f ca="1">IF(dict_zuord_Transfers_Storages[[#This Row],[kval_active]],dict_zuord_Transfers_Storages[[#This Row],[ID_Storages]],"")</f>
        <v>74</v>
      </c>
    </row>
    <row r="1387" spans="1:4" x14ac:dyDescent="0.45">
      <c r="A1387">
        <v>153</v>
      </c>
      <c r="B1387">
        <f t="shared" ca="1" si="21"/>
        <v>94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7">
        <f ca="1">IF(dict_zuord_Transfers_Storages[[#This Row],[kval_active]],dict_zuord_Transfers_Storages[[#This Row],[ID_Storages]],"")</f>
        <v>94</v>
      </c>
    </row>
    <row r="1388" spans="1:4" x14ac:dyDescent="0.45">
      <c r="A1388">
        <v>154</v>
      </c>
      <c r="B1388">
        <f t="shared" ca="1" si="21"/>
        <v>35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8" t="str">
        <f ca="1">IF(dict_zuord_Transfers_Storages[[#This Row],[kval_active]],dict_zuord_Transfers_Storages[[#This Row],[ID_Storages]],"")</f>
        <v/>
      </c>
    </row>
    <row r="1389" spans="1:4" x14ac:dyDescent="0.45">
      <c r="A1389">
        <v>154</v>
      </c>
      <c r="B1389">
        <f t="shared" ca="1" si="21"/>
        <v>41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9" t="str">
        <f ca="1">IF(dict_zuord_Transfers_Storages[[#This Row],[kval_active]],dict_zuord_Transfers_Storages[[#This Row],[ID_Storages]],"")</f>
        <v/>
      </c>
    </row>
    <row r="1390" spans="1:4" x14ac:dyDescent="0.45">
      <c r="A1390">
        <v>154</v>
      </c>
      <c r="B1390">
        <f t="shared" ca="1" si="21"/>
        <v>36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0" t="str">
        <f ca="1">IF(dict_zuord_Transfers_Storages[[#This Row],[kval_active]],dict_zuord_Transfers_Storages[[#This Row],[ID_Storages]],"")</f>
        <v/>
      </c>
    </row>
    <row r="1391" spans="1:4" x14ac:dyDescent="0.45">
      <c r="A1391">
        <v>154</v>
      </c>
      <c r="B1391">
        <f t="shared" ca="1" si="21"/>
        <v>45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1" t="str">
        <f ca="1">IF(dict_zuord_Transfers_Storages[[#This Row],[kval_active]],dict_zuord_Transfers_Storages[[#This Row],[ID_Storages]],"")</f>
        <v/>
      </c>
    </row>
    <row r="1392" spans="1:4" x14ac:dyDescent="0.45">
      <c r="A1392">
        <v>154</v>
      </c>
      <c r="B1392">
        <f t="shared" ca="1" si="21"/>
        <v>22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2" t="str">
        <f ca="1">IF(dict_zuord_Transfers_Storages[[#This Row],[kval_active]],dict_zuord_Transfers_Storages[[#This Row],[ID_Storages]],"")</f>
        <v/>
      </c>
    </row>
    <row r="1393" spans="1:4" x14ac:dyDescent="0.45">
      <c r="A1393">
        <v>154</v>
      </c>
      <c r="B1393">
        <f t="shared" ca="1" si="21"/>
        <v>29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3" t="str">
        <f ca="1">IF(dict_zuord_Transfers_Storages[[#This Row],[kval_active]],dict_zuord_Transfers_Storages[[#This Row],[ID_Storages]],"")</f>
        <v/>
      </c>
    </row>
    <row r="1394" spans="1:4" x14ac:dyDescent="0.45">
      <c r="A1394">
        <v>154</v>
      </c>
      <c r="B1394">
        <f t="shared" ca="1" si="21"/>
        <v>85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4" t="str">
        <f ca="1">IF(dict_zuord_Transfers_Storages[[#This Row],[kval_active]],dict_zuord_Transfers_Storages[[#This Row],[ID_Storages]],"")</f>
        <v/>
      </c>
    </row>
    <row r="1395" spans="1:4" x14ac:dyDescent="0.45">
      <c r="A1395">
        <v>154</v>
      </c>
      <c r="B1395">
        <f t="shared" ca="1" si="21"/>
        <v>0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5" t="str">
        <f ca="1">IF(dict_zuord_Transfers_Storages[[#This Row],[kval_active]],dict_zuord_Transfers_Storages[[#This Row],[ID_Storages]],"")</f>
        <v/>
      </c>
    </row>
    <row r="1396" spans="1:4" x14ac:dyDescent="0.45">
      <c r="A1396">
        <v>154</v>
      </c>
      <c r="B1396">
        <f t="shared" ca="1" si="21"/>
        <v>12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6" t="str">
        <f ca="1">IF(dict_zuord_Transfers_Storages[[#This Row],[kval_active]],dict_zuord_Transfers_Storages[[#This Row],[ID_Storages]],"")</f>
        <v/>
      </c>
    </row>
    <row r="1397" spans="1:4" x14ac:dyDescent="0.45">
      <c r="A1397">
        <v>155</v>
      </c>
      <c r="B1397">
        <f t="shared" ca="1" si="21"/>
        <v>10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7" t="str">
        <f ca="1">IF(dict_zuord_Transfers_Storages[[#This Row],[kval_active]],dict_zuord_Transfers_Storages[[#This Row],[ID_Storages]],"")</f>
        <v/>
      </c>
    </row>
    <row r="1398" spans="1:4" x14ac:dyDescent="0.45">
      <c r="A1398">
        <v>155</v>
      </c>
      <c r="B1398">
        <f t="shared" ca="1" si="21"/>
        <v>51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8" t="str">
        <f ca="1">IF(dict_zuord_Transfers_Storages[[#This Row],[kval_active]],dict_zuord_Transfers_Storages[[#This Row],[ID_Storages]],"")</f>
        <v/>
      </c>
    </row>
    <row r="1399" spans="1:4" x14ac:dyDescent="0.45">
      <c r="A1399">
        <v>155</v>
      </c>
      <c r="B1399">
        <f t="shared" ca="1" si="21"/>
        <v>3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9" t="str">
        <f ca="1">IF(dict_zuord_Transfers_Storages[[#This Row],[kval_active]],dict_zuord_Transfers_Storages[[#This Row],[ID_Storages]],"")</f>
        <v/>
      </c>
    </row>
    <row r="1400" spans="1:4" x14ac:dyDescent="0.45">
      <c r="A1400">
        <v>155</v>
      </c>
      <c r="B1400">
        <f t="shared" ca="1" si="21"/>
        <v>45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0" t="str">
        <f ca="1">IF(dict_zuord_Transfers_Storages[[#This Row],[kval_active]],dict_zuord_Transfers_Storages[[#This Row],[ID_Storages]],"")</f>
        <v/>
      </c>
    </row>
    <row r="1401" spans="1:4" x14ac:dyDescent="0.45">
      <c r="A1401">
        <v>155</v>
      </c>
      <c r="B1401">
        <f t="shared" ca="1" si="21"/>
        <v>53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1" t="str">
        <f ca="1">IF(dict_zuord_Transfers_Storages[[#This Row],[kval_active]],dict_zuord_Transfers_Storages[[#This Row],[ID_Storages]],"")</f>
        <v/>
      </c>
    </row>
    <row r="1402" spans="1:4" x14ac:dyDescent="0.45">
      <c r="A1402">
        <v>155</v>
      </c>
      <c r="B1402">
        <f t="shared" ca="1" si="21"/>
        <v>93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2" t="str">
        <f ca="1">IF(dict_zuord_Transfers_Storages[[#This Row],[kval_active]],dict_zuord_Transfers_Storages[[#This Row],[ID_Storages]],"")</f>
        <v/>
      </c>
    </row>
    <row r="1403" spans="1:4" x14ac:dyDescent="0.45">
      <c r="A1403">
        <v>155</v>
      </c>
      <c r="B1403">
        <f t="shared" ca="1" si="21"/>
        <v>36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3" t="str">
        <f ca="1">IF(dict_zuord_Transfers_Storages[[#This Row],[kval_active]],dict_zuord_Transfers_Storages[[#This Row],[ID_Storages]],"")</f>
        <v/>
      </c>
    </row>
    <row r="1404" spans="1:4" x14ac:dyDescent="0.45">
      <c r="A1404">
        <v>155</v>
      </c>
      <c r="B1404">
        <f t="shared" ca="1" si="21"/>
        <v>65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4" t="str">
        <f ca="1">IF(dict_zuord_Transfers_Storages[[#This Row],[kval_active]],dict_zuord_Transfers_Storages[[#This Row],[ID_Storages]],"")</f>
        <v/>
      </c>
    </row>
    <row r="1405" spans="1:4" x14ac:dyDescent="0.45">
      <c r="A1405">
        <v>155</v>
      </c>
      <c r="B1405">
        <f t="shared" ca="1" si="21"/>
        <v>21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5" t="str">
        <f ca="1">IF(dict_zuord_Transfers_Storages[[#This Row],[kval_active]],dict_zuord_Transfers_Storages[[#This Row],[ID_Storages]],"")</f>
        <v/>
      </c>
    </row>
    <row r="1406" spans="1:4" x14ac:dyDescent="0.45">
      <c r="A1406">
        <v>156</v>
      </c>
      <c r="B1406">
        <f t="shared" ca="1" si="21"/>
        <v>48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6">
        <f ca="1">IF(dict_zuord_Transfers_Storages[[#This Row],[kval_active]],dict_zuord_Transfers_Storages[[#This Row],[ID_Storages]],"")</f>
        <v>48</v>
      </c>
    </row>
    <row r="1407" spans="1:4" x14ac:dyDescent="0.45">
      <c r="A1407">
        <v>156</v>
      </c>
      <c r="B1407">
        <f t="shared" ca="1" si="21"/>
        <v>64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7">
        <f ca="1">IF(dict_zuord_Transfers_Storages[[#This Row],[kval_active]],dict_zuord_Transfers_Storages[[#This Row],[ID_Storages]],"")</f>
        <v>64</v>
      </c>
    </row>
    <row r="1408" spans="1:4" x14ac:dyDescent="0.45">
      <c r="A1408">
        <v>156</v>
      </c>
      <c r="B1408">
        <f t="shared" ca="1" si="21"/>
        <v>63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8">
        <f ca="1">IF(dict_zuord_Transfers_Storages[[#This Row],[kval_active]],dict_zuord_Transfers_Storages[[#This Row],[ID_Storages]],"")</f>
        <v>63</v>
      </c>
    </row>
    <row r="1409" spans="1:4" x14ac:dyDescent="0.45">
      <c r="A1409">
        <v>156</v>
      </c>
      <c r="B1409">
        <f t="shared" ca="1" si="21"/>
        <v>43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9">
        <f ca="1">IF(dict_zuord_Transfers_Storages[[#This Row],[kval_active]],dict_zuord_Transfers_Storages[[#This Row],[ID_Storages]],"")</f>
        <v>43</v>
      </c>
    </row>
    <row r="1410" spans="1:4" x14ac:dyDescent="0.45">
      <c r="A1410">
        <v>156</v>
      </c>
      <c r="B1410">
        <f t="shared" ref="B1410:B1473" ca="1" si="22">RANDBETWEEN(0,100)</f>
        <v>27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0">
        <f ca="1">IF(dict_zuord_Transfers_Storages[[#This Row],[kval_active]],dict_zuord_Transfers_Storages[[#This Row],[ID_Storages]],"")</f>
        <v>27</v>
      </c>
    </row>
    <row r="1411" spans="1:4" x14ac:dyDescent="0.45">
      <c r="A1411">
        <v>156</v>
      </c>
      <c r="B1411">
        <f t="shared" ca="1" si="22"/>
        <v>10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1">
        <f ca="1">IF(dict_zuord_Transfers_Storages[[#This Row],[kval_active]],dict_zuord_Transfers_Storages[[#This Row],[ID_Storages]],"")</f>
        <v>10</v>
      </c>
    </row>
    <row r="1412" spans="1:4" x14ac:dyDescent="0.45">
      <c r="A1412">
        <v>156</v>
      </c>
      <c r="B1412">
        <f t="shared" ca="1" si="22"/>
        <v>90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2">
        <f ca="1">IF(dict_zuord_Transfers_Storages[[#This Row],[kval_active]],dict_zuord_Transfers_Storages[[#This Row],[ID_Storages]],"")</f>
        <v>90</v>
      </c>
    </row>
    <row r="1413" spans="1:4" x14ac:dyDescent="0.45">
      <c r="A1413">
        <v>156</v>
      </c>
      <c r="B1413">
        <f t="shared" ca="1" si="22"/>
        <v>57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3">
        <f ca="1">IF(dict_zuord_Transfers_Storages[[#This Row],[kval_active]],dict_zuord_Transfers_Storages[[#This Row],[ID_Storages]],"")</f>
        <v>57</v>
      </c>
    </row>
    <row r="1414" spans="1:4" x14ac:dyDescent="0.45">
      <c r="A1414">
        <v>156</v>
      </c>
      <c r="B1414">
        <f t="shared" ca="1" si="22"/>
        <v>41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4">
        <f ca="1">IF(dict_zuord_Transfers_Storages[[#This Row],[kval_active]],dict_zuord_Transfers_Storages[[#This Row],[ID_Storages]],"")</f>
        <v>41</v>
      </c>
    </row>
    <row r="1415" spans="1:4" x14ac:dyDescent="0.45">
      <c r="A1415">
        <v>157</v>
      </c>
      <c r="B1415">
        <f t="shared" ca="1" si="22"/>
        <v>67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5" t="str">
        <f ca="1">IF(dict_zuord_Transfers_Storages[[#This Row],[kval_active]],dict_zuord_Transfers_Storages[[#This Row],[ID_Storages]],"")</f>
        <v/>
      </c>
    </row>
    <row r="1416" spans="1:4" x14ac:dyDescent="0.45">
      <c r="A1416">
        <v>157</v>
      </c>
      <c r="B1416">
        <f t="shared" ca="1" si="22"/>
        <v>52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6" t="str">
        <f ca="1">IF(dict_zuord_Transfers_Storages[[#This Row],[kval_active]],dict_zuord_Transfers_Storages[[#This Row],[ID_Storages]],"")</f>
        <v/>
      </c>
    </row>
    <row r="1417" spans="1:4" x14ac:dyDescent="0.45">
      <c r="A1417">
        <v>157</v>
      </c>
      <c r="B1417">
        <f t="shared" ca="1" si="22"/>
        <v>95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7" t="str">
        <f ca="1">IF(dict_zuord_Transfers_Storages[[#This Row],[kval_active]],dict_zuord_Transfers_Storages[[#This Row],[ID_Storages]],"")</f>
        <v/>
      </c>
    </row>
    <row r="1418" spans="1:4" x14ac:dyDescent="0.45">
      <c r="A1418">
        <v>157</v>
      </c>
      <c r="B1418">
        <f t="shared" ca="1" si="22"/>
        <v>33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8" t="str">
        <f ca="1">IF(dict_zuord_Transfers_Storages[[#This Row],[kval_active]],dict_zuord_Transfers_Storages[[#This Row],[ID_Storages]],"")</f>
        <v/>
      </c>
    </row>
    <row r="1419" spans="1:4" x14ac:dyDescent="0.45">
      <c r="A1419">
        <v>157</v>
      </c>
      <c r="B1419">
        <f t="shared" ca="1" si="22"/>
        <v>43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9" t="str">
        <f ca="1">IF(dict_zuord_Transfers_Storages[[#This Row],[kval_active]],dict_zuord_Transfers_Storages[[#This Row],[ID_Storages]],"")</f>
        <v/>
      </c>
    </row>
    <row r="1420" spans="1:4" x14ac:dyDescent="0.45">
      <c r="A1420">
        <v>157</v>
      </c>
      <c r="B1420">
        <f t="shared" ca="1" si="22"/>
        <v>42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0" t="str">
        <f ca="1">IF(dict_zuord_Transfers_Storages[[#This Row],[kval_active]],dict_zuord_Transfers_Storages[[#This Row],[ID_Storages]],"")</f>
        <v/>
      </c>
    </row>
    <row r="1421" spans="1:4" x14ac:dyDescent="0.45">
      <c r="A1421">
        <v>157</v>
      </c>
      <c r="B1421">
        <f t="shared" ca="1" si="22"/>
        <v>8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1" t="str">
        <f ca="1">IF(dict_zuord_Transfers_Storages[[#This Row],[kval_active]],dict_zuord_Transfers_Storages[[#This Row],[ID_Storages]],"")</f>
        <v/>
      </c>
    </row>
    <row r="1422" spans="1:4" x14ac:dyDescent="0.45">
      <c r="A1422">
        <v>157</v>
      </c>
      <c r="B1422">
        <f t="shared" ca="1" si="22"/>
        <v>45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2" t="str">
        <f ca="1">IF(dict_zuord_Transfers_Storages[[#This Row],[kval_active]],dict_zuord_Transfers_Storages[[#This Row],[ID_Storages]],"")</f>
        <v/>
      </c>
    </row>
    <row r="1423" spans="1:4" x14ac:dyDescent="0.45">
      <c r="A1423">
        <v>157</v>
      </c>
      <c r="B1423">
        <f t="shared" ca="1" si="22"/>
        <v>46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3" t="str">
        <f ca="1">IF(dict_zuord_Transfers_Storages[[#This Row],[kval_active]],dict_zuord_Transfers_Storages[[#This Row],[ID_Storages]],"")</f>
        <v/>
      </c>
    </row>
    <row r="1424" spans="1:4" x14ac:dyDescent="0.45">
      <c r="A1424">
        <v>158</v>
      </c>
      <c r="B1424">
        <f t="shared" ca="1" si="22"/>
        <v>46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4" t="str">
        <f ca="1">IF(dict_zuord_Transfers_Storages[[#This Row],[kval_active]],dict_zuord_Transfers_Storages[[#This Row],[ID_Storages]],"")</f>
        <v/>
      </c>
    </row>
    <row r="1425" spans="1:4" x14ac:dyDescent="0.45">
      <c r="A1425">
        <v>158</v>
      </c>
      <c r="B1425">
        <f t="shared" ca="1" si="22"/>
        <v>72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5" t="str">
        <f ca="1">IF(dict_zuord_Transfers_Storages[[#This Row],[kval_active]],dict_zuord_Transfers_Storages[[#This Row],[ID_Storages]],"")</f>
        <v/>
      </c>
    </row>
    <row r="1426" spans="1:4" x14ac:dyDescent="0.45">
      <c r="A1426">
        <v>158</v>
      </c>
      <c r="B1426">
        <f t="shared" ca="1" si="22"/>
        <v>32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6" t="str">
        <f ca="1">IF(dict_zuord_Transfers_Storages[[#This Row],[kval_active]],dict_zuord_Transfers_Storages[[#This Row],[ID_Storages]],"")</f>
        <v/>
      </c>
    </row>
    <row r="1427" spans="1:4" x14ac:dyDescent="0.45">
      <c r="A1427">
        <v>158</v>
      </c>
      <c r="B1427">
        <f t="shared" ca="1" si="22"/>
        <v>68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7" t="str">
        <f ca="1">IF(dict_zuord_Transfers_Storages[[#This Row],[kval_active]],dict_zuord_Transfers_Storages[[#This Row],[ID_Storages]],"")</f>
        <v/>
      </c>
    </row>
    <row r="1428" spans="1:4" x14ac:dyDescent="0.45">
      <c r="A1428">
        <v>158</v>
      </c>
      <c r="B1428">
        <f t="shared" ca="1" si="22"/>
        <v>45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8" t="str">
        <f ca="1">IF(dict_zuord_Transfers_Storages[[#This Row],[kval_active]],dict_zuord_Transfers_Storages[[#This Row],[ID_Storages]],"")</f>
        <v/>
      </c>
    </row>
    <row r="1429" spans="1:4" x14ac:dyDescent="0.45">
      <c r="A1429">
        <v>158</v>
      </c>
      <c r="B1429">
        <f t="shared" ca="1" si="22"/>
        <v>70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9" t="str">
        <f ca="1">IF(dict_zuord_Transfers_Storages[[#This Row],[kval_active]],dict_zuord_Transfers_Storages[[#This Row],[ID_Storages]],"")</f>
        <v/>
      </c>
    </row>
    <row r="1430" spans="1:4" x14ac:dyDescent="0.45">
      <c r="A1430">
        <v>158</v>
      </c>
      <c r="B1430">
        <f t="shared" ca="1" si="22"/>
        <v>96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0" t="str">
        <f ca="1">IF(dict_zuord_Transfers_Storages[[#This Row],[kval_active]],dict_zuord_Transfers_Storages[[#This Row],[ID_Storages]],"")</f>
        <v/>
      </c>
    </row>
    <row r="1431" spans="1:4" x14ac:dyDescent="0.45">
      <c r="A1431">
        <v>158</v>
      </c>
      <c r="B1431">
        <f t="shared" ca="1" si="22"/>
        <v>56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1" t="str">
        <f ca="1">IF(dict_zuord_Transfers_Storages[[#This Row],[kval_active]],dict_zuord_Transfers_Storages[[#This Row],[ID_Storages]],"")</f>
        <v/>
      </c>
    </row>
    <row r="1432" spans="1:4" x14ac:dyDescent="0.45">
      <c r="A1432">
        <v>158</v>
      </c>
      <c r="B1432">
        <f t="shared" ca="1" si="22"/>
        <v>19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2" t="str">
        <f ca="1">IF(dict_zuord_Transfers_Storages[[#This Row],[kval_active]],dict_zuord_Transfers_Storages[[#This Row],[ID_Storages]],"")</f>
        <v/>
      </c>
    </row>
    <row r="1433" spans="1:4" x14ac:dyDescent="0.45">
      <c r="A1433">
        <v>159</v>
      </c>
      <c r="B1433">
        <f t="shared" ca="1" si="22"/>
        <v>18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3" t="str">
        <f ca="1">IF(dict_zuord_Transfers_Storages[[#This Row],[kval_active]],dict_zuord_Transfers_Storages[[#This Row],[ID_Storages]],"")</f>
        <v/>
      </c>
    </row>
    <row r="1434" spans="1:4" x14ac:dyDescent="0.45">
      <c r="A1434">
        <v>159</v>
      </c>
      <c r="B1434">
        <f t="shared" ca="1" si="22"/>
        <v>24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4" t="str">
        <f ca="1">IF(dict_zuord_Transfers_Storages[[#This Row],[kval_active]],dict_zuord_Transfers_Storages[[#This Row],[ID_Storages]],"")</f>
        <v/>
      </c>
    </row>
    <row r="1435" spans="1:4" x14ac:dyDescent="0.45">
      <c r="A1435">
        <v>159</v>
      </c>
      <c r="B1435">
        <f t="shared" ca="1" si="22"/>
        <v>65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5" t="str">
        <f ca="1">IF(dict_zuord_Transfers_Storages[[#This Row],[kval_active]],dict_zuord_Transfers_Storages[[#This Row],[ID_Storages]],"")</f>
        <v/>
      </c>
    </row>
    <row r="1436" spans="1:4" x14ac:dyDescent="0.45">
      <c r="A1436">
        <v>159</v>
      </c>
      <c r="B1436">
        <f t="shared" ca="1" si="22"/>
        <v>30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6" t="str">
        <f ca="1">IF(dict_zuord_Transfers_Storages[[#This Row],[kval_active]],dict_zuord_Transfers_Storages[[#This Row],[ID_Storages]],"")</f>
        <v/>
      </c>
    </row>
    <row r="1437" spans="1:4" x14ac:dyDescent="0.45">
      <c r="A1437">
        <v>159</v>
      </c>
      <c r="B1437">
        <f t="shared" ca="1" si="22"/>
        <v>35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7" t="str">
        <f ca="1">IF(dict_zuord_Transfers_Storages[[#This Row],[kval_active]],dict_zuord_Transfers_Storages[[#This Row],[ID_Storages]],"")</f>
        <v/>
      </c>
    </row>
    <row r="1438" spans="1:4" x14ac:dyDescent="0.45">
      <c r="A1438">
        <v>159</v>
      </c>
      <c r="B1438">
        <f t="shared" ca="1" si="22"/>
        <v>74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8" t="str">
        <f ca="1">IF(dict_zuord_Transfers_Storages[[#This Row],[kval_active]],dict_zuord_Transfers_Storages[[#This Row],[ID_Storages]],"")</f>
        <v/>
      </c>
    </row>
    <row r="1439" spans="1:4" x14ac:dyDescent="0.45">
      <c r="A1439">
        <v>159</v>
      </c>
      <c r="B1439">
        <f t="shared" ca="1" si="22"/>
        <v>98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9" t="str">
        <f ca="1">IF(dict_zuord_Transfers_Storages[[#This Row],[kval_active]],dict_zuord_Transfers_Storages[[#This Row],[ID_Storages]],"")</f>
        <v/>
      </c>
    </row>
    <row r="1440" spans="1:4" x14ac:dyDescent="0.45">
      <c r="A1440">
        <v>159</v>
      </c>
      <c r="B1440">
        <f t="shared" ca="1" si="22"/>
        <v>79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0" t="str">
        <f ca="1">IF(dict_zuord_Transfers_Storages[[#This Row],[kval_active]],dict_zuord_Transfers_Storages[[#This Row],[ID_Storages]],"")</f>
        <v/>
      </c>
    </row>
    <row r="1441" spans="1:4" x14ac:dyDescent="0.45">
      <c r="A1441">
        <v>159</v>
      </c>
      <c r="B1441">
        <f t="shared" ca="1" si="22"/>
        <v>43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1" t="str">
        <f ca="1">IF(dict_zuord_Transfers_Storages[[#This Row],[kval_active]],dict_zuord_Transfers_Storages[[#This Row],[ID_Storages]],"")</f>
        <v/>
      </c>
    </row>
    <row r="1442" spans="1:4" x14ac:dyDescent="0.45">
      <c r="A1442">
        <v>160</v>
      </c>
      <c r="B1442">
        <f t="shared" ca="1" si="22"/>
        <v>75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2">
        <f ca="1">IF(dict_zuord_Transfers_Storages[[#This Row],[kval_active]],dict_zuord_Transfers_Storages[[#This Row],[ID_Storages]],"")</f>
        <v>75</v>
      </c>
    </row>
    <row r="1443" spans="1:4" x14ac:dyDescent="0.45">
      <c r="A1443">
        <v>160</v>
      </c>
      <c r="B1443">
        <f t="shared" ca="1" si="22"/>
        <v>62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3">
        <f ca="1">IF(dict_zuord_Transfers_Storages[[#This Row],[kval_active]],dict_zuord_Transfers_Storages[[#This Row],[ID_Storages]],"")</f>
        <v>62</v>
      </c>
    </row>
    <row r="1444" spans="1:4" x14ac:dyDescent="0.45">
      <c r="A1444">
        <v>160</v>
      </c>
      <c r="B1444">
        <f t="shared" ca="1" si="22"/>
        <v>35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4">
        <f ca="1">IF(dict_zuord_Transfers_Storages[[#This Row],[kval_active]],dict_zuord_Transfers_Storages[[#This Row],[ID_Storages]],"")</f>
        <v>35</v>
      </c>
    </row>
    <row r="1445" spans="1:4" x14ac:dyDescent="0.45">
      <c r="A1445">
        <v>160</v>
      </c>
      <c r="B1445">
        <f t="shared" ca="1" si="22"/>
        <v>24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5">
        <f ca="1">IF(dict_zuord_Transfers_Storages[[#This Row],[kval_active]],dict_zuord_Transfers_Storages[[#This Row],[ID_Storages]],"")</f>
        <v>24</v>
      </c>
    </row>
    <row r="1446" spans="1:4" x14ac:dyDescent="0.45">
      <c r="A1446">
        <v>160</v>
      </c>
      <c r="B1446">
        <f t="shared" ca="1" si="22"/>
        <v>85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6">
        <f ca="1">IF(dict_zuord_Transfers_Storages[[#This Row],[kval_active]],dict_zuord_Transfers_Storages[[#This Row],[ID_Storages]],"")</f>
        <v>85</v>
      </c>
    </row>
    <row r="1447" spans="1:4" x14ac:dyDescent="0.45">
      <c r="A1447">
        <v>160</v>
      </c>
      <c r="B1447">
        <f t="shared" ca="1" si="22"/>
        <v>78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7">
        <f ca="1">IF(dict_zuord_Transfers_Storages[[#This Row],[kval_active]],dict_zuord_Transfers_Storages[[#This Row],[ID_Storages]],"")</f>
        <v>78</v>
      </c>
    </row>
    <row r="1448" spans="1:4" x14ac:dyDescent="0.45">
      <c r="A1448">
        <v>160</v>
      </c>
      <c r="B1448">
        <f t="shared" ca="1" si="22"/>
        <v>22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8">
        <f ca="1">IF(dict_zuord_Transfers_Storages[[#This Row],[kval_active]],dict_zuord_Transfers_Storages[[#This Row],[ID_Storages]],"")</f>
        <v>22</v>
      </c>
    </row>
    <row r="1449" spans="1:4" x14ac:dyDescent="0.45">
      <c r="A1449">
        <v>160</v>
      </c>
      <c r="B1449">
        <f t="shared" ca="1" si="22"/>
        <v>32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9">
        <f ca="1">IF(dict_zuord_Transfers_Storages[[#This Row],[kval_active]],dict_zuord_Transfers_Storages[[#This Row],[ID_Storages]],"")</f>
        <v>32</v>
      </c>
    </row>
    <row r="1450" spans="1:4" x14ac:dyDescent="0.45">
      <c r="A1450">
        <v>160</v>
      </c>
      <c r="B1450">
        <f t="shared" ca="1" si="22"/>
        <v>29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0">
        <f ca="1">IF(dict_zuord_Transfers_Storages[[#This Row],[kval_active]],dict_zuord_Transfers_Storages[[#This Row],[ID_Storages]],"")</f>
        <v>29</v>
      </c>
    </row>
    <row r="1451" spans="1:4" x14ac:dyDescent="0.45">
      <c r="A1451">
        <v>161</v>
      </c>
      <c r="B1451">
        <f t="shared" ca="1" si="22"/>
        <v>76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1">
        <f ca="1">IF(dict_zuord_Transfers_Storages[[#This Row],[kval_active]],dict_zuord_Transfers_Storages[[#This Row],[ID_Storages]],"")</f>
        <v>76</v>
      </c>
    </row>
    <row r="1452" spans="1:4" x14ac:dyDescent="0.45">
      <c r="A1452">
        <v>161</v>
      </c>
      <c r="B1452">
        <f t="shared" ca="1" si="22"/>
        <v>31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2">
        <f ca="1">IF(dict_zuord_Transfers_Storages[[#This Row],[kval_active]],dict_zuord_Transfers_Storages[[#This Row],[ID_Storages]],"")</f>
        <v>31</v>
      </c>
    </row>
    <row r="1453" spans="1:4" x14ac:dyDescent="0.45">
      <c r="A1453">
        <v>161</v>
      </c>
      <c r="B1453">
        <f t="shared" ca="1" si="22"/>
        <v>24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3">
        <f ca="1">IF(dict_zuord_Transfers_Storages[[#This Row],[kval_active]],dict_zuord_Transfers_Storages[[#This Row],[ID_Storages]],"")</f>
        <v>24</v>
      </c>
    </row>
    <row r="1454" spans="1:4" x14ac:dyDescent="0.45">
      <c r="A1454">
        <v>161</v>
      </c>
      <c r="B1454">
        <f t="shared" ca="1" si="22"/>
        <v>57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4">
        <f ca="1">IF(dict_zuord_Transfers_Storages[[#This Row],[kval_active]],dict_zuord_Transfers_Storages[[#This Row],[ID_Storages]],"")</f>
        <v>57</v>
      </c>
    </row>
    <row r="1455" spans="1:4" x14ac:dyDescent="0.45">
      <c r="A1455">
        <v>161</v>
      </c>
      <c r="B1455">
        <f t="shared" ca="1" si="22"/>
        <v>85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5">
        <f ca="1">IF(dict_zuord_Transfers_Storages[[#This Row],[kval_active]],dict_zuord_Transfers_Storages[[#This Row],[ID_Storages]],"")</f>
        <v>85</v>
      </c>
    </row>
    <row r="1456" spans="1:4" x14ac:dyDescent="0.45">
      <c r="A1456">
        <v>161</v>
      </c>
      <c r="B1456">
        <f t="shared" ca="1" si="22"/>
        <v>95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6">
        <f ca="1">IF(dict_zuord_Transfers_Storages[[#This Row],[kval_active]],dict_zuord_Transfers_Storages[[#This Row],[ID_Storages]],"")</f>
        <v>95</v>
      </c>
    </row>
    <row r="1457" spans="1:4" x14ac:dyDescent="0.45">
      <c r="A1457">
        <v>161</v>
      </c>
      <c r="B1457">
        <f t="shared" ca="1" si="22"/>
        <v>16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7">
        <f ca="1">IF(dict_zuord_Transfers_Storages[[#This Row],[kval_active]],dict_zuord_Transfers_Storages[[#This Row],[ID_Storages]],"")</f>
        <v>16</v>
      </c>
    </row>
    <row r="1458" spans="1:4" x14ac:dyDescent="0.45">
      <c r="A1458">
        <v>161</v>
      </c>
      <c r="B1458">
        <f t="shared" ca="1" si="22"/>
        <v>54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8">
        <f ca="1">IF(dict_zuord_Transfers_Storages[[#This Row],[kval_active]],dict_zuord_Transfers_Storages[[#This Row],[ID_Storages]],"")</f>
        <v>54</v>
      </c>
    </row>
    <row r="1459" spans="1:4" x14ac:dyDescent="0.45">
      <c r="A1459">
        <v>161</v>
      </c>
      <c r="B1459">
        <f t="shared" ca="1" si="22"/>
        <v>99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9">
        <f ca="1">IF(dict_zuord_Transfers_Storages[[#This Row],[kval_active]],dict_zuord_Transfers_Storages[[#This Row],[ID_Storages]],"")</f>
        <v>99</v>
      </c>
    </row>
    <row r="1460" spans="1:4" x14ac:dyDescent="0.45">
      <c r="A1460">
        <v>162</v>
      </c>
      <c r="B1460">
        <f t="shared" ca="1" si="22"/>
        <v>59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0" t="str">
        <f ca="1">IF(dict_zuord_Transfers_Storages[[#This Row],[kval_active]],dict_zuord_Transfers_Storages[[#This Row],[ID_Storages]],"")</f>
        <v/>
      </c>
    </row>
    <row r="1461" spans="1:4" x14ac:dyDescent="0.45">
      <c r="A1461">
        <v>162</v>
      </c>
      <c r="B1461">
        <f t="shared" ca="1" si="22"/>
        <v>58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1" t="str">
        <f ca="1">IF(dict_zuord_Transfers_Storages[[#This Row],[kval_active]],dict_zuord_Transfers_Storages[[#This Row],[ID_Storages]],"")</f>
        <v/>
      </c>
    </row>
    <row r="1462" spans="1:4" x14ac:dyDescent="0.45">
      <c r="A1462">
        <v>162</v>
      </c>
      <c r="B1462">
        <f t="shared" ca="1" si="22"/>
        <v>67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2" t="str">
        <f ca="1">IF(dict_zuord_Transfers_Storages[[#This Row],[kval_active]],dict_zuord_Transfers_Storages[[#This Row],[ID_Storages]],"")</f>
        <v/>
      </c>
    </row>
    <row r="1463" spans="1:4" x14ac:dyDescent="0.45">
      <c r="A1463">
        <v>162</v>
      </c>
      <c r="B1463">
        <f t="shared" ca="1" si="22"/>
        <v>42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3" t="str">
        <f ca="1">IF(dict_zuord_Transfers_Storages[[#This Row],[kval_active]],dict_zuord_Transfers_Storages[[#This Row],[ID_Storages]],"")</f>
        <v/>
      </c>
    </row>
    <row r="1464" spans="1:4" x14ac:dyDescent="0.45">
      <c r="A1464">
        <v>162</v>
      </c>
      <c r="B1464">
        <f t="shared" ca="1" si="22"/>
        <v>20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4" t="str">
        <f ca="1">IF(dict_zuord_Transfers_Storages[[#This Row],[kval_active]],dict_zuord_Transfers_Storages[[#This Row],[ID_Storages]],"")</f>
        <v/>
      </c>
    </row>
    <row r="1465" spans="1:4" x14ac:dyDescent="0.45">
      <c r="A1465">
        <v>162</v>
      </c>
      <c r="B1465">
        <f t="shared" ca="1" si="22"/>
        <v>22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5" t="str">
        <f ca="1">IF(dict_zuord_Transfers_Storages[[#This Row],[kval_active]],dict_zuord_Transfers_Storages[[#This Row],[ID_Storages]],"")</f>
        <v/>
      </c>
    </row>
    <row r="1466" spans="1:4" x14ac:dyDescent="0.45">
      <c r="A1466">
        <v>162</v>
      </c>
      <c r="B1466">
        <f t="shared" ca="1" si="22"/>
        <v>54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6" t="str">
        <f ca="1">IF(dict_zuord_Transfers_Storages[[#This Row],[kval_active]],dict_zuord_Transfers_Storages[[#This Row],[ID_Storages]],"")</f>
        <v/>
      </c>
    </row>
    <row r="1467" spans="1:4" x14ac:dyDescent="0.45">
      <c r="A1467">
        <v>162</v>
      </c>
      <c r="B1467">
        <f t="shared" ca="1" si="22"/>
        <v>49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7" t="str">
        <f ca="1">IF(dict_zuord_Transfers_Storages[[#This Row],[kval_active]],dict_zuord_Transfers_Storages[[#This Row],[ID_Storages]],"")</f>
        <v/>
      </c>
    </row>
    <row r="1468" spans="1:4" x14ac:dyDescent="0.45">
      <c r="A1468">
        <v>162</v>
      </c>
      <c r="B1468">
        <f t="shared" ca="1" si="22"/>
        <v>17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8" t="str">
        <f ca="1">IF(dict_zuord_Transfers_Storages[[#This Row],[kval_active]],dict_zuord_Transfers_Storages[[#This Row],[ID_Storages]],"")</f>
        <v/>
      </c>
    </row>
    <row r="1469" spans="1:4" x14ac:dyDescent="0.45">
      <c r="A1469">
        <v>163</v>
      </c>
      <c r="B1469">
        <f t="shared" ca="1" si="22"/>
        <v>72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9" t="str">
        <f ca="1">IF(dict_zuord_Transfers_Storages[[#This Row],[kval_active]],dict_zuord_Transfers_Storages[[#This Row],[ID_Storages]],"")</f>
        <v/>
      </c>
    </row>
    <row r="1470" spans="1:4" x14ac:dyDescent="0.45">
      <c r="A1470">
        <v>163</v>
      </c>
      <c r="B1470">
        <f t="shared" ca="1" si="22"/>
        <v>29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0" t="str">
        <f ca="1">IF(dict_zuord_Transfers_Storages[[#This Row],[kval_active]],dict_zuord_Transfers_Storages[[#This Row],[ID_Storages]],"")</f>
        <v/>
      </c>
    </row>
    <row r="1471" spans="1:4" x14ac:dyDescent="0.45">
      <c r="A1471">
        <v>163</v>
      </c>
      <c r="B1471">
        <f t="shared" ca="1" si="22"/>
        <v>22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1" t="str">
        <f ca="1">IF(dict_zuord_Transfers_Storages[[#This Row],[kval_active]],dict_zuord_Transfers_Storages[[#This Row],[ID_Storages]],"")</f>
        <v/>
      </c>
    </row>
    <row r="1472" spans="1:4" x14ac:dyDescent="0.45">
      <c r="A1472">
        <v>163</v>
      </c>
      <c r="B1472">
        <f t="shared" ca="1" si="22"/>
        <v>8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2" t="str">
        <f ca="1">IF(dict_zuord_Transfers_Storages[[#This Row],[kval_active]],dict_zuord_Transfers_Storages[[#This Row],[ID_Storages]],"")</f>
        <v/>
      </c>
    </row>
    <row r="1473" spans="1:4" x14ac:dyDescent="0.45">
      <c r="A1473">
        <v>163</v>
      </c>
      <c r="B1473">
        <f t="shared" ca="1" si="22"/>
        <v>30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3" t="str">
        <f ca="1">IF(dict_zuord_Transfers_Storages[[#This Row],[kval_active]],dict_zuord_Transfers_Storages[[#This Row],[ID_Storages]],"")</f>
        <v/>
      </c>
    </row>
    <row r="1474" spans="1:4" x14ac:dyDescent="0.45">
      <c r="A1474">
        <v>163</v>
      </c>
      <c r="B1474">
        <f t="shared" ref="B1474:B1537" ca="1" si="23">RANDBETWEEN(0,100)</f>
        <v>26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4" t="str">
        <f ca="1">IF(dict_zuord_Transfers_Storages[[#This Row],[kval_active]],dict_zuord_Transfers_Storages[[#This Row],[ID_Storages]],"")</f>
        <v/>
      </c>
    </row>
    <row r="1475" spans="1:4" x14ac:dyDescent="0.45">
      <c r="A1475">
        <v>163</v>
      </c>
      <c r="B1475">
        <f t="shared" ca="1" si="23"/>
        <v>83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5" t="str">
        <f ca="1">IF(dict_zuord_Transfers_Storages[[#This Row],[kval_active]],dict_zuord_Transfers_Storages[[#This Row],[ID_Storages]],"")</f>
        <v/>
      </c>
    </row>
    <row r="1476" spans="1:4" x14ac:dyDescent="0.45">
      <c r="A1476">
        <v>163</v>
      </c>
      <c r="B1476">
        <f t="shared" ca="1" si="23"/>
        <v>26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6" t="str">
        <f ca="1">IF(dict_zuord_Transfers_Storages[[#This Row],[kval_active]],dict_zuord_Transfers_Storages[[#This Row],[ID_Storages]],"")</f>
        <v/>
      </c>
    </row>
    <row r="1477" spans="1:4" x14ac:dyDescent="0.45">
      <c r="A1477">
        <v>163</v>
      </c>
      <c r="B1477">
        <f t="shared" ca="1" si="23"/>
        <v>42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7" t="str">
        <f ca="1">IF(dict_zuord_Transfers_Storages[[#This Row],[kval_active]],dict_zuord_Transfers_Storages[[#This Row],[ID_Storages]],"")</f>
        <v/>
      </c>
    </row>
    <row r="1478" spans="1:4" x14ac:dyDescent="0.45">
      <c r="A1478">
        <v>164</v>
      </c>
      <c r="B1478">
        <f t="shared" ca="1" si="23"/>
        <v>0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8">
        <f ca="1">IF(dict_zuord_Transfers_Storages[[#This Row],[kval_active]],dict_zuord_Transfers_Storages[[#This Row],[ID_Storages]],"")</f>
        <v>0</v>
      </c>
    </row>
    <row r="1479" spans="1:4" x14ac:dyDescent="0.45">
      <c r="A1479">
        <v>164</v>
      </c>
      <c r="B1479">
        <f t="shared" ca="1" si="23"/>
        <v>55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9">
        <f ca="1">IF(dict_zuord_Transfers_Storages[[#This Row],[kval_active]],dict_zuord_Transfers_Storages[[#This Row],[ID_Storages]],"")</f>
        <v>55</v>
      </c>
    </row>
    <row r="1480" spans="1:4" x14ac:dyDescent="0.45">
      <c r="A1480">
        <v>164</v>
      </c>
      <c r="B1480">
        <f t="shared" ca="1" si="23"/>
        <v>23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0">
        <f ca="1">IF(dict_zuord_Transfers_Storages[[#This Row],[kval_active]],dict_zuord_Transfers_Storages[[#This Row],[ID_Storages]],"")</f>
        <v>23</v>
      </c>
    </row>
    <row r="1481" spans="1:4" x14ac:dyDescent="0.45">
      <c r="A1481">
        <v>164</v>
      </c>
      <c r="B1481">
        <f t="shared" ca="1" si="23"/>
        <v>4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1">
        <f ca="1">IF(dict_zuord_Transfers_Storages[[#This Row],[kval_active]],dict_zuord_Transfers_Storages[[#This Row],[ID_Storages]],"")</f>
        <v>4</v>
      </c>
    </row>
    <row r="1482" spans="1:4" x14ac:dyDescent="0.45">
      <c r="A1482">
        <v>164</v>
      </c>
      <c r="B1482">
        <f t="shared" ca="1" si="23"/>
        <v>11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2">
        <f ca="1">IF(dict_zuord_Transfers_Storages[[#This Row],[kval_active]],dict_zuord_Transfers_Storages[[#This Row],[ID_Storages]],"")</f>
        <v>11</v>
      </c>
    </row>
    <row r="1483" spans="1:4" x14ac:dyDescent="0.45">
      <c r="A1483">
        <v>164</v>
      </c>
      <c r="B1483">
        <f t="shared" ca="1" si="23"/>
        <v>31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3">
        <f ca="1">IF(dict_zuord_Transfers_Storages[[#This Row],[kval_active]],dict_zuord_Transfers_Storages[[#This Row],[ID_Storages]],"")</f>
        <v>31</v>
      </c>
    </row>
    <row r="1484" spans="1:4" x14ac:dyDescent="0.45">
      <c r="A1484">
        <v>164</v>
      </c>
      <c r="B1484">
        <f t="shared" ca="1" si="23"/>
        <v>65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4">
        <f ca="1">IF(dict_zuord_Transfers_Storages[[#This Row],[kval_active]],dict_zuord_Transfers_Storages[[#This Row],[ID_Storages]],"")</f>
        <v>65</v>
      </c>
    </row>
    <row r="1485" spans="1:4" x14ac:dyDescent="0.45">
      <c r="A1485">
        <v>164</v>
      </c>
      <c r="B1485">
        <f t="shared" ca="1" si="23"/>
        <v>50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5">
        <f ca="1">IF(dict_zuord_Transfers_Storages[[#This Row],[kval_active]],dict_zuord_Transfers_Storages[[#This Row],[ID_Storages]],"")</f>
        <v>50</v>
      </c>
    </row>
    <row r="1486" spans="1:4" x14ac:dyDescent="0.45">
      <c r="A1486">
        <v>164</v>
      </c>
      <c r="B1486">
        <f t="shared" ca="1" si="23"/>
        <v>40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6">
        <f ca="1">IF(dict_zuord_Transfers_Storages[[#This Row],[kval_active]],dict_zuord_Transfers_Storages[[#This Row],[ID_Storages]],"")</f>
        <v>40</v>
      </c>
    </row>
    <row r="1487" spans="1:4" x14ac:dyDescent="0.45">
      <c r="A1487">
        <v>165</v>
      </c>
      <c r="B1487">
        <f t="shared" ca="1" si="23"/>
        <v>36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7">
        <f ca="1">IF(dict_zuord_Transfers_Storages[[#This Row],[kval_active]],dict_zuord_Transfers_Storages[[#This Row],[ID_Storages]],"")</f>
        <v>36</v>
      </c>
    </row>
    <row r="1488" spans="1:4" x14ac:dyDescent="0.45">
      <c r="A1488">
        <v>165</v>
      </c>
      <c r="B1488">
        <f t="shared" ca="1" si="23"/>
        <v>12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8">
        <f ca="1">IF(dict_zuord_Transfers_Storages[[#This Row],[kval_active]],dict_zuord_Transfers_Storages[[#This Row],[ID_Storages]],"")</f>
        <v>12</v>
      </c>
    </row>
    <row r="1489" spans="1:4" x14ac:dyDescent="0.45">
      <c r="A1489">
        <v>165</v>
      </c>
      <c r="B1489">
        <f t="shared" ca="1" si="23"/>
        <v>15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9">
        <f ca="1">IF(dict_zuord_Transfers_Storages[[#This Row],[kval_active]],dict_zuord_Transfers_Storages[[#This Row],[ID_Storages]],"")</f>
        <v>15</v>
      </c>
    </row>
    <row r="1490" spans="1:4" x14ac:dyDescent="0.45">
      <c r="A1490">
        <v>165</v>
      </c>
      <c r="B1490">
        <f t="shared" ca="1" si="23"/>
        <v>34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0">
        <f ca="1">IF(dict_zuord_Transfers_Storages[[#This Row],[kval_active]],dict_zuord_Transfers_Storages[[#This Row],[ID_Storages]],"")</f>
        <v>34</v>
      </c>
    </row>
    <row r="1491" spans="1:4" x14ac:dyDescent="0.45">
      <c r="A1491">
        <v>165</v>
      </c>
      <c r="B1491">
        <f t="shared" ca="1" si="23"/>
        <v>97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1">
        <f ca="1">IF(dict_zuord_Transfers_Storages[[#This Row],[kval_active]],dict_zuord_Transfers_Storages[[#This Row],[ID_Storages]],"")</f>
        <v>97</v>
      </c>
    </row>
    <row r="1492" spans="1:4" x14ac:dyDescent="0.45">
      <c r="A1492">
        <v>165</v>
      </c>
      <c r="B1492">
        <f t="shared" ca="1" si="23"/>
        <v>74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2">
        <f ca="1">IF(dict_zuord_Transfers_Storages[[#This Row],[kval_active]],dict_zuord_Transfers_Storages[[#This Row],[ID_Storages]],"")</f>
        <v>74</v>
      </c>
    </row>
    <row r="1493" spans="1:4" x14ac:dyDescent="0.45">
      <c r="A1493">
        <v>165</v>
      </c>
      <c r="B1493">
        <f t="shared" ca="1" si="23"/>
        <v>90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3">
        <f ca="1">IF(dict_zuord_Transfers_Storages[[#This Row],[kval_active]],dict_zuord_Transfers_Storages[[#This Row],[ID_Storages]],"")</f>
        <v>90</v>
      </c>
    </row>
    <row r="1494" spans="1:4" x14ac:dyDescent="0.45">
      <c r="A1494">
        <v>165</v>
      </c>
      <c r="B1494">
        <f t="shared" ca="1" si="23"/>
        <v>50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4">
        <f ca="1">IF(dict_zuord_Transfers_Storages[[#This Row],[kval_active]],dict_zuord_Transfers_Storages[[#This Row],[ID_Storages]],"")</f>
        <v>50</v>
      </c>
    </row>
    <row r="1495" spans="1:4" x14ac:dyDescent="0.45">
      <c r="A1495">
        <v>165</v>
      </c>
      <c r="B1495">
        <f t="shared" ca="1" si="23"/>
        <v>16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5">
        <f ca="1">IF(dict_zuord_Transfers_Storages[[#This Row],[kval_active]],dict_zuord_Transfers_Storages[[#This Row],[ID_Storages]],"")</f>
        <v>16</v>
      </c>
    </row>
    <row r="1496" spans="1:4" x14ac:dyDescent="0.45">
      <c r="A1496">
        <v>166</v>
      </c>
      <c r="B1496">
        <f t="shared" ca="1" si="23"/>
        <v>68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6">
        <f ca="1">IF(dict_zuord_Transfers_Storages[[#This Row],[kval_active]],dict_zuord_Transfers_Storages[[#This Row],[ID_Storages]],"")</f>
        <v>68</v>
      </c>
    </row>
    <row r="1497" spans="1:4" x14ac:dyDescent="0.45">
      <c r="A1497">
        <v>166</v>
      </c>
      <c r="B1497">
        <f t="shared" ca="1" si="23"/>
        <v>36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7">
        <f ca="1">IF(dict_zuord_Transfers_Storages[[#This Row],[kval_active]],dict_zuord_Transfers_Storages[[#This Row],[ID_Storages]],"")</f>
        <v>36</v>
      </c>
    </row>
    <row r="1498" spans="1:4" x14ac:dyDescent="0.45">
      <c r="A1498">
        <v>166</v>
      </c>
      <c r="B1498">
        <f t="shared" ca="1" si="23"/>
        <v>43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8">
        <f ca="1">IF(dict_zuord_Transfers_Storages[[#This Row],[kval_active]],dict_zuord_Transfers_Storages[[#This Row],[ID_Storages]],"")</f>
        <v>43</v>
      </c>
    </row>
    <row r="1499" spans="1:4" x14ac:dyDescent="0.45">
      <c r="A1499">
        <v>166</v>
      </c>
      <c r="B1499">
        <f t="shared" ca="1" si="23"/>
        <v>34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9">
        <f ca="1">IF(dict_zuord_Transfers_Storages[[#This Row],[kval_active]],dict_zuord_Transfers_Storages[[#This Row],[ID_Storages]],"")</f>
        <v>34</v>
      </c>
    </row>
    <row r="1500" spans="1:4" x14ac:dyDescent="0.45">
      <c r="A1500">
        <v>166</v>
      </c>
      <c r="B1500">
        <f t="shared" ca="1" si="23"/>
        <v>28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0">
        <f ca="1">IF(dict_zuord_Transfers_Storages[[#This Row],[kval_active]],dict_zuord_Transfers_Storages[[#This Row],[ID_Storages]],"")</f>
        <v>28</v>
      </c>
    </row>
    <row r="1501" spans="1:4" x14ac:dyDescent="0.45">
      <c r="A1501">
        <v>166</v>
      </c>
      <c r="B1501">
        <f t="shared" ca="1" si="23"/>
        <v>64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1">
        <f ca="1">IF(dict_zuord_Transfers_Storages[[#This Row],[kval_active]],dict_zuord_Transfers_Storages[[#This Row],[ID_Storages]],"")</f>
        <v>64</v>
      </c>
    </row>
    <row r="1502" spans="1:4" x14ac:dyDescent="0.45">
      <c r="A1502">
        <v>166</v>
      </c>
      <c r="B1502">
        <f t="shared" ca="1" si="23"/>
        <v>75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2">
        <f ca="1">IF(dict_zuord_Transfers_Storages[[#This Row],[kval_active]],dict_zuord_Transfers_Storages[[#This Row],[ID_Storages]],"")</f>
        <v>75</v>
      </c>
    </row>
    <row r="1503" spans="1:4" x14ac:dyDescent="0.45">
      <c r="A1503">
        <v>166</v>
      </c>
      <c r="B1503">
        <f t="shared" ca="1" si="23"/>
        <v>54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3">
        <f ca="1">IF(dict_zuord_Transfers_Storages[[#This Row],[kval_active]],dict_zuord_Transfers_Storages[[#This Row],[ID_Storages]],"")</f>
        <v>54</v>
      </c>
    </row>
    <row r="1504" spans="1:4" x14ac:dyDescent="0.45">
      <c r="A1504">
        <v>166</v>
      </c>
      <c r="B1504">
        <f t="shared" ca="1" si="23"/>
        <v>31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4">
        <f ca="1">IF(dict_zuord_Transfers_Storages[[#This Row],[kval_active]],dict_zuord_Transfers_Storages[[#This Row],[ID_Storages]],"")</f>
        <v>31</v>
      </c>
    </row>
    <row r="1505" spans="1:4" x14ac:dyDescent="0.45">
      <c r="A1505">
        <v>167</v>
      </c>
      <c r="B1505">
        <f t="shared" ca="1" si="23"/>
        <v>67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5" t="str">
        <f ca="1">IF(dict_zuord_Transfers_Storages[[#This Row],[kval_active]],dict_zuord_Transfers_Storages[[#This Row],[ID_Storages]],"")</f>
        <v/>
      </c>
    </row>
    <row r="1506" spans="1:4" x14ac:dyDescent="0.45">
      <c r="A1506">
        <v>167</v>
      </c>
      <c r="B1506">
        <f t="shared" ca="1" si="23"/>
        <v>51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6" t="str">
        <f ca="1">IF(dict_zuord_Transfers_Storages[[#This Row],[kval_active]],dict_zuord_Transfers_Storages[[#This Row],[ID_Storages]],"")</f>
        <v/>
      </c>
    </row>
    <row r="1507" spans="1:4" x14ac:dyDescent="0.45">
      <c r="A1507">
        <v>167</v>
      </c>
      <c r="B1507">
        <f t="shared" ca="1" si="23"/>
        <v>99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7" t="str">
        <f ca="1">IF(dict_zuord_Transfers_Storages[[#This Row],[kval_active]],dict_zuord_Transfers_Storages[[#This Row],[ID_Storages]],"")</f>
        <v/>
      </c>
    </row>
    <row r="1508" spans="1:4" x14ac:dyDescent="0.45">
      <c r="A1508">
        <v>167</v>
      </c>
      <c r="B1508">
        <f t="shared" ca="1" si="23"/>
        <v>28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8" t="str">
        <f ca="1">IF(dict_zuord_Transfers_Storages[[#This Row],[kval_active]],dict_zuord_Transfers_Storages[[#This Row],[ID_Storages]],"")</f>
        <v/>
      </c>
    </row>
    <row r="1509" spans="1:4" x14ac:dyDescent="0.45">
      <c r="A1509">
        <v>167</v>
      </c>
      <c r="B1509">
        <f t="shared" ca="1" si="23"/>
        <v>24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9" t="str">
        <f ca="1">IF(dict_zuord_Transfers_Storages[[#This Row],[kval_active]],dict_zuord_Transfers_Storages[[#This Row],[ID_Storages]],"")</f>
        <v/>
      </c>
    </row>
    <row r="1510" spans="1:4" x14ac:dyDescent="0.45">
      <c r="A1510">
        <v>167</v>
      </c>
      <c r="B1510">
        <f t="shared" ca="1" si="23"/>
        <v>75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0" t="str">
        <f ca="1">IF(dict_zuord_Transfers_Storages[[#This Row],[kval_active]],dict_zuord_Transfers_Storages[[#This Row],[ID_Storages]],"")</f>
        <v/>
      </c>
    </row>
    <row r="1511" spans="1:4" x14ac:dyDescent="0.45">
      <c r="A1511">
        <v>167</v>
      </c>
      <c r="B1511">
        <f t="shared" ca="1" si="23"/>
        <v>40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1" t="str">
        <f ca="1">IF(dict_zuord_Transfers_Storages[[#This Row],[kval_active]],dict_zuord_Transfers_Storages[[#This Row],[ID_Storages]],"")</f>
        <v/>
      </c>
    </row>
    <row r="1512" spans="1:4" x14ac:dyDescent="0.45">
      <c r="A1512">
        <v>167</v>
      </c>
      <c r="B1512">
        <f t="shared" ca="1" si="23"/>
        <v>56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2" t="str">
        <f ca="1">IF(dict_zuord_Transfers_Storages[[#This Row],[kval_active]],dict_zuord_Transfers_Storages[[#This Row],[ID_Storages]],"")</f>
        <v/>
      </c>
    </row>
    <row r="1513" spans="1:4" x14ac:dyDescent="0.45">
      <c r="A1513">
        <v>167</v>
      </c>
      <c r="B1513">
        <f t="shared" ca="1" si="23"/>
        <v>35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3" t="str">
        <f ca="1">IF(dict_zuord_Transfers_Storages[[#This Row],[kval_active]],dict_zuord_Transfers_Storages[[#This Row],[ID_Storages]],"")</f>
        <v/>
      </c>
    </row>
    <row r="1514" spans="1:4" x14ac:dyDescent="0.45">
      <c r="A1514">
        <v>168</v>
      </c>
      <c r="B1514">
        <f t="shared" ca="1" si="23"/>
        <v>79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4">
        <f ca="1">IF(dict_zuord_Transfers_Storages[[#This Row],[kval_active]],dict_zuord_Transfers_Storages[[#This Row],[ID_Storages]],"")</f>
        <v>79</v>
      </c>
    </row>
    <row r="1515" spans="1:4" x14ac:dyDescent="0.45">
      <c r="A1515">
        <v>168</v>
      </c>
      <c r="B1515">
        <f t="shared" ca="1" si="23"/>
        <v>44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5">
        <f ca="1">IF(dict_zuord_Transfers_Storages[[#This Row],[kval_active]],dict_zuord_Transfers_Storages[[#This Row],[ID_Storages]],"")</f>
        <v>44</v>
      </c>
    </row>
    <row r="1516" spans="1:4" x14ac:dyDescent="0.45">
      <c r="A1516">
        <v>168</v>
      </c>
      <c r="B1516">
        <f t="shared" ca="1" si="23"/>
        <v>18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6">
        <f ca="1">IF(dict_zuord_Transfers_Storages[[#This Row],[kval_active]],dict_zuord_Transfers_Storages[[#This Row],[ID_Storages]],"")</f>
        <v>18</v>
      </c>
    </row>
    <row r="1517" spans="1:4" x14ac:dyDescent="0.45">
      <c r="A1517">
        <v>168</v>
      </c>
      <c r="B1517">
        <f t="shared" ca="1" si="23"/>
        <v>38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7">
        <f ca="1">IF(dict_zuord_Transfers_Storages[[#This Row],[kval_active]],dict_zuord_Transfers_Storages[[#This Row],[ID_Storages]],"")</f>
        <v>38</v>
      </c>
    </row>
    <row r="1518" spans="1:4" x14ac:dyDescent="0.45">
      <c r="A1518">
        <v>168</v>
      </c>
      <c r="B1518">
        <f t="shared" ca="1" si="23"/>
        <v>65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8">
        <f ca="1">IF(dict_zuord_Transfers_Storages[[#This Row],[kval_active]],dict_zuord_Transfers_Storages[[#This Row],[ID_Storages]],"")</f>
        <v>65</v>
      </c>
    </row>
    <row r="1519" spans="1:4" x14ac:dyDescent="0.45">
      <c r="A1519">
        <v>168</v>
      </c>
      <c r="B1519">
        <f t="shared" ca="1" si="23"/>
        <v>10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9">
        <f ca="1">IF(dict_zuord_Transfers_Storages[[#This Row],[kval_active]],dict_zuord_Transfers_Storages[[#This Row],[ID_Storages]],"")</f>
        <v>10</v>
      </c>
    </row>
    <row r="1520" spans="1:4" x14ac:dyDescent="0.45">
      <c r="A1520">
        <v>168</v>
      </c>
      <c r="B1520">
        <f t="shared" ca="1" si="23"/>
        <v>44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0">
        <f ca="1">IF(dict_zuord_Transfers_Storages[[#This Row],[kval_active]],dict_zuord_Transfers_Storages[[#This Row],[ID_Storages]],"")</f>
        <v>44</v>
      </c>
    </row>
    <row r="1521" spans="1:4" x14ac:dyDescent="0.45">
      <c r="A1521">
        <v>168</v>
      </c>
      <c r="B1521">
        <f t="shared" ca="1" si="23"/>
        <v>26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1">
        <f ca="1">IF(dict_zuord_Transfers_Storages[[#This Row],[kval_active]],dict_zuord_Transfers_Storages[[#This Row],[ID_Storages]],"")</f>
        <v>26</v>
      </c>
    </row>
    <row r="1522" spans="1:4" x14ac:dyDescent="0.45">
      <c r="A1522">
        <v>168</v>
      </c>
      <c r="B1522">
        <f t="shared" ca="1" si="23"/>
        <v>24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2">
        <f ca="1">IF(dict_zuord_Transfers_Storages[[#This Row],[kval_active]],dict_zuord_Transfers_Storages[[#This Row],[ID_Storages]],"")</f>
        <v>24</v>
      </c>
    </row>
    <row r="1523" spans="1:4" x14ac:dyDescent="0.45">
      <c r="A1523">
        <v>169</v>
      </c>
      <c r="B1523">
        <f t="shared" ca="1" si="23"/>
        <v>97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3">
        <f ca="1">IF(dict_zuord_Transfers_Storages[[#This Row],[kval_active]],dict_zuord_Transfers_Storages[[#This Row],[ID_Storages]],"")</f>
        <v>97</v>
      </c>
    </row>
    <row r="1524" spans="1:4" x14ac:dyDescent="0.45">
      <c r="A1524">
        <v>169</v>
      </c>
      <c r="B1524">
        <f t="shared" ca="1" si="23"/>
        <v>47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4">
        <f ca="1">IF(dict_zuord_Transfers_Storages[[#This Row],[kval_active]],dict_zuord_Transfers_Storages[[#This Row],[ID_Storages]],"")</f>
        <v>47</v>
      </c>
    </row>
    <row r="1525" spans="1:4" x14ac:dyDescent="0.45">
      <c r="A1525">
        <v>169</v>
      </c>
      <c r="B1525">
        <f t="shared" ca="1" si="23"/>
        <v>77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5">
        <f ca="1">IF(dict_zuord_Transfers_Storages[[#This Row],[kval_active]],dict_zuord_Transfers_Storages[[#This Row],[ID_Storages]],"")</f>
        <v>77</v>
      </c>
    </row>
    <row r="1526" spans="1:4" x14ac:dyDescent="0.45">
      <c r="A1526">
        <v>169</v>
      </c>
      <c r="B1526">
        <f t="shared" ca="1" si="23"/>
        <v>57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6">
        <f ca="1">IF(dict_zuord_Transfers_Storages[[#This Row],[kval_active]],dict_zuord_Transfers_Storages[[#This Row],[ID_Storages]],"")</f>
        <v>57</v>
      </c>
    </row>
    <row r="1527" spans="1:4" x14ac:dyDescent="0.45">
      <c r="A1527">
        <v>169</v>
      </c>
      <c r="B1527">
        <f t="shared" ca="1" si="23"/>
        <v>73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7">
        <f ca="1">IF(dict_zuord_Transfers_Storages[[#This Row],[kval_active]],dict_zuord_Transfers_Storages[[#This Row],[ID_Storages]],"")</f>
        <v>73</v>
      </c>
    </row>
    <row r="1528" spans="1:4" x14ac:dyDescent="0.45">
      <c r="A1528">
        <v>169</v>
      </c>
      <c r="B1528">
        <f t="shared" ca="1" si="23"/>
        <v>38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8">
        <f ca="1">IF(dict_zuord_Transfers_Storages[[#This Row],[kval_active]],dict_zuord_Transfers_Storages[[#This Row],[ID_Storages]],"")</f>
        <v>38</v>
      </c>
    </row>
    <row r="1529" spans="1:4" x14ac:dyDescent="0.45">
      <c r="A1529">
        <v>169</v>
      </c>
      <c r="B1529">
        <f t="shared" ca="1" si="23"/>
        <v>58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9">
        <f ca="1">IF(dict_zuord_Transfers_Storages[[#This Row],[kval_active]],dict_zuord_Transfers_Storages[[#This Row],[ID_Storages]],"")</f>
        <v>58</v>
      </c>
    </row>
    <row r="1530" spans="1:4" x14ac:dyDescent="0.45">
      <c r="A1530">
        <v>169</v>
      </c>
      <c r="B1530">
        <f t="shared" ca="1" si="23"/>
        <v>1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0">
        <f ca="1">IF(dict_zuord_Transfers_Storages[[#This Row],[kval_active]],dict_zuord_Transfers_Storages[[#This Row],[ID_Storages]],"")</f>
        <v>1</v>
      </c>
    </row>
    <row r="1531" spans="1:4" x14ac:dyDescent="0.45">
      <c r="A1531">
        <v>169</v>
      </c>
      <c r="B1531">
        <f t="shared" ca="1" si="23"/>
        <v>20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1">
        <f ca="1">IF(dict_zuord_Transfers_Storages[[#This Row],[kval_active]],dict_zuord_Transfers_Storages[[#This Row],[ID_Storages]],"")</f>
        <v>20</v>
      </c>
    </row>
    <row r="1532" spans="1:4" x14ac:dyDescent="0.45">
      <c r="A1532">
        <v>170</v>
      </c>
      <c r="B1532">
        <f t="shared" ca="1" si="23"/>
        <v>57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2">
        <f ca="1">IF(dict_zuord_Transfers_Storages[[#This Row],[kval_active]],dict_zuord_Transfers_Storages[[#This Row],[ID_Storages]],"")</f>
        <v>57</v>
      </c>
    </row>
    <row r="1533" spans="1:4" x14ac:dyDescent="0.45">
      <c r="A1533">
        <v>170</v>
      </c>
      <c r="B1533">
        <f t="shared" ca="1" si="23"/>
        <v>92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3">
        <f ca="1">IF(dict_zuord_Transfers_Storages[[#This Row],[kval_active]],dict_zuord_Transfers_Storages[[#This Row],[ID_Storages]],"")</f>
        <v>92</v>
      </c>
    </row>
    <row r="1534" spans="1:4" x14ac:dyDescent="0.45">
      <c r="A1534">
        <v>170</v>
      </c>
      <c r="B1534">
        <f t="shared" ca="1" si="23"/>
        <v>33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4">
        <f ca="1">IF(dict_zuord_Transfers_Storages[[#This Row],[kval_active]],dict_zuord_Transfers_Storages[[#This Row],[ID_Storages]],"")</f>
        <v>33</v>
      </c>
    </row>
    <row r="1535" spans="1:4" x14ac:dyDescent="0.45">
      <c r="A1535">
        <v>170</v>
      </c>
      <c r="B1535">
        <f t="shared" ca="1" si="23"/>
        <v>56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5">
        <f ca="1">IF(dict_zuord_Transfers_Storages[[#This Row],[kval_active]],dict_zuord_Transfers_Storages[[#This Row],[ID_Storages]],"")</f>
        <v>56</v>
      </c>
    </row>
    <row r="1536" spans="1:4" x14ac:dyDescent="0.45">
      <c r="A1536">
        <v>170</v>
      </c>
      <c r="B1536">
        <f t="shared" ca="1" si="23"/>
        <v>18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6">
        <f ca="1">IF(dict_zuord_Transfers_Storages[[#This Row],[kval_active]],dict_zuord_Transfers_Storages[[#This Row],[ID_Storages]],"")</f>
        <v>18</v>
      </c>
    </row>
    <row r="1537" spans="1:4" x14ac:dyDescent="0.45">
      <c r="A1537">
        <v>170</v>
      </c>
      <c r="B1537">
        <f t="shared" ca="1" si="23"/>
        <v>97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7">
        <f ca="1">IF(dict_zuord_Transfers_Storages[[#This Row],[kval_active]],dict_zuord_Transfers_Storages[[#This Row],[ID_Storages]],"")</f>
        <v>97</v>
      </c>
    </row>
    <row r="1538" spans="1:4" x14ac:dyDescent="0.45">
      <c r="A1538">
        <v>170</v>
      </c>
      <c r="B1538">
        <f t="shared" ref="B1538:B1601" ca="1" si="24">RANDBETWEEN(0,100)</f>
        <v>56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8">
        <f ca="1">IF(dict_zuord_Transfers_Storages[[#This Row],[kval_active]],dict_zuord_Transfers_Storages[[#This Row],[ID_Storages]],"")</f>
        <v>56</v>
      </c>
    </row>
    <row r="1539" spans="1:4" x14ac:dyDescent="0.45">
      <c r="A1539">
        <v>170</v>
      </c>
      <c r="B1539">
        <f t="shared" ca="1" si="24"/>
        <v>50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9">
        <f ca="1">IF(dict_zuord_Transfers_Storages[[#This Row],[kval_active]],dict_zuord_Transfers_Storages[[#This Row],[ID_Storages]],"")</f>
        <v>50</v>
      </c>
    </row>
    <row r="1540" spans="1:4" x14ac:dyDescent="0.45">
      <c r="A1540">
        <v>170</v>
      </c>
      <c r="B1540">
        <f t="shared" ca="1" si="24"/>
        <v>74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0">
        <f ca="1">IF(dict_zuord_Transfers_Storages[[#This Row],[kval_active]],dict_zuord_Transfers_Storages[[#This Row],[ID_Storages]],"")</f>
        <v>74</v>
      </c>
    </row>
    <row r="1541" spans="1:4" x14ac:dyDescent="0.45">
      <c r="A1541">
        <v>171</v>
      </c>
      <c r="B1541">
        <f t="shared" ca="1" si="24"/>
        <v>49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1">
        <f ca="1">IF(dict_zuord_Transfers_Storages[[#This Row],[kval_active]],dict_zuord_Transfers_Storages[[#This Row],[ID_Storages]],"")</f>
        <v>49</v>
      </c>
    </row>
    <row r="1542" spans="1:4" x14ac:dyDescent="0.45">
      <c r="A1542">
        <v>171</v>
      </c>
      <c r="B1542">
        <f t="shared" ca="1" si="24"/>
        <v>73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2">
        <f ca="1">IF(dict_zuord_Transfers_Storages[[#This Row],[kval_active]],dict_zuord_Transfers_Storages[[#This Row],[ID_Storages]],"")</f>
        <v>73</v>
      </c>
    </row>
    <row r="1543" spans="1:4" x14ac:dyDescent="0.45">
      <c r="A1543">
        <v>171</v>
      </c>
      <c r="B1543">
        <f t="shared" ca="1" si="24"/>
        <v>82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3">
        <f ca="1">IF(dict_zuord_Transfers_Storages[[#This Row],[kval_active]],dict_zuord_Transfers_Storages[[#This Row],[ID_Storages]],"")</f>
        <v>82</v>
      </c>
    </row>
    <row r="1544" spans="1:4" x14ac:dyDescent="0.45">
      <c r="A1544">
        <v>171</v>
      </c>
      <c r="B1544">
        <f t="shared" ca="1" si="24"/>
        <v>56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4">
        <f ca="1">IF(dict_zuord_Transfers_Storages[[#This Row],[kval_active]],dict_zuord_Transfers_Storages[[#This Row],[ID_Storages]],"")</f>
        <v>56</v>
      </c>
    </row>
    <row r="1545" spans="1:4" x14ac:dyDescent="0.45">
      <c r="A1545">
        <v>171</v>
      </c>
      <c r="B1545">
        <f t="shared" ca="1" si="24"/>
        <v>21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5">
        <f ca="1">IF(dict_zuord_Transfers_Storages[[#This Row],[kval_active]],dict_zuord_Transfers_Storages[[#This Row],[ID_Storages]],"")</f>
        <v>21</v>
      </c>
    </row>
    <row r="1546" spans="1:4" x14ac:dyDescent="0.45">
      <c r="A1546">
        <v>171</v>
      </c>
      <c r="B1546">
        <f t="shared" ca="1" si="24"/>
        <v>78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6">
        <f ca="1">IF(dict_zuord_Transfers_Storages[[#This Row],[kval_active]],dict_zuord_Transfers_Storages[[#This Row],[ID_Storages]],"")</f>
        <v>78</v>
      </c>
    </row>
    <row r="1547" spans="1:4" x14ac:dyDescent="0.45">
      <c r="A1547">
        <v>171</v>
      </c>
      <c r="B1547">
        <f t="shared" ca="1" si="24"/>
        <v>20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7">
        <f ca="1">IF(dict_zuord_Transfers_Storages[[#This Row],[kval_active]],dict_zuord_Transfers_Storages[[#This Row],[ID_Storages]],"")</f>
        <v>20</v>
      </c>
    </row>
    <row r="1548" spans="1:4" x14ac:dyDescent="0.45">
      <c r="A1548">
        <v>171</v>
      </c>
      <c r="B1548">
        <f t="shared" ca="1" si="24"/>
        <v>61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8">
        <f ca="1">IF(dict_zuord_Transfers_Storages[[#This Row],[kval_active]],dict_zuord_Transfers_Storages[[#This Row],[ID_Storages]],"")</f>
        <v>61</v>
      </c>
    </row>
    <row r="1549" spans="1:4" x14ac:dyDescent="0.45">
      <c r="A1549">
        <v>171</v>
      </c>
      <c r="B1549">
        <f t="shared" ca="1" si="24"/>
        <v>46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9">
        <f ca="1">IF(dict_zuord_Transfers_Storages[[#This Row],[kval_active]],dict_zuord_Transfers_Storages[[#This Row],[ID_Storages]],"")</f>
        <v>46</v>
      </c>
    </row>
    <row r="1550" spans="1:4" x14ac:dyDescent="0.45">
      <c r="A1550">
        <v>172</v>
      </c>
      <c r="B1550">
        <f t="shared" ca="1" si="24"/>
        <v>50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0" t="str">
        <f ca="1">IF(dict_zuord_Transfers_Storages[[#This Row],[kval_active]],dict_zuord_Transfers_Storages[[#This Row],[ID_Storages]],"")</f>
        <v/>
      </c>
    </row>
    <row r="1551" spans="1:4" x14ac:dyDescent="0.45">
      <c r="A1551">
        <v>172</v>
      </c>
      <c r="B1551">
        <f t="shared" ca="1" si="24"/>
        <v>79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1" t="str">
        <f ca="1">IF(dict_zuord_Transfers_Storages[[#This Row],[kval_active]],dict_zuord_Transfers_Storages[[#This Row],[ID_Storages]],"")</f>
        <v/>
      </c>
    </row>
    <row r="1552" spans="1:4" x14ac:dyDescent="0.45">
      <c r="A1552">
        <v>172</v>
      </c>
      <c r="B1552">
        <f t="shared" ca="1" si="24"/>
        <v>57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2" t="str">
        <f ca="1">IF(dict_zuord_Transfers_Storages[[#This Row],[kval_active]],dict_zuord_Transfers_Storages[[#This Row],[ID_Storages]],"")</f>
        <v/>
      </c>
    </row>
    <row r="1553" spans="1:4" x14ac:dyDescent="0.45">
      <c r="A1553">
        <v>172</v>
      </c>
      <c r="B1553">
        <f t="shared" ca="1" si="24"/>
        <v>69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3" t="str">
        <f ca="1">IF(dict_zuord_Transfers_Storages[[#This Row],[kval_active]],dict_zuord_Transfers_Storages[[#This Row],[ID_Storages]],"")</f>
        <v/>
      </c>
    </row>
    <row r="1554" spans="1:4" x14ac:dyDescent="0.45">
      <c r="A1554">
        <v>172</v>
      </c>
      <c r="B1554">
        <f t="shared" ca="1" si="24"/>
        <v>31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4" t="str">
        <f ca="1">IF(dict_zuord_Transfers_Storages[[#This Row],[kval_active]],dict_zuord_Transfers_Storages[[#This Row],[ID_Storages]],"")</f>
        <v/>
      </c>
    </row>
    <row r="1555" spans="1:4" x14ac:dyDescent="0.45">
      <c r="A1555">
        <v>172</v>
      </c>
      <c r="B1555">
        <f t="shared" ca="1" si="24"/>
        <v>54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5" t="str">
        <f ca="1">IF(dict_zuord_Transfers_Storages[[#This Row],[kval_active]],dict_zuord_Transfers_Storages[[#This Row],[ID_Storages]],"")</f>
        <v/>
      </c>
    </row>
    <row r="1556" spans="1:4" x14ac:dyDescent="0.45">
      <c r="A1556">
        <v>172</v>
      </c>
      <c r="B1556">
        <f t="shared" ca="1" si="24"/>
        <v>91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6" t="str">
        <f ca="1">IF(dict_zuord_Transfers_Storages[[#This Row],[kval_active]],dict_zuord_Transfers_Storages[[#This Row],[ID_Storages]],"")</f>
        <v/>
      </c>
    </row>
    <row r="1557" spans="1:4" x14ac:dyDescent="0.45">
      <c r="A1557">
        <v>172</v>
      </c>
      <c r="B1557">
        <f t="shared" ca="1" si="24"/>
        <v>30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7" t="str">
        <f ca="1">IF(dict_zuord_Transfers_Storages[[#This Row],[kval_active]],dict_zuord_Transfers_Storages[[#This Row],[ID_Storages]],"")</f>
        <v/>
      </c>
    </row>
    <row r="1558" spans="1:4" x14ac:dyDescent="0.45">
      <c r="A1558">
        <v>172</v>
      </c>
      <c r="B1558">
        <f t="shared" ca="1" si="24"/>
        <v>54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8" t="str">
        <f ca="1">IF(dict_zuord_Transfers_Storages[[#This Row],[kval_active]],dict_zuord_Transfers_Storages[[#This Row],[ID_Storages]],"")</f>
        <v/>
      </c>
    </row>
    <row r="1559" spans="1:4" x14ac:dyDescent="0.45">
      <c r="A1559">
        <v>173</v>
      </c>
      <c r="B1559">
        <f t="shared" ca="1" si="24"/>
        <v>42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9" t="str">
        <f ca="1">IF(dict_zuord_Transfers_Storages[[#This Row],[kval_active]],dict_zuord_Transfers_Storages[[#This Row],[ID_Storages]],"")</f>
        <v/>
      </c>
    </row>
    <row r="1560" spans="1:4" x14ac:dyDescent="0.45">
      <c r="A1560">
        <v>173</v>
      </c>
      <c r="B1560">
        <f t="shared" ca="1" si="24"/>
        <v>31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0" t="str">
        <f ca="1">IF(dict_zuord_Transfers_Storages[[#This Row],[kval_active]],dict_zuord_Transfers_Storages[[#This Row],[ID_Storages]],"")</f>
        <v/>
      </c>
    </row>
    <row r="1561" spans="1:4" x14ac:dyDescent="0.45">
      <c r="A1561">
        <v>173</v>
      </c>
      <c r="B1561">
        <f t="shared" ca="1" si="24"/>
        <v>3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1" t="str">
        <f ca="1">IF(dict_zuord_Transfers_Storages[[#This Row],[kval_active]],dict_zuord_Transfers_Storages[[#This Row],[ID_Storages]],"")</f>
        <v/>
      </c>
    </row>
    <row r="1562" spans="1:4" x14ac:dyDescent="0.45">
      <c r="A1562">
        <v>173</v>
      </c>
      <c r="B1562">
        <f t="shared" ca="1" si="24"/>
        <v>92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2" t="str">
        <f ca="1">IF(dict_zuord_Transfers_Storages[[#This Row],[kval_active]],dict_zuord_Transfers_Storages[[#This Row],[ID_Storages]],"")</f>
        <v/>
      </c>
    </row>
    <row r="1563" spans="1:4" x14ac:dyDescent="0.45">
      <c r="A1563">
        <v>173</v>
      </c>
      <c r="B1563">
        <f t="shared" ca="1" si="24"/>
        <v>86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3" t="str">
        <f ca="1">IF(dict_zuord_Transfers_Storages[[#This Row],[kval_active]],dict_zuord_Transfers_Storages[[#This Row],[ID_Storages]],"")</f>
        <v/>
      </c>
    </row>
    <row r="1564" spans="1:4" x14ac:dyDescent="0.45">
      <c r="A1564">
        <v>173</v>
      </c>
      <c r="B1564">
        <f t="shared" ca="1" si="24"/>
        <v>28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4" t="str">
        <f ca="1">IF(dict_zuord_Transfers_Storages[[#This Row],[kval_active]],dict_zuord_Transfers_Storages[[#This Row],[ID_Storages]],"")</f>
        <v/>
      </c>
    </row>
    <row r="1565" spans="1:4" x14ac:dyDescent="0.45">
      <c r="A1565">
        <v>173</v>
      </c>
      <c r="B1565">
        <f t="shared" ca="1" si="24"/>
        <v>0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5" t="str">
        <f ca="1">IF(dict_zuord_Transfers_Storages[[#This Row],[kval_active]],dict_zuord_Transfers_Storages[[#This Row],[ID_Storages]],"")</f>
        <v/>
      </c>
    </row>
    <row r="1566" spans="1:4" x14ac:dyDescent="0.45">
      <c r="A1566">
        <v>173</v>
      </c>
      <c r="B1566">
        <f t="shared" ca="1" si="24"/>
        <v>38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6" t="str">
        <f ca="1">IF(dict_zuord_Transfers_Storages[[#This Row],[kval_active]],dict_zuord_Transfers_Storages[[#This Row],[ID_Storages]],"")</f>
        <v/>
      </c>
    </row>
    <row r="1567" spans="1:4" x14ac:dyDescent="0.45">
      <c r="A1567">
        <v>173</v>
      </c>
      <c r="B1567">
        <f t="shared" ca="1" si="24"/>
        <v>65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7" t="str">
        <f ca="1">IF(dict_zuord_Transfers_Storages[[#This Row],[kval_active]],dict_zuord_Transfers_Storages[[#This Row],[ID_Storages]],"")</f>
        <v/>
      </c>
    </row>
    <row r="1568" spans="1:4" x14ac:dyDescent="0.45">
      <c r="A1568">
        <v>174</v>
      </c>
      <c r="B1568">
        <f t="shared" ca="1" si="24"/>
        <v>45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8" t="str">
        <f ca="1">IF(dict_zuord_Transfers_Storages[[#This Row],[kval_active]],dict_zuord_Transfers_Storages[[#This Row],[ID_Storages]],"")</f>
        <v/>
      </c>
    </row>
    <row r="1569" spans="1:4" x14ac:dyDescent="0.45">
      <c r="A1569">
        <v>174</v>
      </c>
      <c r="B1569">
        <f t="shared" ca="1" si="24"/>
        <v>70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9" t="str">
        <f ca="1">IF(dict_zuord_Transfers_Storages[[#This Row],[kval_active]],dict_zuord_Transfers_Storages[[#This Row],[ID_Storages]],"")</f>
        <v/>
      </c>
    </row>
    <row r="1570" spans="1:4" x14ac:dyDescent="0.45">
      <c r="A1570">
        <v>174</v>
      </c>
      <c r="B1570">
        <f t="shared" ca="1" si="24"/>
        <v>14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0" t="str">
        <f ca="1">IF(dict_zuord_Transfers_Storages[[#This Row],[kval_active]],dict_zuord_Transfers_Storages[[#This Row],[ID_Storages]],"")</f>
        <v/>
      </c>
    </row>
    <row r="1571" spans="1:4" x14ac:dyDescent="0.45">
      <c r="A1571">
        <v>174</v>
      </c>
      <c r="B1571">
        <f t="shared" ca="1" si="24"/>
        <v>69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1" t="str">
        <f ca="1">IF(dict_zuord_Transfers_Storages[[#This Row],[kval_active]],dict_zuord_Transfers_Storages[[#This Row],[ID_Storages]],"")</f>
        <v/>
      </c>
    </row>
    <row r="1572" spans="1:4" x14ac:dyDescent="0.45">
      <c r="A1572">
        <v>174</v>
      </c>
      <c r="B1572">
        <f t="shared" ca="1" si="24"/>
        <v>16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2" t="str">
        <f ca="1">IF(dict_zuord_Transfers_Storages[[#This Row],[kval_active]],dict_zuord_Transfers_Storages[[#This Row],[ID_Storages]],"")</f>
        <v/>
      </c>
    </row>
    <row r="1573" spans="1:4" x14ac:dyDescent="0.45">
      <c r="A1573">
        <v>174</v>
      </c>
      <c r="B1573">
        <f t="shared" ca="1" si="24"/>
        <v>87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3" t="str">
        <f ca="1">IF(dict_zuord_Transfers_Storages[[#This Row],[kval_active]],dict_zuord_Transfers_Storages[[#This Row],[ID_Storages]],"")</f>
        <v/>
      </c>
    </row>
    <row r="1574" spans="1:4" x14ac:dyDescent="0.45">
      <c r="A1574">
        <v>174</v>
      </c>
      <c r="B1574">
        <f t="shared" ca="1" si="24"/>
        <v>40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4" t="str">
        <f ca="1">IF(dict_zuord_Transfers_Storages[[#This Row],[kval_active]],dict_zuord_Transfers_Storages[[#This Row],[ID_Storages]],"")</f>
        <v/>
      </c>
    </row>
    <row r="1575" spans="1:4" x14ac:dyDescent="0.45">
      <c r="A1575">
        <v>174</v>
      </c>
      <c r="B1575">
        <f t="shared" ca="1" si="24"/>
        <v>89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5" t="str">
        <f ca="1">IF(dict_zuord_Transfers_Storages[[#This Row],[kval_active]],dict_zuord_Transfers_Storages[[#This Row],[ID_Storages]],"")</f>
        <v/>
      </c>
    </row>
    <row r="1576" spans="1:4" x14ac:dyDescent="0.45">
      <c r="A1576">
        <v>174</v>
      </c>
      <c r="B1576">
        <f t="shared" ca="1" si="24"/>
        <v>32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6" t="str">
        <f ca="1">IF(dict_zuord_Transfers_Storages[[#This Row],[kval_active]],dict_zuord_Transfers_Storages[[#This Row],[ID_Storages]],"")</f>
        <v/>
      </c>
    </row>
    <row r="1577" spans="1:4" x14ac:dyDescent="0.45">
      <c r="A1577">
        <v>175</v>
      </c>
      <c r="B1577">
        <f t="shared" ca="1" si="24"/>
        <v>41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7" t="str">
        <f ca="1">IF(dict_zuord_Transfers_Storages[[#This Row],[kval_active]],dict_zuord_Transfers_Storages[[#This Row],[ID_Storages]],"")</f>
        <v/>
      </c>
    </row>
    <row r="1578" spans="1:4" x14ac:dyDescent="0.45">
      <c r="A1578">
        <v>175</v>
      </c>
      <c r="B1578">
        <f t="shared" ca="1" si="24"/>
        <v>51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8" t="str">
        <f ca="1">IF(dict_zuord_Transfers_Storages[[#This Row],[kval_active]],dict_zuord_Transfers_Storages[[#This Row],[ID_Storages]],"")</f>
        <v/>
      </c>
    </row>
    <row r="1579" spans="1:4" x14ac:dyDescent="0.45">
      <c r="A1579">
        <v>175</v>
      </c>
      <c r="B1579">
        <f t="shared" ca="1" si="24"/>
        <v>47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9" t="str">
        <f ca="1">IF(dict_zuord_Transfers_Storages[[#This Row],[kval_active]],dict_zuord_Transfers_Storages[[#This Row],[ID_Storages]],"")</f>
        <v/>
      </c>
    </row>
    <row r="1580" spans="1:4" x14ac:dyDescent="0.45">
      <c r="A1580">
        <v>175</v>
      </c>
      <c r="B1580">
        <f t="shared" ca="1" si="24"/>
        <v>43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0" t="str">
        <f ca="1">IF(dict_zuord_Transfers_Storages[[#This Row],[kval_active]],dict_zuord_Transfers_Storages[[#This Row],[ID_Storages]],"")</f>
        <v/>
      </c>
    </row>
    <row r="1581" spans="1:4" x14ac:dyDescent="0.45">
      <c r="A1581">
        <v>175</v>
      </c>
      <c r="B1581">
        <f t="shared" ca="1" si="24"/>
        <v>32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1" t="str">
        <f ca="1">IF(dict_zuord_Transfers_Storages[[#This Row],[kval_active]],dict_zuord_Transfers_Storages[[#This Row],[ID_Storages]],"")</f>
        <v/>
      </c>
    </row>
    <row r="1582" spans="1:4" x14ac:dyDescent="0.45">
      <c r="A1582">
        <v>175</v>
      </c>
      <c r="B1582">
        <f t="shared" ca="1" si="24"/>
        <v>52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2" t="str">
        <f ca="1">IF(dict_zuord_Transfers_Storages[[#This Row],[kval_active]],dict_zuord_Transfers_Storages[[#This Row],[ID_Storages]],"")</f>
        <v/>
      </c>
    </row>
    <row r="1583" spans="1:4" x14ac:dyDescent="0.45">
      <c r="A1583">
        <v>175</v>
      </c>
      <c r="B1583">
        <f t="shared" ca="1" si="24"/>
        <v>85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3" t="str">
        <f ca="1">IF(dict_zuord_Transfers_Storages[[#This Row],[kval_active]],dict_zuord_Transfers_Storages[[#This Row],[ID_Storages]],"")</f>
        <v/>
      </c>
    </row>
    <row r="1584" spans="1:4" x14ac:dyDescent="0.45">
      <c r="A1584">
        <v>175</v>
      </c>
      <c r="B1584">
        <f t="shared" ca="1" si="24"/>
        <v>14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4" t="str">
        <f ca="1">IF(dict_zuord_Transfers_Storages[[#This Row],[kval_active]],dict_zuord_Transfers_Storages[[#This Row],[ID_Storages]],"")</f>
        <v/>
      </c>
    </row>
    <row r="1585" spans="1:4" x14ac:dyDescent="0.45">
      <c r="A1585">
        <v>175</v>
      </c>
      <c r="B1585">
        <f t="shared" ca="1" si="24"/>
        <v>44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5" t="str">
        <f ca="1">IF(dict_zuord_Transfers_Storages[[#This Row],[kval_active]],dict_zuord_Transfers_Storages[[#This Row],[ID_Storages]],"")</f>
        <v/>
      </c>
    </row>
    <row r="1586" spans="1:4" x14ac:dyDescent="0.45">
      <c r="A1586">
        <v>176</v>
      </c>
      <c r="B1586">
        <f t="shared" ca="1" si="24"/>
        <v>92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6">
        <f ca="1">IF(dict_zuord_Transfers_Storages[[#This Row],[kval_active]],dict_zuord_Transfers_Storages[[#This Row],[ID_Storages]],"")</f>
        <v>92</v>
      </c>
    </row>
    <row r="1587" spans="1:4" x14ac:dyDescent="0.45">
      <c r="A1587">
        <v>176</v>
      </c>
      <c r="B1587">
        <f t="shared" ca="1" si="24"/>
        <v>100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7">
        <f ca="1">IF(dict_zuord_Transfers_Storages[[#This Row],[kval_active]],dict_zuord_Transfers_Storages[[#This Row],[ID_Storages]],"")</f>
        <v>100</v>
      </c>
    </row>
    <row r="1588" spans="1:4" x14ac:dyDescent="0.45">
      <c r="A1588">
        <v>176</v>
      </c>
      <c r="B1588">
        <f t="shared" ca="1" si="24"/>
        <v>25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8">
        <f ca="1">IF(dict_zuord_Transfers_Storages[[#This Row],[kval_active]],dict_zuord_Transfers_Storages[[#This Row],[ID_Storages]],"")</f>
        <v>25</v>
      </c>
    </row>
    <row r="1589" spans="1:4" x14ac:dyDescent="0.45">
      <c r="A1589">
        <v>176</v>
      </c>
      <c r="B1589">
        <f t="shared" ca="1" si="24"/>
        <v>89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9">
        <f ca="1">IF(dict_zuord_Transfers_Storages[[#This Row],[kval_active]],dict_zuord_Transfers_Storages[[#This Row],[ID_Storages]],"")</f>
        <v>89</v>
      </c>
    </row>
    <row r="1590" spans="1:4" x14ac:dyDescent="0.45">
      <c r="A1590">
        <v>176</v>
      </c>
      <c r="B1590">
        <f t="shared" ca="1" si="24"/>
        <v>100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0">
        <f ca="1">IF(dict_zuord_Transfers_Storages[[#This Row],[kval_active]],dict_zuord_Transfers_Storages[[#This Row],[ID_Storages]],"")</f>
        <v>100</v>
      </c>
    </row>
    <row r="1591" spans="1:4" x14ac:dyDescent="0.45">
      <c r="A1591">
        <v>176</v>
      </c>
      <c r="B1591">
        <f t="shared" ca="1" si="24"/>
        <v>82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1">
        <f ca="1">IF(dict_zuord_Transfers_Storages[[#This Row],[kval_active]],dict_zuord_Transfers_Storages[[#This Row],[ID_Storages]],"")</f>
        <v>82</v>
      </c>
    </row>
    <row r="1592" spans="1:4" x14ac:dyDescent="0.45">
      <c r="A1592">
        <v>176</v>
      </c>
      <c r="B1592">
        <f t="shared" ca="1" si="24"/>
        <v>5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2">
        <f ca="1">IF(dict_zuord_Transfers_Storages[[#This Row],[kval_active]],dict_zuord_Transfers_Storages[[#This Row],[ID_Storages]],"")</f>
        <v>5</v>
      </c>
    </row>
    <row r="1593" spans="1:4" x14ac:dyDescent="0.45">
      <c r="A1593">
        <v>176</v>
      </c>
      <c r="B1593">
        <f t="shared" ca="1" si="24"/>
        <v>99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3">
        <f ca="1">IF(dict_zuord_Transfers_Storages[[#This Row],[kval_active]],dict_zuord_Transfers_Storages[[#This Row],[ID_Storages]],"")</f>
        <v>99</v>
      </c>
    </row>
    <row r="1594" spans="1:4" x14ac:dyDescent="0.45">
      <c r="A1594">
        <v>176</v>
      </c>
      <c r="B1594">
        <f t="shared" ca="1" si="24"/>
        <v>54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4">
        <f ca="1">IF(dict_zuord_Transfers_Storages[[#This Row],[kval_active]],dict_zuord_Transfers_Storages[[#This Row],[ID_Storages]],"")</f>
        <v>54</v>
      </c>
    </row>
    <row r="1595" spans="1:4" x14ac:dyDescent="0.45">
      <c r="A1595">
        <v>177</v>
      </c>
      <c r="B1595">
        <f t="shared" ca="1" si="24"/>
        <v>48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5">
        <f ca="1">IF(dict_zuord_Transfers_Storages[[#This Row],[kval_active]],dict_zuord_Transfers_Storages[[#This Row],[ID_Storages]],"")</f>
        <v>48</v>
      </c>
    </row>
    <row r="1596" spans="1:4" x14ac:dyDescent="0.45">
      <c r="A1596">
        <v>177</v>
      </c>
      <c r="B1596">
        <f t="shared" ca="1" si="24"/>
        <v>77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6">
        <f ca="1">IF(dict_zuord_Transfers_Storages[[#This Row],[kval_active]],dict_zuord_Transfers_Storages[[#This Row],[ID_Storages]],"")</f>
        <v>77</v>
      </c>
    </row>
    <row r="1597" spans="1:4" x14ac:dyDescent="0.45">
      <c r="A1597">
        <v>177</v>
      </c>
      <c r="B1597">
        <f t="shared" ca="1" si="24"/>
        <v>69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7">
        <f ca="1">IF(dict_zuord_Transfers_Storages[[#This Row],[kval_active]],dict_zuord_Transfers_Storages[[#This Row],[ID_Storages]],"")</f>
        <v>69</v>
      </c>
    </row>
    <row r="1598" spans="1:4" x14ac:dyDescent="0.45">
      <c r="A1598">
        <v>177</v>
      </c>
      <c r="B1598">
        <f t="shared" ca="1" si="24"/>
        <v>8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8">
        <f ca="1">IF(dict_zuord_Transfers_Storages[[#This Row],[kval_active]],dict_zuord_Transfers_Storages[[#This Row],[ID_Storages]],"")</f>
        <v>8</v>
      </c>
    </row>
    <row r="1599" spans="1:4" x14ac:dyDescent="0.45">
      <c r="A1599">
        <v>177</v>
      </c>
      <c r="B1599">
        <f t="shared" ca="1" si="24"/>
        <v>63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9">
        <f ca="1">IF(dict_zuord_Transfers_Storages[[#This Row],[kval_active]],dict_zuord_Transfers_Storages[[#This Row],[ID_Storages]],"")</f>
        <v>63</v>
      </c>
    </row>
    <row r="1600" spans="1:4" x14ac:dyDescent="0.45">
      <c r="A1600">
        <v>177</v>
      </c>
      <c r="B1600">
        <f t="shared" ca="1" si="24"/>
        <v>32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0">
        <f ca="1">IF(dict_zuord_Transfers_Storages[[#This Row],[kval_active]],dict_zuord_Transfers_Storages[[#This Row],[ID_Storages]],"")</f>
        <v>32</v>
      </c>
    </row>
    <row r="1601" spans="1:4" x14ac:dyDescent="0.45">
      <c r="A1601">
        <v>177</v>
      </c>
      <c r="B1601">
        <f t="shared" ca="1" si="24"/>
        <v>25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1">
        <f ca="1">IF(dict_zuord_Transfers_Storages[[#This Row],[kval_active]],dict_zuord_Transfers_Storages[[#This Row],[ID_Storages]],"")</f>
        <v>25</v>
      </c>
    </row>
    <row r="1602" spans="1:4" x14ac:dyDescent="0.45">
      <c r="A1602">
        <v>177</v>
      </c>
      <c r="B1602">
        <f t="shared" ref="B1602:B1665" ca="1" si="25">RANDBETWEEN(0,100)</f>
        <v>5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2">
        <f ca="1">IF(dict_zuord_Transfers_Storages[[#This Row],[kval_active]],dict_zuord_Transfers_Storages[[#This Row],[ID_Storages]],"")</f>
        <v>5</v>
      </c>
    </row>
    <row r="1603" spans="1:4" x14ac:dyDescent="0.45">
      <c r="A1603">
        <v>177</v>
      </c>
      <c r="B1603">
        <f t="shared" ca="1" si="25"/>
        <v>74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3">
        <f ca="1">IF(dict_zuord_Transfers_Storages[[#This Row],[kval_active]],dict_zuord_Transfers_Storages[[#This Row],[ID_Storages]],"")</f>
        <v>74</v>
      </c>
    </row>
    <row r="1604" spans="1:4" x14ac:dyDescent="0.45">
      <c r="A1604">
        <v>178</v>
      </c>
      <c r="B1604">
        <f t="shared" ca="1" si="25"/>
        <v>76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4">
        <f ca="1">IF(dict_zuord_Transfers_Storages[[#This Row],[kval_active]],dict_zuord_Transfers_Storages[[#This Row],[ID_Storages]],"")</f>
        <v>76</v>
      </c>
    </row>
    <row r="1605" spans="1:4" x14ac:dyDescent="0.45">
      <c r="A1605">
        <v>178</v>
      </c>
      <c r="B1605">
        <f t="shared" ca="1" si="25"/>
        <v>89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5">
        <f ca="1">IF(dict_zuord_Transfers_Storages[[#This Row],[kval_active]],dict_zuord_Transfers_Storages[[#This Row],[ID_Storages]],"")</f>
        <v>89</v>
      </c>
    </row>
    <row r="1606" spans="1:4" x14ac:dyDescent="0.45">
      <c r="A1606">
        <v>178</v>
      </c>
      <c r="B1606">
        <f t="shared" ca="1" si="25"/>
        <v>0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6">
        <f ca="1">IF(dict_zuord_Transfers_Storages[[#This Row],[kval_active]],dict_zuord_Transfers_Storages[[#This Row],[ID_Storages]],"")</f>
        <v>0</v>
      </c>
    </row>
    <row r="1607" spans="1:4" x14ac:dyDescent="0.45">
      <c r="A1607">
        <v>178</v>
      </c>
      <c r="B1607">
        <f t="shared" ca="1" si="25"/>
        <v>67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7">
        <f ca="1">IF(dict_zuord_Transfers_Storages[[#This Row],[kval_active]],dict_zuord_Transfers_Storages[[#This Row],[ID_Storages]],"")</f>
        <v>67</v>
      </c>
    </row>
    <row r="1608" spans="1:4" x14ac:dyDescent="0.45">
      <c r="A1608">
        <v>178</v>
      </c>
      <c r="B1608">
        <f t="shared" ca="1" si="25"/>
        <v>25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8">
        <f ca="1">IF(dict_zuord_Transfers_Storages[[#This Row],[kval_active]],dict_zuord_Transfers_Storages[[#This Row],[ID_Storages]],"")</f>
        <v>25</v>
      </c>
    </row>
    <row r="1609" spans="1:4" x14ac:dyDescent="0.45">
      <c r="A1609">
        <v>178</v>
      </c>
      <c r="B1609">
        <f t="shared" ca="1" si="25"/>
        <v>47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9">
        <f ca="1">IF(dict_zuord_Transfers_Storages[[#This Row],[kval_active]],dict_zuord_Transfers_Storages[[#This Row],[ID_Storages]],"")</f>
        <v>47</v>
      </c>
    </row>
    <row r="1610" spans="1:4" x14ac:dyDescent="0.45">
      <c r="A1610">
        <v>178</v>
      </c>
      <c r="B1610">
        <f t="shared" ca="1" si="25"/>
        <v>21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0">
        <f ca="1">IF(dict_zuord_Transfers_Storages[[#This Row],[kval_active]],dict_zuord_Transfers_Storages[[#This Row],[ID_Storages]],"")</f>
        <v>21</v>
      </c>
    </row>
    <row r="1611" spans="1:4" x14ac:dyDescent="0.45">
      <c r="A1611">
        <v>178</v>
      </c>
      <c r="B1611">
        <f t="shared" ca="1" si="25"/>
        <v>8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1">
        <f ca="1">IF(dict_zuord_Transfers_Storages[[#This Row],[kval_active]],dict_zuord_Transfers_Storages[[#This Row],[ID_Storages]],"")</f>
        <v>8</v>
      </c>
    </row>
    <row r="1612" spans="1:4" x14ac:dyDescent="0.45">
      <c r="A1612">
        <v>178</v>
      </c>
      <c r="B1612">
        <f t="shared" ca="1" si="25"/>
        <v>15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2">
        <f ca="1">IF(dict_zuord_Transfers_Storages[[#This Row],[kval_active]],dict_zuord_Transfers_Storages[[#This Row],[ID_Storages]],"")</f>
        <v>15</v>
      </c>
    </row>
    <row r="1613" spans="1:4" x14ac:dyDescent="0.45">
      <c r="A1613">
        <v>179</v>
      </c>
      <c r="B1613">
        <f t="shared" ca="1" si="25"/>
        <v>4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3">
        <f ca="1">IF(dict_zuord_Transfers_Storages[[#This Row],[kval_active]],dict_zuord_Transfers_Storages[[#This Row],[ID_Storages]],"")</f>
        <v>4</v>
      </c>
    </row>
    <row r="1614" spans="1:4" x14ac:dyDescent="0.45">
      <c r="A1614">
        <v>179</v>
      </c>
      <c r="B1614">
        <f t="shared" ca="1" si="25"/>
        <v>10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4">
        <f ca="1">IF(dict_zuord_Transfers_Storages[[#This Row],[kval_active]],dict_zuord_Transfers_Storages[[#This Row],[ID_Storages]],"")</f>
        <v>10</v>
      </c>
    </row>
    <row r="1615" spans="1:4" x14ac:dyDescent="0.45">
      <c r="A1615">
        <v>179</v>
      </c>
      <c r="B1615">
        <f t="shared" ca="1" si="25"/>
        <v>14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5">
        <f ca="1">IF(dict_zuord_Transfers_Storages[[#This Row],[kval_active]],dict_zuord_Transfers_Storages[[#This Row],[ID_Storages]],"")</f>
        <v>14</v>
      </c>
    </row>
    <row r="1616" spans="1:4" x14ac:dyDescent="0.45">
      <c r="A1616">
        <v>179</v>
      </c>
      <c r="B1616">
        <f t="shared" ca="1" si="25"/>
        <v>97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6">
        <f ca="1">IF(dict_zuord_Transfers_Storages[[#This Row],[kval_active]],dict_zuord_Transfers_Storages[[#This Row],[ID_Storages]],"")</f>
        <v>97</v>
      </c>
    </row>
    <row r="1617" spans="1:4" x14ac:dyDescent="0.45">
      <c r="A1617">
        <v>179</v>
      </c>
      <c r="B1617">
        <f t="shared" ca="1" si="25"/>
        <v>94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7">
        <f ca="1">IF(dict_zuord_Transfers_Storages[[#This Row],[kval_active]],dict_zuord_Transfers_Storages[[#This Row],[ID_Storages]],"")</f>
        <v>94</v>
      </c>
    </row>
    <row r="1618" spans="1:4" x14ac:dyDescent="0.45">
      <c r="A1618">
        <v>179</v>
      </c>
      <c r="B1618">
        <f t="shared" ca="1" si="25"/>
        <v>47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8">
        <f ca="1">IF(dict_zuord_Transfers_Storages[[#This Row],[kval_active]],dict_zuord_Transfers_Storages[[#This Row],[ID_Storages]],"")</f>
        <v>47</v>
      </c>
    </row>
    <row r="1619" spans="1:4" x14ac:dyDescent="0.45">
      <c r="A1619">
        <v>179</v>
      </c>
      <c r="B1619">
        <f t="shared" ca="1" si="25"/>
        <v>78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9">
        <f ca="1">IF(dict_zuord_Transfers_Storages[[#This Row],[kval_active]],dict_zuord_Transfers_Storages[[#This Row],[ID_Storages]],"")</f>
        <v>78</v>
      </c>
    </row>
    <row r="1620" spans="1:4" x14ac:dyDescent="0.45">
      <c r="A1620">
        <v>179</v>
      </c>
      <c r="B1620">
        <f t="shared" ca="1" si="25"/>
        <v>96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0">
        <f ca="1">IF(dict_zuord_Transfers_Storages[[#This Row],[kval_active]],dict_zuord_Transfers_Storages[[#This Row],[ID_Storages]],"")</f>
        <v>96</v>
      </c>
    </row>
    <row r="1621" spans="1:4" x14ac:dyDescent="0.45">
      <c r="A1621">
        <v>179</v>
      </c>
      <c r="B1621">
        <f t="shared" ca="1" si="25"/>
        <v>76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1">
        <f ca="1">IF(dict_zuord_Transfers_Storages[[#This Row],[kval_active]],dict_zuord_Transfers_Storages[[#This Row],[ID_Storages]],"")</f>
        <v>76</v>
      </c>
    </row>
    <row r="1622" spans="1:4" x14ac:dyDescent="0.45">
      <c r="A1622">
        <v>180</v>
      </c>
      <c r="B1622">
        <f t="shared" ca="1" si="25"/>
        <v>73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2" t="str">
        <f ca="1">IF(dict_zuord_Transfers_Storages[[#This Row],[kval_active]],dict_zuord_Transfers_Storages[[#This Row],[ID_Storages]],"")</f>
        <v/>
      </c>
    </row>
    <row r="1623" spans="1:4" x14ac:dyDescent="0.45">
      <c r="A1623">
        <v>180</v>
      </c>
      <c r="B1623">
        <f t="shared" ca="1" si="25"/>
        <v>81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3" t="str">
        <f ca="1">IF(dict_zuord_Transfers_Storages[[#This Row],[kval_active]],dict_zuord_Transfers_Storages[[#This Row],[ID_Storages]],"")</f>
        <v/>
      </c>
    </row>
    <row r="1624" spans="1:4" x14ac:dyDescent="0.45">
      <c r="A1624">
        <v>180</v>
      </c>
      <c r="B1624">
        <f t="shared" ca="1" si="25"/>
        <v>84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4" t="str">
        <f ca="1">IF(dict_zuord_Transfers_Storages[[#This Row],[kval_active]],dict_zuord_Transfers_Storages[[#This Row],[ID_Storages]],"")</f>
        <v/>
      </c>
    </row>
    <row r="1625" spans="1:4" x14ac:dyDescent="0.45">
      <c r="A1625">
        <v>180</v>
      </c>
      <c r="B1625">
        <f t="shared" ca="1" si="25"/>
        <v>5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5" t="str">
        <f ca="1">IF(dict_zuord_Transfers_Storages[[#This Row],[kval_active]],dict_zuord_Transfers_Storages[[#This Row],[ID_Storages]],"")</f>
        <v/>
      </c>
    </row>
    <row r="1626" spans="1:4" x14ac:dyDescent="0.45">
      <c r="A1626">
        <v>180</v>
      </c>
      <c r="B1626">
        <f t="shared" ca="1" si="25"/>
        <v>90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6" t="str">
        <f ca="1">IF(dict_zuord_Transfers_Storages[[#This Row],[kval_active]],dict_zuord_Transfers_Storages[[#This Row],[ID_Storages]],"")</f>
        <v/>
      </c>
    </row>
    <row r="1627" spans="1:4" x14ac:dyDescent="0.45">
      <c r="A1627">
        <v>180</v>
      </c>
      <c r="B1627">
        <f t="shared" ca="1" si="25"/>
        <v>37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7" t="str">
        <f ca="1">IF(dict_zuord_Transfers_Storages[[#This Row],[kval_active]],dict_zuord_Transfers_Storages[[#This Row],[ID_Storages]],"")</f>
        <v/>
      </c>
    </row>
    <row r="1628" spans="1:4" x14ac:dyDescent="0.45">
      <c r="A1628">
        <v>180</v>
      </c>
      <c r="B1628">
        <f t="shared" ca="1" si="25"/>
        <v>53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8" t="str">
        <f ca="1">IF(dict_zuord_Transfers_Storages[[#This Row],[kval_active]],dict_zuord_Transfers_Storages[[#This Row],[ID_Storages]],"")</f>
        <v/>
      </c>
    </row>
    <row r="1629" spans="1:4" x14ac:dyDescent="0.45">
      <c r="A1629">
        <v>180</v>
      </c>
      <c r="B1629">
        <f t="shared" ca="1" si="25"/>
        <v>47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9" t="str">
        <f ca="1">IF(dict_zuord_Transfers_Storages[[#This Row],[kval_active]],dict_zuord_Transfers_Storages[[#This Row],[ID_Storages]],"")</f>
        <v/>
      </c>
    </row>
    <row r="1630" spans="1:4" x14ac:dyDescent="0.45">
      <c r="A1630">
        <v>180</v>
      </c>
      <c r="B1630">
        <f t="shared" ca="1" si="25"/>
        <v>86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0" t="str">
        <f ca="1">IF(dict_zuord_Transfers_Storages[[#This Row],[kval_active]],dict_zuord_Transfers_Storages[[#This Row],[ID_Storages]],"")</f>
        <v/>
      </c>
    </row>
    <row r="1631" spans="1:4" x14ac:dyDescent="0.45">
      <c r="A1631">
        <v>181</v>
      </c>
      <c r="B1631">
        <f t="shared" ca="1" si="25"/>
        <v>16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1" t="str">
        <f ca="1">IF(dict_zuord_Transfers_Storages[[#This Row],[kval_active]],dict_zuord_Transfers_Storages[[#This Row],[ID_Storages]],"")</f>
        <v/>
      </c>
    </row>
    <row r="1632" spans="1:4" x14ac:dyDescent="0.45">
      <c r="A1632">
        <v>181</v>
      </c>
      <c r="B1632">
        <f t="shared" ca="1" si="25"/>
        <v>29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2" t="str">
        <f ca="1">IF(dict_zuord_Transfers_Storages[[#This Row],[kval_active]],dict_zuord_Transfers_Storages[[#This Row],[ID_Storages]],"")</f>
        <v/>
      </c>
    </row>
    <row r="1633" spans="1:4" x14ac:dyDescent="0.45">
      <c r="A1633">
        <v>181</v>
      </c>
      <c r="B1633">
        <f t="shared" ca="1" si="25"/>
        <v>6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3" t="str">
        <f ca="1">IF(dict_zuord_Transfers_Storages[[#This Row],[kval_active]],dict_zuord_Transfers_Storages[[#This Row],[ID_Storages]],"")</f>
        <v/>
      </c>
    </row>
    <row r="1634" spans="1:4" x14ac:dyDescent="0.45">
      <c r="A1634">
        <v>181</v>
      </c>
      <c r="B1634">
        <f t="shared" ca="1" si="25"/>
        <v>91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4" t="str">
        <f ca="1">IF(dict_zuord_Transfers_Storages[[#This Row],[kval_active]],dict_zuord_Transfers_Storages[[#This Row],[ID_Storages]],"")</f>
        <v/>
      </c>
    </row>
    <row r="1635" spans="1:4" x14ac:dyDescent="0.45">
      <c r="A1635">
        <v>181</v>
      </c>
      <c r="B1635">
        <f t="shared" ca="1" si="25"/>
        <v>86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5" t="str">
        <f ca="1">IF(dict_zuord_Transfers_Storages[[#This Row],[kval_active]],dict_zuord_Transfers_Storages[[#This Row],[ID_Storages]],"")</f>
        <v/>
      </c>
    </row>
    <row r="1636" spans="1:4" x14ac:dyDescent="0.45">
      <c r="A1636">
        <v>181</v>
      </c>
      <c r="B1636">
        <f t="shared" ca="1" si="25"/>
        <v>0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6" t="str">
        <f ca="1">IF(dict_zuord_Transfers_Storages[[#This Row],[kval_active]],dict_zuord_Transfers_Storages[[#This Row],[ID_Storages]],"")</f>
        <v/>
      </c>
    </row>
    <row r="1637" spans="1:4" x14ac:dyDescent="0.45">
      <c r="A1637">
        <v>181</v>
      </c>
      <c r="B1637">
        <f t="shared" ca="1" si="25"/>
        <v>56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7" t="str">
        <f ca="1">IF(dict_zuord_Transfers_Storages[[#This Row],[kval_active]],dict_zuord_Transfers_Storages[[#This Row],[ID_Storages]],"")</f>
        <v/>
      </c>
    </row>
    <row r="1638" spans="1:4" x14ac:dyDescent="0.45">
      <c r="A1638">
        <v>181</v>
      </c>
      <c r="B1638">
        <f t="shared" ca="1" si="25"/>
        <v>16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8" t="str">
        <f ca="1">IF(dict_zuord_Transfers_Storages[[#This Row],[kval_active]],dict_zuord_Transfers_Storages[[#This Row],[ID_Storages]],"")</f>
        <v/>
      </c>
    </row>
    <row r="1639" spans="1:4" x14ac:dyDescent="0.45">
      <c r="A1639">
        <v>181</v>
      </c>
      <c r="B1639">
        <f t="shared" ca="1" si="25"/>
        <v>3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9" t="str">
        <f ca="1">IF(dict_zuord_Transfers_Storages[[#This Row],[kval_active]],dict_zuord_Transfers_Storages[[#This Row],[ID_Storages]],"")</f>
        <v/>
      </c>
    </row>
    <row r="1640" spans="1:4" x14ac:dyDescent="0.45">
      <c r="A1640">
        <v>182</v>
      </c>
      <c r="B1640">
        <f t="shared" ca="1" si="25"/>
        <v>99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0">
        <f ca="1">IF(dict_zuord_Transfers_Storages[[#This Row],[kval_active]],dict_zuord_Transfers_Storages[[#This Row],[ID_Storages]],"")</f>
        <v>99</v>
      </c>
    </row>
    <row r="1641" spans="1:4" x14ac:dyDescent="0.45">
      <c r="A1641">
        <v>182</v>
      </c>
      <c r="B1641">
        <f t="shared" ca="1" si="25"/>
        <v>73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1">
        <f ca="1">IF(dict_zuord_Transfers_Storages[[#This Row],[kval_active]],dict_zuord_Transfers_Storages[[#This Row],[ID_Storages]],"")</f>
        <v>73</v>
      </c>
    </row>
    <row r="1642" spans="1:4" x14ac:dyDescent="0.45">
      <c r="A1642">
        <v>182</v>
      </c>
      <c r="B1642">
        <f t="shared" ca="1" si="25"/>
        <v>0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2">
        <f ca="1">IF(dict_zuord_Transfers_Storages[[#This Row],[kval_active]],dict_zuord_Transfers_Storages[[#This Row],[ID_Storages]],"")</f>
        <v>0</v>
      </c>
    </row>
    <row r="1643" spans="1:4" x14ac:dyDescent="0.45">
      <c r="A1643">
        <v>182</v>
      </c>
      <c r="B1643">
        <f t="shared" ca="1" si="25"/>
        <v>5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3">
        <f ca="1">IF(dict_zuord_Transfers_Storages[[#This Row],[kval_active]],dict_zuord_Transfers_Storages[[#This Row],[ID_Storages]],"")</f>
        <v>5</v>
      </c>
    </row>
    <row r="1644" spans="1:4" x14ac:dyDescent="0.45">
      <c r="A1644">
        <v>182</v>
      </c>
      <c r="B1644">
        <f t="shared" ca="1" si="25"/>
        <v>92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4">
        <f ca="1">IF(dict_zuord_Transfers_Storages[[#This Row],[kval_active]],dict_zuord_Transfers_Storages[[#This Row],[ID_Storages]],"")</f>
        <v>92</v>
      </c>
    </row>
    <row r="1645" spans="1:4" x14ac:dyDescent="0.45">
      <c r="A1645">
        <v>182</v>
      </c>
      <c r="B1645">
        <f t="shared" ca="1" si="25"/>
        <v>31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5">
        <f ca="1">IF(dict_zuord_Transfers_Storages[[#This Row],[kval_active]],dict_zuord_Transfers_Storages[[#This Row],[ID_Storages]],"")</f>
        <v>31</v>
      </c>
    </row>
    <row r="1646" spans="1:4" x14ac:dyDescent="0.45">
      <c r="A1646">
        <v>182</v>
      </c>
      <c r="B1646">
        <f t="shared" ca="1" si="25"/>
        <v>95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6">
        <f ca="1">IF(dict_zuord_Transfers_Storages[[#This Row],[kval_active]],dict_zuord_Transfers_Storages[[#This Row],[ID_Storages]],"")</f>
        <v>95</v>
      </c>
    </row>
    <row r="1647" spans="1:4" x14ac:dyDescent="0.45">
      <c r="A1647">
        <v>182</v>
      </c>
      <c r="B1647">
        <f t="shared" ca="1" si="25"/>
        <v>59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7">
        <f ca="1">IF(dict_zuord_Transfers_Storages[[#This Row],[kval_active]],dict_zuord_Transfers_Storages[[#This Row],[ID_Storages]],"")</f>
        <v>59</v>
      </c>
    </row>
    <row r="1648" spans="1:4" x14ac:dyDescent="0.45">
      <c r="A1648">
        <v>182</v>
      </c>
      <c r="B1648">
        <f t="shared" ca="1" si="25"/>
        <v>79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8">
        <f ca="1">IF(dict_zuord_Transfers_Storages[[#This Row],[kval_active]],dict_zuord_Transfers_Storages[[#This Row],[ID_Storages]],"")</f>
        <v>79</v>
      </c>
    </row>
    <row r="1649" spans="1:4" x14ac:dyDescent="0.45">
      <c r="A1649">
        <v>183</v>
      </c>
      <c r="B1649">
        <f t="shared" ca="1" si="25"/>
        <v>34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9">
        <f ca="1">IF(dict_zuord_Transfers_Storages[[#This Row],[kval_active]],dict_zuord_Transfers_Storages[[#This Row],[ID_Storages]],"")</f>
        <v>34</v>
      </c>
    </row>
    <row r="1650" spans="1:4" x14ac:dyDescent="0.45">
      <c r="A1650">
        <v>183</v>
      </c>
      <c r="B1650">
        <f t="shared" ca="1" si="25"/>
        <v>47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0">
        <f ca="1">IF(dict_zuord_Transfers_Storages[[#This Row],[kval_active]],dict_zuord_Transfers_Storages[[#This Row],[ID_Storages]],"")</f>
        <v>47</v>
      </c>
    </row>
    <row r="1651" spans="1:4" x14ac:dyDescent="0.45">
      <c r="A1651">
        <v>183</v>
      </c>
      <c r="B1651">
        <f t="shared" ca="1" si="25"/>
        <v>12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1">
        <f ca="1">IF(dict_zuord_Transfers_Storages[[#This Row],[kval_active]],dict_zuord_Transfers_Storages[[#This Row],[ID_Storages]],"")</f>
        <v>12</v>
      </c>
    </row>
    <row r="1652" spans="1:4" x14ac:dyDescent="0.45">
      <c r="A1652">
        <v>183</v>
      </c>
      <c r="B1652">
        <f t="shared" ca="1" si="25"/>
        <v>16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2">
        <f ca="1">IF(dict_zuord_Transfers_Storages[[#This Row],[kval_active]],dict_zuord_Transfers_Storages[[#This Row],[ID_Storages]],"")</f>
        <v>16</v>
      </c>
    </row>
    <row r="1653" spans="1:4" x14ac:dyDescent="0.45">
      <c r="A1653">
        <v>183</v>
      </c>
      <c r="B1653">
        <f t="shared" ca="1" si="25"/>
        <v>35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3">
        <f ca="1">IF(dict_zuord_Transfers_Storages[[#This Row],[kval_active]],dict_zuord_Transfers_Storages[[#This Row],[ID_Storages]],"")</f>
        <v>35</v>
      </c>
    </row>
    <row r="1654" spans="1:4" x14ac:dyDescent="0.45">
      <c r="A1654">
        <v>183</v>
      </c>
      <c r="B1654">
        <f t="shared" ca="1" si="25"/>
        <v>20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4">
        <f ca="1">IF(dict_zuord_Transfers_Storages[[#This Row],[kval_active]],dict_zuord_Transfers_Storages[[#This Row],[ID_Storages]],"")</f>
        <v>20</v>
      </c>
    </row>
    <row r="1655" spans="1:4" x14ac:dyDescent="0.45">
      <c r="A1655">
        <v>183</v>
      </c>
      <c r="B1655">
        <f t="shared" ca="1" si="25"/>
        <v>3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5">
        <f ca="1">IF(dict_zuord_Transfers_Storages[[#This Row],[kval_active]],dict_zuord_Transfers_Storages[[#This Row],[ID_Storages]],"")</f>
        <v>3</v>
      </c>
    </row>
    <row r="1656" spans="1:4" x14ac:dyDescent="0.45">
      <c r="A1656">
        <v>183</v>
      </c>
      <c r="B1656">
        <f t="shared" ca="1" si="25"/>
        <v>87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6">
        <f ca="1">IF(dict_zuord_Transfers_Storages[[#This Row],[kval_active]],dict_zuord_Transfers_Storages[[#This Row],[ID_Storages]],"")</f>
        <v>87</v>
      </c>
    </row>
    <row r="1657" spans="1:4" x14ac:dyDescent="0.45">
      <c r="A1657">
        <v>183</v>
      </c>
      <c r="B1657">
        <f t="shared" ca="1" si="25"/>
        <v>31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7">
        <f ca="1">IF(dict_zuord_Transfers_Storages[[#This Row],[kval_active]],dict_zuord_Transfers_Storages[[#This Row],[ID_Storages]],"")</f>
        <v>31</v>
      </c>
    </row>
    <row r="1658" spans="1:4" x14ac:dyDescent="0.45">
      <c r="A1658">
        <v>184</v>
      </c>
      <c r="B1658">
        <f t="shared" ca="1" si="25"/>
        <v>39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8" t="str">
        <f ca="1">IF(dict_zuord_Transfers_Storages[[#This Row],[kval_active]],dict_zuord_Transfers_Storages[[#This Row],[ID_Storages]],"")</f>
        <v/>
      </c>
    </row>
    <row r="1659" spans="1:4" x14ac:dyDescent="0.45">
      <c r="A1659">
        <v>184</v>
      </c>
      <c r="B1659">
        <f t="shared" ca="1" si="25"/>
        <v>72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9" t="str">
        <f ca="1">IF(dict_zuord_Transfers_Storages[[#This Row],[kval_active]],dict_zuord_Transfers_Storages[[#This Row],[ID_Storages]],"")</f>
        <v/>
      </c>
    </row>
    <row r="1660" spans="1:4" x14ac:dyDescent="0.45">
      <c r="A1660">
        <v>184</v>
      </c>
      <c r="B1660">
        <f t="shared" ca="1" si="25"/>
        <v>25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0" t="str">
        <f ca="1">IF(dict_zuord_Transfers_Storages[[#This Row],[kval_active]],dict_zuord_Transfers_Storages[[#This Row],[ID_Storages]],"")</f>
        <v/>
      </c>
    </row>
    <row r="1661" spans="1:4" x14ac:dyDescent="0.45">
      <c r="A1661">
        <v>184</v>
      </c>
      <c r="B1661">
        <f t="shared" ca="1" si="25"/>
        <v>14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1" t="str">
        <f ca="1">IF(dict_zuord_Transfers_Storages[[#This Row],[kval_active]],dict_zuord_Transfers_Storages[[#This Row],[ID_Storages]],"")</f>
        <v/>
      </c>
    </row>
    <row r="1662" spans="1:4" x14ac:dyDescent="0.45">
      <c r="A1662">
        <v>184</v>
      </c>
      <c r="B1662">
        <f t="shared" ca="1" si="25"/>
        <v>38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2" t="str">
        <f ca="1">IF(dict_zuord_Transfers_Storages[[#This Row],[kval_active]],dict_zuord_Transfers_Storages[[#This Row],[ID_Storages]],"")</f>
        <v/>
      </c>
    </row>
    <row r="1663" spans="1:4" x14ac:dyDescent="0.45">
      <c r="A1663">
        <v>184</v>
      </c>
      <c r="B1663">
        <f t="shared" ca="1" si="25"/>
        <v>68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3" t="str">
        <f ca="1">IF(dict_zuord_Transfers_Storages[[#This Row],[kval_active]],dict_zuord_Transfers_Storages[[#This Row],[ID_Storages]],"")</f>
        <v/>
      </c>
    </row>
    <row r="1664" spans="1:4" x14ac:dyDescent="0.45">
      <c r="A1664">
        <v>184</v>
      </c>
      <c r="B1664">
        <f t="shared" ca="1" si="25"/>
        <v>66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4" t="str">
        <f ca="1">IF(dict_zuord_Transfers_Storages[[#This Row],[kval_active]],dict_zuord_Transfers_Storages[[#This Row],[ID_Storages]],"")</f>
        <v/>
      </c>
    </row>
    <row r="1665" spans="1:4" x14ac:dyDescent="0.45">
      <c r="A1665">
        <v>184</v>
      </c>
      <c r="B1665">
        <f t="shared" ca="1" si="25"/>
        <v>36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5" t="str">
        <f ca="1">IF(dict_zuord_Transfers_Storages[[#This Row],[kval_active]],dict_zuord_Transfers_Storages[[#This Row],[ID_Storages]],"")</f>
        <v/>
      </c>
    </row>
    <row r="1666" spans="1:4" x14ac:dyDescent="0.45">
      <c r="A1666">
        <v>184</v>
      </c>
      <c r="B1666">
        <f t="shared" ref="B1666:B1729" ca="1" si="26">RANDBETWEEN(0,100)</f>
        <v>90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6" t="str">
        <f ca="1">IF(dict_zuord_Transfers_Storages[[#This Row],[kval_active]],dict_zuord_Transfers_Storages[[#This Row],[ID_Storages]],"")</f>
        <v/>
      </c>
    </row>
    <row r="1667" spans="1:4" x14ac:dyDescent="0.45">
      <c r="A1667">
        <v>185</v>
      </c>
      <c r="B1667">
        <f t="shared" ca="1" si="26"/>
        <v>47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7">
        <f ca="1">IF(dict_zuord_Transfers_Storages[[#This Row],[kval_active]],dict_zuord_Transfers_Storages[[#This Row],[ID_Storages]],"")</f>
        <v>47</v>
      </c>
    </row>
    <row r="1668" spans="1:4" x14ac:dyDescent="0.45">
      <c r="A1668">
        <v>185</v>
      </c>
      <c r="B1668">
        <f t="shared" ca="1" si="26"/>
        <v>2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8">
        <f ca="1">IF(dict_zuord_Transfers_Storages[[#This Row],[kval_active]],dict_zuord_Transfers_Storages[[#This Row],[ID_Storages]],"")</f>
        <v>2</v>
      </c>
    </row>
    <row r="1669" spans="1:4" x14ac:dyDescent="0.45">
      <c r="A1669">
        <v>185</v>
      </c>
      <c r="B1669">
        <f t="shared" ca="1" si="26"/>
        <v>78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9">
        <f ca="1">IF(dict_zuord_Transfers_Storages[[#This Row],[kval_active]],dict_zuord_Transfers_Storages[[#This Row],[ID_Storages]],"")</f>
        <v>78</v>
      </c>
    </row>
    <row r="1670" spans="1:4" x14ac:dyDescent="0.45">
      <c r="A1670">
        <v>185</v>
      </c>
      <c r="B1670">
        <f t="shared" ca="1" si="26"/>
        <v>11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0">
        <f ca="1">IF(dict_zuord_Transfers_Storages[[#This Row],[kval_active]],dict_zuord_Transfers_Storages[[#This Row],[ID_Storages]],"")</f>
        <v>11</v>
      </c>
    </row>
    <row r="1671" spans="1:4" x14ac:dyDescent="0.45">
      <c r="A1671">
        <v>185</v>
      </c>
      <c r="B1671">
        <f t="shared" ca="1" si="26"/>
        <v>72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1">
        <f ca="1">IF(dict_zuord_Transfers_Storages[[#This Row],[kval_active]],dict_zuord_Transfers_Storages[[#This Row],[ID_Storages]],"")</f>
        <v>72</v>
      </c>
    </row>
    <row r="1672" spans="1:4" x14ac:dyDescent="0.45">
      <c r="A1672">
        <v>185</v>
      </c>
      <c r="B1672">
        <f t="shared" ca="1" si="26"/>
        <v>29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2">
        <f ca="1">IF(dict_zuord_Transfers_Storages[[#This Row],[kval_active]],dict_zuord_Transfers_Storages[[#This Row],[ID_Storages]],"")</f>
        <v>29</v>
      </c>
    </row>
    <row r="1673" spans="1:4" x14ac:dyDescent="0.45">
      <c r="A1673">
        <v>185</v>
      </c>
      <c r="B1673">
        <f t="shared" ca="1" si="26"/>
        <v>74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3">
        <f ca="1">IF(dict_zuord_Transfers_Storages[[#This Row],[kval_active]],dict_zuord_Transfers_Storages[[#This Row],[ID_Storages]],"")</f>
        <v>74</v>
      </c>
    </row>
    <row r="1674" spans="1:4" x14ac:dyDescent="0.45">
      <c r="A1674">
        <v>185</v>
      </c>
      <c r="B1674">
        <f t="shared" ca="1" si="26"/>
        <v>32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4">
        <f ca="1">IF(dict_zuord_Transfers_Storages[[#This Row],[kval_active]],dict_zuord_Transfers_Storages[[#This Row],[ID_Storages]],"")</f>
        <v>32</v>
      </c>
    </row>
    <row r="1675" spans="1:4" x14ac:dyDescent="0.45">
      <c r="A1675">
        <v>185</v>
      </c>
      <c r="B1675">
        <f t="shared" ca="1" si="26"/>
        <v>9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5">
        <f ca="1">IF(dict_zuord_Transfers_Storages[[#This Row],[kval_active]],dict_zuord_Transfers_Storages[[#This Row],[ID_Storages]],"")</f>
        <v>9</v>
      </c>
    </row>
    <row r="1676" spans="1:4" x14ac:dyDescent="0.45">
      <c r="A1676">
        <v>186</v>
      </c>
      <c r="B1676">
        <f t="shared" ca="1" si="26"/>
        <v>16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6">
        <f ca="1">IF(dict_zuord_Transfers_Storages[[#This Row],[kval_active]],dict_zuord_Transfers_Storages[[#This Row],[ID_Storages]],"")</f>
        <v>16</v>
      </c>
    </row>
    <row r="1677" spans="1:4" x14ac:dyDescent="0.45">
      <c r="A1677">
        <v>186</v>
      </c>
      <c r="B1677">
        <f t="shared" ca="1" si="26"/>
        <v>93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7">
        <f ca="1">IF(dict_zuord_Transfers_Storages[[#This Row],[kval_active]],dict_zuord_Transfers_Storages[[#This Row],[ID_Storages]],"")</f>
        <v>93</v>
      </c>
    </row>
    <row r="1678" spans="1:4" x14ac:dyDescent="0.45">
      <c r="A1678">
        <v>186</v>
      </c>
      <c r="B1678">
        <f t="shared" ca="1" si="26"/>
        <v>63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8">
        <f ca="1">IF(dict_zuord_Transfers_Storages[[#This Row],[kval_active]],dict_zuord_Transfers_Storages[[#This Row],[ID_Storages]],"")</f>
        <v>63</v>
      </c>
    </row>
    <row r="1679" spans="1:4" x14ac:dyDescent="0.45">
      <c r="A1679">
        <v>186</v>
      </c>
      <c r="B1679">
        <f t="shared" ca="1" si="26"/>
        <v>55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9">
        <f ca="1">IF(dict_zuord_Transfers_Storages[[#This Row],[kval_active]],dict_zuord_Transfers_Storages[[#This Row],[ID_Storages]],"")</f>
        <v>55</v>
      </c>
    </row>
    <row r="1680" spans="1:4" x14ac:dyDescent="0.45">
      <c r="A1680">
        <v>186</v>
      </c>
      <c r="B1680">
        <f t="shared" ca="1" si="26"/>
        <v>53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0">
        <f ca="1">IF(dict_zuord_Transfers_Storages[[#This Row],[kval_active]],dict_zuord_Transfers_Storages[[#This Row],[ID_Storages]],"")</f>
        <v>53</v>
      </c>
    </row>
    <row r="1681" spans="1:4" x14ac:dyDescent="0.45">
      <c r="A1681">
        <v>186</v>
      </c>
      <c r="B1681">
        <f t="shared" ca="1" si="26"/>
        <v>58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1">
        <f ca="1">IF(dict_zuord_Transfers_Storages[[#This Row],[kval_active]],dict_zuord_Transfers_Storages[[#This Row],[ID_Storages]],"")</f>
        <v>58</v>
      </c>
    </row>
    <row r="1682" spans="1:4" x14ac:dyDescent="0.45">
      <c r="A1682">
        <v>186</v>
      </c>
      <c r="B1682">
        <f t="shared" ca="1" si="26"/>
        <v>0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2">
        <f ca="1">IF(dict_zuord_Transfers_Storages[[#This Row],[kval_active]],dict_zuord_Transfers_Storages[[#This Row],[ID_Storages]],"")</f>
        <v>0</v>
      </c>
    </row>
    <row r="1683" spans="1:4" x14ac:dyDescent="0.45">
      <c r="A1683">
        <v>186</v>
      </c>
      <c r="B1683">
        <f t="shared" ca="1" si="26"/>
        <v>62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3">
        <f ca="1">IF(dict_zuord_Transfers_Storages[[#This Row],[kval_active]],dict_zuord_Transfers_Storages[[#This Row],[ID_Storages]],"")</f>
        <v>62</v>
      </c>
    </row>
    <row r="1684" spans="1:4" x14ac:dyDescent="0.45">
      <c r="A1684">
        <v>186</v>
      </c>
      <c r="B1684">
        <f t="shared" ca="1" si="26"/>
        <v>0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4">
        <f ca="1">IF(dict_zuord_Transfers_Storages[[#This Row],[kval_active]],dict_zuord_Transfers_Storages[[#This Row],[ID_Storages]],"")</f>
        <v>0</v>
      </c>
    </row>
    <row r="1685" spans="1:4" x14ac:dyDescent="0.45">
      <c r="A1685">
        <v>187</v>
      </c>
      <c r="B1685">
        <f t="shared" ca="1" si="26"/>
        <v>81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5">
        <f ca="1">IF(dict_zuord_Transfers_Storages[[#This Row],[kval_active]],dict_zuord_Transfers_Storages[[#This Row],[ID_Storages]],"")</f>
        <v>81</v>
      </c>
    </row>
    <row r="1686" spans="1:4" x14ac:dyDescent="0.45">
      <c r="A1686">
        <v>187</v>
      </c>
      <c r="B1686">
        <f t="shared" ca="1" si="26"/>
        <v>20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6">
        <f ca="1">IF(dict_zuord_Transfers_Storages[[#This Row],[kval_active]],dict_zuord_Transfers_Storages[[#This Row],[ID_Storages]],"")</f>
        <v>20</v>
      </c>
    </row>
    <row r="1687" spans="1:4" x14ac:dyDescent="0.45">
      <c r="A1687">
        <v>187</v>
      </c>
      <c r="B1687">
        <f t="shared" ca="1" si="26"/>
        <v>49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7">
        <f ca="1">IF(dict_zuord_Transfers_Storages[[#This Row],[kval_active]],dict_zuord_Transfers_Storages[[#This Row],[ID_Storages]],"")</f>
        <v>49</v>
      </c>
    </row>
    <row r="1688" spans="1:4" x14ac:dyDescent="0.45">
      <c r="A1688">
        <v>187</v>
      </c>
      <c r="B1688">
        <f t="shared" ca="1" si="26"/>
        <v>24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8">
        <f ca="1">IF(dict_zuord_Transfers_Storages[[#This Row],[kval_active]],dict_zuord_Transfers_Storages[[#This Row],[ID_Storages]],"")</f>
        <v>24</v>
      </c>
    </row>
    <row r="1689" spans="1:4" x14ac:dyDescent="0.45">
      <c r="A1689">
        <v>187</v>
      </c>
      <c r="B1689">
        <f t="shared" ca="1" si="26"/>
        <v>23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9">
        <f ca="1">IF(dict_zuord_Transfers_Storages[[#This Row],[kval_active]],dict_zuord_Transfers_Storages[[#This Row],[ID_Storages]],"")</f>
        <v>23</v>
      </c>
    </row>
    <row r="1690" spans="1:4" x14ac:dyDescent="0.45">
      <c r="A1690">
        <v>187</v>
      </c>
      <c r="B1690">
        <f t="shared" ca="1" si="26"/>
        <v>7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0">
        <f ca="1">IF(dict_zuord_Transfers_Storages[[#This Row],[kval_active]],dict_zuord_Transfers_Storages[[#This Row],[ID_Storages]],"")</f>
        <v>7</v>
      </c>
    </row>
    <row r="1691" spans="1:4" x14ac:dyDescent="0.45">
      <c r="A1691">
        <v>187</v>
      </c>
      <c r="B1691">
        <f t="shared" ca="1" si="26"/>
        <v>89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1">
        <f ca="1">IF(dict_zuord_Transfers_Storages[[#This Row],[kval_active]],dict_zuord_Transfers_Storages[[#This Row],[ID_Storages]],"")</f>
        <v>89</v>
      </c>
    </row>
    <row r="1692" spans="1:4" x14ac:dyDescent="0.45">
      <c r="A1692">
        <v>187</v>
      </c>
      <c r="B1692">
        <f t="shared" ca="1" si="26"/>
        <v>50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2">
        <f ca="1">IF(dict_zuord_Transfers_Storages[[#This Row],[kval_active]],dict_zuord_Transfers_Storages[[#This Row],[ID_Storages]],"")</f>
        <v>50</v>
      </c>
    </row>
    <row r="1693" spans="1:4" x14ac:dyDescent="0.45">
      <c r="A1693">
        <v>187</v>
      </c>
      <c r="B1693">
        <f t="shared" ca="1" si="26"/>
        <v>86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3">
        <f ca="1">IF(dict_zuord_Transfers_Storages[[#This Row],[kval_active]],dict_zuord_Transfers_Storages[[#This Row],[ID_Storages]],"")</f>
        <v>86</v>
      </c>
    </row>
    <row r="1694" spans="1:4" x14ac:dyDescent="0.45">
      <c r="A1694">
        <v>188</v>
      </c>
      <c r="B1694">
        <f t="shared" ca="1" si="26"/>
        <v>49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4" t="str">
        <f ca="1">IF(dict_zuord_Transfers_Storages[[#This Row],[kval_active]],dict_zuord_Transfers_Storages[[#This Row],[ID_Storages]],"")</f>
        <v/>
      </c>
    </row>
    <row r="1695" spans="1:4" x14ac:dyDescent="0.45">
      <c r="A1695">
        <v>188</v>
      </c>
      <c r="B1695">
        <f t="shared" ca="1" si="26"/>
        <v>65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5" t="str">
        <f ca="1">IF(dict_zuord_Transfers_Storages[[#This Row],[kval_active]],dict_zuord_Transfers_Storages[[#This Row],[ID_Storages]],"")</f>
        <v/>
      </c>
    </row>
    <row r="1696" spans="1:4" x14ac:dyDescent="0.45">
      <c r="A1696">
        <v>188</v>
      </c>
      <c r="B1696">
        <f t="shared" ca="1" si="26"/>
        <v>3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6" t="str">
        <f ca="1">IF(dict_zuord_Transfers_Storages[[#This Row],[kval_active]],dict_zuord_Transfers_Storages[[#This Row],[ID_Storages]],"")</f>
        <v/>
      </c>
    </row>
    <row r="1697" spans="1:4" x14ac:dyDescent="0.45">
      <c r="A1697">
        <v>188</v>
      </c>
      <c r="B1697">
        <f t="shared" ca="1" si="26"/>
        <v>17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7" t="str">
        <f ca="1">IF(dict_zuord_Transfers_Storages[[#This Row],[kval_active]],dict_zuord_Transfers_Storages[[#This Row],[ID_Storages]],"")</f>
        <v/>
      </c>
    </row>
    <row r="1698" spans="1:4" x14ac:dyDescent="0.45">
      <c r="A1698">
        <v>188</v>
      </c>
      <c r="B1698">
        <f t="shared" ca="1" si="26"/>
        <v>29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8" t="str">
        <f ca="1">IF(dict_zuord_Transfers_Storages[[#This Row],[kval_active]],dict_zuord_Transfers_Storages[[#This Row],[ID_Storages]],"")</f>
        <v/>
      </c>
    </row>
    <row r="1699" spans="1:4" x14ac:dyDescent="0.45">
      <c r="A1699">
        <v>188</v>
      </c>
      <c r="B1699">
        <f t="shared" ca="1" si="26"/>
        <v>7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9" t="str">
        <f ca="1">IF(dict_zuord_Transfers_Storages[[#This Row],[kval_active]],dict_zuord_Transfers_Storages[[#This Row],[ID_Storages]],"")</f>
        <v/>
      </c>
    </row>
    <row r="1700" spans="1:4" x14ac:dyDescent="0.45">
      <c r="A1700">
        <v>188</v>
      </c>
      <c r="B1700">
        <f t="shared" ca="1" si="26"/>
        <v>17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0" t="str">
        <f ca="1">IF(dict_zuord_Transfers_Storages[[#This Row],[kval_active]],dict_zuord_Transfers_Storages[[#This Row],[ID_Storages]],"")</f>
        <v/>
      </c>
    </row>
    <row r="1701" spans="1:4" x14ac:dyDescent="0.45">
      <c r="A1701">
        <v>188</v>
      </c>
      <c r="B1701">
        <f t="shared" ca="1" si="26"/>
        <v>24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1" t="str">
        <f ca="1">IF(dict_zuord_Transfers_Storages[[#This Row],[kval_active]],dict_zuord_Transfers_Storages[[#This Row],[ID_Storages]],"")</f>
        <v/>
      </c>
    </row>
    <row r="1702" spans="1:4" x14ac:dyDescent="0.45">
      <c r="A1702">
        <v>188</v>
      </c>
      <c r="B1702">
        <f t="shared" ca="1" si="26"/>
        <v>60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2" t="str">
        <f ca="1">IF(dict_zuord_Transfers_Storages[[#This Row],[kval_active]],dict_zuord_Transfers_Storages[[#This Row],[ID_Storages]],"")</f>
        <v/>
      </c>
    </row>
    <row r="1703" spans="1:4" x14ac:dyDescent="0.45">
      <c r="A1703">
        <v>189</v>
      </c>
      <c r="B1703">
        <f t="shared" ca="1" si="26"/>
        <v>54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3" t="str">
        <f ca="1">IF(dict_zuord_Transfers_Storages[[#This Row],[kval_active]],dict_zuord_Transfers_Storages[[#This Row],[ID_Storages]],"")</f>
        <v/>
      </c>
    </row>
    <row r="1704" spans="1:4" x14ac:dyDescent="0.45">
      <c r="A1704">
        <v>189</v>
      </c>
      <c r="B1704">
        <f t="shared" ca="1" si="26"/>
        <v>13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4" t="str">
        <f ca="1">IF(dict_zuord_Transfers_Storages[[#This Row],[kval_active]],dict_zuord_Transfers_Storages[[#This Row],[ID_Storages]],"")</f>
        <v/>
      </c>
    </row>
    <row r="1705" spans="1:4" x14ac:dyDescent="0.45">
      <c r="A1705">
        <v>189</v>
      </c>
      <c r="B1705">
        <f t="shared" ca="1" si="26"/>
        <v>3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5" t="str">
        <f ca="1">IF(dict_zuord_Transfers_Storages[[#This Row],[kval_active]],dict_zuord_Transfers_Storages[[#This Row],[ID_Storages]],"")</f>
        <v/>
      </c>
    </row>
    <row r="1706" spans="1:4" x14ac:dyDescent="0.45">
      <c r="A1706">
        <v>189</v>
      </c>
      <c r="B1706">
        <f t="shared" ca="1" si="26"/>
        <v>88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6" t="str">
        <f ca="1">IF(dict_zuord_Transfers_Storages[[#This Row],[kval_active]],dict_zuord_Transfers_Storages[[#This Row],[ID_Storages]],"")</f>
        <v/>
      </c>
    </row>
    <row r="1707" spans="1:4" x14ac:dyDescent="0.45">
      <c r="A1707">
        <v>189</v>
      </c>
      <c r="B1707">
        <f t="shared" ca="1" si="26"/>
        <v>38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7" t="str">
        <f ca="1">IF(dict_zuord_Transfers_Storages[[#This Row],[kval_active]],dict_zuord_Transfers_Storages[[#This Row],[ID_Storages]],"")</f>
        <v/>
      </c>
    </row>
    <row r="1708" spans="1:4" x14ac:dyDescent="0.45">
      <c r="A1708">
        <v>189</v>
      </c>
      <c r="B1708">
        <f t="shared" ca="1" si="26"/>
        <v>4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8" t="str">
        <f ca="1">IF(dict_zuord_Transfers_Storages[[#This Row],[kval_active]],dict_zuord_Transfers_Storages[[#This Row],[ID_Storages]],"")</f>
        <v/>
      </c>
    </row>
    <row r="1709" spans="1:4" x14ac:dyDescent="0.45">
      <c r="A1709">
        <v>189</v>
      </c>
      <c r="B1709">
        <f t="shared" ca="1" si="26"/>
        <v>67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9" t="str">
        <f ca="1">IF(dict_zuord_Transfers_Storages[[#This Row],[kval_active]],dict_zuord_Transfers_Storages[[#This Row],[ID_Storages]],"")</f>
        <v/>
      </c>
    </row>
    <row r="1710" spans="1:4" x14ac:dyDescent="0.45">
      <c r="A1710">
        <v>189</v>
      </c>
      <c r="B1710">
        <f t="shared" ca="1" si="26"/>
        <v>22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0" t="str">
        <f ca="1">IF(dict_zuord_Transfers_Storages[[#This Row],[kval_active]],dict_zuord_Transfers_Storages[[#This Row],[ID_Storages]],"")</f>
        <v/>
      </c>
    </row>
    <row r="1711" spans="1:4" x14ac:dyDescent="0.45">
      <c r="A1711">
        <v>189</v>
      </c>
      <c r="B1711">
        <f t="shared" ca="1" si="26"/>
        <v>4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1" t="str">
        <f ca="1">IF(dict_zuord_Transfers_Storages[[#This Row],[kval_active]],dict_zuord_Transfers_Storages[[#This Row],[ID_Storages]],"")</f>
        <v/>
      </c>
    </row>
    <row r="1712" spans="1:4" x14ac:dyDescent="0.45">
      <c r="A1712">
        <v>190</v>
      </c>
      <c r="B1712">
        <f t="shared" ca="1" si="26"/>
        <v>12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2">
        <f ca="1">IF(dict_zuord_Transfers_Storages[[#This Row],[kval_active]],dict_zuord_Transfers_Storages[[#This Row],[ID_Storages]],"")</f>
        <v>12</v>
      </c>
    </row>
    <row r="1713" spans="1:4" x14ac:dyDescent="0.45">
      <c r="A1713">
        <v>190</v>
      </c>
      <c r="B1713">
        <f t="shared" ca="1" si="26"/>
        <v>18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3">
        <f ca="1">IF(dict_zuord_Transfers_Storages[[#This Row],[kval_active]],dict_zuord_Transfers_Storages[[#This Row],[ID_Storages]],"")</f>
        <v>18</v>
      </c>
    </row>
    <row r="1714" spans="1:4" x14ac:dyDescent="0.45">
      <c r="A1714">
        <v>190</v>
      </c>
      <c r="B1714">
        <f t="shared" ca="1" si="26"/>
        <v>33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4">
        <f ca="1">IF(dict_zuord_Transfers_Storages[[#This Row],[kval_active]],dict_zuord_Transfers_Storages[[#This Row],[ID_Storages]],"")</f>
        <v>33</v>
      </c>
    </row>
    <row r="1715" spans="1:4" x14ac:dyDescent="0.45">
      <c r="A1715">
        <v>190</v>
      </c>
      <c r="B1715">
        <f t="shared" ca="1" si="26"/>
        <v>2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5">
        <f ca="1">IF(dict_zuord_Transfers_Storages[[#This Row],[kval_active]],dict_zuord_Transfers_Storages[[#This Row],[ID_Storages]],"")</f>
        <v>2</v>
      </c>
    </row>
    <row r="1716" spans="1:4" x14ac:dyDescent="0.45">
      <c r="A1716">
        <v>190</v>
      </c>
      <c r="B1716">
        <f t="shared" ca="1" si="26"/>
        <v>43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6">
        <f ca="1">IF(dict_zuord_Transfers_Storages[[#This Row],[kval_active]],dict_zuord_Transfers_Storages[[#This Row],[ID_Storages]],"")</f>
        <v>43</v>
      </c>
    </row>
    <row r="1717" spans="1:4" x14ac:dyDescent="0.45">
      <c r="A1717">
        <v>190</v>
      </c>
      <c r="B1717">
        <f t="shared" ca="1" si="26"/>
        <v>50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7">
        <f ca="1">IF(dict_zuord_Transfers_Storages[[#This Row],[kval_active]],dict_zuord_Transfers_Storages[[#This Row],[ID_Storages]],"")</f>
        <v>50</v>
      </c>
    </row>
    <row r="1718" spans="1:4" x14ac:dyDescent="0.45">
      <c r="A1718">
        <v>190</v>
      </c>
      <c r="B1718">
        <f t="shared" ca="1" si="26"/>
        <v>22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8">
        <f ca="1">IF(dict_zuord_Transfers_Storages[[#This Row],[kval_active]],dict_zuord_Transfers_Storages[[#This Row],[ID_Storages]],"")</f>
        <v>22</v>
      </c>
    </row>
    <row r="1719" spans="1:4" x14ac:dyDescent="0.45">
      <c r="A1719">
        <v>190</v>
      </c>
      <c r="B1719">
        <f t="shared" ca="1" si="26"/>
        <v>35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9">
        <f ca="1">IF(dict_zuord_Transfers_Storages[[#This Row],[kval_active]],dict_zuord_Transfers_Storages[[#This Row],[ID_Storages]],"")</f>
        <v>35</v>
      </c>
    </row>
    <row r="1720" spans="1:4" x14ac:dyDescent="0.45">
      <c r="A1720">
        <v>190</v>
      </c>
      <c r="B1720">
        <f t="shared" ca="1" si="26"/>
        <v>49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0">
        <f ca="1">IF(dict_zuord_Transfers_Storages[[#This Row],[kval_active]],dict_zuord_Transfers_Storages[[#This Row],[ID_Storages]],"")</f>
        <v>49</v>
      </c>
    </row>
    <row r="1721" spans="1:4" x14ac:dyDescent="0.45">
      <c r="A1721">
        <v>191</v>
      </c>
      <c r="B1721">
        <f t="shared" ca="1" si="26"/>
        <v>38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1">
        <f ca="1">IF(dict_zuord_Transfers_Storages[[#This Row],[kval_active]],dict_zuord_Transfers_Storages[[#This Row],[ID_Storages]],"")</f>
        <v>38</v>
      </c>
    </row>
    <row r="1722" spans="1:4" x14ac:dyDescent="0.45">
      <c r="A1722">
        <v>191</v>
      </c>
      <c r="B1722">
        <f t="shared" ca="1" si="26"/>
        <v>81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2">
        <f ca="1">IF(dict_zuord_Transfers_Storages[[#This Row],[kval_active]],dict_zuord_Transfers_Storages[[#This Row],[ID_Storages]],"")</f>
        <v>81</v>
      </c>
    </row>
    <row r="1723" spans="1:4" x14ac:dyDescent="0.45">
      <c r="A1723">
        <v>191</v>
      </c>
      <c r="B1723">
        <f t="shared" ca="1" si="26"/>
        <v>4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3">
        <f ca="1">IF(dict_zuord_Transfers_Storages[[#This Row],[kval_active]],dict_zuord_Transfers_Storages[[#This Row],[ID_Storages]],"")</f>
        <v>4</v>
      </c>
    </row>
    <row r="1724" spans="1:4" x14ac:dyDescent="0.45">
      <c r="A1724">
        <v>191</v>
      </c>
      <c r="B1724">
        <f t="shared" ca="1" si="26"/>
        <v>99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4">
        <f ca="1">IF(dict_zuord_Transfers_Storages[[#This Row],[kval_active]],dict_zuord_Transfers_Storages[[#This Row],[ID_Storages]],"")</f>
        <v>99</v>
      </c>
    </row>
    <row r="1725" spans="1:4" x14ac:dyDescent="0.45">
      <c r="A1725">
        <v>191</v>
      </c>
      <c r="B1725">
        <f t="shared" ca="1" si="26"/>
        <v>79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5">
        <f ca="1">IF(dict_zuord_Transfers_Storages[[#This Row],[kval_active]],dict_zuord_Transfers_Storages[[#This Row],[ID_Storages]],"")</f>
        <v>79</v>
      </c>
    </row>
    <row r="1726" spans="1:4" x14ac:dyDescent="0.45">
      <c r="A1726">
        <v>191</v>
      </c>
      <c r="B1726">
        <f t="shared" ca="1" si="26"/>
        <v>66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6">
        <f ca="1">IF(dict_zuord_Transfers_Storages[[#This Row],[kval_active]],dict_zuord_Transfers_Storages[[#This Row],[ID_Storages]],"")</f>
        <v>66</v>
      </c>
    </row>
    <row r="1727" spans="1:4" x14ac:dyDescent="0.45">
      <c r="A1727">
        <v>191</v>
      </c>
      <c r="B1727">
        <f t="shared" ca="1" si="26"/>
        <v>39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7">
        <f ca="1">IF(dict_zuord_Transfers_Storages[[#This Row],[kval_active]],dict_zuord_Transfers_Storages[[#This Row],[ID_Storages]],"")</f>
        <v>39</v>
      </c>
    </row>
    <row r="1728" spans="1:4" x14ac:dyDescent="0.45">
      <c r="A1728">
        <v>191</v>
      </c>
      <c r="B1728">
        <f t="shared" ca="1" si="26"/>
        <v>66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8">
        <f ca="1">IF(dict_zuord_Transfers_Storages[[#This Row],[kval_active]],dict_zuord_Transfers_Storages[[#This Row],[ID_Storages]],"")</f>
        <v>66</v>
      </c>
    </row>
    <row r="1729" spans="1:4" x14ac:dyDescent="0.45">
      <c r="A1729">
        <v>191</v>
      </c>
      <c r="B1729">
        <f t="shared" ca="1" si="26"/>
        <v>6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9">
        <f ca="1">IF(dict_zuord_Transfers_Storages[[#This Row],[kval_active]],dict_zuord_Transfers_Storages[[#This Row],[ID_Storages]],"")</f>
        <v>6</v>
      </c>
    </row>
    <row r="1730" spans="1:4" x14ac:dyDescent="0.45">
      <c r="A1730">
        <v>192</v>
      </c>
      <c r="B1730">
        <f t="shared" ref="B1730:B1793" ca="1" si="27">RANDBETWEEN(0,100)</f>
        <v>37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0" t="str">
        <f ca="1">IF(dict_zuord_Transfers_Storages[[#This Row],[kval_active]],dict_zuord_Transfers_Storages[[#This Row],[ID_Storages]],"")</f>
        <v/>
      </c>
    </row>
    <row r="1731" spans="1:4" x14ac:dyDescent="0.45">
      <c r="A1731">
        <v>192</v>
      </c>
      <c r="B1731">
        <f t="shared" ca="1" si="27"/>
        <v>36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1" t="str">
        <f ca="1">IF(dict_zuord_Transfers_Storages[[#This Row],[kval_active]],dict_zuord_Transfers_Storages[[#This Row],[ID_Storages]],"")</f>
        <v/>
      </c>
    </row>
    <row r="1732" spans="1:4" x14ac:dyDescent="0.45">
      <c r="A1732">
        <v>192</v>
      </c>
      <c r="B1732">
        <f t="shared" ca="1" si="27"/>
        <v>16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2" t="str">
        <f ca="1">IF(dict_zuord_Transfers_Storages[[#This Row],[kval_active]],dict_zuord_Transfers_Storages[[#This Row],[ID_Storages]],"")</f>
        <v/>
      </c>
    </row>
    <row r="1733" spans="1:4" x14ac:dyDescent="0.45">
      <c r="A1733">
        <v>192</v>
      </c>
      <c r="B1733">
        <f t="shared" ca="1" si="27"/>
        <v>87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3" t="str">
        <f ca="1">IF(dict_zuord_Transfers_Storages[[#This Row],[kval_active]],dict_zuord_Transfers_Storages[[#This Row],[ID_Storages]],"")</f>
        <v/>
      </c>
    </row>
    <row r="1734" spans="1:4" x14ac:dyDescent="0.45">
      <c r="A1734">
        <v>192</v>
      </c>
      <c r="B1734">
        <f t="shared" ca="1" si="27"/>
        <v>100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4" t="str">
        <f ca="1">IF(dict_zuord_Transfers_Storages[[#This Row],[kval_active]],dict_zuord_Transfers_Storages[[#This Row],[ID_Storages]],"")</f>
        <v/>
      </c>
    </row>
    <row r="1735" spans="1:4" x14ac:dyDescent="0.45">
      <c r="A1735">
        <v>192</v>
      </c>
      <c r="B1735">
        <f t="shared" ca="1" si="27"/>
        <v>80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5" t="str">
        <f ca="1">IF(dict_zuord_Transfers_Storages[[#This Row],[kval_active]],dict_zuord_Transfers_Storages[[#This Row],[ID_Storages]],"")</f>
        <v/>
      </c>
    </row>
    <row r="1736" spans="1:4" x14ac:dyDescent="0.45">
      <c r="A1736">
        <v>192</v>
      </c>
      <c r="B1736">
        <f t="shared" ca="1" si="27"/>
        <v>94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6" t="str">
        <f ca="1">IF(dict_zuord_Transfers_Storages[[#This Row],[kval_active]],dict_zuord_Transfers_Storages[[#This Row],[ID_Storages]],"")</f>
        <v/>
      </c>
    </row>
    <row r="1737" spans="1:4" x14ac:dyDescent="0.45">
      <c r="A1737">
        <v>192</v>
      </c>
      <c r="B1737">
        <f t="shared" ca="1" si="27"/>
        <v>63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7" t="str">
        <f ca="1">IF(dict_zuord_Transfers_Storages[[#This Row],[kval_active]],dict_zuord_Transfers_Storages[[#This Row],[ID_Storages]],"")</f>
        <v/>
      </c>
    </row>
    <row r="1738" spans="1:4" x14ac:dyDescent="0.45">
      <c r="A1738">
        <v>192</v>
      </c>
      <c r="B1738">
        <f t="shared" ca="1" si="27"/>
        <v>7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8" t="str">
        <f ca="1">IF(dict_zuord_Transfers_Storages[[#This Row],[kval_active]],dict_zuord_Transfers_Storages[[#This Row],[ID_Storages]],"")</f>
        <v/>
      </c>
    </row>
    <row r="1739" spans="1:4" x14ac:dyDescent="0.45">
      <c r="A1739">
        <v>193</v>
      </c>
      <c r="B1739">
        <f t="shared" ca="1" si="27"/>
        <v>85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9">
        <f ca="1">IF(dict_zuord_Transfers_Storages[[#This Row],[kval_active]],dict_zuord_Transfers_Storages[[#This Row],[ID_Storages]],"")</f>
        <v>85</v>
      </c>
    </row>
    <row r="1740" spans="1:4" x14ac:dyDescent="0.45">
      <c r="A1740">
        <v>193</v>
      </c>
      <c r="B1740">
        <f t="shared" ca="1" si="27"/>
        <v>0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0">
        <f ca="1">IF(dict_zuord_Transfers_Storages[[#This Row],[kval_active]],dict_zuord_Transfers_Storages[[#This Row],[ID_Storages]],"")</f>
        <v>0</v>
      </c>
    </row>
    <row r="1741" spans="1:4" x14ac:dyDescent="0.45">
      <c r="A1741">
        <v>193</v>
      </c>
      <c r="B1741">
        <f t="shared" ca="1" si="27"/>
        <v>49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1">
        <f ca="1">IF(dict_zuord_Transfers_Storages[[#This Row],[kval_active]],dict_zuord_Transfers_Storages[[#This Row],[ID_Storages]],"")</f>
        <v>49</v>
      </c>
    </row>
    <row r="1742" spans="1:4" x14ac:dyDescent="0.45">
      <c r="A1742">
        <v>193</v>
      </c>
      <c r="B1742">
        <f t="shared" ca="1" si="27"/>
        <v>47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2">
        <f ca="1">IF(dict_zuord_Transfers_Storages[[#This Row],[kval_active]],dict_zuord_Transfers_Storages[[#This Row],[ID_Storages]],"")</f>
        <v>47</v>
      </c>
    </row>
    <row r="1743" spans="1:4" x14ac:dyDescent="0.45">
      <c r="A1743">
        <v>193</v>
      </c>
      <c r="B1743">
        <f t="shared" ca="1" si="27"/>
        <v>39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3">
        <f ca="1">IF(dict_zuord_Transfers_Storages[[#This Row],[kval_active]],dict_zuord_Transfers_Storages[[#This Row],[ID_Storages]],"")</f>
        <v>39</v>
      </c>
    </row>
    <row r="1744" spans="1:4" x14ac:dyDescent="0.45">
      <c r="A1744">
        <v>193</v>
      </c>
      <c r="B1744">
        <f t="shared" ca="1" si="27"/>
        <v>2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4">
        <f ca="1">IF(dict_zuord_Transfers_Storages[[#This Row],[kval_active]],dict_zuord_Transfers_Storages[[#This Row],[ID_Storages]],"")</f>
        <v>2</v>
      </c>
    </row>
    <row r="1745" spans="1:4" x14ac:dyDescent="0.45">
      <c r="A1745">
        <v>193</v>
      </c>
      <c r="B1745">
        <f t="shared" ca="1" si="27"/>
        <v>72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5">
        <f ca="1">IF(dict_zuord_Transfers_Storages[[#This Row],[kval_active]],dict_zuord_Transfers_Storages[[#This Row],[ID_Storages]],"")</f>
        <v>72</v>
      </c>
    </row>
    <row r="1746" spans="1:4" x14ac:dyDescent="0.45">
      <c r="A1746">
        <v>193</v>
      </c>
      <c r="B1746">
        <f t="shared" ca="1" si="27"/>
        <v>7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6">
        <f ca="1">IF(dict_zuord_Transfers_Storages[[#This Row],[kval_active]],dict_zuord_Transfers_Storages[[#This Row],[ID_Storages]],"")</f>
        <v>7</v>
      </c>
    </row>
    <row r="1747" spans="1:4" x14ac:dyDescent="0.45">
      <c r="A1747">
        <v>193</v>
      </c>
      <c r="B1747">
        <f t="shared" ca="1" si="27"/>
        <v>78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7">
        <f ca="1">IF(dict_zuord_Transfers_Storages[[#This Row],[kval_active]],dict_zuord_Transfers_Storages[[#This Row],[ID_Storages]],"")</f>
        <v>78</v>
      </c>
    </row>
    <row r="1748" spans="1:4" x14ac:dyDescent="0.45">
      <c r="A1748">
        <v>194</v>
      </c>
      <c r="B1748">
        <f t="shared" ca="1" si="27"/>
        <v>52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8">
        <f ca="1">IF(dict_zuord_Transfers_Storages[[#This Row],[kval_active]],dict_zuord_Transfers_Storages[[#This Row],[ID_Storages]],"")</f>
        <v>52</v>
      </c>
    </row>
    <row r="1749" spans="1:4" x14ac:dyDescent="0.45">
      <c r="A1749">
        <v>194</v>
      </c>
      <c r="B1749">
        <f t="shared" ca="1" si="27"/>
        <v>71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9">
        <f ca="1">IF(dict_zuord_Transfers_Storages[[#This Row],[kval_active]],dict_zuord_Transfers_Storages[[#This Row],[ID_Storages]],"")</f>
        <v>71</v>
      </c>
    </row>
    <row r="1750" spans="1:4" x14ac:dyDescent="0.45">
      <c r="A1750">
        <v>194</v>
      </c>
      <c r="B1750">
        <f t="shared" ca="1" si="27"/>
        <v>11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0">
        <f ca="1">IF(dict_zuord_Transfers_Storages[[#This Row],[kval_active]],dict_zuord_Transfers_Storages[[#This Row],[ID_Storages]],"")</f>
        <v>11</v>
      </c>
    </row>
    <row r="1751" spans="1:4" x14ac:dyDescent="0.45">
      <c r="A1751">
        <v>194</v>
      </c>
      <c r="B1751">
        <f t="shared" ca="1" si="27"/>
        <v>84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1">
        <f ca="1">IF(dict_zuord_Transfers_Storages[[#This Row],[kval_active]],dict_zuord_Transfers_Storages[[#This Row],[ID_Storages]],"")</f>
        <v>84</v>
      </c>
    </row>
    <row r="1752" spans="1:4" x14ac:dyDescent="0.45">
      <c r="A1752">
        <v>194</v>
      </c>
      <c r="B1752">
        <f t="shared" ca="1" si="27"/>
        <v>38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2">
        <f ca="1">IF(dict_zuord_Transfers_Storages[[#This Row],[kval_active]],dict_zuord_Transfers_Storages[[#This Row],[ID_Storages]],"")</f>
        <v>38</v>
      </c>
    </row>
    <row r="1753" spans="1:4" x14ac:dyDescent="0.45">
      <c r="A1753">
        <v>194</v>
      </c>
      <c r="B1753">
        <f t="shared" ca="1" si="27"/>
        <v>32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3">
        <f ca="1">IF(dict_zuord_Transfers_Storages[[#This Row],[kval_active]],dict_zuord_Transfers_Storages[[#This Row],[ID_Storages]],"")</f>
        <v>32</v>
      </c>
    </row>
    <row r="1754" spans="1:4" x14ac:dyDescent="0.45">
      <c r="A1754">
        <v>194</v>
      </c>
      <c r="B1754">
        <f t="shared" ca="1" si="27"/>
        <v>49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4">
        <f ca="1">IF(dict_zuord_Transfers_Storages[[#This Row],[kval_active]],dict_zuord_Transfers_Storages[[#This Row],[ID_Storages]],"")</f>
        <v>49</v>
      </c>
    </row>
    <row r="1755" spans="1:4" x14ac:dyDescent="0.45">
      <c r="A1755">
        <v>194</v>
      </c>
      <c r="B1755">
        <f t="shared" ca="1" si="27"/>
        <v>49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5">
        <f ca="1">IF(dict_zuord_Transfers_Storages[[#This Row],[kval_active]],dict_zuord_Transfers_Storages[[#This Row],[ID_Storages]],"")</f>
        <v>49</v>
      </c>
    </row>
    <row r="1756" spans="1:4" x14ac:dyDescent="0.45">
      <c r="A1756">
        <v>194</v>
      </c>
      <c r="B1756">
        <f t="shared" ca="1" si="27"/>
        <v>69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6">
        <f ca="1">IF(dict_zuord_Transfers_Storages[[#This Row],[kval_active]],dict_zuord_Transfers_Storages[[#This Row],[ID_Storages]],"")</f>
        <v>69</v>
      </c>
    </row>
    <row r="1757" spans="1:4" x14ac:dyDescent="0.45">
      <c r="A1757">
        <v>195</v>
      </c>
      <c r="B1757">
        <f t="shared" ca="1" si="27"/>
        <v>82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7">
        <f ca="1">IF(dict_zuord_Transfers_Storages[[#This Row],[kval_active]],dict_zuord_Transfers_Storages[[#This Row],[ID_Storages]],"")</f>
        <v>82</v>
      </c>
    </row>
    <row r="1758" spans="1:4" x14ac:dyDescent="0.45">
      <c r="A1758">
        <v>195</v>
      </c>
      <c r="B1758">
        <f t="shared" ca="1" si="27"/>
        <v>6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8">
        <f ca="1">IF(dict_zuord_Transfers_Storages[[#This Row],[kval_active]],dict_zuord_Transfers_Storages[[#This Row],[ID_Storages]],"")</f>
        <v>6</v>
      </c>
    </row>
    <row r="1759" spans="1:4" x14ac:dyDescent="0.45">
      <c r="A1759">
        <v>195</v>
      </c>
      <c r="B1759">
        <f t="shared" ca="1" si="27"/>
        <v>60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9">
        <f ca="1">IF(dict_zuord_Transfers_Storages[[#This Row],[kval_active]],dict_zuord_Transfers_Storages[[#This Row],[ID_Storages]],"")</f>
        <v>60</v>
      </c>
    </row>
    <row r="1760" spans="1:4" x14ac:dyDescent="0.45">
      <c r="A1760">
        <v>195</v>
      </c>
      <c r="B1760">
        <f t="shared" ca="1" si="27"/>
        <v>13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0">
        <f ca="1">IF(dict_zuord_Transfers_Storages[[#This Row],[kval_active]],dict_zuord_Transfers_Storages[[#This Row],[ID_Storages]],"")</f>
        <v>13</v>
      </c>
    </row>
    <row r="1761" spans="1:4" x14ac:dyDescent="0.45">
      <c r="A1761">
        <v>195</v>
      </c>
      <c r="B1761">
        <f t="shared" ca="1" si="27"/>
        <v>96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1">
        <f ca="1">IF(dict_zuord_Transfers_Storages[[#This Row],[kval_active]],dict_zuord_Transfers_Storages[[#This Row],[ID_Storages]],"")</f>
        <v>96</v>
      </c>
    </row>
    <row r="1762" spans="1:4" x14ac:dyDescent="0.45">
      <c r="A1762">
        <v>195</v>
      </c>
      <c r="B1762">
        <f t="shared" ca="1" si="27"/>
        <v>80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2">
        <f ca="1">IF(dict_zuord_Transfers_Storages[[#This Row],[kval_active]],dict_zuord_Transfers_Storages[[#This Row],[ID_Storages]],"")</f>
        <v>80</v>
      </c>
    </row>
    <row r="1763" spans="1:4" x14ac:dyDescent="0.45">
      <c r="A1763">
        <v>195</v>
      </c>
      <c r="B1763">
        <f t="shared" ca="1" si="27"/>
        <v>68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3">
        <f ca="1">IF(dict_zuord_Transfers_Storages[[#This Row],[kval_active]],dict_zuord_Transfers_Storages[[#This Row],[ID_Storages]],"")</f>
        <v>68</v>
      </c>
    </row>
    <row r="1764" spans="1:4" x14ac:dyDescent="0.45">
      <c r="A1764">
        <v>195</v>
      </c>
      <c r="B1764">
        <f t="shared" ca="1" si="27"/>
        <v>79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4">
        <f ca="1">IF(dict_zuord_Transfers_Storages[[#This Row],[kval_active]],dict_zuord_Transfers_Storages[[#This Row],[ID_Storages]],"")</f>
        <v>79</v>
      </c>
    </row>
    <row r="1765" spans="1:4" x14ac:dyDescent="0.45">
      <c r="A1765">
        <v>195</v>
      </c>
      <c r="B1765">
        <f t="shared" ca="1" si="27"/>
        <v>58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5">
        <f ca="1">IF(dict_zuord_Transfers_Storages[[#This Row],[kval_active]],dict_zuord_Transfers_Storages[[#This Row],[ID_Storages]],"")</f>
        <v>58</v>
      </c>
    </row>
    <row r="1766" spans="1:4" x14ac:dyDescent="0.45">
      <c r="A1766">
        <v>196</v>
      </c>
      <c r="B1766">
        <f t="shared" ca="1" si="27"/>
        <v>41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6">
        <f ca="1">IF(dict_zuord_Transfers_Storages[[#This Row],[kval_active]],dict_zuord_Transfers_Storages[[#This Row],[ID_Storages]],"")</f>
        <v>41</v>
      </c>
    </row>
    <row r="1767" spans="1:4" x14ac:dyDescent="0.45">
      <c r="A1767">
        <v>196</v>
      </c>
      <c r="B1767">
        <f t="shared" ca="1" si="27"/>
        <v>28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7">
        <f ca="1">IF(dict_zuord_Transfers_Storages[[#This Row],[kval_active]],dict_zuord_Transfers_Storages[[#This Row],[ID_Storages]],"")</f>
        <v>28</v>
      </c>
    </row>
    <row r="1768" spans="1:4" x14ac:dyDescent="0.45">
      <c r="A1768">
        <v>196</v>
      </c>
      <c r="B1768">
        <f t="shared" ca="1" si="27"/>
        <v>61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8">
        <f ca="1">IF(dict_zuord_Transfers_Storages[[#This Row],[kval_active]],dict_zuord_Transfers_Storages[[#This Row],[ID_Storages]],"")</f>
        <v>61</v>
      </c>
    </row>
    <row r="1769" spans="1:4" x14ac:dyDescent="0.45">
      <c r="A1769">
        <v>196</v>
      </c>
      <c r="B1769">
        <f t="shared" ca="1" si="27"/>
        <v>83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9">
        <f ca="1">IF(dict_zuord_Transfers_Storages[[#This Row],[kval_active]],dict_zuord_Transfers_Storages[[#This Row],[ID_Storages]],"")</f>
        <v>83</v>
      </c>
    </row>
    <row r="1770" spans="1:4" x14ac:dyDescent="0.45">
      <c r="A1770">
        <v>196</v>
      </c>
      <c r="B1770">
        <f t="shared" ca="1" si="27"/>
        <v>70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0">
        <f ca="1">IF(dict_zuord_Transfers_Storages[[#This Row],[kval_active]],dict_zuord_Transfers_Storages[[#This Row],[ID_Storages]],"")</f>
        <v>70</v>
      </c>
    </row>
    <row r="1771" spans="1:4" x14ac:dyDescent="0.45">
      <c r="A1771">
        <v>196</v>
      </c>
      <c r="B1771">
        <f t="shared" ca="1" si="27"/>
        <v>54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1">
        <f ca="1">IF(dict_zuord_Transfers_Storages[[#This Row],[kval_active]],dict_zuord_Transfers_Storages[[#This Row],[ID_Storages]],"")</f>
        <v>54</v>
      </c>
    </row>
    <row r="1772" spans="1:4" x14ac:dyDescent="0.45">
      <c r="A1772">
        <v>196</v>
      </c>
      <c r="B1772">
        <f t="shared" ca="1" si="27"/>
        <v>34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2">
        <f ca="1">IF(dict_zuord_Transfers_Storages[[#This Row],[kval_active]],dict_zuord_Transfers_Storages[[#This Row],[ID_Storages]],"")</f>
        <v>34</v>
      </c>
    </row>
    <row r="1773" spans="1:4" x14ac:dyDescent="0.45">
      <c r="A1773">
        <v>196</v>
      </c>
      <c r="B1773">
        <f t="shared" ca="1" si="27"/>
        <v>62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3">
        <f ca="1">IF(dict_zuord_Transfers_Storages[[#This Row],[kval_active]],dict_zuord_Transfers_Storages[[#This Row],[ID_Storages]],"")</f>
        <v>62</v>
      </c>
    </row>
    <row r="1774" spans="1:4" x14ac:dyDescent="0.45">
      <c r="A1774">
        <v>196</v>
      </c>
      <c r="B1774">
        <f t="shared" ca="1" si="27"/>
        <v>74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4">
        <f ca="1">IF(dict_zuord_Transfers_Storages[[#This Row],[kval_active]],dict_zuord_Transfers_Storages[[#This Row],[ID_Storages]],"")</f>
        <v>74</v>
      </c>
    </row>
    <row r="1775" spans="1:4" x14ac:dyDescent="0.45">
      <c r="A1775">
        <v>197</v>
      </c>
      <c r="B1775">
        <f t="shared" ca="1" si="27"/>
        <v>45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5">
        <f ca="1">IF(dict_zuord_Transfers_Storages[[#This Row],[kval_active]],dict_zuord_Transfers_Storages[[#This Row],[ID_Storages]],"")</f>
        <v>45</v>
      </c>
    </row>
    <row r="1776" spans="1:4" x14ac:dyDescent="0.45">
      <c r="A1776">
        <v>197</v>
      </c>
      <c r="B1776">
        <f t="shared" ca="1" si="27"/>
        <v>56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6">
        <f ca="1">IF(dict_zuord_Transfers_Storages[[#This Row],[kval_active]],dict_zuord_Transfers_Storages[[#This Row],[ID_Storages]],"")</f>
        <v>56</v>
      </c>
    </row>
    <row r="1777" spans="1:4" x14ac:dyDescent="0.45">
      <c r="A1777">
        <v>197</v>
      </c>
      <c r="B1777">
        <f t="shared" ca="1" si="27"/>
        <v>48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7">
        <f ca="1">IF(dict_zuord_Transfers_Storages[[#This Row],[kval_active]],dict_zuord_Transfers_Storages[[#This Row],[ID_Storages]],"")</f>
        <v>48</v>
      </c>
    </row>
    <row r="1778" spans="1:4" x14ac:dyDescent="0.45">
      <c r="A1778">
        <v>197</v>
      </c>
      <c r="B1778">
        <f t="shared" ca="1" si="27"/>
        <v>58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8">
        <f ca="1">IF(dict_zuord_Transfers_Storages[[#This Row],[kval_active]],dict_zuord_Transfers_Storages[[#This Row],[ID_Storages]],"")</f>
        <v>58</v>
      </c>
    </row>
    <row r="1779" spans="1:4" x14ac:dyDescent="0.45">
      <c r="A1779">
        <v>197</v>
      </c>
      <c r="B1779">
        <f t="shared" ca="1" si="27"/>
        <v>88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9">
        <f ca="1">IF(dict_zuord_Transfers_Storages[[#This Row],[kval_active]],dict_zuord_Transfers_Storages[[#This Row],[ID_Storages]],"")</f>
        <v>88</v>
      </c>
    </row>
    <row r="1780" spans="1:4" x14ac:dyDescent="0.45">
      <c r="A1780">
        <v>197</v>
      </c>
      <c r="B1780">
        <f t="shared" ca="1" si="27"/>
        <v>85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0">
        <f ca="1">IF(dict_zuord_Transfers_Storages[[#This Row],[kval_active]],dict_zuord_Transfers_Storages[[#This Row],[ID_Storages]],"")</f>
        <v>85</v>
      </c>
    </row>
    <row r="1781" spans="1:4" x14ac:dyDescent="0.45">
      <c r="A1781">
        <v>197</v>
      </c>
      <c r="B1781">
        <f t="shared" ca="1" si="27"/>
        <v>1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1">
        <f ca="1">IF(dict_zuord_Transfers_Storages[[#This Row],[kval_active]],dict_zuord_Transfers_Storages[[#This Row],[ID_Storages]],"")</f>
        <v>1</v>
      </c>
    </row>
    <row r="1782" spans="1:4" x14ac:dyDescent="0.45">
      <c r="A1782">
        <v>197</v>
      </c>
      <c r="B1782">
        <f t="shared" ca="1" si="27"/>
        <v>54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2">
        <f ca="1">IF(dict_zuord_Transfers_Storages[[#This Row],[kval_active]],dict_zuord_Transfers_Storages[[#This Row],[ID_Storages]],"")</f>
        <v>54</v>
      </c>
    </row>
    <row r="1783" spans="1:4" x14ac:dyDescent="0.45">
      <c r="A1783">
        <v>197</v>
      </c>
      <c r="B1783">
        <f t="shared" ca="1" si="27"/>
        <v>47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3">
        <f ca="1">IF(dict_zuord_Transfers_Storages[[#This Row],[kval_active]],dict_zuord_Transfers_Storages[[#This Row],[ID_Storages]],"")</f>
        <v>47</v>
      </c>
    </row>
    <row r="1784" spans="1:4" x14ac:dyDescent="0.45">
      <c r="A1784">
        <v>198</v>
      </c>
      <c r="B1784">
        <f t="shared" ca="1" si="27"/>
        <v>2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4" t="str">
        <f ca="1">IF(dict_zuord_Transfers_Storages[[#This Row],[kval_active]],dict_zuord_Transfers_Storages[[#This Row],[ID_Storages]],"")</f>
        <v/>
      </c>
    </row>
    <row r="1785" spans="1:4" x14ac:dyDescent="0.45">
      <c r="A1785">
        <v>198</v>
      </c>
      <c r="B1785">
        <f t="shared" ca="1" si="27"/>
        <v>27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5" t="str">
        <f ca="1">IF(dict_zuord_Transfers_Storages[[#This Row],[kval_active]],dict_zuord_Transfers_Storages[[#This Row],[ID_Storages]],"")</f>
        <v/>
      </c>
    </row>
    <row r="1786" spans="1:4" x14ac:dyDescent="0.45">
      <c r="A1786">
        <v>198</v>
      </c>
      <c r="B1786">
        <f t="shared" ca="1" si="27"/>
        <v>94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6" t="str">
        <f ca="1">IF(dict_zuord_Transfers_Storages[[#This Row],[kval_active]],dict_zuord_Transfers_Storages[[#This Row],[ID_Storages]],"")</f>
        <v/>
      </c>
    </row>
    <row r="1787" spans="1:4" x14ac:dyDescent="0.45">
      <c r="A1787">
        <v>198</v>
      </c>
      <c r="B1787">
        <f t="shared" ca="1" si="27"/>
        <v>56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7" t="str">
        <f ca="1">IF(dict_zuord_Transfers_Storages[[#This Row],[kval_active]],dict_zuord_Transfers_Storages[[#This Row],[ID_Storages]],"")</f>
        <v/>
      </c>
    </row>
    <row r="1788" spans="1:4" x14ac:dyDescent="0.45">
      <c r="A1788">
        <v>198</v>
      </c>
      <c r="B1788">
        <f t="shared" ca="1" si="27"/>
        <v>69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8" t="str">
        <f ca="1">IF(dict_zuord_Transfers_Storages[[#This Row],[kval_active]],dict_zuord_Transfers_Storages[[#This Row],[ID_Storages]],"")</f>
        <v/>
      </c>
    </row>
    <row r="1789" spans="1:4" x14ac:dyDescent="0.45">
      <c r="A1789">
        <v>198</v>
      </c>
      <c r="B1789">
        <f t="shared" ca="1" si="27"/>
        <v>13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9" t="str">
        <f ca="1">IF(dict_zuord_Transfers_Storages[[#This Row],[kval_active]],dict_zuord_Transfers_Storages[[#This Row],[ID_Storages]],"")</f>
        <v/>
      </c>
    </row>
    <row r="1790" spans="1:4" x14ac:dyDescent="0.45">
      <c r="A1790">
        <v>198</v>
      </c>
      <c r="B1790">
        <f t="shared" ca="1" si="27"/>
        <v>91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0" t="str">
        <f ca="1">IF(dict_zuord_Transfers_Storages[[#This Row],[kval_active]],dict_zuord_Transfers_Storages[[#This Row],[ID_Storages]],"")</f>
        <v/>
      </c>
    </row>
    <row r="1791" spans="1:4" x14ac:dyDescent="0.45">
      <c r="A1791">
        <v>198</v>
      </c>
      <c r="B1791">
        <f t="shared" ca="1" si="27"/>
        <v>95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1" t="str">
        <f ca="1">IF(dict_zuord_Transfers_Storages[[#This Row],[kval_active]],dict_zuord_Transfers_Storages[[#This Row],[ID_Storages]],"")</f>
        <v/>
      </c>
    </row>
    <row r="1792" spans="1:4" x14ac:dyDescent="0.45">
      <c r="A1792">
        <v>198</v>
      </c>
      <c r="B1792">
        <f t="shared" ca="1" si="27"/>
        <v>29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2" t="str">
        <f ca="1">IF(dict_zuord_Transfers_Storages[[#This Row],[kval_active]],dict_zuord_Transfers_Storages[[#This Row],[ID_Storages]],"")</f>
        <v/>
      </c>
    </row>
    <row r="1793" spans="1:4" x14ac:dyDescent="0.45">
      <c r="A1793">
        <v>199</v>
      </c>
      <c r="B1793">
        <f t="shared" ca="1" si="27"/>
        <v>49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3" t="str">
        <f ca="1">IF(dict_zuord_Transfers_Storages[[#This Row],[kval_active]],dict_zuord_Transfers_Storages[[#This Row],[ID_Storages]],"")</f>
        <v/>
      </c>
    </row>
    <row r="1794" spans="1:4" x14ac:dyDescent="0.45">
      <c r="A1794">
        <v>199</v>
      </c>
      <c r="B1794">
        <f t="shared" ref="B1794:B1810" ca="1" si="28">RANDBETWEEN(0,100)</f>
        <v>77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4" t="str">
        <f ca="1">IF(dict_zuord_Transfers_Storages[[#This Row],[kval_active]],dict_zuord_Transfers_Storages[[#This Row],[ID_Storages]],"")</f>
        <v/>
      </c>
    </row>
    <row r="1795" spans="1:4" x14ac:dyDescent="0.45">
      <c r="A1795">
        <v>199</v>
      </c>
      <c r="B1795">
        <f t="shared" ca="1" si="28"/>
        <v>14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5" t="str">
        <f ca="1">IF(dict_zuord_Transfers_Storages[[#This Row],[kval_active]],dict_zuord_Transfers_Storages[[#This Row],[ID_Storages]],"")</f>
        <v/>
      </c>
    </row>
    <row r="1796" spans="1:4" x14ac:dyDescent="0.45">
      <c r="A1796">
        <v>199</v>
      </c>
      <c r="B1796">
        <f t="shared" ca="1" si="28"/>
        <v>50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6" t="str">
        <f ca="1">IF(dict_zuord_Transfers_Storages[[#This Row],[kval_active]],dict_zuord_Transfers_Storages[[#This Row],[ID_Storages]],"")</f>
        <v/>
      </c>
    </row>
    <row r="1797" spans="1:4" x14ac:dyDescent="0.45">
      <c r="A1797">
        <v>199</v>
      </c>
      <c r="B1797">
        <f t="shared" ca="1" si="28"/>
        <v>66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7" t="str">
        <f ca="1">IF(dict_zuord_Transfers_Storages[[#This Row],[kval_active]],dict_zuord_Transfers_Storages[[#This Row],[ID_Storages]],"")</f>
        <v/>
      </c>
    </row>
    <row r="1798" spans="1:4" x14ac:dyDescent="0.45">
      <c r="A1798">
        <v>199</v>
      </c>
      <c r="B1798">
        <f t="shared" ca="1" si="28"/>
        <v>32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8" t="str">
        <f ca="1">IF(dict_zuord_Transfers_Storages[[#This Row],[kval_active]],dict_zuord_Transfers_Storages[[#This Row],[ID_Storages]],"")</f>
        <v/>
      </c>
    </row>
    <row r="1799" spans="1:4" x14ac:dyDescent="0.45">
      <c r="A1799">
        <v>199</v>
      </c>
      <c r="B1799">
        <f t="shared" ca="1" si="28"/>
        <v>87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9" t="str">
        <f ca="1">IF(dict_zuord_Transfers_Storages[[#This Row],[kval_active]],dict_zuord_Transfers_Storages[[#This Row],[ID_Storages]],"")</f>
        <v/>
      </c>
    </row>
    <row r="1800" spans="1:4" x14ac:dyDescent="0.45">
      <c r="A1800">
        <v>199</v>
      </c>
      <c r="B1800">
        <f t="shared" ca="1" si="28"/>
        <v>72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0" t="str">
        <f ca="1">IF(dict_zuord_Transfers_Storages[[#This Row],[kval_active]],dict_zuord_Transfers_Storages[[#This Row],[ID_Storages]],"")</f>
        <v/>
      </c>
    </row>
    <row r="1801" spans="1:4" x14ac:dyDescent="0.45">
      <c r="A1801">
        <v>199</v>
      </c>
      <c r="B1801">
        <f t="shared" ca="1" si="28"/>
        <v>32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1" t="str">
        <f ca="1">IF(dict_zuord_Transfers_Storages[[#This Row],[kval_active]],dict_zuord_Transfers_Storages[[#This Row],[ID_Storages]],"")</f>
        <v/>
      </c>
    </row>
    <row r="1802" spans="1:4" x14ac:dyDescent="0.45">
      <c r="A1802">
        <v>200</v>
      </c>
      <c r="B1802">
        <f t="shared" ca="1" si="28"/>
        <v>95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2">
        <f ca="1">IF(dict_zuord_Transfers_Storages[[#This Row],[kval_active]],dict_zuord_Transfers_Storages[[#This Row],[ID_Storages]],"")</f>
        <v>95</v>
      </c>
    </row>
    <row r="1803" spans="1:4" x14ac:dyDescent="0.45">
      <c r="A1803">
        <v>200</v>
      </c>
      <c r="B1803">
        <f t="shared" ca="1" si="28"/>
        <v>60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3">
        <f ca="1">IF(dict_zuord_Transfers_Storages[[#This Row],[kval_active]],dict_zuord_Transfers_Storages[[#This Row],[ID_Storages]],"")</f>
        <v>60</v>
      </c>
    </row>
    <row r="1804" spans="1:4" x14ac:dyDescent="0.45">
      <c r="A1804">
        <v>200</v>
      </c>
      <c r="B1804">
        <f t="shared" ca="1" si="28"/>
        <v>81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4">
        <f ca="1">IF(dict_zuord_Transfers_Storages[[#This Row],[kval_active]],dict_zuord_Transfers_Storages[[#This Row],[ID_Storages]],"")</f>
        <v>81</v>
      </c>
    </row>
    <row r="1805" spans="1:4" x14ac:dyDescent="0.45">
      <c r="A1805">
        <v>200</v>
      </c>
      <c r="B1805">
        <f t="shared" ca="1" si="28"/>
        <v>88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5">
        <f ca="1">IF(dict_zuord_Transfers_Storages[[#This Row],[kval_active]],dict_zuord_Transfers_Storages[[#This Row],[ID_Storages]],"")</f>
        <v>88</v>
      </c>
    </row>
    <row r="1806" spans="1:4" x14ac:dyDescent="0.45">
      <c r="A1806">
        <v>200</v>
      </c>
      <c r="B1806">
        <f t="shared" ca="1" si="28"/>
        <v>3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6">
        <f ca="1">IF(dict_zuord_Transfers_Storages[[#This Row],[kval_active]],dict_zuord_Transfers_Storages[[#This Row],[ID_Storages]],"")</f>
        <v>3</v>
      </c>
    </row>
    <row r="1807" spans="1:4" x14ac:dyDescent="0.45">
      <c r="A1807">
        <v>200</v>
      </c>
      <c r="B1807">
        <f t="shared" ca="1" si="28"/>
        <v>61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7">
        <f ca="1">IF(dict_zuord_Transfers_Storages[[#This Row],[kval_active]],dict_zuord_Transfers_Storages[[#This Row],[ID_Storages]],"")</f>
        <v>61</v>
      </c>
    </row>
    <row r="1808" spans="1:4" x14ac:dyDescent="0.45">
      <c r="A1808">
        <v>200</v>
      </c>
      <c r="B1808">
        <f t="shared" ca="1" si="28"/>
        <v>9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8">
        <f ca="1">IF(dict_zuord_Transfers_Storages[[#This Row],[kval_active]],dict_zuord_Transfers_Storages[[#This Row],[ID_Storages]],"")</f>
        <v>9</v>
      </c>
    </row>
    <row r="1809" spans="1:4" x14ac:dyDescent="0.45">
      <c r="A1809">
        <v>200</v>
      </c>
      <c r="B1809">
        <f t="shared" ca="1" si="28"/>
        <v>35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9">
        <f ca="1">IF(dict_zuord_Transfers_Storages[[#This Row],[kval_active]],dict_zuord_Transfers_Storages[[#This Row],[ID_Storages]],"")</f>
        <v>35</v>
      </c>
    </row>
    <row r="1810" spans="1:4" x14ac:dyDescent="0.45">
      <c r="A1810">
        <v>200</v>
      </c>
      <c r="B1810">
        <f t="shared" ca="1" si="28"/>
        <v>21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0">
        <f ca="1">IF(dict_zuord_Transfers_Storages[[#This Row],[kval_active]],dict_zuord_Transfers_Storages[[#This Row],[ID_Storages]],"")</f>
        <v>21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C1000"/>
  <sheetViews>
    <sheetView topLeftCell="A61" workbookViewId="0">
      <selection activeCell="B77" sqref="B77"/>
    </sheetView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900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800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900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 ca="1">IFERROR(table_DataQualities[unit_ID],"")</f>
        <v>500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" spans="1:3" x14ac:dyDescent="0.45">
      <c r="A11">
        <f>IFERROR(table_DataQualities[ID],"")</f>
        <v>9</v>
      </c>
      <c r="B11">
        <f ca="1">IFERROR(table_DataQualities[unit_ID],"")</f>
        <v>500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" spans="1:3" x14ac:dyDescent="0.45">
      <c r="A13">
        <f>IFERROR(table_DataQualities[ID],"")</f>
        <v>11</v>
      </c>
      <c r="B13">
        <f ca="1">IFERROR(table_DataQualities[unit_ID],"")</f>
        <v>700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" spans="1:3" x14ac:dyDescent="0.45">
      <c r="A15">
        <f>IFERROR(table_DataQualities[ID],"")</f>
        <v>13</v>
      </c>
      <c r="B15">
        <f ca="1">IFERROR(table_DataQualities[unit_ID],"")</f>
        <v>500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" spans="1:3" x14ac:dyDescent="0.45">
      <c r="A17">
        <f>IFERROR(table_DataQualities[ID],"")</f>
        <v>15</v>
      </c>
      <c r="B17">
        <f ca="1">IFERROR(table_DataQualities[unit_ID],"")</f>
        <v>1000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" spans="1:3" x14ac:dyDescent="0.45">
      <c r="A19">
        <f>IFERROR(table_DataQualities[ID],"")</f>
        <v>17</v>
      </c>
      <c r="B19">
        <f ca="1">IFERROR(table_DataQualities[unit_ID],"")</f>
        <v>800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" spans="1:3" x14ac:dyDescent="0.45">
      <c r="A21">
        <f>IFERROR(table_DataQualities[ID],"")</f>
        <v>19</v>
      </c>
      <c r="B21">
        <f ca="1">IFERROR(table_DataQualities[unit_ID],"")</f>
        <v>1000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" spans="1:3" x14ac:dyDescent="0.45">
      <c r="A23">
        <f>IFERROR(table_DataQualities[ID],"")</f>
        <v>21</v>
      </c>
      <c r="B23">
        <f ca="1">IFERROR(table_DataQualities[unit_ID],"")</f>
        <v>600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" spans="1:3" x14ac:dyDescent="0.45">
      <c r="A25">
        <f>IFERROR(table_DataQualities[ID],"")</f>
        <v>23</v>
      </c>
      <c r="B25">
        <f ca="1">IFERROR(table_DataQualities[unit_ID],"")</f>
        <v>800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" spans="1:3" x14ac:dyDescent="0.45">
      <c r="A27">
        <f>IFERROR(table_DataQualities[ID],"")</f>
        <v>25</v>
      </c>
      <c r="B27">
        <f ca="1">IFERROR(table_DataQualities[unit_ID],"")</f>
        <v>700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" spans="1:3" x14ac:dyDescent="0.45">
      <c r="A29">
        <f>IFERROR(table_DataQualities[ID],"")</f>
        <v>27</v>
      </c>
      <c r="B29">
        <f ca="1">IFERROR(table_DataQualities[unit_ID],"")</f>
        <v>600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" spans="1:3" x14ac:dyDescent="0.45">
      <c r="A31">
        <f>IFERROR(table_DataQualities[ID],"")</f>
        <v>29</v>
      </c>
      <c r="B31">
        <f ca="1">IFERROR(table_DataQualities[unit_ID],"")</f>
        <v>500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1000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500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900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1000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800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900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500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600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900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900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600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800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1000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500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700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600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500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800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1000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700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1000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500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700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500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600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500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600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800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800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1000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900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800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600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600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600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500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600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800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500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900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800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700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500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800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1000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900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600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800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800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700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500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1000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1000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700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500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600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1000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700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900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700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900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900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900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900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600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700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900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700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500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1000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900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800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600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1000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600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500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900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600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500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900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500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800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900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700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600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1000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600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1000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700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500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600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500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800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500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600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600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1000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700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500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700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500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1000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600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600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900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500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800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800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700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600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800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900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700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800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500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500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1000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700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600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1000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600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600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700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1000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700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900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900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900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900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600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600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500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1000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600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600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500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900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700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900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900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500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500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700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700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500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600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1000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800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600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900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800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1000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500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700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700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600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700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700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700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900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600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900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700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800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800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900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1000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900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500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600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700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900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1000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500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500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600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600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1000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700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800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700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600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500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700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900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700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M31"/>
  <sheetViews>
    <sheetView workbookViewId="0">
      <selection activeCell="L1" sqref="L1:M3"/>
    </sheetView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0.91</v>
      </c>
      <c r="M2">
        <f ca="1">VLOOKUP($A2,table_DataQualities!$A:$I,9,FALSE)</f>
        <v>4750.2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3" s="9" t="str">
        <f ca="1">VLOOKUP(VLOOKUP(dict_DQ_Meth_max_deprecated[[#This Row],[ID_DataQualities]],table_DataQualities[],3),table_Units[],2)</f>
        <v>+/- mm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9.7000000000000003E-2</v>
      </c>
      <c r="M3">
        <f ca="1">VLOOKUP($A3,table_DataQualities!$A:$I,9,FALSE)</f>
        <v>8.9700000000000006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0.91</v>
      </c>
      <c r="M4">
        <f ca="1">VLOOKUP($A4,table_DataQualities!$A:$I,9,FALSE)</f>
        <v>4750.2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1000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5" s="9" t="str">
        <f ca="1">VLOOKUP(VLOOKUP(dict_DQ_Meth_max_deprecated[[#This Row],[ID_DataQualities]],table_DataQualities[],3),table_Units[],2)</f>
        <v>+/- mm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9.7000000000000003E-2</v>
      </c>
      <c r="M5">
        <f ca="1">VLOOKUP($A5,table_DataQualities!$A:$I,9,FALSE)</f>
        <v>8.9700000000000006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0.376</v>
      </c>
      <c r="M6">
        <f ca="1">VLOOKUP($A6,table_DataQualities!$A:$I,9,FALSE)</f>
        <v>208.7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+/- cm³/s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8.2000000000000007E-3</v>
      </c>
      <c r="M7">
        <f ca="1">VLOOKUP($A7,table_DataQualities!$A:$I,9,FALSE)</f>
        <v>0.97599999999999998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7.5999999999999998E-2</v>
      </c>
      <c r="M8">
        <f ca="1">VLOOKUP($A8,table_DataQualities!$A:$I,9,FALSE)</f>
        <v>9830.1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+/- mm/s</v>
      </c>
      <c r="L9">
        <f ca="1">VLOOKUP(dict_DQ_Meth_max_deprecated[[#This Row],[ID_DataQualities]],table_DataQualities!$A:$I,8,FALSE)</f>
        <v>0.47</v>
      </c>
      <c r="M9">
        <f ca="1">VLOOKUP($A9,table_DataQualities!$A:$I,9,FALSE)</f>
        <v>8.6999999999999993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0.376</v>
      </c>
      <c r="M10">
        <f ca="1">VLOOKUP($A10,table_DataQualities!$A:$I,9,FALSE)</f>
        <v>208.7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+/- cm³/s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8.2000000000000007E-3</v>
      </c>
      <c r="M11">
        <f ca="1">VLOOKUP($A11,table_DataQualities!$A:$I,9,FALSE)</f>
        <v>0.97599999999999998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7.5999999999999998E-2</v>
      </c>
      <c r="M12">
        <f ca="1">VLOOKUP($A12,table_DataQualities!$A:$I,9,FALSE)</f>
        <v>9830.1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+/- mm/s</v>
      </c>
      <c r="L13">
        <f ca="1">VLOOKUP(dict_DQ_Meth_max_deprecated[[#This Row],[ID_DataQualities]],table_DataQualities!$A:$I,8,FALSE)</f>
        <v>0.47</v>
      </c>
      <c r="M13">
        <f ca="1">VLOOKUP($A13,table_DataQualities!$A:$I,9,FALSE)</f>
        <v>8.6999999999999993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0.91</v>
      </c>
      <c r="M14">
        <f ca="1">VLOOKUP($A14,table_DataQualities!$A:$I,9,FALSE)</f>
        <v>4750.2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15" s="9" t="str">
        <f ca="1">VLOOKUP(VLOOKUP(dict_DQ_Meth_max_deprecated[[#This Row],[ID_DataQualities]],table_DataQualities[],3),table_Units[],2)</f>
        <v>+/- mm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9.7000000000000003E-2</v>
      </c>
      <c r="M15">
        <f ca="1">VLOOKUP($A15,table_DataQualities!$A:$I,9,FALSE)</f>
        <v>8.9700000000000006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0.376</v>
      </c>
      <c r="M16">
        <f ca="1">VLOOKUP($A16,table_DataQualities!$A:$I,9,FALSE)</f>
        <v>208.7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+/- cm³/s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8.2000000000000007E-3</v>
      </c>
      <c r="M17">
        <f ca="1">VLOOKUP($A17,table_DataQualities!$A:$I,9,FALSE)</f>
        <v>0.97599999999999998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7.5999999999999998E-2</v>
      </c>
      <c r="M18">
        <f ca="1">VLOOKUP($A18,table_DataQualities!$A:$I,9,FALSE)</f>
        <v>9830.1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+/- mm/s</v>
      </c>
      <c r="L19">
        <f ca="1">VLOOKUP(dict_DQ_Meth_max_deprecated[[#This Row],[ID_DataQualities]],table_DataQualities!$A:$I,8,FALSE)</f>
        <v>0.47</v>
      </c>
      <c r="M19">
        <f ca="1">VLOOKUP($A19,table_DataQualities!$A:$I,9,FALSE)</f>
        <v>8.6999999999999993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0.39800000000000002</v>
      </c>
      <c r="M20">
        <f ca="1">VLOOKUP($A20,table_DataQualities!$A:$I,9,FALSE)</f>
        <v>3206.3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1" s="9" t="str">
        <f ca="1">VLOOKUP(VLOOKUP(dict_DQ_Meth_max_deprecated[[#This Row],[ID_DataQualities]],table_DataQualities[],3),table_Units[],2)</f>
        <v>+/- mm</v>
      </c>
      <c r="L21">
        <f ca="1">VLOOKUP(dict_DQ_Meth_max_deprecated[[#This Row],[ID_DataQualities]],table_DataQualities!$A:$I,8,FALSE)</f>
        <v>7.3999999999999996E-2</v>
      </c>
      <c r="M21">
        <f ca="1">VLOOKUP($A21,table_DataQualities!$A:$I,9,FALSE)</f>
        <v>8.6199999999999992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0.39800000000000002</v>
      </c>
      <c r="M22">
        <f ca="1">VLOOKUP($A22,table_DataQualities!$A:$I,9,FALSE)</f>
        <v>3206.3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</v>
      </c>
      <c r="H23" s="9" t="str">
        <f ca="1">VLOOKUP(VLOOKUP(dict_DQ_Meth_max_deprecated[[#This Row],[ID_DataQualities]],table_DataQualities[],3),table_Units[],2)</f>
        <v>+/- mm</v>
      </c>
      <c r="L23">
        <f ca="1">VLOOKUP(dict_DQ_Meth_max_deprecated[[#This Row],[ID_DataQualities]],table_DataQualities!$A:$I,8,FALSE)</f>
        <v>7.3999999999999996E-2</v>
      </c>
      <c r="M23">
        <f ca="1">VLOOKUP($A23,table_DataQualities!$A:$I,9,FALSE)</f>
        <v>8.6199999999999992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0.82399999999999995</v>
      </c>
      <c r="M24">
        <f ca="1">VLOOKUP($A24,table_DataQualities!$A:$I,9,FALSE)</f>
        <v>5905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25" s="9" t="str">
        <f ca="1">VLOOKUP(VLOOKUP(dict_DQ_Meth_max_deprecated[[#This Row],[ID_DataQualities]],table_DataQualities[],3),table_Units[],2)</f>
        <v>+/- °C</v>
      </c>
      <c r="L25">
        <f ca="1">VLOOKUP(dict_DQ_Meth_max_deprecated[[#This Row],[ID_DataQualities]],table_DataQualities!$A:$I,8,FALSE)</f>
        <v>0.1</v>
      </c>
      <c r="M25">
        <f ca="1">VLOOKUP($A25,table_DataQualities!$A:$I,9,FALSE)</f>
        <v>8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0.82399999999999995</v>
      </c>
      <c r="M26">
        <f ca="1">VLOOKUP($A26,table_DataQualities!$A:$I,9,FALSE)</f>
        <v>5905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7" s="9" t="str">
        <f ca="1">VLOOKUP(VLOOKUP(dict_DQ_Meth_max_deprecated[[#This Row],[ID_DataQualities]],table_DataQualities[],3),table_Units[],2)</f>
        <v>+/- °C</v>
      </c>
      <c r="L27">
        <f ca="1">VLOOKUP(dict_DQ_Meth_max_deprecated[[#This Row],[ID_DataQualities]],table_DataQualities!$A:$I,8,FALSE)</f>
        <v>0.1</v>
      </c>
      <c r="M27">
        <f ca="1">VLOOKUP($A27,table_DataQualities!$A:$I,9,FALSE)</f>
        <v>8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0.53500000000000003</v>
      </c>
      <c r="M28" s="3">
        <f ca="1">VLOOKUP($A28,table_DataQualities!$A:$I,9,FALSE)</f>
        <v>3910.7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2000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29" s="9" t="str">
        <f ca="1">VLOOKUP(VLOOKUP(dict_DQ_Meth_max_deprecated[[#This Row],[ID_DataQualities]],table_DataQualities[],3),table_Units[],2)</f>
        <v>+/- °C</v>
      </c>
      <c r="L29" s="3">
        <f ca="1">VLOOKUP(dict_DQ_Meth_max_deprecated[[#This Row],[ID_DataQualities]],table_DataQualities!$A:$I,8,FALSE)</f>
        <v>0.8</v>
      </c>
      <c r="M29" s="3">
        <f ca="1">VLOOKUP($A29,table_DataQualities!$A:$I,9,FALSE)</f>
        <v>4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0.53500000000000003</v>
      </c>
      <c r="M30" s="3">
        <f ca="1">VLOOKUP($A30,table_DataQualities!$A:$I,9,FALSE)</f>
        <v>3910.7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1200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31" s="9" t="str">
        <f ca="1">VLOOKUP(VLOOKUP(dict_DQ_Meth_max_deprecated[[#This Row],[ID_DataQualities]],table_DataQualities[],3),table_Units[],2)</f>
        <v>+/- °C</v>
      </c>
      <c r="L31" s="3">
        <f ca="1">VLOOKUP(dict_DQ_Meth_max_deprecated[[#This Row],[ID_DataQualities]],table_DataQualities!$A:$I,8,FALSE)</f>
        <v>0.8</v>
      </c>
      <c r="M31" s="3">
        <f ca="1">VLOOKUP($A31,table_DataQualities!$A:$I,9,FALSE)</f>
        <v>4</v>
      </c>
    </row>
  </sheetData>
  <conditionalFormatting sqref="G1:G1048576">
    <cfRule type="cellIs" dxfId="11" priority="1" operator="greaterThan">
      <formula>$M1</formula>
    </cfRule>
    <cfRule type="cellIs" dxfId="10" priority="6" operator="lessThan">
      <formula>$F1</formula>
    </cfRule>
  </conditionalFormatting>
  <conditionalFormatting sqref="F1:F1048576">
    <cfRule type="cellIs" dxfId="9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CC85B7-934D-4885-B62F-BC580E57A2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2019-03-21T19:32:33Z</dcterms:modified>
</cp:coreProperties>
</file>